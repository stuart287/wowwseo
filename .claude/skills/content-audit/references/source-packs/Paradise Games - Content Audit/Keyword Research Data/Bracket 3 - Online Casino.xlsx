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>
    <definedName hidden="1" localSheetId="2" name="_xlnm._FilterDatabase">matching!$A$1:$O$104</definedName>
  </definedNames>
  <calcPr/>
</workbook>
</file>

<file path=xl/sharedStrings.xml><?xml version="1.0" encoding="utf-8"?>
<sst xmlns="http://schemas.openxmlformats.org/spreadsheetml/2006/main" count="29185" uniqueCount="14121">
  <si>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</si>
  <si>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</si>
  <si>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</si>
  <si>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</si>
  <si>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</si>
  <si>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</si>
  <si>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</si>
  <si>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</si>
  <si>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</si>
  <si>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</si>
  <si>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</si>
  <si>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</si>
  <si>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</si>
  <si>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</si>
  <si>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</si>
  <si>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</si>
  <si>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(05-2024 - 04-2026)</t>
  </si>
  <si>
    <t>SV Forecasting trend (05-2026 - 05-2027)</t>
  </si>
  <si>
    <t>Category</t>
  </si>
  <si>
    <t>how to start a online casino business</t>
  </si>
  <si>
    <t>casino online</t>
  </si>
  <si>
    <t>bs</t>
  </si>
  <si>
    <t>demo casino games</t>
  </si>
  <si>
    <t>casino demo</t>
  </si>
  <si>
    <t>Thumbnail,People also ask</t>
  </si>
  <si>
    <t>Non-branded,Non-local</t>
  </si>
  <si>
    <t>English</t>
  </si>
  <si>
    <t>619, 614, 717, 538, 792, 864, 887, 1048, 857, 1081, 1356, 1549, 1311, 1535, 1327, 1334, 1349, 1080, 844, 838, 849, 843, 893, 895</t>
  </si>
  <si>
    <t>848, 860, 853, 832, 851, 872, 839, 843, 842, 837, 887, 889, 841</t>
  </si>
  <si>
    <t>Casino games</t>
  </si>
  <si>
    <t>casino demo games</t>
  </si>
  <si>
    <t>what are the most popular casino games</t>
  </si>
  <si>
    <t>Thumbnail</t>
  </si>
  <si>
    <t>how does online gambling work</t>
  </si>
  <si>
    <t>how to win at casino games</t>
  </si>
  <si>
    <t>226, 241, 357, 359, 367, 416, 339, 352, 356, 360, 353, 360, 501, 497, 491, 415, 433, 364, 348, 430, 423, 399, 374, 372</t>
  </si>
  <si>
    <t>420, 427, 452, 401, 380, 400, 426, 397, 423, 399, 374, 372, 420</t>
  </si>
  <si>
    <t>online casino how to win</t>
  </si>
  <si>
    <t>Informational,Commercial,Transactional,Non-branded,Non-local</t>
  </si>
  <si>
    <t>how to beat online casino</t>
  </si>
  <si>
    <t>Casino games; Gambling</t>
  </si>
  <si>
    <t>how online real money casinos work</t>
  </si>
  <si>
    <t>online casino</t>
  </si>
  <si>
    <t>what online casino is the best</t>
  </si>
  <si>
    <t>what states allow online gambling</t>
  </si>
  <si>
    <t>Gambling</t>
  </si>
  <si>
    <t>how to win at online casino slots</t>
  </si>
  <si>
    <t>www.chancesgames.com casino casino games</t>
  </si>
  <si>
    <t>chances casino</t>
  </si>
  <si>
    <t>which online casino pays out the most</t>
  </si>
  <si>
    <t>People also ask</t>
  </si>
  <si>
    <t>what casino games have the best odds of winning</t>
  </si>
  <si>
    <t>Informational,Navigational,Commercial,Branded,Non-local</t>
  </si>
  <si>
    <t>online casino bahamas</t>
  </si>
  <si>
    <t>62, 62, 63, 79, 79, 63, 63, 77, 57, 129, 137, 122, 133, 147, 113, 104, 64, 82, 89, 95, 92, 104, 105, 91</t>
  </si>
  <si>
    <t>93, 109, 102, 95, 94, 105, 99, 90, 90, 101, 102, 89, 90</t>
  </si>
  <si>
    <t>what is the best online casino in australia</t>
  </si>
  <si>
    <t>casino online real money</t>
  </si>
  <si>
    <t>when is the best time to play online casino games</t>
  </si>
  <si>
    <t>bahamas online casino</t>
  </si>
  <si>
    <t>how to play online casino for real money</t>
  </si>
  <si>
    <t>casino games</t>
  </si>
  <si>
    <t>how to beat online casinos</t>
  </si>
  <si>
    <t>demo casino games online</t>
  </si>
  <si>
    <t>what are online casinos</t>
  </si>
  <si>
    <t>Featured snippet,People also ask</t>
  </si>
  <si>
    <t>paradise games casino</t>
  </si>
  <si>
    <t>online casino what is match bonus</t>
  </si>
  <si>
    <t>paradise games</t>
  </si>
  <si>
    <t>Informational,Commercial,Non-branded,Non-local</t>
  </si>
  <si>
    <t>Sitelinks,Local teaser pack</t>
  </si>
  <si>
    <t>how to apply for an online gambling license</t>
  </si>
  <si>
    <t>live casino</t>
  </si>
  <si>
    <t>Informational,Branded,Non-local</t>
  </si>
  <si>
    <t>which online casino accepts paypal</t>
  </si>
  <si>
    <t>Lottery; Sports betting</t>
  </si>
  <si>
    <t>what is the most trusted online casino</t>
  </si>
  <si>
    <t>Knowledge panel</t>
  </si>
  <si>
    <t>how to become an online casino agent</t>
  </si>
  <si>
    <t>bahamas online casinos</t>
  </si>
  <si>
    <t>how to win in online casino slots</t>
  </si>
  <si>
    <t>free demo casino games</t>
  </si>
  <si>
    <t>which online casinos accept paypal</t>
  </si>
  <si>
    <t>online casino real money</t>
  </si>
  <si>
    <t>Sitelinks,Thumbnail</t>
  </si>
  <si>
    <t>how do live dealers work on online casinos</t>
  </si>
  <si>
    <t>Informational,Non-branded,Non-local</t>
  </si>
  <si>
    <t>how to win on online casino slots</t>
  </si>
  <si>
    <t>online gambling</t>
  </si>
  <si>
    <t>casino lobby chances games demo</t>
  </si>
  <si>
    <t>what is the best online casino</t>
  </si>
  <si>
    <t>how to spot online gambling scams</t>
  </si>
  <si>
    <t>online casino games</t>
  </si>
  <si>
    <t>casino demo games free</t>
  </si>
  <si>
    <t>what is the most legit online casino</t>
  </si>
  <si>
    <t>Thumbnail,Discussions</t>
  </si>
  <si>
    <t>casino online --(multibet88)</t>
  </si>
  <si>
    <t>how to win at online gambling</t>
  </si>
  <si>
    <t>online casino bonus</t>
  </si>
  <si>
    <t>how to cheat online casino</t>
  </si>
  <si>
    <t>free casino demo games</t>
  </si>
  <si>
    <t>which casino games have the best odds</t>
  </si>
  <si>
    <t>casino games demo</t>
  </si>
  <si>
    <t>multi slots demo</t>
  </si>
  <si>
    <t>Sitelinks</t>
  </si>
  <si>
    <t>how to play casino online with real money</t>
  </si>
  <si>
    <t>online casinos</t>
  </si>
  <si>
    <t>how do casino games work</t>
  </si>
  <si>
    <t>how to stop gambling online</t>
  </si>
  <si>
    <t>what is live casino</t>
  </si>
  <si>
    <t>live casino slots</t>
  </si>
  <si>
    <t>casino lobby demo games</t>
  </si>
  <si>
    <t>what online casino accepts paypal</t>
  </si>
  <si>
    <t>online casinos no deposit bonus</t>
  </si>
  <si>
    <t>chances games and casino</t>
  </si>
  <si>
    <t>how much to start an online casino</t>
  </si>
  <si>
    <t>casino online bonus</t>
  </si>
  <si>
    <t>how to use bitcoin for online gambling</t>
  </si>
  <si>
    <t>Informational,Navigational,Transactional,Branded,Non-local</t>
  </si>
  <si>
    <t>46, 45, 56, 45, 37, 37, 38, 37, 33, 26, 25, 22, 25, 24, 25, 25, 38, 48, 38, 25, 27, 24, 23, 19</t>
  </si>
  <si>
    <t>real money casino app</t>
  </si>
  <si>
    <t>16, 16, 18, 15, 47, 41, 33, 32, 26, 24, 22, 18, 16</t>
  </si>
  <si>
    <t>what are the best online casino games</t>
  </si>
  <si>
    <t>online casino 🎰 casin.fit</t>
  </si>
  <si>
    <t>casino online mobile</t>
  </si>
  <si>
    <t>how to play live casino</t>
  </si>
  <si>
    <t>free casino games</t>
  </si>
  <si>
    <t>how to win money in online casino</t>
  </si>
  <si>
    <t>online casino reviews</t>
  </si>
  <si>
    <t>casino</t>
  </si>
  <si>
    <t>how online casinos work</t>
  </si>
  <si>
    <t>how to win online casino blackjack</t>
  </si>
  <si>
    <t>real money casino reviews</t>
  </si>
  <si>
    <t>paradise games casino demo</t>
  </si>
  <si>
    <t>online casino games real money</t>
  </si>
  <si>
    <t>pgweb cafe</t>
  </si>
  <si>
    <t>how to play online casino</t>
  </si>
  <si>
    <t>Sitelinks,People also ask</t>
  </si>
  <si>
    <t>live casino free spins</t>
  </si>
  <si>
    <t>how to hack casino games online</t>
  </si>
  <si>
    <t>casino online slots</t>
  </si>
  <si>
    <t>how to open a online casino</t>
  </si>
  <si>
    <t>real money casino no deposit bonus</t>
  </si>
  <si>
    <t>how to win online casino slots</t>
  </si>
  <si>
    <t>online casino best</t>
  </si>
  <si>
    <t>what are the best online casinos for beginners</t>
  </si>
  <si>
    <t>real money casino sign up bonus</t>
  </si>
  <si>
    <t>paradise games casino login</t>
  </si>
  <si>
    <t>how to hack online casino</t>
  </si>
  <si>
    <t>online casino games no deposit bonus</t>
  </si>
  <si>
    <t>how do online casino games work</t>
  </si>
  <si>
    <t>Navigational,Transactional,Branded,Non-local</t>
  </si>
  <si>
    <t>gambling site reviews</t>
  </si>
  <si>
    <t>Sports betting</t>
  </si>
  <si>
    <t>how to win in online casino</t>
  </si>
  <si>
    <t>casino online --homebet88💰</t>
  </si>
  <si>
    <t>online casino app</t>
  </si>
  <si>
    <t>what online casino game is easiest to win</t>
  </si>
  <si>
    <t>casino games slots</t>
  </si>
  <si>
    <t>live casino real money</t>
  </si>
  <si>
    <t>how to start an online gambling business</t>
  </si>
  <si>
    <t>casinos online</t>
  </si>
  <si>
    <t>casino games play online</t>
  </si>
  <si>
    <t>how to beat online casino slot machines</t>
  </si>
  <si>
    <t>casino online reviews</t>
  </si>
  <si>
    <t>which online casino</t>
  </si>
  <si>
    <t>casino online app</t>
  </si>
  <si>
    <t>best online casino</t>
  </si>
  <si>
    <t>how do i prove gambling losses on my taxes online</t>
  </si>
  <si>
    <t>online casino safe</t>
  </si>
  <si>
    <t>how to play casino games for real money</t>
  </si>
  <si>
    <t>People also ask,Discussions</t>
  </si>
  <si>
    <t>online casino demo</t>
  </si>
  <si>
    <t>which online casino pays the quickest</t>
  </si>
  <si>
    <t>online gambling real money</t>
  </si>
  <si>
    <t>demo casino slot games</t>
  </si>
  <si>
    <t>what are some casino games</t>
  </si>
  <si>
    <t>live casino reviews</t>
  </si>
  <si>
    <t>casino games reviews</t>
  </si>
  <si>
    <t>how to withdraw online casino</t>
  </si>
  <si>
    <t>live casino near me</t>
  </si>
  <si>
    <t>how to start an online casino</t>
  </si>
  <si>
    <t>casino online no deposit bonus</t>
  </si>
  <si>
    <t>what online casino is legit</t>
  </si>
  <si>
    <t>casino online best</t>
  </si>
  <si>
    <t>casino games how to play</t>
  </si>
  <si>
    <t>online casino slots</t>
  </si>
  <si>
    <t>island luck demo casino games</t>
  </si>
  <si>
    <t>how to play casino online</t>
  </si>
  <si>
    <t>online casinos roulette</t>
  </si>
  <si>
    <t>what games are in a casino</t>
  </si>
  <si>
    <t>casino online top</t>
  </si>
  <si>
    <t>how do i stop gambling online</t>
  </si>
  <si>
    <t>best online casinos</t>
  </si>
  <si>
    <t>online casino login</t>
  </si>
  <si>
    <t>how to stop online gambling</t>
  </si>
  <si>
    <t>chances online casino</t>
  </si>
  <si>
    <t>live casino bonuses</t>
  </si>
  <si>
    <t>how to win money gambling online</t>
  </si>
  <si>
    <t>online casino casino.us</t>
  </si>
  <si>
    <t>online casinos sign up bonus</t>
  </si>
  <si>
    <t>what is the best online casino in canada</t>
  </si>
  <si>
    <t>live casino review</t>
  </si>
  <si>
    <t>which online casino pays the best</t>
  </si>
  <si>
    <t>casino online 🎁💰 deutschecasino.site</t>
  </si>
  <si>
    <t>live casino no deposit bonus</t>
  </si>
  <si>
    <t>what is the best online casino to play?</t>
  </si>
  <si>
    <t>island luck casino games</t>
  </si>
  <si>
    <t>online gambling slots</t>
  </si>
  <si>
    <t>what games have the best odds in a casino</t>
  </si>
  <si>
    <t>live casino bonus</t>
  </si>
  <si>
    <t>how much does it cost to start an online casino</t>
  </si>
  <si>
    <t>real money casino slots</t>
  </si>
  <si>
    <t>online casinos 2026 usacasinobonuses.site</t>
  </si>
  <si>
    <t>what are the best online casinos</t>
  </si>
  <si>
    <t>casino online review</t>
  </si>
  <si>
    <t>how to start an online casino business</t>
  </si>
  <si>
    <t>casino lobby games</t>
  </si>
  <si>
    <t>what online casino accepts cash app</t>
  </si>
  <si>
    <t>online casino instant withdrawal</t>
  </si>
  <si>
    <t>free casino games with free coins</t>
  </si>
  <si>
    <t>what is the best online casino for real money</t>
  </si>
  <si>
    <t>online casino review</t>
  </si>
  <si>
    <t>how to win at online casinos every time</t>
  </si>
  <si>
    <t>live casino login</t>
  </si>
  <si>
    <t>how to play online casino games</t>
  </si>
  <si>
    <t>online casino mobile</t>
  </si>
  <si>
    <t>how to stay safe when gambling online</t>
  </si>
  <si>
    <t>online casino trusted</t>
  </si>
  <si>
    <t>what is live dealer casino</t>
  </si>
  <si>
    <t>online gambling review</t>
  </si>
  <si>
    <t>how to win real money online casino</t>
  </si>
  <si>
    <t>gambling site</t>
  </si>
  <si>
    <t>how to start a online casino</t>
  </si>
  <si>
    <t>online gambling reviews</t>
  </si>
  <si>
    <t>how to create an online casino</t>
  </si>
  <si>
    <t>how to trick online casino</t>
  </si>
  <si>
    <t>online casinos bonus</t>
  </si>
  <si>
    <t>live casino online</t>
  </si>
  <si>
    <t>casino app</t>
  </si>
  <si>
    <t>how to make money gambling online</t>
  </si>
  <si>
    <t>online casino 🇩🇪 casinod.casino 🎉</t>
  </si>
  <si>
    <t>real money casino</t>
  </si>
  <si>
    <t>how to cheat online casino games</t>
  </si>
  <si>
    <t>how do online casino bonuses work</t>
  </si>
  <si>
    <t>casino online roulette</t>
  </si>
  <si>
    <t>mejor casino online trustly</t>
  </si>
  <si>
    <t>how to play casino games</t>
  </si>
  <si>
    <t>casino games roulette</t>
  </si>
  <si>
    <t>games at casino</t>
  </si>
  <si>
    <t>how to open online casino</t>
  </si>
  <si>
    <t>casino games real money</t>
  </si>
  <si>
    <t>online casino usa free money</t>
  </si>
  <si>
    <t>how to play casino card games</t>
  </si>
  <si>
    <t>online gambling app</t>
  </si>
  <si>
    <t>fair play online casino</t>
  </si>
  <si>
    <t>what are the best online casino sites</t>
  </si>
  <si>
    <t>casino games best</t>
  </si>
  <si>
    <t>how to hack casino games</t>
  </si>
  <si>
    <t>slot online 250--casino(rajadewa138)</t>
  </si>
  <si>
    <t>online gambling bonus</t>
  </si>
  <si>
    <t>how to win on online casinos</t>
  </si>
  <si>
    <t>online casinos review</t>
  </si>
  <si>
    <t>online casino mit klarna</t>
  </si>
  <si>
    <t>what games to play at casino</t>
  </si>
  <si>
    <t>online casino indian rupees</t>
  </si>
  <si>
    <t>how to hack online casino games with cheat engine</t>
  </si>
  <si>
    <t>online casinos free spins</t>
  </si>
  <si>
    <t>best online casino slots real money</t>
  </si>
  <si>
    <t>how to win at online casino</t>
  </si>
  <si>
    <t>casino online blackjack</t>
  </si>
  <si>
    <t>best online casino paypal</t>
  </si>
  <si>
    <t>where is online gambling legal</t>
  </si>
  <si>
    <t>top rated online casinos 2017</t>
  </si>
  <si>
    <t>online casino with multi-language support</t>
  </si>
  <si>
    <t>what is wagering requirement online casino</t>
  </si>
  <si>
    <t>casino games win real money no deposit</t>
  </si>
  <si>
    <t>how to win big on online casino slots</t>
  </si>
  <si>
    <t>online free casino roulette</t>
  </si>
  <si>
    <t>casino online bono por registro</t>
  </si>
  <si>
    <t>how to own a online casino</t>
  </si>
  <si>
    <t>vilket online casino har bäst utdelning</t>
  </si>
  <si>
    <t>casino games where you win real money</t>
  </si>
  <si>
    <t>best online casinos for australians</t>
  </si>
  <si>
    <t>casino games blackjack</t>
  </si>
  <si>
    <t>how to cheat online casino slot machines</t>
  </si>
  <si>
    <t>trusted us online casinos</t>
  </si>
  <si>
    <t>online casino deposit</t>
  </si>
  <si>
    <t>how does online casinos work</t>
  </si>
  <si>
    <t>top 10 online casino australia real money</t>
  </si>
  <si>
    <t>online gambling bonuses</t>
  </si>
  <si>
    <t>how does casino games work</t>
  </si>
  <si>
    <t>betrivers casino online review</t>
  </si>
  <si>
    <t>online casino top</t>
  </si>
  <si>
    <t>free casino games free</t>
  </si>
  <si>
    <t>online casino free spins</t>
  </si>
  <si>
    <t>our casino games</t>
  </si>
  <si>
    <t>online gambling blackjack</t>
  </si>
  <si>
    <t>what is the best online casino for us players?</t>
  </si>
  <si>
    <t>real casinos online usa</t>
  </si>
  <si>
    <t>live casino sign up bonus</t>
  </si>
  <si>
    <t>countries where online gambling is legal</t>
  </si>
  <si>
    <t>online casino with free money</t>
  </si>
  <si>
    <t>casino online bonuses</t>
  </si>
  <si>
    <t>how to hack online casino games</t>
  </si>
  <si>
    <t>jackpot city online casino chile</t>
  </si>
  <si>
    <t>online casino free demo</t>
  </si>
  <si>
    <t>online casino live blackjack</t>
  </si>
  <si>
    <t>which online casino game has the best odds</t>
  </si>
  <si>
    <t>online casino blackjack</t>
  </si>
  <si>
    <t>online casino malaysia forum</t>
  </si>
  <si>
    <t>how to win online gambling</t>
  </si>
  <si>
    <t>casino games no deposit bonus</t>
  </si>
  <si>
    <t>hur man tjänar pengar på online casino</t>
  </si>
  <si>
    <t>how to win online casino games</t>
  </si>
  <si>
    <t>casino app bonus</t>
  </si>
  <si>
    <t>casino online bonus bez depozita</t>
  </si>
  <si>
    <t>casino app no deposit bonus</t>
  </si>
  <si>
    <t>how to build an online casino</t>
  </si>
  <si>
    <t>747 online casino</t>
  </si>
  <si>
    <t>online casinos deposit</t>
  </si>
  <si>
    <t>how to play casino slot games</t>
  </si>
  <si>
    <t>nyspins online casino</t>
  </si>
  <si>
    <t>online gambling roulette</t>
  </si>
  <si>
    <t>how to make an online casino</t>
  </si>
  <si>
    <t>uk casino club online casino</t>
  </si>
  <si>
    <t>online casino games review</t>
  </si>
  <si>
    <t>how to play casino games online for real money</t>
  </si>
  <si>
    <t>casino liechtenstein online</t>
  </si>
  <si>
    <t>online casino games best</t>
  </si>
  <si>
    <t>what are the best free casino games to play</t>
  </si>
  <si>
    <t>casinos online klarna</t>
  </si>
  <si>
    <t>online casino roulette</t>
  </si>
  <si>
    <t>how to make online casino</t>
  </si>
  <si>
    <t>winbet casino online</t>
  </si>
  <si>
    <t>online gambling bahamas</t>
  </si>
  <si>
    <t>how to start online casino</t>
  </si>
  <si>
    <t>online casino mit krypto</t>
  </si>
  <si>
    <t>casino games mobile</t>
  </si>
  <si>
    <t>what are the best online casino games to play</t>
  </si>
  <si>
    <t>casino online gratis bonus ohne einzahlung</t>
  </si>
  <si>
    <t>online casinos best</t>
  </si>
  <si>
    <t>what is best online casino</t>
  </si>
  <si>
    <t>what is playthrough in online casino</t>
  </si>
  <si>
    <t>online casino no deposit bonus</t>
  </si>
  <si>
    <t>how to win casino slot games</t>
  </si>
  <si>
    <t>nederlandse online casino</t>
  </si>
  <si>
    <t>casino games free spins</t>
  </si>
  <si>
    <t>what casino games pay real money</t>
  </si>
  <si>
    <t>casino games app</t>
  </si>
  <si>
    <t>online casino nederland betrouwbaar</t>
  </si>
  <si>
    <t>how to hack online gambling sites</t>
  </si>
  <si>
    <t>online casino games reviews</t>
  </si>
  <si>
    <t>what is the best online casino in canada?</t>
  </si>
  <si>
    <t>how do online casinos work</t>
  </si>
  <si>
    <t>casino online free spins</t>
  </si>
  <si>
    <t>online casinos us</t>
  </si>
  <si>
    <t>how do online casinos make money</t>
  </si>
  <si>
    <t>live casino mobile</t>
  </si>
  <si>
    <t>how to win casino online</t>
  </si>
  <si>
    <t>online casino license</t>
  </si>
  <si>
    <t>casino games bonus</t>
  </si>
  <si>
    <t>how to play casino games online</t>
  </si>
  <si>
    <t>online casino usdt trc20</t>
  </si>
  <si>
    <t>online casinos slots</t>
  </si>
  <si>
    <t>how to play real casino online</t>
  </si>
  <si>
    <t>top online casinos 2019</t>
  </si>
  <si>
    <t>casino app real money</t>
  </si>
  <si>
    <t>how to win online casino</t>
  </si>
  <si>
    <t>website judi live casino</t>
  </si>
  <si>
    <t>casino online demo</t>
  </si>
  <si>
    <t>what online casino games pay real money</t>
  </si>
  <si>
    <t>winning casino games</t>
  </si>
  <si>
    <t>online gambling sign up bonus</t>
  </si>
  <si>
    <t>what is the best online casino in australia?</t>
  </si>
  <si>
    <t>casino luxury online</t>
  </si>
  <si>
    <t>online casino bonuses</t>
  </si>
  <si>
    <t>what is an online casino bonus</t>
  </si>
  <si>
    <t>jackpotcity com online casino</t>
  </si>
  <si>
    <t>real money casino bonus</t>
  </si>
  <si>
    <t>which online casino has the best payouts</t>
  </si>
  <si>
    <t>slovak online casino</t>
  </si>
  <si>
    <t>online casinos bonuses</t>
  </si>
  <si>
    <t>where is online gambling legal in the us</t>
  </si>
  <si>
    <t>top 100 online casinos</t>
  </si>
  <si>
    <t>live casino app</t>
  </si>
  <si>
    <t>online casino maestro card</t>
  </si>
  <si>
    <t>live casino south africa</t>
  </si>
  <si>
    <t>how to win casino slots online</t>
  </si>
  <si>
    <t>tennessee online gambling</t>
  </si>
  <si>
    <t>online gambling free spins</t>
  </si>
  <si>
    <t>play roulette live casino</t>
  </si>
  <si>
    <t>casino online sign up bonus</t>
  </si>
  <si>
    <t>how to open an online casino</t>
  </si>
  <si>
    <t>she is a rich girl casinos online casinos</t>
  </si>
  <si>
    <t>live casino roulette</t>
  </si>
  <si>
    <t>which casino games have the best odds of winning</t>
  </si>
  <si>
    <t>top 10 casino games online</t>
  </si>
  <si>
    <t>states where online gambling is legal</t>
  </si>
  <si>
    <t>online casinos safe</t>
  </si>
  <si>
    <t>online casino echtgeld freispiele ohne einzahlung</t>
  </si>
  <si>
    <t>how to win casino games</t>
  </si>
  <si>
    <t>online casinos reviews</t>
  </si>
  <si>
    <t>sicheres online casino österreich</t>
  </si>
  <si>
    <t>how to start online casino business</t>
  </si>
  <si>
    <t>online casinos real money</t>
  </si>
  <si>
    <t>free online casino slots no deposit bonus</t>
  </si>
  <si>
    <t>online casino no deposit bonus keep what you win</t>
  </si>
  <si>
    <t>casino games and how to play</t>
  </si>
  <si>
    <t>online casino sign up bonus</t>
  </si>
  <si>
    <t>online casino real money philippines</t>
  </si>
  <si>
    <t>what online casinos pay real money</t>
  </si>
  <si>
    <t>casino online deposit</t>
  </si>
  <si>
    <t>agen betting ibcbet casino online</t>
  </si>
  <si>
    <t>how to make money online casino</t>
  </si>
  <si>
    <t>promotion online casino</t>
  </si>
  <si>
    <t>online casino games slots</t>
  </si>
  <si>
    <t>how much do online casinos make</t>
  </si>
  <si>
    <t>online casino withdrawal</t>
  </si>
  <si>
    <t>what are live casino games</t>
  </si>
  <si>
    <t>live casino lobby</t>
  </si>
  <si>
    <t>how to hack a online casino</t>
  </si>
  <si>
    <t>live casino blackjack</t>
  </si>
  <si>
    <t>glory casino online</t>
  </si>
  <si>
    <t>what casino games have the best odds</t>
  </si>
  <si>
    <t>casino app bahamas</t>
  </si>
  <si>
    <t>what is the best time to play online casino</t>
  </si>
  <si>
    <t>mejores casinos online mastercard españa</t>
  </si>
  <si>
    <t>casino app bahamas online</t>
  </si>
  <si>
    <t>how to play casino games and win</t>
  </si>
  <si>
    <t>online free casino slots no download</t>
  </si>
  <si>
    <t>casino app best</t>
  </si>
  <si>
    <t>how to play casino table games</t>
  </si>
  <si>
    <t>casino app blackjack</t>
  </si>
  <si>
    <t>neteller casinos online</t>
  </si>
  <si>
    <t>what are casino games</t>
  </si>
  <si>
    <t>casino app bonuses</t>
  </si>
  <si>
    <t>casino mexico online</t>
  </si>
  <si>
    <t>how to deposit money for online gambling</t>
  </si>
  <si>
    <t>casino app caribbean</t>
  </si>
  <si>
    <t>top ontario online casinos</t>
  </si>
  <si>
    <t>casino app chances</t>
  </si>
  <si>
    <t>how does deposi match work on online casinos</t>
  </si>
  <si>
    <t>biggest online casino uk</t>
  </si>
  <si>
    <t>casino app demo</t>
  </si>
  <si>
    <t>what is online gambling</t>
  </si>
  <si>
    <t>casino app deposit</t>
  </si>
  <si>
    <t>betsson online casino</t>
  </si>
  <si>
    <t>how do scam online casinos work</t>
  </si>
  <si>
    <t>casino app free demo</t>
  </si>
  <si>
    <t>frumzi casino online</t>
  </si>
  <si>
    <t>which is the best live online casino</t>
  </si>
  <si>
    <t>casino app free spins</t>
  </si>
  <si>
    <t>what states is online gambling legal</t>
  </si>
  <si>
    <t>casino online slot games</t>
  </si>
  <si>
    <t>casino app freeport</t>
  </si>
  <si>
    <t>how do online gambling websites work</t>
  </si>
  <si>
    <t>casino app instant withdrawal</t>
  </si>
  <si>
    <t>online casino mit sofortüberweisung</t>
  </si>
  <si>
    <t>what is a live casino</t>
  </si>
  <si>
    <t>casino app island luck</t>
  </si>
  <si>
    <t>casino app licensed</t>
  </si>
  <si>
    <t>how to play live casino games</t>
  </si>
  <si>
    <t>mostbet casino online</t>
  </si>
  <si>
    <t>casino app login</t>
  </si>
  <si>
    <t>which online casino is the best</t>
  </si>
  <si>
    <t>casino app mobile</t>
  </si>
  <si>
    <t>best online casino affiliate programs</t>
  </si>
  <si>
    <t>what online casino pays out the most</t>
  </si>
  <si>
    <t>casino app nassau</t>
  </si>
  <si>
    <t>no document online casino</t>
  </si>
  <si>
    <t>how to start an online gambling site</t>
  </si>
  <si>
    <t>casino app near me</t>
  </si>
  <si>
    <t>online casino mit google play bezahlen</t>
  </si>
  <si>
    <t>casino app paradise games</t>
  </si>
  <si>
    <t>betrivers online casino wv</t>
  </si>
  <si>
    <t>casino app play online</t>
  </si>
  <si>
    <t>how to beat online casino games</t>
  </si>
  <si>
    <t>casino app review</t>
  </si>
  <si>
    <t>skybet live casino</t>
  </si>
  <si>
    <t>what online casino has the fastest payouts</t>
  </si>
  <si>
    <t>casino app reviews</t>
  </si>
  <si>
    <t>online gambling oklahoma</t>
  </si>
  <si>
    <t>casino app roulette</t>
  </si>
  <si>
    <t>how to win casino games online</t>
  </si>
  <si>
    <t>new michigan online casino</t>
  </si>
  <si>
    <t>casino app safe</t>
  </si>
  <si>
    <t>how to win at online casinos</t>
  </si>
  <si>
    <t>casino app sign up bonus</t>
  </si>
  <si>
    <t>online games casino malaysia</t>
  </si>
  <si>
    <t>casino app slots</t>
  </si>
  <si>
    <t>what are the best casino games to play</t>
  </si>
  <si>
    <t>casinos online mga</t>
  </si>
  <si>
    <t>casino app top</t>
  </si>
  <si>
    <t>live casino spellen</t>
  </si>
  <si>
    <t>how many online casinos are there</t>
  </si>
  <si>
    <t>casino app trusted</t>
  </si>
  <si>
    <t>casino app ultra games</t>
  </si>
  <si>
    <t>las vegas casino online</t>
  </si>
  <si>
    <t>casino app withdrawal</t>
  </si>
  <si>
    <t>casino games blog</t>
  </si>
  <si>
    <t>casino games bahamas</t>
  </si>
  <si>
    <t>casino online ecuador</t>
  </si>
  <si>
    <t>casino games bahamas online</t>
  </si>
  <si>
    <t>trustpilot online casinos</t>
  </si>
  <si>
    <t>casino games bonuses</t>
  </si>
  <si>
    <t>casino games caribbean</t>
  </si>
  <si>
    <t>casino games chances</t>
  </si>
  <si>
    <t>casino games deposit</t>
  </si>
  <si>
    <t>casino games free demo</t>
  </si>
  <si>
    <t>casino games freeport</t>
  </si>
  <si>
    <t>online casinos that give free money</t>
  </si>
  <si>
    <t>casino games instant withdrawal</t>
  </si>
  <si>
    <t>best online gambling sites in michigan</t>
  </si>
  <si>
    <t>casino games island luck</t>
  </si>
  <si>
    <t>bandar taruhan casino live deposit termurah</t>
  </si>
  <si>
    <t>casino games licensed</t>
  </si>
  <si>
    <t>casino games login</t>
  </si>
  <si>
    <t>casino com online</t>
  </si>
  <si>
    <t>casino games nassau</t>
  </si>
  <si>
    <t>cabaretclub online casino mexico</t>
  </si>
  <si>
    <t>casino games near me</t>
  </si>
  <si>
    <t>top live casino online malaysia</t>
  </si>
  <si>
    <t>casino games paradise games</t>
  </si>
  <si>
    <t>casino games review</t>
  </si>
  <si>
    <t>casino games safe</t>
  </si>
  <si>
    <t>casino watch online</t>
  </si>
  <si>
    <t>casino games sign up bonus</t>
  </si>
  <si>
    <t>casino games top</t>
  </si>
  <si>
    <t>casino games trusted</t>
  </si>
  <si>
    <t>casino city online</t>
  </si>
  <si>
    <t>casino games ultra games</t>
  </si>
  <si>
    <t>online casino payid withdrawal australia</t>
  </si>
  <si>
    <t>casino games withdrawal</t>
  </si>
  <si>
    <t>casino online bahamas</t>
  </si>
  <si>
    <t>best gambling online</t>
  </si>
  <si>
    <t>casino online bahamas online</t>
  </si>
  <si>
    <t>casino online играть бесплатно</t>
  </si>
  <si>
    <t>casino online caribbean</t>
  </si>
  <si>
    <t>casino online chances</t>
  </si>
  <si>
    <t>casino online free demo</t>
  </si>
  <si>
    <t>online gaming gambling</t>
  </si>
  <si>
    <t>casino online freeport</t>
  </si>
  <si>
    <t>casino online instant withdrawal</t>
  </si>
  <si>
    <t>a casino online</t>
  </si>
  <si>
    <t>casino online island luck</t>
  </si>
  <si>
    <t>casino online licensed</t>
  </si>
  <si>
    <t>online casino mit guten gewinnchancen</t>
  </si>
  <si>
    <t>real casino games real money online</t>
  </si>
  <si>
    <t>casino online login</t>
  </si>
  <si>
    <t>are online casinos rigged</t>
  </si>
  <si>
    <t>casino online nassau</t>
  </si>
  <si>
    <t>casino online near me</t>
  </si>
  <si>
    <t>online casinos with sign up bonus</t>
  </si>
  <si>
    <t>casino online paradise games</t>
  </si>
  <si>
    <t>bet at home online casino</t>
  </si>
  <si>
    <t>casino online play online</t>
  </si>
  <si>
    <t>nederlandse online casinos</t>
  </si>
  <si>
    <t>casino online safe</t>
  </si>
  <si>
    <t>free play online casinos</t>
  </si>
  <si>
    <t>casino online trusted</t>
  </si>
  <si>
    <t>casino online ultra games</t>
  </si>
  <si>
    <t>online casino malaysia 2022</t>
  </si>
  <si>
    <t>casino online withdrawal</t>
  </si>
  <si>
    <t>jocuri ruleta casino online gratis</t>
  </si>
  <si>
    <t>gambling site app</t>
  </si>
  <si>
    <t>brand new online casinos usa</t>
  </si>
  <si>
    <t>gambling site bahamas</t>
  </si>
  <si>
    <t>gambling site bahamas online</t>
  </si>
  <si>
    <t>roxy palace online casino</t>
  </si>
  <si>
    <t>gambling site best</t>
  </si>
  <si>
    <t>real casino online games</t>
  </si>
  <si>
    <t>gambling site blackjack</t>
  </si>
  <si>
    <t>casinos online yggdrasil</t>
  </si>
  <si>
    <t>gambling site bonus</t>
  </si>
  <si>
    <t>gambling site bonuses</t>
  </si>
  <si>
    <t>us online casino reviews</t>
  </si>
  <si>
    <t>gambling site caribbean</t>
  </si>
  <si>
    <t>zahranicne online casino bonus bez vkladu</t>
  </si>
  <si>
    <t>gambling site chances</t>
  </si>
  <si>
    <t>gambling site demo</t>
  </si>
  <si>
    <t>south dakota online gambling</t>
  </si>
  <si>
    <t>gambling site deposit</t>
  </si>
  <si>
    <t>ignition casino live chat</t>
  </si>
  <si>
    <t>gambling site free demo</t>
  </si>
  <si>
    <t>night rush online casino</t>
  </si>
  <si>
    <t>gambling site free spins</t>
  </si>
  <si>
    <t>gambling site freeport</t>
  </si>
  <si>
    <t>online casinos that accept neosurf</t>
  </si>
  <si>
    <t>gambling site instant withdrawal</t>
  </si>
  <si>
    <t>top 10 best online casinos</t>
  </si>
  <si>
    <t>gambling site island luck</t>
  </si>
  <si>
    <t>gambling site licensed</t>
  </si>
  <si>
    <t>best online casino texas</t>
  </si>
  <si>
    <t>gambling site login</t>
  </si>
  <si>
    <t>free casino slots online</t>
  </si>
  <si>
    <t>gambling site mobile</t>
  </si>
  <si>
    <t>online casino win real money</t>
  </si>
  <si>
    <t>gambling site nassau</t>
  </si>
  <si>
    <t>gambling site near me</t>
  </si>
  <si>
    <t>casinos online dinheiro de verdade</t>
  </si>
  <si>
    <t>gambling site no deposit bonus</t>
  </si>
  <si>
    <t>fair go casino online login</t>
  </si>
  <si>
    <t>gambling site paradise games</t>
  </si>
  <si>
    <t>gambling site play online</t>
  </si>
  <si>
    <t>online casino for malaysian</t>
  </si>
  <si>
    <t>gambling site real money</t>
  </si>
  <si>
    <t>party casino online nj</t>
  </si>
  <si>
    <t>gambling site review</t>
  </si>
  <si>
    <t>gambling site roulette</t>
  </si>
  <si>
    <t>online casino malaysia e-wallet</t>
  </si>
  <si>
    <t>gambling site safe</t>
  </si>
  <si>
    <t>gambling site sign up bonus</t>
  </si>
  <si>
    <t>unibet casino online</t>
  </si>
  <si>
    <t>gambling site slots</t>
  </si>
  <si>
    <t>gambling site top</t>
  </si>
  <si>
    <t>live casino online app</t>
  </si>
  <si>
    <t>gambling site trusted</t>
  </si>
  <si>
    <t>evolution gaming live casino</t>
  </si>
  <si>
    <t>gambling site ultra games</t>
  </si>
  <si>
    <t>gambling site withdrawal</t>
  </si>
  <si>
    <t>agen casino sbobet online deposit 50 ribu</t>
  </si>
  <si>
    <t>live casino bahamas</t>
  </si>
  <si>
    <t>australian online mobile casino no deposit bonus</t>
  </si>
  <si>
    <t>live casino bahamas online</t>
  </si>
  <si>
    <t>live casino best</t>
  </si>
  <si>
    <t>casino sbobet online termurah</t>
  </si>
  <si>
    <t>live casino caribbean</t>
  </si>
  <si>
    <t>top 10 uk online casinos</t>
  </si>
  <si>
    <t>live casino chances</t>
  </si>
  <si>
    <t>best nj online casinos</t>
  </si>
  <si>
    <t>live casino demo</t>
  </si>
  <si>
    <t>live casino deposit</t>
  </si>
  <si>
    <t>best wv online casinos</t>
  </si>
  <si>
    <t>live casino free demo</t>
  </si>
  <si>
    <t>neue casino online</t>
  </si>
  <si>
    <t>live casino freeport</t>
  </si>
  <si>
    <t>best online casino promo draftkings</t>
  </si>
  <si>
    <t>live casino instant withdrawal</t>
  </si>
  <si>
    <t>casino nj online</t>
  </si>
  <si>
    <t>live casino island luck</t>
  </si>
  <si>
    <t>live casino licensed</t>
  </si>
  <si>
    <t>dublin bet online casino</t>
  </si>
  <si>
    <t>live casino nassau</t>
  </si>
  <si>
    <t>free no deposit online casino bonuses</t>
  </si>
  <si>
    <t>live casino paradise games</t>
  </si>
  <si>
    <t>live casino play online</t>
  </si>
  <si>
    <t>1 dollar deposit online casino</t>
  </si>
  <si>
    <t>live casino safe</t>
  </si>
  <si>
    <t>live casino top</t>
  </si>
  <si>
    <t>online casino spill gratis</t>
  </si>
  <si>
    <t>live casino trusted</t>
  </si>
  <si>
    <t>live casino ultra games</t>
  </si>
  <si>
    <t>just for the win online casinos</t>
  </si>
  <si>
    <t>live casino withdrawal</t>
  </si>
  <si>
    <t>online casino bahamas online</t>
  </si>
  <si>
    <t>best australian online casino no deposit bonus</t>
  </si>
  <si>
    <t>online casino caribbean</t>
  </si>
  <si>
    <t>online casino uk casino</t>
  </si>
  <si>
    <t>online casino chances</t>
  </si>
  <si>
    <t>online casino freeport</t>
  </si>
  <si>
    <t>casino online.</t>
  </si>
  <si>
    <t>online casino games app</t>
  </si>
  <si>
    <t>online casino games bahamas</t>
  </si>
  <si>
    <t>online casino voordeelcasino</t>
  </si>
  <si>
    <t>online casino games bahamas online</t>
  </si>
  <si>
    <t>casino top games</t>
  </si>
  <si>
    <t>online casino games blackjack</t>
  </si>
  <si>
    <t>online casino games bonus</t>
  </si>
  <si>
    <t>leovegas online casino</t>
  </si>
  <si>
    <t>online casino games bonuses</t>
  </si>
  <si>
    <t>online casino games caribbean</t>
  </si>
  <si>
    <t>online casino united states</t>
  </si>
  <si>
    <t>online casino games chances</t>
  </si>
  <si>
    <t>online casino vip</t>
  </si>
  <si>
    <t>online casino games demo</t>
  </si>
  <si>
    <t>online casino games deposit</t>
  </si>
  <si>
    <t>agen betting casino live online</t>
  </si>
  <si>
    <t>online casino games free demo</t>
  </si>
  <si>
    <t>casino online seriös</t>
  </si>
  <si>
    <t>online casino games free spins</t>
  </si>
  <si>
    <t>nj online casino borgata</t>
  </si>
  <si>
    <t>best yandex money online casinos</t>
  </si>
  <si>
    <t>real online casino nz</t>
  </si>
  <si>
    <t>online casino games freeport</t>
  </si>
  <si>
    <t>european online casinos</t>
  </si>
  <si>
    <t>online casino games instant withdrawal</t>
  </si>
  <si>
    <t>online casino games island luck</t>
  </si>
  <si>
    <t>casino royale online gambling</t>
  </si>
  <si>
    <t>online casino games licensed</t>
  </si>
  <si>
    <t>buy online casino software</t>
  </si>
  <si>
    <t>online casino games login</t>
  </si>
  <si>
    <t>online casino games mobile</t>
  </si>
  <si>
    <t>casino online betsoft</t>
  </si>
  <si>
    <t>online casino games nassau</t>
  </si>
  <si>
    <t>slotimo online casino</t>
  </si>
  <si>
    <t>online casino games near me</t>
  </si>
  <si>
    <t>online casino no deposit bonus uk</t>
  </si>
  <si>
    <t>online casino games paradise games</t>
  </si>
  <si>
    <t>online casino games play online</t>
  </si>
  <si>
    <t>rocket play online casino</t>
  </si>
  <si>
    <t>online casino games roulette</t>
  </si>
  <si>
    <t>echtes online casino</t>
  </si>
  <si>
    <t>online casino games safe</t>
  </si>
  <si>
    <t>bet365 online casino promo code nj</t>
  </si>
  <si>
    <t>online casino games sign up bonus</t>
  </si>
  <si>
    <t>online casino games top</t>
  </si>
  <si>
    <t>adventures beyond wonderland live casino</t>
  </si>
  <si>
    <t>online casino games trusted</t>
  </si>
  <si>
    <t>live casino test</t>
  </si>
  <si>
    <t>online casino games ultra games</t>
  </si>
  <si>
    <t>online casino games withdrawal</t>
  </si>
  <si>
    <t>nevada online casino</t>
  </si>
  <si>
    <t>online casino island luck</t>
  </si>
  <si>
    <t>casino online bank bni</t>
  </si>
  <si>
    <t>online casino licensed</t>
  </si>
  <si>
    <t>online casino nassau</t>
  </si>
  <si>
    <t>online casino malaysia 2021</t>
  </si>
  <si>
    <t>online casino near me</t>
  </si>
  <si>
    <t>online card gambling</t>
  </si>
  <si>
    <t>online casino paradise games</t>
  </si>
  <si>
    <t>online casino bonus ohne einzahlung 2023</t>
  </si>
  <si>
    <t>online casino play online</t>
  </si>
  <si>
    <t>online casino ultra games</t>
  </si>
  <si>
    <t>new online casinos mi</t>
  </si>
  <si>
    <t>online casinos app</t>
  </si>
  <si>
    <t>casino com games</t>
  </si>
  <si>
    <t>online casinos bahamas</t>
  </si>
  <si>
    <t>online casinos bahamas online</t>
  </si>
  <si>
    <t>888 ontario online casino</t>
  </si>
  <si>
    <t>online casinos blackjack</t>
  </si>
  <si>
    <t>gambling games casino</t>
  </si>
  <si>
    <t>online casinos caribbean</t>
  </si>
  <si>
    <t>beste schweizer online casino</t>
  </si>
  <si>
    <t>online casinos chances</t>
  </si>
  <si>
    <t>online casinos demo</t>
  </si>
  <si>
    <t>random number generator online casino</t>
  </si>
  <si>
    <t>online casinos free demo</t>
  </si>
  <si>
    <t>casino la vida online casino</t>
  </si>
  <si>
    <t>online casinos freeport</t>
  </si>
  <si>
    <t>online casino no deposit bonus free spins</t>
  </si>
  <si>
    <t>online casinos instant withdrawal</t>
  </si>
  <si>
    <t>online casinos island luck</t>
  </si>
  <si>
    <t>live casino sider</t>
  </si>
  <si>
    <t>online casinos licensed</t>
  </si>
  <si>
    <t>online casino strategie</t>
  </si>
  <si>
    <t>online casinos login</t>
  </si>
  <si>
    <t>online casino tournaments</t>
  </si>
  <si>
    <t>online casinos mobile</t>
  </si>
  <si>
    <t>reseñas de casinos online</t>
  </si>
  <si>
    <t>online casinos nassau</t>
  </si>
  <si>
    <t>vip online casino</t>
  </si>
  <si>
    <t>online casinos near me</t>
  </si>
  <si>
    <t>online casinos paradise games</t>
  </si>
  <si>
    <t>online casinos play online</t>
  </si>
  <si>
    <t>online casinos top</t>
  </si>
  <si>
    <t>online casino blackjack real money</t>
  </si>
  <si>
    <t>online casinos trusted</t>
  </si>
  <si>
    <t>online casinos ultra games</t>
  </si>
  <si>
    <t>casino online grátis</t>
  </si>
  <si>
    <t>online casinos withdrawal</t>
  </si>
  <si>
    <t>curacao online casino</t>
  </si>
  <si>
    <t>online gambling bahamas online</t>
  </si>
  <si>
    <t>ofertas casinos online</t>
  </si>
  <si>
    <t>online gambling best</t>
  </si>
  <si>
    <t>free downloads casino slot games</t>
  </si>
  <si>
    <t>online gambling caribbean</t>
  </si>
  <si>
    <t>best online casino that accepts debit card</t>
  </si>
  <si>
    <t>online gambling chances</t>
  </si>
  <si>
    <t>online gambling demo</t>
  </si>
  <si>
    <t>online gambling deposit</t>
  </si>
  <si>
    <t>online gambling free demo</t>
  </si>
  <si>
    <t>online gambling freeport</t>
  </si>
  <si>
    <t>online casino mit trustly</t>
  </si>
  <si>
    <t>online gambling instant withdrawal</t>
  </si>
  <si>
    <t>online gambling island luck</t>
  </si>
  <si>
    <t>online casino med dansk licens</t>
  </si>
  <si>
    <t>online gambling licensed</t>
  </si>
  <si>
    <t>casino games for ipad</t>
  </si>
  <si>
    <t>online gambling login</t>
  </si>
  <si>
    <t>casinos online win real money</t>
  </si>
  <si>
    <t>best online casino nicaragua</t>
  </si>
  <si>
    <t>online gambling mobile</t>
  </si>
  <si>
    <t>demo casino</t>
  </si>
  <si>
    <t>nye casino online</t>
  </si>
  <si>
    <t>online gambling nassau</t>
  </si>
  <si>
    <t>online hollands casino</t>
  </si>
  <si>
    <t>2246, 2558, 2611, 2755, 2860, 2891, 2776, 2736, 2779, 2766, 2860, 2828, 2766, 2767, 3187, 3120, 2442, 3023, 2654, 2494, 2682, 2618, 2792, 2781</t>
  </si>
  <si>
    <t>2754, 2832, 2926, 2863, 2809, 3099, 2925, 2825, 2970, 2906, 3080, 3069, 3041</t>
  </si>
  <si>
    <t>casino online ita</t>
  </si>
  <si>
    <t>online gambling near me</t>
  </si>
  <si>
    <t>ipad casino games</t>
  </si>
  <si>
    <t>People also ask,Thumbnail</t>
  </si>
  <si>
    <t>online gambling no deposit bonus</t>
  </si>
  <si>
    <t>tipico casino online</t>
  </si>
  <si>
    <t>online gambling paradise games</t>
  </si>
  <si>
    <t>2659, 2751, 2752, 2778, 2830, 2847, 2540, 2425, 2666, 2433, 2621, 2616, 2651, 2745, 2747, 2774, 2827, 2845, 2538, 2423, 2665, 2433, 2620, 2615</t>
  </si>
  <si>
    <t>2651, 2745, 2746, 2774, 2827, 2844, 2538, 2423, 2665, 2432, 2620, 2615, 2651</t>
  </si>
  <si>
    <t>online gambling play online</t>
  </si>
  <si>
    <t>casino demo play</t>
  </si>
  <si>
    <t>casino pokies online</t>
  </si>
  <si>
    <t>online gambling safe</t>
  </si>
  <si>
    <t>online gambling top</t>
  </si>
  <si>
    <t>online jackpot casino</t>
  </si>
  <si>
    <t>369, 393, 574, 604, 595, 657, 574, 555, 564, 529, 581, 587, 831, 783, 778, 634, 608, 490, 522, 617, 593, 573, 576, 572</t>
  </si>
  <si>
    <t>online gambling trusted</t>
  </si>
  <si>
    <t>599, 595, 586, 564, 553, 573, 591, 547, 561, 542, 544, 541, 568</t>
  </si>
  <si>
    <t>online gambling ultra games</t>
  </si>
  <si>
    <t>casino poker table games</t>
  </si>
  <si>
    <t>online gambling withdrawal</t>
  </si>
  <si>
    <t>Thumbnail,Sitelinks,People also ask</t>
  </si>
  <si>
    <t>online casino for real money in usa</t>
  </si>
  <si>
    <t>real money casino bahamas</t>
  </si>
  <si>
    <t>real money casino bahamas online</t>
  </si>
  <si>
    <t>268, 280, 273, 283, 233, 222, 318, 455, 366, 277, 378, 289, 367, 291, 498, 340, 283, 408, 373, 403, 374, 348, 402, 350</t>
  </si>
  <si>
    <t>378, 392, 423, 389, 332, 352, 358, 420, 375, 348, 402, 350, 378</t>
  </si>
  <si>
    <t>delaware online gambling</t>
  </si>
  <si>
    <t>real money casino best</t>
  </si>
  <si>
    <t>demo casino slots</t>
  </si>
  <si>
    <t>real money casino blackjack</t>
  </si>
  <si>
    <t>online casino best no deposit bonus</t>
  </si>
  <si>
    <t>real money casino bonuses</t>
  </si>
  <si>
    <t>real money casino caribbean</t>
  </si>
  <si>
    <t>248, 205, 255, 241, 289, 306, 171, 229, 219, 195, 296, 284, 305, 240, 310, 352, 285, 289, 303, 270, 290, 288, 311, 298</t>
  </si>
  <si>
    <t>merkur online casino bonus ohne einzahlung</t>
  </si>
  <si>
    <t>304, 293, 320, 327, 311, 319, 297, 307, 311, 308, 331, 318</t>
  </si>
  <si>
    <t>real money casino chances</t>
  </si>
  <si>
    <t>chance games online</t>
  </si>
  <si>
    <t>real money casino demo</t>
  </si>
  <si>
    <t>chances</t>
  </si>
  <si>
    <t>online casinos in the us</t>
  </si>
  <si>
    <t>real money casino deposit</t>
  </si>
  <si>
    <t>real money casino free demo</t>
  </si>
  <si>
    <t>najlepšie online casino</t>
  </si>
  <si>
    <t>real money casino free spins</t>
  </si>
  <si>
    <t>real money casino freeport</t>
  </si>
  <si>
    <t>real money casino instant withdrawal</t>
  </si>
  <si>
    <t>real money casino island luck</t>
  </si>
  <si>
    <t>free demo games</t>
  </si>
  <si>
    <t>real money casino licensed</t>
  </si>
  <si>
    <t>bestes dragonfish online casino</t>
  </si>
  <si>
    <t>real money casino login</t>
  </si>
  <si>
    <t>Video games</t>
  </si>
  <si>
    <t>real money casino mobile</t>
  </si>
  <si>
    <t>best online casino 2022</t>
  </si>
  <si>
    <t>chances demo games</t>
  </si>
  <si>
    <t>real money casino nassau</t>
  </si>
  <si>
    <t>casinos online venezuela</t>
  </si>
  <si>
    <t>real money casino near me</t>
  </si>
  <si>
    <t>real money casino paradise games</t>
  </si>
  <si>
    <t>247, 250, 247, 239, 226, 234, 226, 214, 203, 188, 187, 187, 191, 196, 193, 187, 175, 184, 178, 166, 156, 142, 142, 143</t>
  </si>
  <si>
    <t>ignition casino live dealer</t>
  </si>
  <si>
    <t>real money casino play online</t>
  </si>
  <si>
    <t>148, 154, 152, 147, 135, 146, 140, 129, 119, 106, 108, 109, 115</t>
  </si>
  <si>
    <t>real money casino review</t>
  </si>
  <si>
    <t>free video poker casino games</t>
  </si>
  <si>
    <t>real money casino roulette</t>
  </si>
  <si>
    <t>real money casino safe</t>
  </si>
  <si>
    <t>online casinos in florida</t>
  </si>
  <si>
    <t>real money casino top</t>
  </si>
  <si>
    <t>real money casino trusted</t>
  </si>
  <si>
    <t>best payout online casinos ghana</t>
  </si>
  <si>
    <t>free demo slots</t>
  </si>
  <si>
    <t>real money casino ultra games</t>
  </si>
  <si>
    <t>Thumbnail,Sitelinks</t>
  </si>
  <si>
    <t>online casino platform provider</t>
  </si>
  <si>
    <t>real money casino withdrawal</t>
  </si>
  <si>
    <t>free slots demos</t>
  </si>
  <si>
    <t>lightning link online casino</t>
  </si>
  <si>
    <t>real paying online casino</t>
  </si>
  <si>
    <t>free casino demo</t>
  </si>
  <si>
    <t>play real money online casino</t>
  </si>
  <si>
    <t>Discussions,People also ask</t>
  </si>
  <si>
    <t>arizona online casino real money</t>
  </si>
  <si>
    <t>free slot demo games</t>
  </si>
  <si>
    <t>online gambling horse racing</t>
  </si>
  <si>
    <t>casino demo slots</t>
  </si>
  <si>
    <t>grand reef online casino</t>
  </si>
  <si>
    <t>casino games free online roulette</t>
  </si>
  <si>
    <t>draftkings</t>
  </si>
  <si>
    <t>online casino real money no deposit bonus codes</t>
  </si>
  <si>
    <t>Sitelinks,People also ask,Top stories,Thumbnail</t>
  </si>
  <si>
    <t>online casino anbieter</t>
  </si>
  <si>
    <t>betway</t>
  </si>
  <si>
    <t>casino online spiele 💰 deutschecasino.site</t>
  </si>
  <si>
    <t>demo games</t>
  </si>
  <si>
    <t>river belle online casino español</t>
  </si>
  <si>
    <t>60, 74, 72, 39, 47, 58, 39, 39, 38, 32, 49, 31, 47, 43, 54, 62, 79, 103, 60, 69, 94, 106, 99, 49</t>
  </si>
  <si>
    <t>39, 28, 20, 19, 28, 48, 41, 65, 87, 99, 92, 42, 32</t>
  </si>
  <si>
    <t>Casual games</t>
  </si>
  <si>
    <t>betonline</t>
  </si>
  <si>
    <t>online casino com</t>
  </si>
  <si>
    <t>trusted online casinos usa</t>
  </si>
  <si>
    <t>Informational,Commercial,Branded,Non-local</t>
  </si>
  <si>
    <t>chances demo slots</t>
  </si>
  <si>
    <t>casinos games free online</t>
  </si>
  <si>
    <t>casinos online in new jersey</t>
  </si>
  <si>
    <t>william hill</t>
  </si>
  <si>
    <t>live baccarat casino site</t>
  </si>
  <si>
    <t>casinodemo</t>
  </si>
  <si>
    <t>casino spill online</t>
  </si>
  <si>
    <t>udenlandske online casino</t>
  </si>
  <si>
    <t>online casino 300 deposit bonus</t>
  </si>
  <si>
    <t>beste nederlandse online casino</t>
  </si>
  <si>
    <t>online casinos neu</t>
  </si>
  <si>
    <t>slots</t>
  </si>
  <si>
    <t>gambling online south africa</t>
  </si>
  <si>
    <t>online casinos without gamstop</t>
  </si>
  <si>
    <t>demo games to play</t>
  </si>
  <si>
    <t>keno casino games real money</t>
  </si>
  <si>
    <t>los mejores casinos online en español</t>
  </si>
  <si>
    <t>Video games; Gambling</t>
  </si>
  <si>
    <t>casino slot machines online free games</t>
  </si>
  <si>
    <t>casino games with dice</t>
  </si>
  <si>
    <t>online casinos mit schnellster auszahlung</t>
  </si>
  <si>
    <t>online casino australia no deposit bonus</t>
  </si>
  <si>
    <t>casino gratis online sin registrarse</t>
  </si>
  <si>
    <t>casino nuevos online</t>
  </si>
  <si>
    <t>baccarat online casinos</t>
  </si>
  <si>
    <t>betus</t>
  </si>
  <si>
    <t>trusted online casino malaysia 2022</t>
  </si>
  <si>
    <t>az online gambling</t>
  </si>
  <si>
    <t>888 casino</t>
  </si>
  <si>
    <t>online basketball gambling</t>
  </si>
  <si>
    <t>Informational,Navigational,Commercial,Transactional,Branded,Non-local</t>
  </si>
  <si>
    <t>e games casino</t>
  </si>
  <si>
    <t>demo games free</t>
  </si>
  <si>
    <t>betaland casino online</t>
  </si>
  <si>
    <t>demo slot games</t>
  </si>
  <si>
    <t>casino games with real rewards</t>
  </si>
  <si>
    <t>casino game online roulette</t>
  </si>
  <si>
    <t>betmgm</t>
  </si>
  <si>
    <t>online casino bonus dobrodoslice</t>
  </si>
  <si>
    <t>bet online</t>
  </si>
  <si>
    <t>i migliori casino online italiani</t>
  </si>
  <si>
    <t>christchurch online casino</t>
  </si>
  <si>
    <t>demo games slots</t>
  </si>
  <si>
    <t>online casino netbet</t>
  </si>
  <si>
    <t>online casino audit</t>
  </si>
  <si>
    <t>AI Overview,Video preview,Thumbnail,People also ask</t>
  </si>
  <si>
    <t>online casinos in bahamas 2025</t>
  </si>
  <si>
    <t>Encyclopedias</t>
  </si>
  <si>
    <t>betgold casino</t>
  </si>
  <si>
    <t>die besten online casino spiele</t>
  </si>
  <si>
    <t>betgold demo</t>
  </si>
  <si>
    <t>Sitelinks,Videos</t>
  </si>
  <si>
    <t>online casino bonus mit einzahlung</t>
  </si>
  <si>
    <t>borgata online casino customer service</t>
  </si>
  <si>
    <t>play demo games free</t>
  </si>
  <si>
    <t>Discussions</t>
  </si>
  <si>
    <t>craps online casinos</t>
  </si>
  <si>
    <t>fortuna online casino</t>
  </si>
  <si>
    <t>list of all online casinos</t>
  </si>
  <si>
    <t>chances free demo games</t>
  </si>
  <si>
    <t>royal caribbean casino games</t>
  </si>
  <si>
    <t>People also ask,Sitelinks</t>
  </si>
  <si>
    <t>west virginia online casino bonuses</t>
  </si>
  <si>
    <t>jogar casino online portugal</t>
  </si>
  <si>
    <t>best online no deposit casino bonus</t>
  </si>
  <si>
    <t>Commercial,Transactional,Non-branded,Non-local</t>
  </si>
  <si>
    <t>top kreditkarten online casinos</t>
  </si>
  <si>
    <t>democasino</t>
  </si>
  <si>
    <t>best online gambling app</t>
  </si>
  <si>
    <t>betus casino demo</t>
  </si>
  <si>
    <t>bestes online casino 2020</t>
  </si>
  <si>
    <t>top casino games</t>
  </si>
  <si>
    <t>paysafecard online casinos</t>
  </si>
  <si>
    <t>best casino games online</t>
  </si>
  <si>
    <t>demo free games</t>
  </si>
  <si>
    <t>online casino quebec</t>
  </si>
  <si>
    <t>independent uk online casinos</t>
  </si>
  <si>
    <t>demo play slots</t>
  </si>
  <si>
    <t>spinaway casino games</t>
  </si>
  <si>
    <t>free online no deposit casino</t>
  </si>
  <si>
    <t>williamhill</t>
  </si>
  <si>
    <t>online casino lizenz</t>
  </si>
  <si>
    <t>online casino bonus code ohne einzahlung</t>
  </si>
  <si>
    <t>netbet</t>
  </si>
  <si>
    <t>rise casino online review</t>
  </si>
  <si>
    <t>casino demo game</t>
  </si>
  <si>
    <t>betvictor live casino</t>
  </si>
  <si>
    <t>zodiac casino online</t>
  </si>
  <si>
    <t>free demo slot games</t>
  </si>
  <si>
    <t>cleopatra keno online casinos</t>
  </si>
  <si>
    <t>seriöse online casino</t>
  </si>
  <si>
    <t>online casino app download</t>
  </si>
  <si>
    <t>demo slots for fun</t>
  </si>
  <si>
    <t>giochi casino online</t>
  </si>
  <si>
    <t>bandar casino online deposit termurah</t>
  </si>
  <si>
    <t>free slot demo</t>
  </si>
  <si>
    <t>free online bitcoin casino</t>
  </si>
  <si>
    <t>usa online gambling</t>
  </si>
  <si>
    <t>www.casino demo</t>
  </si>
  <si>
    <t>trusted online gambling sites</t>
  </si>
  <si>
    <t>online casino marketing</t>
  </si>
  <si>
    <t>free slots no download no registration</t>
  </si>
  <si>
    <t>demo slots casino</t>
  </si>
  <si>
    <t>online casino novoline deutschland</t>
  </si>
  <si>
    <t>casino slot demo</t>
  </si>
  <si>
    <t>paysafe online casino</t>
  </si>
  <si>
    <t>Lottery</t>
  </si>
  <si>
    <t>online casinos ideal</t>
  </si>
  <si>
    <t>betusdemo</t>
  </si>
  <si>
    <t>casino online vegas</t>
  </si>
  <si>
    <t>house of fun free coins</t>
  </si>
  <si>
    <t>japanese online casino</t>
  </si>
  <si>
    <t>Video preview</t>
  </si>
  <si>
    <t>ni-vanuatu online casinos</t>
  </si>
  <si>
    <t>house of fun download</t>
  </si>
  <si>
    <t>online gambling in georgia</t>
  </si>
  <si>
    <t>Transactional,Branded,Non-local</t>
  </si>
  <si>
    <t>caesar palace online casino</t>
  </si>
  <si>
    <t>house of fun slots casino</t>
  </si>
  <si>
    <t>vegasland online casino</t>
  </si>
  <si>
    <t>online casinos für österreich</t>
  </si>
  <si>
    <t>casino slots demo</t>
  </si>
  <si>
    <t>online casino mit neteller</t>
  </si>
  <si>
    <t>house of fun gifts</t>
  </si>
  <si>
    <t>slotsmillion online casino review</t>
  </si>
  <si>
    <t>Thumbnail,Sitelinks,People also ask,Bottom ads,Paid sitelinks</t>
  </si>
  <si>
    <t>casino online casino gaming</t>
  </si>
  <si>
    <t>demo games online</t>
  </si>
  <si>
    <t>online casino in ontario</t>
  </si>
  <si>
    <t>online casino mit skrill einzahlung</t>
  </si>
  <si>
    <t>casino online juego</t>
  </si>
  <si>
    <t>arizona casino online</t>
  </si>
  <si>
    <t>win real money online casino for free</t>
  </si>
  <si>
    <t>pa online casinos list</t>
  </si>
  <si>
    <t>online casino tricks to win</t>
  </si>
  <si>
    <t>nuovo casino online</t>
  </si>
  <si>
    <t>is online gambling legal in maryland</t>
  </si>
  <si>
    <t>live blackjack casino</t>
  </si>
  <si>
    <t>best live casino uk</t>
  </si>
  <si>
    <t>free free casino games</t>
  </si>
  <si>
    <t>playing free casino games</t>
  </si>
  <si>
    <t>best american online casinos</t>
  </si>
  <si>
    <t>endemol shine gaming online casino sites</t>
  </si>
  <si>
    <t>ny online gambling sites</t>
  </si>
  <si>
    <t>online-casino beste gewinnchancen</t>
  </si>
  <si>
    <t>schnelle auszahlung online casino</t>
  </si>
  <si>
    <t>online casinos erfahrung</t>
  </si>
  <si>
    <t>888 casino chat online</t>
  </si>
  <si>
    <t>international casino online</t>
  </si>
  <si>
    <t>bch casino games</t>
  </si>
  <si>
    <t>online casinos erfahrungen</t>
  </si>
  <si>
    <t>give me casino games</t>
  </si>
  <si>
    <t>live casino lightning roulette</t>
  </si>
  <si>
    <t>india online casinos</t>
  </si>
  <si>
    <t>best online balckjack casino</t>
  </si>
  <si>
    <t>bono de casino online</t>
  </si>
  <si>
    <t>best uk live casino</t>
  </si>
  <si>
    <t>games online casino free</t>
  </si>
  <si>
    <t>new free casino games</t>
  </si>
  <si>
    <t>tricks to win online casino</t>
  </si>
  <si>
    <t>free money casino games</t>
  </si>
  <si>
    <t>newest online casino uk</t>
  </si>
  <si>
    <t>best online casino us</t>
  </si>
  <si>
    <t>baccarat online casino australia</t>
  </si>
  <si>
    <t>online casino betting sites</t>
  </si>
  <si>
    <t>casino online with paypal</t>
  </si>
  <si>
    <t>el royale casino online</t>
  </si>
  <si>
    <t>casinos online dinero gratis sin deposito</t>
  </si>
  <si>
    <t>judi live casino</t>
  </si>
  <si>
    <t>florida online gambling</t>
  </si>
  <si>
    <t>bandar judi casino live online</t>
  </si>
  <si>
    <t>games for online casino</t>
  </si>
  <si>
    <t>casino online svenska</t>
  </si>
  <si>
    <t>online casinos with igt slots</t>
  </si>
  <si>
    <t>seriöse deutsche online casinos</t>
  </si>
  <si>
    <t>virgin casino online</t>
  </si>
  <si>
    <t>instant withdrawal online casino usa</t>
  </si>
  <si>
    <t>mejor casino online que acepta apple pay</t>
  </si>
  <si>
    <t>online casino empfehlungen</t>
  </si>
  <si>
    <t>online casino slots australia</t>
  </si>
  <si>
    <t>casino online registration bonus</t>
  </si>
  <si>
    <t>online casino recensies</t>
  </si>
  <si>
    <t>android online casinos</t>
  </si>
  <si>
    <t>casino keno games</t>
  </si>
  <si>
    <t>jackpotjoy slots casino games</t>
  </si>
  <si>
    <t>casinos keno online</t>
  </si>
  <si>
    <t>vermont online casinos</t>
  </si>
  <si>
    <t>new jersey online casinos list</t>
  </si>
  <si>
    <t>online casino russian federation</t>
  </si>
  <si>
    <t>22win online casino</t>
  </si>
  <si>
    <t>live casino eurogrand</t>
  </si>
  <si>
    <t>uk online casino list</t>
  </si>
  <si>
    <t>seriöses online casino 🇩🇪 casinod.casino</t>
  </si>
  <si>
    <t>top google pay online casino</t>
  </si>
  <si>
    <t>online casino ohne einzahlung</t>
  </si>
  <si>
    <t>estoril casino online</t>
  </si>
  <si>
    <t>casino in online</t>
  </si>
  <si>
    <t>casino español online</t>
  </si>
  <si>
    <t>euro moon online casino</t>
  </si>
  <si>
    <t>online casino real money no deposit</t>
  </si>
  <si>
    <t>online casino philippines</t>
  </si>
  <si>
    <t>slot machine online gambling</t>
  </si>
  <si>
    <t>online casino saudi arabia</t>
  </si>
  <si>
    <t>online gambling games for free</t>
  </si>
  <si>
    <t>online casino portuguese</t>
  </si>
  <si>
    <t>top online casino</t>
  </si>
  <si>
    <t>online casino bonus vergleich</t>
  </si>
  <si>
    <t>live house casino</t>
  </si>
  <si>
    <t>agen casino sic bo online</t>
  </si>
  <si>
    <t>slotmadness online casino</t>
  </si>
  <si>
    <t>online spiele kostenlos casino</t>
  </si>
  <si>
    <t>best paid online casino</t>
  </si>
  <si>
    <t>online casino rofus</t>
  </si>
  <si>
    <t>online casino no account</t>
  </si>
  <si>
    <t>online gambling legal</t>
  </si>
  <si>
    <t>online casino slots real money</t>
  </si>
  <si>
    <t>online casino bonuses nj</t>
  </si>
  <si>
    <t>casino online live</t>
  </si>
  <si>
    <t>topx-casino online</t>
  </si>
  <si>
    <t>online casino verklagen</t>
  </si>
  <si>
    <t>games casino slots free</t>
  </si>
  <si>
    <t>online casinos paypal uk</t>
  </si>
  <si>
    <t>neogames online casinos</t>
  </si>
  <si>
    <t>best online casino sites in australia</t>
  </si>
  <si>
    <t>live casino erfahrungen</t>
  </si>
  <si>
    <t>online casino echtgeld app</t>
  </si>
  <si>
    <t>fastest withdrawal online casino</t>
  </si>
  <si>
    <t>nz online casino no deposit bonus</t>
  </si>
  <si>
    <t>ct online casino</t>
  </si>
  <si>
    <t>best online casino sites that accept neteller</t>
  </si>
  <si>
    <t>real cash online casino</t>
  </si>
  <si>
    <t>online casino tips</t>
  </si>
  <si>
    <t>free casino table games</t>
  </si>
  <si>
    <t>casino uk online</t>
  </si>
  <si>
    <t>online casino 10 euro einzahlung</t>
  </si>
  <si>
    <t>slingo online casino</t>
  </si>
  <si>
    <t>evolution gaming online casinos</t>
  </si>
  <si>
    <t>best live casino accepting bitcoin</t>
  </si>
  <si>
    <t>casino live poker</t>
  </si>
  <si>
    <t>real online casino real money</t>
  </si>
  <si>
    <t>casino online ideal</t>
  </si>
  <si>
    <t>euro palace online casino</t>
  </si>
  <si>
    <t>casino online roulette live</t>
  </si>
  <si>
    <t>dragon tiger online casino</t>
  </si>
  <si>
    <t>vegas online casino</t>
  </si>
  <si>
    <t>online casino bonus sign up</t>
  </si>
  <si>
    <t>river belle online casino download</t>
  </si>
  <si>
    <t>michigan gambling online</t>
  </si>
  <si>
    <t>casino online uk no deposit bonus</t>
  </si>
  <si>
    <t>7sultans online casino</t>
  </si>
  <si>
    <t>online casino spielen</t>
  </si>
  <si>
    <t>casino live indonesia</t>
  </si>
  <si>
    <t>amatic online casino south africa</t>
  </si>
  <si>
    <t>casino juego online</t>
  </si>
  <si>
    <t>payment methods for online casinos</t>
  </si>
  <si>
    <t>online casino that accept paypal</t>
  </si>
  <si>
    <t>online casino mit rapid transfer</t>
  </si>
  <si>
    <t>free online casino games win real money</t>
  </si>
  <si>
    <t>swiss online casino legal</t>
  </si>
  <si>
    <t>vermont casino online</t>
  </si>
  <si>
    <t>elk studios online casinos</t>
  </si>
  <si>
    <t>online casino nz paysafe</t>
  </si>
  <si>
    <t>real money online casino indiana</t>
  </si>
  <si>
    <t>online gambling michigan</t>
  </si>
  <si>
    <t>bandar casino live online</t>
  </si>
  <si>
    <t>rubyfortune juegos de casino online</t>
  </si>
  <si>
    <t>play casino games online for</t>
  </si>
  <si>
    <t>online free slots casinos</t>
  </si>
  <si>
    <t>online casinos schweiz legal</t>
  </si>
  <si>
    <t>casino slot online indonesia</t>
  </si>
  <si>
    <t>online casino ratgeber</t>
  </si>
  <si>
    <t>uk online slots casino</t>
  </si>
  <si>
    <t>888 casino live chat</t>
  </si>
  <si>
    <t>most trusted online gambling sites</t>
  </si>
  <si>
    <t>online casino mit echtgeld auszahlung</t>
  </si>
  <si>
    <t>south african online casino</t>
  </si>
  <si>
    <t>spiel online casino</t>
  </si>
  <si>
    <t>oklahoma online casino</t>
  </si>
  <si>
    <t>online casino website builder</t>
  </si>
  <si>
    <t>beste online casino ideal</t>
  </si>
  <si>
    <t>online casino big welcome bonus</t>
  </si>
  <si>
    <t>agen judi casino sbobet online</t>
  </si>
  <si>
    <t>online casino bets</t>
  </si>
  <si>
    <t>top visa online casino</t>
  </si>
  <si>
    <t>online casino bonus free spins</t>
  </si>
  <si>
    <t>platinum play online casino login</t>
  </si>
  <si>
    <t>spin palace online casino login</t>
  </si>
  <si>
    <t>online william hill casino</t>
  </si>
  <si>
    <t>nj casino online</t>
  </si>
  <si>
    <t>online casino mit banküberweisung</t>
  </si>
  <si>
    <t>casino days live</t>
  </si>
  <si>
    <t>new online casino bonus</t>
  </si>
  <si>
    <t>casino dragon tiger online</t>
  </si>
  <si>
    <t>online casino mit willkommensbonus</t>
  </si>
  <si>
    <t>wow vegas online casino review</t>
  </si>
  <si>
    <t>casino online pokies</t>
  </si>
  <si>
    <t>online casino refer a friend bonus</t>
  </si>
  <si>
    <t>online casino mit lastschrift bezahlen</t>
  </si>
  <si>
    <t>agen taruhan casino live terpercaya</t>
  </si>
  <si>
    <t>online casino cashback bonus</t>
  </si>
  <si>
    <t>online casinos schnelle auszahlung</t>
  </si>
  <si>
    <t>online-casino gewinnchancen</t>
  </si>
  <si>
    <t>casino pokies free games</t>
  </si>
  <si>
    <t>online casino mit gamomat</t>
  </si>
  <si>
    <t>best online casino usa</t>
  </si>
  <si>
    <t>casino online mobile phone</t>
  </si>
  <si>
    <t>house edge casino games</t>
  </si>
  <si>
    <t>eurogrand online casino</t>
  </si>
  <si>
    <t>online casino bonus buy</t>
  </si>
  <si>
    <t>tropicana online casino nj</t>
  </si>
  <si>
    <t>live casino &amp; hotel maryland</t>
  </si>
  <si>
    <t>free casino slot games without downloading</t>
  </si>
  <si>
    <t>taruhan bluebet33 casino online</t>
  </si>
  <si>
    <t>best online casino bonus offers</t>
  </si>
  <si>
    <t>dream catcher casino live</t>
  </si>
  <si>
    <t>black diamond casino online</t>
  </si>
  <si>
    <t>vegas vacation casino games</t>
  </si>
  <si>
    <t>best sign up bonus online casino</t>
  </si>
  <si>
    <t>svenska online casino</t>
  </si>
  <si>
    <t>svenska spel casino online</t>
  </si>
  <si>
    <t>casinos online that pay real money</t>
  </si>
  <si>
    <t>online casino andorra</t>
  </si>
  <si>
    <t>locowin online casino</t>
  </si>
  <si>
    <t>online casinos ohne download</t>
  </si>
  <si>
    <t>online casino angebot</t>
  </si>
  <si>
    <t>live casino &amp; hotel philadelphia</t>
  </si>
  <si>
    <t>mgm online gambling</t>
  </si>
  <si>
    <t>best live dealer casino</t>
  </si>
  <si>
    <t>casino online chile webpay</t>
  </si>
  <si>
    <t>michigan online gambling sites</t>
  </si>
  <si>
    <t>casino online bonus gratis</t>
  </si>
  <si>
    <t>grand bay casino online</t>
  </si>
  <si>
    <t>online casino bonus offers</t>
  </si>
  <si>
    <t>online casino schweiz legal</t>
  </si>
  <si>
    <t>paypal casino games that pay real money</t>
  </si>
  <si>
    <t>top 10 us online casinos</t>
  </si>
  <si>
    <t>rocket play casino online</t>
  </si>
  <si>
    <t>online casino ohne wartezeit</t>
  </si>
  <si>
    <t>is online gambling legal in florida</t>
  </si>
  <si>
    <t>new casino games 2020</t>
  </si>
  <si>
    <t>online live roulette casino game</t>
  </si>
  <si>
    <t>bandar judi sbc168 casino online</t>
  </si>
  <si>
    <t>bandar taruhan oriental casino online</t>
  </si>
  <si>
    <t>casino online que aceita paypal</t>
  </si>
  <si>
    <t>online ideal casino</t>
  </si>
  <si>
    <t>online casinos fast payout</t>
  </si>
  <si>
    <t>casino blackjack live</t>
  </si>
  <si>
    <t>find casino games</t>
  </si>
  <si>
    <t>online casino anmeldelser</t>
  </si>
  <si>
    <t>sveacasino online casino</t>
  </si>
  <si>
    <t>usa online casino list</t>
  </si>
  <si>
    <t>online usa casino</t>
  </si>
  <si>
    <t>evo live casino</t>
  </si>
  <si>
    <t>plinko casino online</t>
  </si>
  <si>
    <t>online casino geld zurück</t>
  </si>
  <si>
    <t>live streaming casino</t>
  </si>
  <si>
    <t>ia online casino</t>
  </si>
  <si>
    <t>online casino belgie toernooi</t>
  </si>
  <si>
    <t>gry casino online</t>
  </si>
  <si>
    <t>free money promo codes for online casinos</t>
  </si>
  <si>
    <t>casino online bonus benvenuto senza deposito</t>
  </si>
  <si>
    <t>new online casinos king casino bonus</t>
  </si>
  <si>
    <t>online gambling kentucky</t>
  </si>
  <si>
    <t>reelnrg online casino sites</t>
  </si>
  <si>
    <t>online casino pokerstars</t>
  </si>
  <si>
    <t>free bonus online casino</t>
  </si>
  <si>
    <t>hot casino games</t>
  </si>
  <si>
    <t>live casino philippines</t>
  </si>
  <si>
    <t>belgische online casino bonus codes 2019</t>
  </si>
  <si>
    <t>beste online casino angebote</t>
  </si>
  <si>
    <t>texas casino online</t>
  </si>
  <si>
    <t>casino games kostenlos spielen</t>
  </si>
  <si>
    <t>casino online en chile</t>
  </si>
  <si>
    <t>online casino schweiz book of ra</t>
  </si>
  <si>
    <t>holland casino online inloggen</t>
  </si>
  <si>
    <t>gauselmann online casino</t>
  </si>
  <si>
    <t>slot machine casino online gratis</t>
  </si>
  <si>
    <t>casinos online españa sin deposito</t>
  </si>
  <si>
    <t>online casinos with paypal</t>
  </si>
  <si>
    <t>weihnachtsbonus casino online</t>
  </si>
  <si>
    <t>games warehouse online casino</t>
  </si>
  <si>
    <t>legal online gambling sites in michigan</t>
  </si>
  <si>
    <t>online casino microgaming software</t>
  </si>
  <si>
    <t>online casino design</t>
  </si>
  <si>
    <t>ny spins online casino</t>
  </si>
  <si>
    <t>online blackjack betway casino</t>
  </si>
  <si>
    <t>new casino games</t>
  </si>
  <si>
    <t>online casino legal</t>
  </si>
  <si>
    <t>online casino 120 free spins</t>
  </si>
  <si>
    <t>bandar sbobet casino online deposit 50 ribu</t>
  </si>
  <si>
    <t>online gambling guide</t>
  </si>
  <si>
    <t>verde online casino</t>
  </si>
  <si>
    <t>crazy vegas online casino</t>
  </si>
  <si>
    <t>baccarat online gambling</t>
  </si>
  <si>
    <t>online casino schweiz twint</t>
  </si>
  <si>
    <t>die besten online casinos 2021</t>
  </si>
  <si>
    <t>casino di sanremo online</t>
  </si>
  <si>
    <t>online casinos mit paysafe</t>
  </si>
  <si>
    <t>is online gambling legal in kentucky</t>
  </si>
  <si>
    <t>roulette trick online casino</t>
  </si>
  <si>
    <t>online casinos with payid</t>
  </si>
  <si>
    <t>tonybet online casino</t>
  </si>
  <si>
    <t>sbobet live casino android</t>
  </si>
  <si>
    <t>agen judi casino sic bo online</t>
  </si>
  <si>
    <t>mummysgold online casino español</t>
  </si>
  <si>
    <t>malina casino online</t>
  </si>
  <si>
    <t>free casino roulette online</t>
  </si>
  <si>
    <t>jackpot city casino online</t>
  </si>
  <si>
    <t>bitcoin online casino bonus</t>
  </si>
  <si>
    <t>online casino spiele ohne einzahlung</t>
  </si>
  <si>
    <t>online las vegas casinos</t>
  </si>
  <si>
    <t>resorts online casino</t>
  </si>
  <si>
    <t>30 best online casinos</t>
  </si>
  <si>
    <t>new online casino canada no deposit bonus</t>
  </si>
  <si>
    <t>agen taruhan casino joker123 online</t>
  </si>
  <si>
    <t>internet casino online</t>
  </si>
  <si>
    <t>blackjack gambling online</t>
  </si>
  <si>
    <t>playtime casino online</t>
  </si>
  <si>
    <t>casimba casino online</t>
  </si>
  <si>
    <t>casino games on sale</t>
  </si>
  <si>
    <t>online casino belgie</t>
  </si>
  <si>
    <t>online casino direktauszahlung</t>
  </si>
  <si>
    <t>best aussie online casinos</t>
  </si>
  <si>
    <t>online casinos oklahoma</t>
  </si>
  <si>
    <t>casino online migliori</t>
  </si>
  <si>
    <t>free sign up bonus no deposit online casino</t>
  </si>
  <si>
    <t>beste online casino live blackjack</t>
  </si>
  <si>
    <t>live casino sbobet</t>
  </si>
  <si>
    <t>best online gambling sites in usa</t>
  </si>
  <si>
    <t>michigan online casino promotions</t>
  </si>
  <si>
    <t>winner online casino</t>
  </si>
  <si>
    <t>new online casino 2021 no deposit bonus</t>
  </si>
  <si>
    <t>beste online casinos mit auszahlung österreich</t>
  </si>
  <si>
    <t>beste auszahlungsquoten im online casino</t>
  </si>
  <si>
    <t>play casino games</t>
  </si>
  <si>
    <t>mummysgold online casino spanish</t>
  </si>
  <si>
    <t>bestes visa online casino</t>
  </si>
  <si>
    <t>casino online gratis</t>
  </si>
  <si>
    <t>casino online bono sin deposito</t>
  </si>
  <si>
    <t>best casino games</t>
  </si>
  <si>
    <t>hotels by maryland live casino</t>
  </si>
  <si>
    <t>caesars casino online pa</t>
  </si>
  <si>
    <t>online demo casino</t>
  </si>
  <si>
    <t>bingo online casino</t>
  </si>
  <si>
    <t>hustler live casino</t>
  </si>
  <si>
    <t>best online casino games australia</t>
  </si>
  <si>
    <t>online casino hacking software</t>
  </si>
  <si>
    <t>gta online casino heist</t>
  </si>
  <si>
    <t>best online casinos that pay real money</t>
  </si>
  <si>
    <t>betway casino online</t>
  </si>
  <si>
    <t>hollywood casino online pennsylvania</t>
  </si>
  <si>
    <t>casino games no deposit free spins</t>
  </si>
  <si>
    <t>ocean online casino no deposit bonus</t>
  </si>
  <si>
    <t>microgaming online casinos</t>
  </si>
  <si>
    <t>casino svizzera online</t>
  </si>
  <si>
    <t>free online casino gaming</t>
  </si>
  <si>
    <t>huge casino free games</t>
  </si>
  <si>
    <t>el mejor casino online</t>
  </si>
  <si>
    <t>novibet online casino</t>
  </si>
  <si>
    <t>real money online casino illinois</t>
  </si>
  <si>
    <t>nederlands online casino</t>
  </si>
  <si>
    <t>casino online stranieri non aams</t>
  </si>
  <si>
    <t>casino table games free online</t>
  </si>
  <si>
    <t>echeck casino online</t>
  </si>
  <si>
    <t>aussie online casino real money</t>
  </si>
  <si>
    <t>paypal online casino 2019</t>
  </si>
  <si>
    <t>legit online casino</t>
  </si>
  <si>
    <t>casino online with bonuses</t>
  </si>
  <si>
    <t>betway casino games</t>
  </si>
  <si>
    <t>online casino florida</t>
  </si>
  <si>
    <t>online casino paypal einzahlung deutschland</t>
  </si>
  <si>
    <t>casino sanremo online</t>
  </si>
  <si>
    <t>best west virginia online casinos</t>
  </si>
  <si>
    <t>casino online sicuri adm</t>
  </si>
  <si>
    <t>casinos online con visa</t>
  </si>
  <si>
    <t>ladbrokes live casino</t>
  </si>
  <si>
    <t>grosvenor casino online</t>
  </si>
  <si>
    <t>seriöse online casinos 2020</t>
  </si>
  <si>
    <t>online casino with instant withdrawal</t>
  </si>
  <si>
    <t>online casino seiten sperren lassen</t>
  </si>
  <si>
    <t>crazy time live casino</t>
  </si>
  <si>
    <t>best online blackjack casinos</t>
  </si>
  <si>
    <t>top online gambling sites</t>
  </si>
  <si>
    <t>casino uk online casino</t>
  </si>
  <si>
    <t>top 5 online gambling sites</t>
  </si>
  <si>
    <t>best eth online casino</t>
  </si>
  <si>
    <t>online casino games australia</t>
  </si>
  <si>
    <t>new usa online casinos with no deposit bonuses</t>
  </si>
  <si>
    <t>online gambling india</t>
  </si>
  <si>
    <t>casino online spielen echtgeld ohne einzahlung</t>
  </si>
  <si>
    <t>best online casino in nj</t>
  </si>
  <si>
    <t>best online casino with paypal</t>
  </si>
  <si>
    <t>seriöse online casinos deutschland</t>
  </si>
  <si>
    <t>are online casinos legit</t>
  </si>
  <si>
    <t>the hippodrome online casino</t>
  </si>
  <si>
    <t>online casino malta belasting</t>
  </si>
  <si>
    <t>casino spiel online</t>
  </si>
  <si>
    <t>online casino mit paypal bezahlen</t>
  </si>
  <si>
    <t>us online casinos with no deposit bonus</t>
  </si>
  <si>
    <t>online casino real money no download</t>
  </si>
  <si>
    <t>casino online 2023</t>
  </si>
  <si>
    <t>casino play online free</t>
  </si>
  <si>
    <t>online belgian casino</t>
  </si>
  <si>
    <t>blueprint casino games</t>
  </si>
  <si>
    <t>virgin games casino review</t>
  </si>
  <si>
    <t>www 747ph live casino login</t>
  </si>
  <si>
    <t>online casino welcome offers</t>
  </si>
  <si>
    <t>online slot casinos</t>
  </si>
  <si>
    <t>online european casino</t>
  </si>
  <si>
    <t>resorts casino online</t>
  </si>
  <si>
    <t>high roller casinos online</t>
  </si>
  <si>
    <t>best online casino nj</t>
  </si>
  <si>
    <t>different types of casino games</t>
  </si>
  <si>
    <t>online microgaming casinos</t>
  </si>
  <si>
    <t>casinos online best</t>
  </si>
  <si>
    <t>card games in casino</t>
  </si>
  <si>
    <t>resorts nj online casino</t>
  </si>
  <si>
    <t>best mobile online casinos</t>
  </si>
  <si>
    <t>online casino gratis guthaben ohne einzahlung</t>
  </si>
  <si>
    <t>dunder casino online</t>
  </si>
  <si>
    <t>grosvenor online casinos</t>
  </si>
  <si>
    <t>virgin online casino promo code</t>
  </si>
  <si>
    <t>roulette online gambling</t>
  </si>
  <si>
    <t>online casino skrill</t>
  </si>
  <si>
    <t>apple pay online casino</t>
  </si>
  <si>
    <t>马来西亚online casino</t>
  </si>
  <si>
    <t>best live online casinos</t>
  </si>
  <si>
    <t>casino en chile online</t>
  </si>
  <si>
    <t>belgische online casino</t>
  </si>
  <si>
    <t>romanian online casino</t>
  </si>
  <si>
    <t>trusted online casino</t>
  </si>
  <si>
    <t>jackpot city online casino reviews</t>
  </si>
  <si>
    <t>casino in usa online</t>
  </si>
  <si>
    <t>us online gambling market</t>
  </si>
  <si>
    <t>online casinos deutsch</t>
  </si>
  <si>
    <t>aristocrat casino games online</t>
  </si>
  <si>
    <t>best online casino for australian players</t>
  </si>
  <si>
    <t>online gambling free bonus no deposit</t>
  </si>
  <si>
    <t>best online casinos for usa players</t>
  </si>
  <si>
    <t>casino online paysafe</t>
  </si>
  <si>
    <t>best online casino payouts uk</t>
  </si>
  <si>
    <t>casino online apple pay</t>
  </si>
  <si>
    <t>online casinos that accept klarna</t>
  </si>
  <si>
    <t>rubyfortune online casino argentina</t>
  </si>
  <si>
    <t>speedcard online casino</t>
  </si>
  <si>
    <t>casino jogos online</t>
  </si>
  <si>
    <t>agen judi casino live terpercaya</t>
  </si>
  <si>
    <t>play free casino game online</t>
  </si>
  <si>
    <t>free online gambling games</t>
  </si>
  <si>
    <t>big time gaming online casino</t>
  </si>
  <si>
    <t>beste neteller online casinos</t>
  </si>
  <si>
    <t>online casino with credit card</t>
  </si>
  <si>
    <t>online nederlands casino</t>
  </si>
  <si>
    <t>bedste casino online</t>
  </si>
  <si>
    <t>online casino statistics</t>
  </si>
  <si>
    <t>swedish online casino</t>
  </si>
  <si>
    <t>online casino book of dead</t>
  </si>
  <si>
    <t>wild joker online casino login</t>
  </si>
  <si>
    <t>golden nugget online casino</t>
  </si>
  <si>
    <t>novomatic slots online casino</t>
  </si>
  <si>
    <t>casinos online bono bienvenida sin deposito</t>
  </si>
  <si>
    <t>juwa casino 777 online</t>
  </si>
  <si>
    <t>free new casino games</t>
  </si>
  <si>
    <t>online casino minimum deposit 10</t>
  </si>
  <si>
    <t>mejor casino online cryptologic</t>
  </si>
  <si>
    <t>casino online senza registrazione</t>
  </si>
  <si>
    <t>online casino freispiele ohne einzahlung</t>
  </si>
  <si>
    <t>online casino free slots</t>
  </si>
  <si>
    <t>lottomatica casino live</t>
  </si>
  <si>
    <t>deposit online casino</t>
  </si>
  <si>
    <t>regent casino online review</t>
  </si>
  <si>
    <t>online casino minimum deposit $1</t>
  </si>
  <si>
    <t>best payout online casinos canada</t>
  </si>
  <si>
    <t>casino online black jack</t>
  </si>
  <si>
    <t>carousel online casino</t>
  </si>
  <si>
    <t>belgisch online casino</t>
  </si>
  <si>
    <t>new online casino not on gamstop</t>
  </si>
  <si>
    <t>online casino no deposit bonus codes 2023</t>
  </si>
  <si>
    <t>solverde casinos online</t>
  </si>
  <si>
    <t>casino days online</t>
  </si>
  <si>
    <t>spela online casino</t>
  </si>
  <si>
    <t>quebec online casinos</t>
  </si>
  <si>
    <t>online casino first deposit bonus</t>
  </si>
  <si>
    <t>texas online casinos</t>
  </si>
  <si>
    <t>nd online casino</t>
  </si>
  <si>
    <t>jackpotcity online casino mexico</t>
  </si>
  <si>
    <t>live casino betrugstest</t>
  </si>
  <si>
    <t>best online live casinos</t>
  </si>
  <si>
    <t>live casino svenska spel</t>
  </si>
  <si>
    <t>casino online portugal legal</t>
  </si>
  <si>
    <t>ethereum casino online</t>
  </si>
  <si>
    <t>bono cumpleaños casino online</t>
  </si>
  <si>
    <t>3 card poker casino online</t>
  </si>
  <si>
    <t>party online casino</t>
  </si>
  <si>
    <t>best casino table games</t>
  </si>
  <si>
    <t>casino blackjack online free game</t>
  </si>
  <si>
    <t>real online roulette gambling</t>
  </si>
  <si>
    <t>free online casino bonus</t>
  </si>
  <si>
    <t>live casino offer</t>
  </si>
  <si>
    <t>new online casinos 2021</t>
  </si>
  <si>
    <t>online casino slots tips and tricks</t>
  </si>
  <si>
    <t>live casino games online in india</t>
  </si>
  <si>
    <t>arcade spins online casino review</t>
  </si>
  <si>
    <t>red32 casino online</t>
  </si>
  <si>
    <t>best online casinos in canada 2020</t>
  </si>
  <si>
    <t>best online casino australia real money 2024</t>
  </si>
  <si>
    <t>online casino mit hoher gewinnchance</t>
  </si>
  <si>
    <t>roulette casino online</t>
  </si>
  <si>
    <t>instacasino online casino</t>
  </si>
  <si>
    <t>best online casino canada for real money</t>
  </si>
  <si>
    <t>casinos online no brasil</t>
  </si>
  <si>
    <t>betaland casino live</t>
  </si>
  <si>
    <t>bally's casino online</t>
  </si>
  <si>
    <t>live casino gambling</t>
  </si>
  <si>
    <t>online casinos 5 euro einzahlung</t>
  </si>
  <si>
    <t>online casino s</t>
  </si>
  <si>
    <t>online casino mit deutscher lizenz</t>
  </si>
  <si>
    <t>online casino philippines with free signup bonus</t>
  </si>
  <si>
    <t>online casino games live</t>
  </si>
  <si>
    <t>casino games by house edge</t>
  </si>
  <si>
    <t>free online casino slot machine games</t>
  </si>
  <si>
    <t>free casino slot games download</t>
  </si>
  <si>
    <t>william casino online</t>
  </si>
  <si>
    <t>slots online free casino</t>
  </si>
  <si>
    <t>rocket casino games</t>
  </si>
  <si>
    <t>online casino mit bonus ohne einzahlung</t>
  </si>
  <si>
    <t>online black jack casino</t>
  </si>
  <si>
    <t>casino best odds games</t>
  </si>
  <si>
    <t>free australian online casinos</t>
  </si>
  <si>
    <t>can you hack online casino</t>
  </si>
  <si>
    <t>online casino luxembourg</t>
  </si>
  <si>
    <t>arab online casino</t>
  </si>
  <si>
    <t>casino online swish</t>
  </si>
  <si>
    <t>online casino roulette canada</t>
  </si>
  <si>
    <t>us online casino no deposit bonus</t>
  </si>
  <si>
    <t>venus casino online</t>
  </si>
  <si>
    <t>online casino paysafe deposit</t>
  </si>
  <si>
    <t>casino online vergleich</t>
  </si>
  <si>
    <t>online gambling site</t>
  </si>
  <si>
    <t>bedste udenlandske online casino</t>
  </si>
  <si>
    <t>free online casino slots for fun</t>
  </si>
  <si>
    <t>yukon gold casino games</t>
  </si>
  <si>
    <t>winawin online casino</t>
  </si>
  <si>
    <t>online casino real money pa</t>
  </si>
  <si>
    <t>como jugar en un casino online</t>
  </si>
  <si>
    <t>go live casino</t>
  </si>
  <si>
    <t>casino barcelona online</t>
  </si>
  <si>
    <t>play casino holdem online</t>
  </si>
  <si>
    <t>casinos online que aceptan paysafecard</t>
  </si>
  <si>
    <t>online casino geld zurück anwalt</t>
  </si>
  <si>
    <t>review casino online</t>
  </si>
  <si>
    <t>nuevos casinos online españa 2021</t>
  </si>
  <si>
    <t>online casino 400 deposit bonus</t>
  </si>
  <si>
    <t>online gambling australia</t>
  </si>
  <si>
    <t>online gambling initiative</t>
  </si>
  <si>
    <t>online gambling safer</t>
  </si>
  <si>
    <t>online casino vergelijken</t>
  </si>
  <si>
    <t>the truth about online casinos</t>
  </si>
  <si>
    <t>no download online casino</t>
  </si>
  <si>
    <t>online casino app iphone</t>
  </si>
  <si>
    <t>casino room online</t>
  </si>
  <si>
    <t>online pokeren holland casino</t>
  </si>
  <si>
    <t>gibraltar online casino</t>
  </si>
  <si>
    <t>newest uk online casinos</t>
  </si>
  <si>
    <t>napoleon games casino</t>
  </si>
  <si>
    <t>online casinos mit paypal</t>
  </si>
  <si>
    <t>online casino slots malaysia</t>
  </si>
  <si>
    <t>sky city casino online</t>
  </si>
  <si>
    <t>casino online confiable</t>
  </si>
  <si>
    <t>bovada online casino reviews</t>
  </si>
  <si>
    <t>online casino in deutschland erlaubt</t>
  </si>
  <si>
    <t>online casino top 20</t>
  </si>
  <si>
    <t>beste online casino 🇩🇪 casinod.casino</t>
  </si>
  <si>
    <t>most profitable casino games</t>
  </si>
  <si>
    <t>live casino canada</t>
  </si>
  <si>
    <t>instant payout online casino usa</t>
  </si>
  <si>
    <t>superbet online casino</t>
  </si>
  <si>
    <t>online casino löwen play</t>
  </si>
  <si>
    <t>deutsche online casino bonus ohne einzahlung</t>
  </si>
  <si>
    <t>william hill live casino mobile</t>
  </si>
  <si>
    <t>online casino lizenz schweiz</t>
  </si>
  <si>
    <t>ak online gambling</t>
  </si>
  <si>
    <t>planetwin365 live casino</t>
  </si>
  <si>
    <t>online gambling colorado</t>
  </si>
  <si>
    <t>online casinos promotions</t>
  </si>
  <si>
    <t>free slots online casino</t>
  </si>
  <si>
    <t>casino online revolut</t>
  </si>
  <si>
    <t>instawin online casino</t>
  </si>
  <si>
    <t>online casinos ohne limit eurocasinostar.de.com</t>
  </si>
  <si>
    <t>nj casinos online</t>
  </si>
  <si>
    <t>spinago online casino</t>
  </si>
  <si>
    <t>online casino 200 prozent bonus</t>
  </si>
  <si>
    <t>top online casinos</t>
  </si>
  <si>
    <t>reelplay online casinos</t>
  </si>
  <si>
    <t>online casino betsafe</t>
  </si>
  <si>
    <t>playzee live casino</t>
  </si>
  <si>
    <t>list of online casino in the philippines</t>
  </si>
  <si>
    <t>online casinos zambia</t>
  </si>
  <si>
    <t>tipsport online casino</t>
  </si>
  <si>
    <t>live casino poker online</t>
  </si>
  <si>
    <t>best online casino apps</t>
  </si>
  <si>
    <t>games free slots casino</t>
  </si>
  <si>
    <t>casino 888 online malaysia</t>
  </si>
  <si>
    <t>situs judi casino online</t>
  </si>
  <si>
    <t>casino online free spin no deposit</t>
  </si>
  <si>
    <t>casino online que acepta paysafecard españa</t>
  </si>
  <si>
    <t>g casino online</t>
  </si>
  <si>
    <t>jogos casino online portugal</t>
  </si>
  <si>
    <t>online poker casino</t>
  </si>
  <si>
    <t>live casino malaysia</t>
  </si>
  <si>
    <t>vulkan vegas casino online</t>
  </si>
  <si>
    <t>online gambling new zealand</t>
  </si>
  <si>
    <t>newest online casino</t>
  </si>
  <si>
    <t>australian casino games</t>
  </si>
  <si>
    <t>mejores casinos online argentina</t>
  </si>
  <si>
    <t>online casino free spin no deposit</t>
  </si>
  <si>
    <t>is online gambling legal in texas</t>
  </si>
  <si>
    <t>ruleta online casino</t>
  </si>
  <si>
    <t>online nj casino games</t>
  </si>
  <si>
    <t>evolution gaming casino online</t>
  </si>
  <si>
    <t>hawaii online gambling</t>
  </si>
  <si>
    <t>casino online bono</t>
  </si>
  <si>
    <t>www casino del rio online</t>
  </si>
  <si>
    <t>mejores casinos en vivo online</t>
  </si>
  <si>
    <t>ricky online casino</t>
  </si>
  <si>
    <t>situs agen casino live</t>
  </si>
  <si>
    <t>paypal casino online</t>
  </si>
  <si>
    <t>bester online casino bonus</t>
  </si>
  <si>
    <t>casino online leovegas</t>
  </si>
  <si>
    <t>real money online casinos canada</t>
  </si>
  <si>
    <t>legit online casino usa</t>
  </si>
  <si>
    <t>casinoepoca juegos de casino online</t>
  </si>
  <si>
    <t>bitcoin online gambling</t>
  </si>
  <si>
    <t>online casino content</t>
  </si>
  <si>
    <t>mummys gold online casino español</t>
  </si>
  <si>
    <t>classic casino games</t>
  </si>
  <si>
    <t>largest online gambling companies</t>
  </si>
  <si>
    <t>beste online casino 2021</t>
  </si>
  <si>
    <t>international online gambling sites</t>
  </si>
  <si>
    <t>free online casino australia</t>
  </si>
  <si>
    <t>free online casino codes</t>
  </si>
  <si>
    <t>top 10 online casino europe</t>
  </si>
  <si>
    <t>casinos online legais em portugal</t>
  </si>
  <si>
    <t>us online gambling sites</t>
  </si>
  <si>
    <t>best online casino in ontario</t>
  </si>
  <si>
    <t>pagcor online casino</t>
  </si>
  <si>
    <t>tropicana online casino app</t>
  </si>
  <si>
    <t>online casino österreich</t>
  </si>
  <si>
    <t>draftkings online casino bonus code pa</t>
  </si>
  <si>
    <t>online gambling in nj</t>
  </si>
  <si>
    <t>pay safe online casino</t>
  </si>
  <si>
    <t>casinos online bolivia</t>
  </si>
  <si>
    <t>casinos online que regalan dinero</t>
  </si>
  <si>
    <t>live casino king</t>
  </si>
  <si>
    <t>safe online casino canada</t>
  </si>
  <si>
    <t>bandar taruhan sbobet casino online</t>
  </si>
  <si>
    <t>australian owned online casino</t>
  </si>
  <si>
    <t>lowest house edge online casinos</t>
  </si>
  <si>
    <t>real bitcoin casino games</t>
  </si>
  <si>
    <t>blackjack casino live</t>
  </si>
  <si>
    <t>learn to play casino games</t>
  </si>
  <si>
    <t>casino live non aams</t>
  </si>
  <si>
    <t>gratis casino games</t>
  </si>
  <si>
    <t>5 dollar deposit online casinos</t>
  </si>
  <si>
    <t>777 casino online download</t>
  </si>
  <si>
    <t>beste casinos online</t>
  </si>
  <si>
    <t>ibcbet casino online deposit 50 ribu</t>
  </si>
  <si>
    <t>online casino live dealer roulette</t>
  </si>
  <si>
    <t>playnow live casino</t>
  </si>
  <si>
    <t>live casino bonus ohne einzahlung</t>
  </si>
  <si>
    <t>online casino new jersey sites</t>
  </si>
  <si>
    <t>mobile casino games no deposit bonus</t>
  </si>
  <si>
    <t>online gambling games</t>
  </si>
  <si>
    <t>all casino games</t>
  </si>
  <si>
    <t>online casino games for real money</t>
  </si>
  <si>
    <t>como jugar en casino online</t>
  </si>
  <si>
    <t>utah casino online</t>
  </si>
  <si>
    <t>neue online casinos no deposit</t>
  </si>
  <si>
    <t>casino online malaysia free credit 2022</t>
  </si>
  <si>
    <t>ecopayz online casinos</t>
  </si>
  <si>
    <t>beste online casino buitenland</t>
  </si>
  <si>
    <t>online casino aktien</t>
  </si>
  <si>
    <t>free casino slots games online</t>
  </si>
  <si>
    <t>casino online legali in italia</t>
  </si>
  <si>
    <t>best online casinos india</t>
  </si>
  <si>
    <t>online gambling in canada</t>
  </si>
  <si>
    <t>free casino slot games with free coins</t>
  </si>
  <si>
    <t>geld verdienen online casino</t>
  </si>
  <si>
    <t>top usa online casinos</t>
  </si>
  <si>
    <t>online casino libra</t>
  </si>
  <si>
    <t>rhode island casino online</t>
  </si>
  <si>
    <t>online casino schweiz 2021</t>
  </si>
  <si>
    <t>online casino free bonus no deposit</t>
  </si>
  <si>
    <t>bandar taruhan ion casino online</t>
  </si>
  <si>
    <t>online casino paypal</t>
  </si>
  <si>
    <t>best online casino easy withdrawal</t>
  </si>
  <si>
    <t>online casino australia free signup bonus</t>
  </si>
  <si>
    <t>high roller casino online</t>
  </si>
  <si>
    <t>royal vegas online casino canada</t>
  </si>
  <si>
    <t>fastest online casino payouts</t>
  </si>
  <si>
    <t>online casino nz no deposit free spins</t>
  </si>
  <si>
    <t>the best canadian online casinos in 2020</t>
  </si>
  <si>
    <t>online casino malaysia website</t>
  </si>
  <si>
    <t>sports betting and casino online</t>
  </si>
  <si>
    <t>online casino that pay real money</t>
  </si>
  <si>
    <t>online casino game development</t>
  </si>
  <si>
    <t>amex casino online</t>
  </si>
  <si>
    <t>best odds casino table games</t>
  </si>
  <si>
    <t>best casino online europe</t>
  </si>
  <si>
    <t>online casino real money usa no deposit</t>
  </si>
  <si>
    <t>kroon casino online casino</t>
  </si>
  <si>
    <t>jogos online gratis casino</t>
  </si>
  <si>
    <t>casino online offers</t>
  </si>
  <si>
    <t>south african online casinos</t>
  </si>
  <si>
    <t>payforit online casino</t>
  </si>
  <si>
    <t>casinos play online</t>
  </si>
  <si>
    <t>luxury casino games</t>
  </si>
  <si>
    <t>ggbet online casino</t>
  </si>
  <si>
    <t>casino royale games</t>
  </si>
  <si>
    <t>newest online casinos no deposit bonus</t>
  </si>
  <si>
    <t>online casino speelautomaten</t>
  </si>
  <si>
    <t>rivers online casino</t>
  </si>
  <si>
    <t>online casinos paypal</t>
  </si>
  <si>
    <t>online casino anmeldung</t>
  </si>
  <si>
    <t>iphone casino games</t>
  </si>
  <si>
    <t>self-exclusion online gambling</t>
  </si>
  <si>
    <t>online casinos that accept gift cards</t>
  </si>
  <si>
    <t>demo casino games hot fruit</t>
  </si>
  <si>
    <t>casino online que acepta teleingreso</t>
  </si>
  <si>
    <t>casino online seguro</t>
  </si>
  <si>
    <t>bedste online casino danmark</t>
  </si>
  <si>
    <t>casinos online con bono</t>
  </si>
  <si>
    <t>are online casinos fair</t>
  </si>
  <si>
    <t>pa legal online casino</t>
  </si>
  <si>
    <t>online casino not blocked by gamstop</t>
  </si>
  <si>
    <t>free games casino</t>
  </si>
  <si>
    <t>online casino free 100 pesos</t>
  </si>
  <si>
    <t>online casino pay real money</t>
  </si>
  <si>
    <t>online casino bonus nj</t>
  </si>
  <si>
    <t>gambling online slot</t>
  </si>
  <si>
    <t>online casino hrvatski</t>
  </si>
  <si>
    <t>deposit bonus online casino</t>
  </si>
  <si>
    <t>online casino mit 5 euro einzahlung</t>
  </si>
  <si>
    <t>online casino real money uk</t>
  </si>
  <si>
    <t>casinos con ruleta online</t>
  </si>
  <si>
    <t>online litecoin gambling</t>
  </si>
  <si>
    <t>gaminator online casino</t>
  </si>
  <si>
    <t>magic casino online</t>
  </si>
  <si>
    <t>bandar taruhan live casino</t>
  </si>
  <si>
    <t>casino online uy tín 2021</t>
  </si>
  <si>
    <t>live casino tables</t>
  </si>
  <si>
    <t>online casino i danmark</t>
  </si>
  <si>
    <t>hard rock online casino nj</t>
  </si>
  <si>
    <t>hack online casino games</t>
  </si>
  <si>
    <t>amatic online casinos</t>
  </si>
  <si>
    <t>tipsport casino online</t>
  </si>
  <si>
    <t>wyoming casino online</t>
  </si>
  <si>
    <t>casino online zonder cruks</t>
  </si>
  <si>
    <t>agen casino online</t>
  </si>
  <si>
    <t>merkur casino online</t>
  </si>
  <si>
    <t>play online casinos</t>
  </si>
  <si>
    <t>kentucky online casino</t>
  </si>
  <si>
    <t>new australian online casinos</t>
  </si>
  <si>
    <t>america casino online</t>
  </si>
  <si>
    <t>prepaid mastercard online casino</t>
  </si>
  <si>
    <t>ezugi live casino</t>
  </si>
  <si>
    <t>a45.com online casino</t>
  </si>
  <si>
    <t>uk online gambling</t>
  </si>
  <si>
    <t>sg casino online</t>
  </si>
  <si>
    <t>eth casino games</t>
  </si>
  <si>
    <t>best online casino with no deposit bonus</t>
  </si>
  <si>
    <t>casino online wildz</t>
  </si>
  <si>
    <t>online casinos with highest slot payouts</t>
  </si>
  <si>
    <t>winners casino online</t>
  </si>
  <si>
    <t>canadian online gambling</t>
  </si>
  <si>
    <t>new ontario online casino</t>
  </si>
  <si>
    <t>win big 21 online casino</t>
  </si>
  <si>
    <t>casino roleta online</t>
  </si>
  <si>
    <t>online casinos that accept checks</t>
  </si>
  <si>
    <t>casino online with no deposit</t>
  </si>
  <si>
    <t>online gambling ireland</t>
  </si>
  <si>
    <t>gala casino online contact number</t>
  </si>
  <si>
    <t>best online casino switzerland</t>
  </si>
  <si>
    <t>mgm casino games online</t>
  </si>
  <si>
    <t>online casino games uk</t>
  </si>
  <si>
    <t>online casino echtgeld bonus</t>
  </si>
  <si>
    <t>beste giropay online casinos</t>
  </si>
  <si>
    <t>mobile online casino bonus ohne einzahlung</t>
  </si>
  <si>
    <t>online mi casino</t>
  </si>
  <si>
    <t>karamba live casino</t>
  </si>
  <si>
    <t>real casino games that pay real money</t>
  </si>
  <si>
    <t>online casinos michigan</t>
  </si>
  <si>
    <t>besten online casino spiele</t>
  </si>
  <si>
    <t>casino slot games for fun</t>
  </si>
  <si>
    <t>bank transfer online casino</t>
  </si>
  <si>
    <t>migliori casino online ethereum</t>
  </si>
  <si>
    <t>free online casino blackjack</t>
  </si>
  <si>
    <t>rulet casino online</t>
  </si>
  <si>
    <t>new usa online casino</t>
  </si>
  <si>
    <t>easiest games to win at casino</t>
  </si>
  <si>
    <t>best roulette online casino</t>
  </si>
  <si>
    <t>agen betting casino live terbaik</t>
  </si>
  <si>
    <t>casino casino games</t>
  </si>
  <si>
    <t>asian casino games</t>
  </si>
  <si>
    <t>mgm casino table games</t>
  </si>
  <si>
    <t>mobile casino games android apps</t>
  </si>
  <si>
    <t>online gambling in iowa</t>
  </si>
  <si>
    <t>bedste online casino</t>
  </si>
  <si>
    <t>nuovi casino online 2020</t>
  </si>
  <si>
    <t>online games casino</t>
  </si>
  <si>
    <t>casino free games to play</t>
  </si>
  <si>
    <t>online casinos in the united states</t>
  </si>
  <si>
    <t>book of ra 6 online casino</t>
  </si>
  <si>
    <t>online gambling software companies</t>
  </si>
  <si>
    <t>mcw casino live</t>
  </si>
  <si>
    <t>agen judi casino joker123 online</t>
  </si>
  <si>
    <t>bestes lucky 5 live casino</t>
  </si>
  <si>
    <t>most popular casino games</t>
  </si>
  <si>
    <t>nordslot online casino</t>
  </si>
  <si>
    <t>wyoming online casinos</t>
  </si>
  <si>
    <t>bandar judi casino live indonesia</t>
  </si>
  <si>
    <t>toto live casino</t>
  </si>
  <si>
    <t>indiana online casino reviews</t>
  </si>
  <si>
    <t>win real money playing casino games</t>
  </si>
  <si>
    <t>top casino games to win</t>
  </si>
  <si>
    <t>judi live casino online deposit termurah</t>
  </si>
  <si>
    <t>best online crypto casino</t>
  </si>
  <si>
    <t>casino online rotiri gratuite fara depunere</t>
  </si>
  <si>
    <t>irish online casino</t>
  </si>
  <si>
    <t>slottica online casino</t>
  </si>
  <si>
    <t>online casino spiel</t>
  </si>
  <si>
    <t>online casino cyprus real money</t>
  </si>
  <si>
    <t>new online usa casinos</t>
  </si>
  <si>
    <t>1xbet online casino</t>
  </si>
  <si>
    <t>online casino österreich roulette</t>
  </si>
  <si>
    <t>online casino spiele beste auszahlung</t>
  </si>
  <si>
    <t>jackpot city mobile casino online</t>
  </si>
  <si>
    <t>mgm online casino promo codes</t>
  </si>
  <si>
    <t>online casino boni</t>
  </si>
  <si>
    <t>jogo de casino roleta online</t>
  </si>
  <si>
    <t>siti casino online</t>
  </si>
  <si>
    <t>no deposit bonus for online casinos</t>
  </si>
  <si>
    <t>online casino ec karte</t>
  </si>
  <si>
    <t>casino igre online</t>
  </si>
  <si>
    <t>bedste online casino ⭐</t>
  </si>
  <si>
    <t>seo for online gambling</t>
  </si>
  <si>
    <t>online casino slots for real money</t>
  </si>
  <si>
    <t>offshore online gambling</t>
  </si>
  <si>
    <t>judi casino sic bo online</t>
  </si>
  <si>
    <t>live casino nz</t>
  </si>
  <si>
    <t>ontario online casinos</t>
  </si>
  <si>
    <t>νομιμα casino online</t>
  </si>
  <si>
    <t>agen judi casino live bonus melimpah</t>
  </si>
  <si>
    <t>como hacer un casino online</t>
  </si>
  <si>
    <t>casino online belgique</t>
  </si>
  <si>
    <t>syndicate casino online</t>
  </si>
  <si>
    <t>online ethereum casino</t>
  </si>
  <si>
    <t>list of casino games with best odds</t>
  </si>
  <si>
    <t>online casino ohio</t>
  </si>
  <si>
    <t>best online live dealer casinos</t>
  </si>
  <si>
    <t>online live casino in india</t>
  </si>
  <si>
    <t>ion casino online</t>
  </si>
  <si>
    <t>online casino canada free spins</t>
  </si>
  <si>
    <t>casino games with bonuses</t>
  </si>
  <si>
    <t>online casinos 2019</t>
  </si>
  <si>
    <t>fanduel online casino bonus code</t>
  </si>
  <si>
    <t>own online casino</t>
  </si>
  <si>
    <t>online casino minimální vklad 100 kč</t>
  </si>
  <si>
    <t>live roulette casino uk</t>
  </si>
  <si>
    <t>online casino oldalak</t>
  </si>
  <si>
    <t>pa casino online list</t>
  </si>
  <si>
    <t>apuestas casino online</t>
  </si>
  <si>
    <t>online canadian casino</t>
  </si>
  <si>
    <t>casino with live dealer</t>
  </si>
  <si>
    <t>online casino betus</t>
  </si>
  <si>
    <t>new online casino site</t>
  </si>
  <si>
    <t>legal online casino australia</t>
  </si>
  <si>
    <t>us online casinos real money</t>
  </si>
  <si>
    <t>online casino zahlung</t>
  </si>
  <si>
    <t>royal panda live casino</t>
  </si>
  <si>
    <t>de online casino site</t>
  </si>
  <si>
    <t>payment processing for online gambling</t>
  </si>
  <si>
    <t>casino online permitidos em portugal</t>
  </si>
  <si>
    <t>betsoft online casino</t>
  </si>
  <si>
    <t>bonus casino games free</t>
  </si>
  <si>
    <t>best online casinos usa real money</t>
  </si>
  <si>
    <t>uk best online casinos</t>
  </si>
  <si>
    <t>barbados online casino</t>
  </si>
  <si>
    <t>flash casino online</t>
  </si>
  <si>
    <t>id online gambling</t>
  </si>
  <si>
    <t>casino mobile games phone</t>
  </si>
  <si>
    <t>best online casinos solomon islands</t>
  </si>
  <si>
    <t>online casino ideal 2023</t>
  </si>
  <si>
    <t>table games casino near me</t>
  </si>
  <si>
    <t>guru casino online kostenlos</t>
  </si>
  <si>
    <t>online casino anleitung</t>
  </si>
  <si>
    <t>free casino card games</t>
  </si>
  <si>
    <t>wunderino live casino</t>
  </si>
  <si>
    <t>free money online casino no deposit</t>
  </si>
  <si>
    <t>most popular casino table games</t>
  </si>
  <si>
    <t>slot casino gratis online</t>
  </si>
  <si>
    <t>play for real money casino games</t>
  </si>
  <si>
    <t>online gambling with paypal</t>
  </si>
  <si>
    <t>royal vegas casino games</t>
  </si>
  <si>
    <t>yukon gold online casino</t>
  </si>
  <si>
    <t>jackpot party casino online free</t>
  </si>
  <si>
    <t>best online casino in germany</t>
  </si>
  <si>
    <t>api casino online</t>
  </si>
  <si>
    <t>huf online casino</t>
  </si>
  <si>
    <t>trusted online casinos</t>
  </si>
  <si>
    <t>cabaretclub online casino spanish</t>
  </si>
  <si>
    <t>wynnbet online casino pa no deposit bonus</t>
  </si>
  <si>
    <t>betway online casino review</t>
  </si>
  <si>
    <t>online casino live roulette</t>
  </si>
  <si>
    <t>world's best online casino</t>
  </si>
  <si>
    <t>online casinos ohne 5 sekunden regel</t>
  </si>
  <si>
    <t>online casino zonder storting</t>
  </si>
  <si>
    <t>online casino duitsland</t>
  </si>
  <si>
    <t>casino management degree online</t>
  </si>
  <si>
    <t>live casino pa</t>
  </si>
  <si>
    <t>online casino gokkasten</t>
  </si>
  <si>
    <t>free online casino gambling</t>
  </si>
  <si>
    <t>sloty casino online</t>
  </si>
  <si>
    <t>lucky ones online casino</t>
  </si>
  <si>
    <t>casino online slovenia</t>
  </si>
  <si>
    <t>no deposit bonus code online casino</t>
  </si>
  <si>
    <t>are online casino games rigged</t>
  </si>
  <si>
    <t>real online gambling games</t>
  </si>
  <si>
    <t>online casino ontario list</t>
  </si>
  <si>
    <t>casinos online que aceptan bizum</t>
  </si>
  <si>
    <t>live casino spiele</t>
  </si>
  <si>
    <t>gratis guthaben online casino</t>
  </si>
  <si>
    <t>free online casino bonus codes</t>
  </si>
  <si>
    <t>online casino mit echtgeld bonus ohne einzahlung</t>
  </si>
  <si>
    <t>free casino games slots machine</t>
  </si>
  <si>
    <t>online casino freispiele ohne einzahlen</t>
  </si>
  <si>
    <t>online gambling laws us</t>
  </si>
  <si>
    <t>online casino korean</t>
  </si>
  <si>
    <t>online casino myanmar</t>
  </si>
  <si>
    <t>online casino roulette ideal</t>
  </si>
  <si>
    <t>casino online snai</t>
  </si>
  <si>
    <t>casinos online en español</t>
  </si>
  <si>
    <t>canadian online casino best bonus</t>
  </si>
  <si>
    <t>riversweeps online casino app</t>
  </si>
  <si>
    <t>online casino freispiele ohne einzahlung 2018</t>
  </si>
  <si>
    <t>online casino korea</t>
  </si>
  <si>
    <t>bestes online casino 2022 deutschland</t>
  </si>
  <si>
    <t>casinos portugueses online</t>
  </si>
  <si>
    <t>pa online casino apps</t>
  </si>
  <si>
    <t>neueste online casino</t>
  </si>
  <si>
    <t>instant cash out online casino</t>
  </si>
  <si>
    <t>besten online casinos österreich</t>
  </si>
  <si>
    <t>best paying casinos online</t>
  </si>
  <si>
    <t>casino online legali</t>
  </si>
  <si>
    <t>indian online casino</t>
  </si>
  <si>
    <t>apostas online casino</t>
  </si>
  <si>
    <t>playing casino games</t>
  </si>
  <si>
    <t>online casinos mit schneller auszahlung</t>
  </si>
  <si>
    <t>casino game online real money</t>
  </si>
  <si>
    <t>virgin pa online casino</t>
  </si>
  <si>
    <t>australian gambling online</t>
  </si>
  <si>
    <t>online casinos that accept neteller</t>
  </si>
  <si>
    <t>online casinos real</t>
  </si>
  <si>
    <t>pavilion88 trusted online casino</t>
  </si>
  <si>
    <t>neue online casino deutschland</t>
  </si>
  <si>
    <t>best online casinos reviews</t>
  </si>
  <si>
    <t>caesar casino online review</t>
  </si>
  <si>
    <t>best online casino nederland</t>
  </si>
  <si>
    <t>gran casino online madrid</t>
  </si>
  <si>
    <t>playing online casino</t>
  </si>
  <si>
    <t>online gambling in nigeria</t>
  </si>
  <si>
    <t>betrouwbare online casino 2023</t>
  </si>
  <si>
    <t>free online casinos no deposit bonus</t>
  </si>
  <si>
    <t>top casino slot games</t>
  </si>
  <si>
    <t>300 bonus online casino</t>
  </si>
  <si>
    <t>online casino österreich bonus ohne einzahlung</t>
  </si>
  <si>
    <t>top online casino slots</t>
  </si>
  <si>
    <t>online gambling guides</t>
  </si>
  <si>
    <t>best aus online casino</t>
  </si>
  <si>
    <t>casino games slots free</t>
  </si>
  <si>
    <t>real money online casino california</t>
  </si>
  <si>
    <t>beste paysafecard online casinos</t>
  </si>
  <si>
    <t>online casino testsieger</t>
  </si>
  <si>
    <t>los mejores casinos online</t>
  </si>
  <si>
    <t>mostbet online casino</t>
  </si>
  <si>
    <t>online games casino roulette</t>
  </si>
  <si>
    <t>harrah's online casino pa</t>
  </si>
  <si>
    <t>neteller casino online</t>
  </si>
  <si>
    <t>new online no deposit casinos</t>
  </si>
  <si>
    <t>casino online gratis senza registrazione</t>
  </si>
  <si>
    <t>casino estoril online gratis</t>
  </si>
  <si>
    <t>bet365 nj online casinos</t>
  </si>
  <si>
    <t>casino online deposito minimo 5</t>
  </si>
  <si>
    <t>seriöse online casinos schweiz theplayoffs</t>
  </si>
  <si>
    <t>casino baccarat online</t>
  </si>
  <si>
    <t>el mejor casino online de mexico</t>
  </si>
  <si>
    <t>odds of winning casino games</t>
  </si>
  <si>
    <t>www chances games com casino casino games</t>
  </si>
  <si>
    <t>hollywood online casino pa</t>
  </si>
  <si>
    <t>instant withdrawal online casino australia</t>
  </si>
  <si>
    <t>online gambling hacks</t>
  </si>
  <si>
    <t>wolf winner online casino</t>
  </si>
  <si>
    <t>canada online gambling</t>
  </si>
  <si>
    <t>casino games with 50/50 odds</t>
  </si>
  <si>
    <t>online casino jobs from home</t>
  </si>
  <si>
    <t>online bonus ohne einzahlung casino</t>
  </si>
  <si>
    <t>online casino finnish</t>
  </si>
  <si>
    <t>bingo casino games</t>
  </si>
  <si>
    <t>ruby fortune online casino</t>
  </si>
  <si>
    <t>casino spin palace online</t>
  </si>
  <si>
    <t>casino online esteri</t>
  </si>
  <si>
    <t>casino free spins online</t>
  </si>
  <si>
    <t>bingo casino online</t>
  </si>
  <si>
    <t>online casino netent</t>
  </si>
  <si>
    <t>best online casino sites india</t>
  </si>
  <si>
    <t>nordicbet online casino</t>
  </si>
  <si>
    <t>online casinos eu</t>
  </si>
  <si>
    <t>gambling online legal</t>
  </si>
  <si>
    <t>online gambling in michigan</t>
  </si>
  <si>
    <t>real online gambling</t>
  </si>
  <si>
    <t>nieuw online casinos</t>
  </si>
  <si>
    <t>online casino with free signup bonus</t>
  </si>
  <si>
    <t>casino games on mobile</t>
  </si>
  <si>
    <t>casino games house edge</t>
  </si>
  <si>
    <t>online casinos blog</t>
  </si>
  <si>
    <t>top online casinos canada</t>
  </si>
  <si>
    <t>nz casino online</t>
  </si>
  <si>
    <t>best online gambling apps</t>
  </si>
  <si>
    <t>online casino new player bonus</t>
  </si>
  <si>
    <t>play online casino in australia</t>
  </si>
  <si>
    <t>quick payout online casinos</t>
  </si>
  <si>
    <t>free online casino games no downloads</t>
  </si>
  <si>
    <t>online casino startbonus ohne einzahlung</t>
  </si>
  <si>
    <t>casino games gratis spielen</t>
  </si>
  <si>
    <t>888 casino play online</t>
  </si>
  <si>
    <t>casino online vivepay</t>
  </si>
  <si>
    <t>bwin live casino app</t>
  </si>
  <si>
    <t>highest payout australian online casino</t>
  </si>
  <si>
    <t>online casinos that actually pay out</t>
  </si>
  <si>
    <t>fish table gambling game online</t>
  </si>
  <si>
    <t>jugar casino online gratis</t>
  </si>
  <si>
    <t>free online casino</t>
  </si>
  <si>
    <t>royal vegas online casino review</t>
  </si>
  <si>
    <t>new australian online casino</t>
  </si>
  <si>
    <t>draftkings online casino bonus code</t>
  </si>
  <si>
    <t>apostar casino online</t>
  </si>
  <si>
    <t>pinco casino online</t>
  </si>
  <si>
    <t>migliori casino online italia</t>
  </si>
  <si>
    <t>online casino games real money no deposit</t>
  </si>
  <si>
    <t>online crash gambling</t>
  </si>
  <si>
    <t>top uk online casino sites</t>
  </si>
  <si>
    <t>party poker casino online</t>
  </si>
  <si>
    <t>best danish online casinos</t>
  </si>
  <si>
    <t>top nz casino online</t>
  </si>
  <si>
    <t>ladbrokes casino games</t>
  </si>
  <si>
    <t>easiest withdrawal online casino</t>
  </si>
  <si>
    <t>top online casino argentina</t>
  </si>
  <si>
    <t>online gambling in japan</t>
  </si>
  <si>
    <t>nj online gambling revenue</t>
  </si>
  <si>
    <t>casino sbobet online</t>
  </si>
  <si>
    <t>fast payout online casino usa</t>
  </si>
  <si>
    <t>las vegas casinos online</t>
  </si>
  <si>
    <t>online casinos luxembourg</t>
  </si>
  <si>
    <t>online casino affiliate</t>
  </si>
  <si>
    <t>aviator online casino</t>
  </si>
  <si>
    <t>stargames online casino</t>
  </si>
  <si>
    <t>highest winning casino games</t>
  </si>
  <si>
    <t>new online casinos australia 2019</t>
  </si>
  <si>
    <t>wild joker online casino</t>
  </si>
  <si>
    <t>casino online minimum deposit 1</t>
  </si>
  <si>
    <t>casino online fuera españa</t>
  </si>
  <si>
    <t>mejor casino online del mundo</t>
  </si>
  <si>
    <t>online blackjack casino real money</t>
  </si>
  <si>
    <t>online casino games for real money philippines</t>
  </si>
  <si>
    <t>wow vegas online casino reviews</t>
  </si>
  <si>
    <t>king johnnie online casino</t>
  </si>
  <si>
    <t>casino online nigeria</t>
  </si>
  <si>
    <t>google play store free casino games</t>
  </si>
  <si>
    <t>high stakes online casino</t>
  </si>
  <si>
    <t>book of ra casino online</t>
  </si>
  <si>
    <t>ireland online casinos</t>
  </si>
  <si>
    <t>vegas paradise online casino</t>
  </si>
  <si>
    <t>online casino europe</t>
  </si>
  <si>
    <t>michigan online casino</t>
  </si>
  <si>
    <t>bally online casinos</t>
  </si>
  <si>
    <t>códigos promocionais casinos online</t>
  </si>
  <si>
    <t>casino france online</t>
  </si>
  <si>
    <t>free casino games for ipad</t>
  </si>
  <si>
    <t>online bitcoin casinos</t>
  </si>
  <si>
    <t>the best online casino australia</t>
  </si>
  <si>
    <t>live casino sky</t>
  </si>
  <si>
    <t>game casino online indonesia</t>
  </si>
  <si>
    <t>casinos online com bonus de registo</t>
  </si>
  <si>
    <t>real online casino philippines</t>
  </si>
  <si>
    <t>real money online casino no deposit bonus codes</t>
  </si>
  <si>
    <t>best live casino</t>
  </si>
  <si>
    <t>casino online 2021</t>
  </si>
  <si>
    <t>virtual casino games</t>
  </si>
  <si>
    <t>casino baccarat online termurah</t>
  </si>
  <si>
    <t>online gambling license</t>
  </si>
  <si>
    <t>online casino ohne einzahlung 2020</t>
  </si>
  <si>
    <t>online social casino</t>
  </si>
  <si>
    <t>casino online in canada</t>
  </si>
  <si>
    <t>best online casinos reddit</t>
  </si>
  <si>
    <t>real online casino for louisiana</t>
  </si>
  <si>
    <t>phlwin online casino</t>
  </si>
  <si>
    <t>quick win online casino</t>
  </si>
  <si>
    <t>online casinos pennsylvania</t>
  </si>
  <si>
    <t>online casino pl</t>
  </si>
  <si>
    <t>top 3 online casinos</t>
  </si>
  <si>
    <t>independent online casinos</t>
  </si>
  <si>
    <t>beste norske casino online</t>
  </si>
  <si>
    <t>ace casino online</t>
  </si>
  <si>
    <t>online casino 32red</t>
  </si>
  <si>
    <t>videoslots online casino</t>
  </si>
  <si>
    <t>online casino america</t>
  </si>
  <si>
    <t>online casinos with instant payout</t>
  </si>
  <si>
    <t>online beste casino</t>
  </si>
  <si>
    <t>bahamas online gambling</t>
  </si>
  <si>
    <t>casino games to win real money</t>
  </si>
  <si>
    <t>online casino free sign up bonus</t>
  </si>
  <si>
    <t>bonos de casinos online</t>
  </si>
  <si>
    <t>online casino slots uk</t>
  </si>
  <si>
    <t>redbet live casino</t>
  </si>
  <si>
    <t>casino online thunderkick</t>
  </si>
  <si>
    <t>real money online casinos 2023</t>
  </si>
  <si>
    <t>legit online casinos in the united states</t>
  </si>
  <si>
    <t>najbolji online casino</t>
  </si>
  <si>
    <t>new online casino pa</t>
  </si>
  <si>
    <t>best nj online casino sites</t>
  </si>
  <si>
    <t>mejores casinos online muchbetter</t>
  </si>
  <si>
    <t>neteller online casinos</t>
  </si>
  <si>
    <t>online gambling casinos</t>
  </si>
  <si>
    <t>best casino online in usa</t>
  </si>
  <si>
    <t>bandar betting casino dadu online</t>
  </si>
  <si>
    <t>online casino megaways</t>
  </si>
  <si>
    <t>online magyar casino</t>
  </si>
  <si>
    <t>free mobile casino slot games</t>
  </si>
  <si>
    <t>casumo casino online</t>
  </si>
  <si>
    <t>play live casino indaxis.com</t>
  </si>
  <si>
    <t>online nederlandse casino</t>
  </si>
  <si>
    <t>sugarhouse online casino app</t>
  </si>
  <si>
    <t>gala online casino</t>
  </si>
  <si>
    <t>online casinos payment</t>
  </si>
  <si>
    <t>lincoln online casino</t>
  </si>
  <si>
    <t>fastest payout online casino ontario</t>
  </si>
  <si>
    <t>washington state online gambling</t>
  </si>
  <si>
    <t>online gambling south africa</t>
  </si>
  <si>
    <t>las vegas online casino real money</t>
  </si>
  <si>
    <t>uk online casinos list</t>
  </si>
  <si>
    <t>real online casinos</t>
  </si>
  <si>
    <t>sites casino online</t>
  </si>
  <si>
    <t>nuovi casino online 2021</t>
  </si>
  <si>
    <t>us online casinos for real money</t>
  </si>
  <si>
    <t>free cash casino games</t>
  </si>
  <si>
    <t>website live casino</t>
  </si>
  <si>
    <t>oregon online casinos</t>
  </si>
  <si>
    <t>online casino guide</t>
  </si>
  <si>
    <t>cardano online gambling</t>
  </si>
  <si>
    <t>live casino malaysia online</t>
  </si>
  <si>
    <t>casino live monopoly</t>
  </si>
  <si>
    <t>mejores casinos online</t>
  </si>
  <si>
    <t>play live casino app</t>
  </si>
  <si>
    <t>online casino bonus guide</t>
  </si>
  <si>
    <t>top 100 online casinos ireland traffic ranking</t>
  </si>
  <si>
    <t>online casino real money no deposit canada</t>
  </si>
  <si>
    <t>online casino promo</t>
  </si>
  <si>
    <t>nebraska online casinos</t>
  </si>
  <si>
    <t>nieuwste online casino 2021</t>
  </si>
  <si>
    <t>keno casino games</t>
  </si>
  <si>
    <t>play online casino canada</t>
  </si>
  <si>
    <t>österreichisches online casino</t>
  </si>
  <si>
    <t>online casino schweiz erfahrungen</t>
  </si>
  <si>
    <t>jetbull online casino</t>
  </si>
  <si>
    <t>online casino echtgeld bonus ohne einzahlung 2017</t>
  </si>
  <si>
    <t>free casino games for fun play</t>
  </si>
  <si>
    <t>greek casino online</t>
  </si>
  <si>
    <t>online casino bolivia</t>
  </si>
  <si>
    <t>lottery casino games</t>
  </si>
  <si>
    <t>casino online magyar</t>
  </si>
  <si>
    <t>slot gambling online</t>
  </si>
  <si>
    <t>us based online casinos</t>
  </si>
  <si>
    <t>casinos online confiáveis</t>
  </si>
  <si>
    <t>free flash casino games</t>
  </si>
  <si>
    <t>bedste online casino udbetaling</t>
  </si>
  <si>
    <t>mejor casino online</t>
  </si>
  <si>
    <t>bet rivers online casino review</t>
  </si>
  <si>
    <t>best online casino roulette</t>
  </si>
  <si>
    <t>bandar taruhan sbc168 casino online</t>
  </si>
  <si>
    <t>online casino games with real money</t>
  </si>
  <si>
    <t>florida online gambling apps</t>
  </si>
  <si>
    <t>top online casino reviews</t>
  </si>
  <si>
    <t>judi ion casino online deposit 50 ribu</t>
  </si>
  <si>
    <t>bandar oriental casino online deposit 50 ribu</t>
  </si>
  <si>
    <t>najboljši online casino</t>
  </si>
  <si>
    <t>evolution gaming online casino</t>
  </si>
  <si>
    <t>casino online sem deposito</t>
  </si>
  <si>
    <t>norwegian online casino</t>
  </si>
  <si>
    <t>online casino ohne einzahlung bonus 2022</t>
  </si>
  <si>
    <t>online casino paysafecard auszahlung</t>
  </si>
  <si>
    <t>online casino 1 euro einzahlen</t>
  </si>
  <si>
    <t>riobet online casino</t>
  </si>
  <si>
    <t>free online casino games play for fun</t>
  </si>
  <si>
    <t>casino training online</t>
  </si>
  <si>
    <t>do online casinos cheat</t>
  </si>
  <si>
    <t>online casino registration bonus</t>
  </si>
  <si>
    <t>arizona online casinos</t>
  </si>
  <si>
    <t>online casino malaysia for android</t>
  </si>
  <si>
    <t>royal vegas casino online review</t>
  </si>
  <si>
    <t>reviews online casinos</t>
  </si>
  <si>
    <t>online casino play casino games at 888casino com</t>
  </si>
  <si>
    <t>da vinci diamonds online spielen casinos</t>
  </si>
  <si>
    <t>casumo casino games</t>
  </si>
  <si>
    <t>best table games casino</t>
  </si>
  <si>
    <t>online casinos ohne einzahlung 2019</t>
  </si>
  <si>
    <t>casino games for party</t>
  </si>
  <si>
    <t>online casino ripple</t>
  </si>
  <si>
    <t>casino table games odds</t>
  </si>
  <si>
    <t>jogos slot machine gratis casino online zeus</t>
  </si>
  <si>
    <t>judi casino maxbet online</t>
  </si>
  <si>
    <t>html5 casino games source code</t>
  </si>
  <si>
    <t>online casinos that pay</t>
  </si>
  <si>
    <t>gratis geld online casino</t>
  </si>
  <si>
    <t>online casino ohne umsatzbedingungen</t>
  </si>
  <si>
    <t>party casino games</t>
  </si>
  <si>
    <t>best online casino sites that accept crypto</t>
  </si>
  <si>
    <t>best online casino liechtenstein</t>
  </si>
  <si>
    <t>online casino free no deposit</t>
  </si>
  <si>
    <t>suomiarvat online casino</t>
  </si>
  <si>
    <t>spin casino online</t>
  </si>
  <si>
    <t>online casinos india</t>
  </si>
  <si>
    <t>casino zürich online</t>
  </si>
  <si>
    <t>gta online diamond casino missions</t>
  </si>
  <si>
    <t>best trustly online casino</t>
  </si>
  <si>
    <t>new online casino sites</t>
  </si>
  <si>
    <t>best online casino nz dollars</t>
  </si>
  <si>
    <t>casino games download for mobile</t>
  </si>
  <si>
    <t>download casino games</t>
  </si>
  <si>
    <t>rivers casino sportsbook online</t>
  </si>
  <si>
    <t>pc games casino</t>
  </si>
  <si>
    <t>online casino mit handyrechnung aufladen</t>
  </si>
  <si>
    <t>hur börjar man spela på ett online casino</t>
  </si>
  <si>
    <t>best online casino uk review</t>
  </si>
  <si>
    <t>juegos de casino online gratis tragamonedas</t>
  </si>
  <si>
    <t>maple casino online casino</t>
  </si>
  <si>
    <t>caesars online casino bonus code</t>
  </si>
  <si>
    <t>best euro online casinos</t>
  </si>
  <si>
    <t>beste curacao online casino</t>
  </si>
  <si>
    <t>online sportsbook and casino</t>
  </si>
  <si>
    <t>777 casino live</t>
  </si>
  <si>
    <t>golden nugget nj online casino review</t>
  </si>
  <si>
    <t>beste casino online seite</t>
  </si>
  <si>
    <t>test online casino</t>
  </si>
  <si>
    <t>jackpot city casino mobile online</t>
  </si>
  <si>
    <t>online casino no deposit free spins</t>
  </si>
  <si>
    <t>online casino $5 minimum deposit</t>
  </si>
  <si>
    <t>casinos online new jersey</t>
  </si>
  <si>
    <t>online casino nz free spins</t>
  </si>
  <si>
    <t>bonos casinos online</t>
  </si>
  <si>
    <t>best games to play at the casino</t>
  </si>
  <si>
    <t>casino online blog</t>
  </si>
  <si>
    <t>best paying casino online</t>
  </si>
  <si>
    <t>new online casinos australia 2020 no deposit</t>
  </si>
  <si>
    <t>online casino mobiel</t>
  </si>
  <si>
    <t>global online casinos</t>
  </si>
  <si>
    <t>betsson online casino erfahrungen</t>
  </si>
  <si>
    <t>online casino verification</t>
  </si>
  <si>
    <t>casino online neosurf</t>
  </si>
  <si>
    <t>online casino games that pay real cash</t>
  </si>
  <si>
    <t>deutsche online casinos echtgeld</t>
  </si>
  <si>
    <t>plinko gambling online</t>
  </si>
  <si>
    <t>casinos nuevos online españa</t>
  </si>
  <si>
    <t>casino slot games with best odds</t>
  </si>
  <si>
    <t>roulette game online casino</t>
  </si>
  <si>
    <t>skrill online casinos</t>
  </si>
  <si>
    <t>online casino rules</t>
  </si>
  <si>
    <t>free demo games casino</t>
  </si>
  <si>
    <t>agen taruhan casino live deposit 50 ribu</t>
  </si>
  <si>
    <t>newest online casinos usa</t>
  </si>
  <si>
    <t>win real money online casino for free pa</t>
  </si>
  <si>
    <t>quebec casino online</t>
  </si>
  <si>
    <t>best online casino new zealand</t>
  </si>
  <si>
    <t>real money online casino hawaii</t>
  </si>
  <si>
    <t>real money online casino washington</t>
  </si>
  <si>
    <t>online casino malaysia heylink</t>
  </si>
  <si>
    <t>online casino niedersachsen</t>
  </si>
  <si>
    <t>legit online casinos that pay real money</t>
  </si>
  <si>
    <t>bandar casino bluebet33 online</t>
  </si>
  <si>
    <t>real money online casino massachusetts</t>
  </si>
  <si>
    <t>bandar judi casino joker123 online</t>
  </si>
  <si>
    <t>online casino utan bankid</t>
  </si>
  <si>
    <t>casino free games</t>
  </si>
  <si>
    <t>online casino maryland</t>
  </si>
  <si>
    <t>online casinos mit paypal einzahlung</t>
  </si>
  <si>
    <t>live casino promotions</t>
  </si>
  <si>
    <t>online casino mit anmeldebonus</t>
  </si>
  <si>
    <t>no deposit bonuses casino online</t>
  </si>
  <si>
    <t>free casino blackjack games</t>
  </si>
  <si>
    <t>online casino paypal deposit</t>
  </si>
  <si>
    <t>online casino mit startbonus</t>
  </si>
  <si>
    <t>melhor casino online portugues</t>
  </si>
  <si>
    <t>litecoin online casino</t>
  </si>
  <si>
    <t>ruby fortune online casino review</t>
  </si>
  <si>
    <t>online casino gratis speelgeld</t>
  </si>
  <si>
    <t>best online casino review sites</t>
  </si>
  <si>
    <t>online craps casino</t>
  </si>
  <si>
    <t>bet9ja casino games</t>
  </si>
  <si>
    <t>online casino betrouwbaar</t>
  </si>
  <si>
    <t>live casino greece</t>
  </si>
  <si>
    <t>online casino suomi</t>
  </si>
  <si>
    <t>michigan online casino promos</t>
  </si>
  <si>
    <t>online free games casino</t>
  </si>
  <si>
    <t>ios casino games</t>
  </si>
  <si>
    <t>online casino deutschland echtgeld</t>
  </si>
  <si>
    <t>top 6 online real money casino canada</t>
  </si>
  <si>
    <t>urteil online casino</t>
  </si>
  <si>
    <t>new online casinos not on gamstop</t>
  </si>
  <si>
    <t>best delaware online casinos</t>
  </si>
  <si>
    <t>casino online europei</t>
  </si>
  <si>
    <t>joe fortune online casino</t>
  </si>
  <si>
    <t>litecoin online gambling</t>
  </si>
  <si>
    <t>top 10 online casino deutschland</t>
  </si>
  <si>
    <t>fastest withdrawal online casino australia 2022</t>
  </si>
  <si>
    <t>betmgm online casino review</t>
  </si>
  <si>
    <t>online casino sites for real money</t>
  </si>
  <si>
    <t>microgaming online casino list</t>
  </si>
  <si>
    <t>casino online schleswig holstein</t>
  </si>
  <si>
    <t>sunmaker casino online</t>
  </si>
  <si>
    <t>real money online casino pa</t>
  </si>
  <si>
    <t>pokies parlour casino play online</t>
  </si>
  <si>
    <t>real casino online gambling</t>
  </si>
  <si>
    <t>online casinos uk new</t>
  </si>
  <si>
    <t>best online casino new jersey</t>
  </si>
  <si>
    <t>new online casinos no deposit bonuses</t>
  </si>
  <si>
    <t>slot games at casino</t>
  </si>
  <si>
    <t>australian casinos online</t>
  </si>
  <si>
    <t>judi casino baccarat online deposit 50 ribu</t>
  </si>
  <si>
    <t>casino quebec online</t>
  </si>
  <si>
    <t>best cannadian online casino</t>
  </si>
  <si>
    <t>situs judi casino online terpercaya</t>
  </si>
  <si>
    <t>casino online florida</t>
  </si>
  <si>
    <t>blackjack live casino</t>
  </si>
  <si>
    <t>$5 min deposit online casino</t>
  </si>
  <si>
    <t>circus casino online</t>
  </si>
  <si>
    <t>online casino kreditkarte zurückbuchen</t>
  </si>
  <si>
    <t>table games online casino</t>
  </si>
  <si>
    <t>neueste online casinos</t>
  </si>
  <si>
    <t>best free casino games with free coins</t>
  </si>
  <si>
    <t>riverbelle online casino españa</t>
  </si>
  <si>
    <t>casino spiele online gratis</t>
  </si>
  <si>
    <t>best online casino ontario</t>
  </si>
  <si>
    <t>seriöses online casino deutschland</t>
  </si>
  <si>
    <t>barstool casino online</t>
  </si>
  <si>
    <t>online gambling site malaysia</t>
  </si>
  <si>
    <t>best payout online casino sites ghana</t>
  </si>
  <si>
    <t>bandar taruhan osg777 casino online</t>
  </si>
  <si>
    <t>live dealer casino canada</t>
  </si>
  <si>
    <t>best online casino table games</t>
  </si>
  <si>
    <t>fast paying online casino</t>
  </si>
  <si>
    <t>online casino einzahlung 5 euro paysafecard</t>
  </si>
  <si>
    <t>playojo online casino</t>
  </si>
  <si>
    <t>rivers online casino real money</t>
  </si>
  <si>
    <t>new online casino with no deposit bonus</t>
  </si>
  <si>
    <t>smart live gaming casino</t>
  </si>
  <si>
    <t>online casino eth</t>
  </si>
  <si>
    <t>pinco online casino</t>
  </si>
  <si>
    <t>pa online casino real money no deposit</t>
  </si>
  <si>
    <t>online νομιμα casino</t>
  </si>
  <si>
    <t>free casino casino games</t>
  </si>
  <si>
    <t>betting online casino</t>
  </si>
  <si>
    <t>online casino in florida</t>
  </si>
  <si>
    <t>best online casino qatar</t>
  </si>
  <si>
    <t>mega casino online review</t>
  </si>
  <si>
    <t>free online casino slots</t>
  </si>
  <si>
    <t>harrahs online casino bonus code</t>
  </si>
  <si>
    <t>casinos online en argentina</t>
  </si>
  <si>
    <t>top online casinos el salvador</t>
  </si>
  <si>
    <t>casino world online</t>
  </si>
  <si>
    <t>online ripple gambling</t>
  </si>
  <si>
    <t>online casino mit startgeld ohne einzahlung</t>
  </si>
  <si>
    <t>top online casinos new zealand</t>
  </si>
  <si>
    <t>bodog live casino</t>
  </si>
  <si>
    <t>bitcoin live casino trust dice</t>
  </si>
  <si>
    <t>deutsche online casino 🇩🇪 casinod.casino 🎁</t>
  </si>
  <si>
    <t>solverde casino online</t>
  </si>
  <si>
    <t>online casino payid withdrawal</t>
  </si>
  <si>
    <t>jack online casino</t>
  </si>
  <si>
    <t>real online casino canada</t>
  </si>
  <si>
    <t>no deposit online casino bonuses</t>
  </si>
  <si>
    <t>germania casino online</t>
  </si>
  <si>
    <t>online casinos com</t>
  </si>
  <si>
    <t>online casino with neteller</t>
  </si>
  <si>
    <t>best online casino paysafe</t>
  </si>
  <si>
    <t>best florida online casinos</t>
  </si>
  <si>
    <t>real money online casino arizona</t>
  </si>
  <si>
    <t>online casino drückglück</t>
  </si>
  <si>
    <t>craps casino games</t>
  </si>
  <si>
    <t>melhores casinos online brasil</t>
  </si>
  <si>
    <t>online casino montreal</t>
  </si>
  <si>
    <t>online casino canada paypal</t>
  </si>
  <si>
    <t>is online gambling legal in nc</t>
  </si>
  <si>
    <t>online casino free games</t>
  </si>
  <si>
    <t>canadian casino online</t>
  </si>
  <si>
    <t>best online casino international</t>
  </si>
  <si>
    <t>mount airy casino online</t>
  </si>
  <si>
    <t>roobet online gambling</t>
  </si>
  <si>
    <t>online casino spelen nederland</t>
  </si>
  <si>
    <t>online casinos that accept interac</t>
  </si>
  <si>
    <t>jetx online gambling</t>
  </si>
  <si>
    <t>casino online deposit 50 ribu</t>
  </si>
  <si>
    <t>bets online casino</t>
  </si>
  <si>
    <t>circus be casino games</t>
  </si>
  <si>
    <t>casino real online chile</t>
  </si>
  <si>
    <t>spin casino free games</t>
  </si>
  <si>
    <t>casino online jackpot</t>
  </si>
  <si>
    <t>casino sicuri online</t>
  </si>
  <si>
    <t>best online casino no wagering requirements</t>
  </si>
  <si>
    <t>online casinos no account</t>
  </si>
  <si>
    <t>online casino gratis echtgeld</t>
  </si>
  <si>
    <t>melhores casinos online skrill</t>
  </si>
  <si>
    <t>gambling online magazine</t>
  </si>
  <si>
    <t>slot online 228--casino(rajadewa138)</t>
  </si>
  <si>
    <t>an online casino</t>
  </si>
  <si>
    <t>uk online casinos no deposit</t>
  </si>
  <si>
    <t>online echtgeld casinos</t>
  </si>
  <si>
    <t>online gambling and taxes</t>
  </si>
  <si>
    <t>best online casino australia reviews</t>
  </si>
  <si>
    <t>riversweeps 777 online casino</t>
  </si>
  <si>
    <t>online no deposit casino bonus</t>
  </si>
  <si>
    <t>sa online casino</t>
  </si>
  <si>
    <t>top 5 online casinos</t>
  </si>
  <si>
    <t>royal panda online casino</t>
  </si>
  <si>
    <t>online casinos 4theplayer</t>
  </si>
  <si>
    <t>neue online casino bonus</t>
  </si>
  <si>
    <t>casinos vegas online</t>
  </si>
  <si>
    <t>top rated online casinos canada</t>
  </si>
  <si>
    <t>british casinos online</t>
  </si>
  <si>
    <t>online casino sa</t>
  </si>
  <si>
    <t>is online gambling legal in south africa</t>
  </si>
  <si>
    <t>canada live casino online</t>
  </si>
  <si>
    <t>best online three card poker casinos</t>
  </si>
  <si>
    <t>gambling online real money slots</t>
  </si>
  <si>
    <t>jackpot city online casino spanish</t>
  </si>
  <si>
    <t>trump online casino</t>
  </si>
  <si>
    <t>online casino mit girocard bezahlen</t>
  </si>
  <si>
    <t>fastest payout online casino australia</t>
  </si>
  <si>
    <t>online gambling industry</t>
  </si>
  <si>
    <t>new online casino nz 2023</t>
  </si>
  <si>
    <t>carousel casino games</t>
  </si>
  <si>
    <t>online casino ohne 5 sekunden pause</t>
  </si>
  <si>
    <t>online casino geld gewinnen</t>
  </si>
  <si>
    <t>poker games at casino</t>
  </si>
  <si>
    <t>indiana online casino real money</t>
  </si>
  <si>
    <t>new online gambling sites</t>
  </si>
  <si>
    <t>free spins no deposit online casino</t>
  </si>
  <si>
    <t>taruhan casino dadu online deposit termurah</t>
  </si>
  <si>
    <t>online casino vélemények</t>
  </si>
  <si>
    <t>online casino test 2020</t>
  </si>
  <si>
    <t>casino spelletjes online</t>
  </si>
  <si>
    <t>online casino bonus za registraci</t>
  </si>
  <si>
    <t>live dealer casino + live dealer casinos</t>
  </si>
  <si>
    <t>free casino slots games to play for fun</t>
  </si>
  <si>
    <t>agen sbobet casino online</t>
  </si>
  <si>
    <t>play online casino free</t>
  </si>
  <si>
    <t>online casino 10 euro bonus</t>
  </si>
  <si>
    <t>jackpots online casino</t>
  </si>
  <si>
    <t>live casino holdem online</t>
  </si>
  <si>
    <t>bluebet33 casino online termurah</t>
  </si>
  <si>
    <t>online casino singapore</t>
  </si>
  <si>
    <t>is online gambling legal in washington</t>
  </si>
  <si>
    <t>jugar juegos casino gratis online sin descargar</t>
  </si>
  <si>
    <t>beste gewinnchancen online casino</t>
  </si>
  <si>
    <t>best us online casino</t>
  </si>
  <si>
    <t>casinos nuevos online</t>
  </si>
  <si>
    <t>casinos to play online</t>
  </si>
  <si>
    <t>top muchbetter online casino</t>
  </si>
  <si>
    <t>online casino ohne ersteinzahlung</t>
  </si>
  <si>
    <t>best idaho online casino site</t>
  </si>
  <si>
    <t>international online casino</t>
  </si>
  <si>
    <t>casino online en españa</t>
  </si>
  <si>
    <t>miglior casino online</t>
  </si>
  <si>
    <t>independent online casino</t>
  </si>
  <si>
    <t>online gambling california</t>
  </si>
  <si>
    <t>casino games apps</t>
  </si>
  <si>
    <t>online casinos freispiele ohne einzahlung</t>
  </si>
  <si>
    <t>borgata online casino pa</t>
  </si>
  <si>
    <t>online casino cy</t>
  </si>
  <si>
    <t>online casino pa</t>
  </si>
  <si>
    <t>real money casinos online usa</t>
  </si>
  <si>
    <t>online gambling laws by state</t>
  </si>
  <si>
    <t>casino games to play online</t>
  </si>
  <si>
    <t>online online casino real money</t>
  </si>
  <si>
    <t>dewavegas live online casino</t>
  </si>
  <si>
    <t>casinos online gratis</t>
  </si>
  <si>
    <t>online casino italy</t>
  </si>
  <si>
    <t>slot machine casino online</t>
  </si>
  <si>
    <t>best paying online casino</t>
  </si>
  <si>
    <t>gold fish casino slot games</t>
  </si>
  <si>
    <t>aud online casinos</t>
  </si>
  <si>
    <t>online casino 1€ einzahlung</t>
  </si>
  <si>
    <t>caesars online casino pennsylvania</t>
  </si>
  <si>
    <t>paysafecard casino games</t>
  </si>
  <si>
    <t>kentucky casino online</t>
  </si>
  <si>
    <t>bitcoin online casino software</t>
  </si>
  <si>
    <t>casino online con bonus benvenuto</t>
  </si>
  <si>
    <t>online casino free spins without deposit</t>
  </si>
  <si>
    <t>online casino slot uk</t>
  </si>
  <si>
    <t>casino online for free</t>
  </si>
  <si>
    <t>compare online casinos</t>
  </si>
  <si>
    <t>brand new online casinos uk</t>
  </si>
  <si>
    <t>online casinos couch potato</t>
  </si>
  <si>
    <t>beat online casino</t>
  </si>
  <si>
    <t>australian online casino neosurf</t>
  </si>
  <si>
    <t>sweden online casino</t>
  </si>
  <si>
    <t>lizenzierte online casinos deutschland</t>
  </si>
  <si>
    <t>singapore online casino betting</t>
  </si>
  <si>
    <t>zeus casino games free</t>
  </si>
  <si>
    <t>start games casino</t>
  </si>
  <si>
    <t>nz casinos online</t>
  </si>
  <si>
    <t>live casino spielen</t>
  </si>
  <si>
    <t>games free casino</t>
  </si>
  <si>
    <t>bonus casinos online</t>
  </si>
  <si>
    <t>top online roulette casinos</t>
  </si>
  <si>
    <t>casinos online transferencia bancaria</t>
  </si>
  <si>
    <t>casinos online brasileiros</t>
  </si>
  <si>
    <t>jackpot city online casino login</t>
  </si>
  <si>
    <t>casino guru demo games</t>
  </si>
  <si>
    <t>top trustly online casinos</t>
  </si>
  <si>
    <t>best real online casino</t>
  </si>
  <si>
    <t>beste online casinos 2020</t>
  </si>
  <si>
    <t>casino online sicuri con bonus senza deposito</t>
  </si>
  <si>
    <t>online casino gewinnchance</t>
  </si>
  <si>
    <t>live dealer online casino</t>
  </si>
  <si>
    <t>beste mr slotty online casinos</t>
  </si>
  <si>
    <t>eye of horus online casino</t>
  </si>
  <si>
    <t>giropay online casinos</t>
  </si>
  <si>
    <t>resorts casino online sportsbook</t>
  </si>
  <si>
    <t>free no deposit online casino bonus</t>
  </si>
  <si>
    <t>casino online cu bonus fara depunere</t>
  </si>
  <si>
    <t>canadian live casino</t>
  </si>
  <si>
    <t>online gambling with real payouts</t>
  </si>
  <si>
    <t>casinos online em portugues</t>
  </si>
  <si>
    <t>casino free online games</t>
  </si>
  <si>
    <t>finnish online casinos</t>
  </si>
  <si>
    <t>hard rock online casino</t>
  </si>
  <si>
    <t>novoline online casino echtgeld paypal</t>
  </si>
  <si>
    <t>juega online casino</t>
  </si>
  <si>
    <t>top 10 online casinos for real money</t>
  </si>
  <si>
    <t>mr green live casino</t>
  </si>
  <si>
    <t>red stag online casino</t>
  </si>
  <si>
    <t>nj best online casino</t>
  </si>
  <si>
    <t>online mobile casino uk</t>
  </si>
  <si>
    <t>interac deposit online casino</t>
  </si>
  <si>
    <t>online gambling in malaysia</t>
  </si>
  <si>
    <t>veilig online casino</t>
  </si>
  <si>
    <t>new online casinos for us players</t>
  </si>
  <si>
    <t>best payout online casino australia 2022</t>
  </si>
  <si>
    <t>best payout online casinos uk</t>
  </si>
  <si>
    <t>south dakota online casinos</t>
  </si>
  <si>
    <t>mohegan sun casino online pa</t>
  </si>
  <si>
    <t>casino action online casino</t>
  </si>
  <si>
    <t>online casino serbia</t>
  </si>
  <si>
    <t>666 online casino</t>
  </si>
  <si>
    <t>best online casino peru</t>
  </si>
  <si>
    <t>mansion casino online</t>
  </si>
  <si>
    <t>gambling games online real money</t>
  </si>
  <si>
    <t>newest online uk casinos</t>
  </si>
  <si>
    <t>real casinos online</t>
  </si>
  <si>
    <t>online casinos mit bonus</t>
  </si>
  <si>
    <t>online casino mit 10 euro startguthaben</t>
  </si>
  <si>
    <t>play casino games for money</t>
  </si>
  <si>
    <t>online roulette casino finalnd</t>
  </si>
  <si>
    <t>casino vegas online</t>
  </si>
  <si>
    <t>real money online casino usacasinobonuses.site 🇺🇸</t>
  </si>
  <si>
    <t>jackpotcity online casino argentina</t>
  </si>
  <si>
    <t>utländska casino online</t>
  </si>
  <si>
    <t>best blackjack online casino</t>
  </si>
  <si>
    <t>online casino philippines gcash</t>
  </si>
  <si>
    <t>real online casino games</t>
  </si>
  <si>
    <t>best online blackjack casino</t>
  </si>
  <si>
    <t>online casino usa players accepted</t>
  </si>
  <si>
    <t>merkur casino online kostenlos</t>
  </si>
  <si>
    <t>online casino ach deposit</t>
  </si>
  <si>
    <t>online gambling canada</t>
  </si>
  <si>
    <t>real money online casino nevada</t>
  </si>
  <si>
    <t>best online casino software platforms</t>
  </si>
  <si>
    <t>best online casino australia 2019</t>
  </si>
  <si>
    <t>online casino neteller</t>
  </si>
  <si>
    <t>online casinos mit 200 bonus</t>
  </si>
  <si>
    <t>nz dollar online casino</t>
  </si>
  <si>
    <t>mejor casino online que acepta trustly</t>
  </si>
  <si>
    <t>online casino free play</t>
  </si>
  <si>
    <t>magnum888 online casino</t>
  </si>
  <si>
    <t>slots lv online casino review</t>
  </si>
  <si>
    <t>czech online casino</t>
  </si>
  <si>
    <t>borgata online casino app</t>
  </si>
  <si>
    <t>all slots casino games</t>
  </si>
  <si>
    <t>best online casino that accepts paypal</t>
  </si>
  <si>
    <t>largest online casinos</t>
  </si>
  <si>
    <t>online real money casino games</t>
  </si>
  <si>
    <t>free casino play online</t>
  </si>
  <si>
    <t>svenska online casinos</t>
  </si>
  <si>
    <t>casino online vulkan</t>
  </si>
  <si>
    <t>online casino no deposit bonus michigan</t>
  </si>
  <si>
    <t>best us casino online</t>
  </si>
  <si>
    <t>michigan casinos online</t>
  </si>
  <si>
    <t>gambling online gambling</t>
  </si>
  <si>
    <t>google casino games</t>
  </si>
  <si>
    <t>aussie casino online</t>
  </si>
  <si>
    <t>judi casino dadu online</t>
  </si>
  <si>
    <t>casino roulette online free game</t>
  </si>
  <si>
    <t>online casino echt geld</t>
  </si>
  <si>
    <t>best online casino in pa</t>
  </si>
  <si>
    <t>online gambling real money no deposit</t>
  </si>
  <si>
    <t>virginia online gambling laws</t>
  </si>
  <si>
    <t>canada best online casino</t>
  </si>
  <si>
    <t>best online casino indaxis</t>
  </si>
  <si>
    <t>best online casino uae</t>
  </si>
  <si>
    <t>casino mate online</t>
  </si>
  <si>
    <t>top slotvision online casino</t>
  </si>
  <si>
    <t>instant banking online casino</t>
  </si>
  <si>
    <t>online casino names</t>
  </si>
  <si>
    <t>best online casino kiwi</t>
  </si>
  <si>
    <t>free slots casino online</t>
  </si>
  <si>
    <t>quick hit casino slots free slot machines games</t>
  </si>
  <si>
    <t>best australia online casino</t>
  </si>
  <si>
    <t>casino online playing</t>
  </si>
  <si>
    <t>best online casino ranked</t>
  </si>
  <si>
    <t>super casino online</t>
  </si>
  <si>
    <t>jugar a la casino online</t>
  </si>
  <si>
    <t>2021 online casino</t>
  </si>
  <si>
    <t>top casino games online</t>
  </si>
  <si>
    <t>10 euro online casino</t>
  </si>
  <si>
    <t>online bonus codes casino</t>
  </si>
  <si>
    <t>casino michigan online</t>
  </si>
  <si>
    <t>royale casino online</t>
  </si>
  <si>
    <t>online american casinos</t>
  </si>
  <si>
    <t>thrills online casino</t>
  </si>
  <si>
    <t>melhores casinos online com bônus de registo</t>
  </si>
  <si>
    <t>new online casino no deposit bonus</t>
  </si>
  <si>
    <t>new online casinos with no deposit bonuses</t>
  </si>
  <si>
    <t>online casino in pa</t>
  </si>
  <si>
    <t>wow vegas casino online</t>
  </si>
  <si>
    <t>migliori casino online non aams</t>
  </si>
  <si>
    <t>online casinos with no deposit bonus</t>
  </si>
  <si>
    <t>casinos online sin licencia</t>
  </si>
  <si>
    <t>my choice online casino</t>
  </si>
  <si>
    <t>minniebet casino online</t>
  </si>
  <si>
    <t>online betting casinos</t>
  </si>
  <si>
    <t>super cherry online casino schweiz</t>
  </si>
  <si>
    <t>live migliore casino online</t>
  </si>
  <si>
    <t>5gringos online casino</t>
  </si>
  <si>
    <t>casino online trucchi per vincere</t>
  </si>
  <si>
    <t>highest payout casino games new zealand</t>
  </si>
  <si>
    <t>online casino konzessioniert</t>
  </si>
  <si>
    <t>casino online game</t>
  </si>
  <si>
    <t>judi casino live terpercaya</t>
  </si>
  <si>
    <t>online casinos with real money</t>
  </si>
  <si>
    <t>best online casino europe</t>
  </si>
  <si>
    <t>online casino live baccarat</t>
  </si>
  <si>
    <t>gambling online uk</t>
  </si>
  <si>
    <t>new casino online ireland</t>
  </si>
  <si>
    <t>online casinos with 20 minimum deposit</t>
  </si>
  <si>
    <t>mejor casino online español</t>
  </si>
  <si>
    <t>is online gambling legal in indiana</t>
  </si>
  <si>
    <t>bingo gambling online</t>
  </si>
  <si>
    <t>online casino vulkan vegas</t>
  </si>
  <si>
    <t>casino games with the best odds</t>
  </si>
  <si>
    <t>casino online geld gewinnen</t>
  </si>
  <si>
    <t>minnesota casino online</t>
  </si>
  <si>
    <t>single deck blackjack online casino</t>
  </si>
  <si>
    <t>casino live bonus</t>
  </si>
  <si>
    <t>online casino malaysia no turnover</t>
  </si>
  <si>
    <t>online casino pin up</t>
  </si>
  <si>
    <t>wild fortune casino online real money</t>
  </si>
  <si>
    <t>top online casino sweden</t>
  </si>
  <si>
    <t>online video poker casinos</t>
  </si>
  <si>
    <t>casino online holandia</t>
  </si>
  <si>
    <t>best online casinos in singapore</t>
  </si>
  <si>
    <t>sky vegas live casino</t>
  </si>
  <si>
    <t>online gambling sites in the uk</t>
  </si>
  <si>
    <t>nordic slots online casino</t>
  </si>
  <si>
    <t>casino online bonus 🇩🇪 casinod.casino</t>
  </si>
  <si>
    <t>online casino euro</t>
  </si>
  <si>
    <t>play online casino games now</t>
  </si>
  <si>
    <t>migliori bonus casino online</t>
  </si>
  <si>
    <t>klarna online casinos</t>
  </si>
  <si>
    <t>forum casino online</t>
  </si>
  <si>
    <t>google pay online casinos</t>
  </si>
  <si>
    <t>live casino api</t>
  </si>
  <si>
    <t>casino argentino online</t>
  </si>
  <si>
    <t>luckynugget online casino</t>
  </si>
  <si>
    <t>prezzy card online gambling</t>
  </si>
  <si>
    <t>online casino ohne sperrdatei</t>
  </si>
  <si>
    <t>holland casino online roulette</t>
  </si>
  <si>
    <t>legal casino online</t>
  </si>
  <si>
    <t>online casino lists</t>
  </si>
  <si>
    <t>888 casino slot games</t>
  </si>
  <si>
    <t>best online slots casino</t>
  </si>
  <si>
    <t>casino a nossa aposta online</t>
  </si>
  <si>
    <t>best games to play in casino</t>
  </si>
  <si>
    <t>videoslots casino online</t>
  </si>
  <si>
    <t>top endemol shine gaming online casino sites</t>
  </si>
  <si>
    <t>free online casino games slots</t>
  </si>
  <si>
    <t>betmgm casino online ontario</t>
  </si>
  <si>
    <t>caesar casino online nj</t>
  </si>
  <si>
    <t>nuovi casino online in arrivo</t>
  </si>
  <si>
    <t>casino online bonus without deposit</t>
  </si>
  <si>
    <t>luckyland casino games</t>
  </si>
  <si>
    <t>ganhar dinheiro casino online</t>
  </si>
  <si>
    <t>best casino bonus online</t>
  </si>
  <si>
    <t>online casino min deposit $10</t>
  </si>
  <si>
    <t>online casino that accept google pay</t>
  </si>
  <si>
    <t>online casino mindesteinzahlung 10 euro</t>
  </si>
  <si>
    <t>golden nugget online casino promo code</t>
  </si>
  <si>
    <t>online casino games free</t>
  </si>
  <si>
    <t>nuovi casino online aams</t>
  </si>
  <si>
    <t>besten deutschen online casinos</t>
  </si>
  <si>
    <t>casino online peru</t>
  </si>
  <si>
    <t>bovada online gambling</t>
  </si>
  <si>
    <t>casino online bonus gratis senza deposito</t>
  </si>
  <si>
    <t>online casino luzern</t>
  </si>
  <si>
    <t>online casino für handy</t>
  </si>
  <si>
    <t>casinos online espana</t>
  </si>
  <si>
    <t>wind creek online casino</t>
  </si>
  <si>
    <t>amatic online casino</t>
  </si>
  <si>
    <t>online casino echtes geld gewinnen</t>
  </si>
  <si>
    <t>top online casino japan</t>
  </si>
  <si>
    <t>canadian online casinos with no deposit bonus</t>
  </si>
  <si>
    <t>online casino no withdrawal limit</t>
  </si>
  <si>
    <t>roxy online casino</t>
  </si>
  <si>
    <t>download free casino slot games</t>
  </si>
  <si>
    <t>casino games company</t>
  </si>
  <si>
    <t>mejores casinos online de españa</t>
  </si>
  <si>
    <t>casino games to play for free</t>
  </si>
  <si>
    <t>top online casino in india</t>
  </si>
  <si>
    <t>online casino room</t>
  </si>
  <si>
    <t>online casino mit direkt auszahlung</t>
  </si>
  <si>
    <t>kansas casino online</t>
  </si>
  <si>
    <t>www online casino</t>
  </si>
  <si>
    <t>crazy time casino live</t>
  </si>
  <si>
    <t>free online gambling real money</t>
  </si>
  <si>
    <t>no deposit online casino</t>
  </si>
  <si>
    <t>casino bitcoin online</t>
  </si>
  <si>
    <t>online casinos that use paypal</t>
  </si>
  <si>
    <t>casino slots games</t>
  </si>
  <si>
    <t>casino europa online</t>
  </si>
  <si>
    <t>ac online casino</t>
  </si>
  <si>
    <t>casino online new</t>
  </si>
  <si>
    <t>pa casino online</t>
  </si>
  <si>
    <t>online casino games nz</t>
  </si>
  <si>
    <t>online casino einfache auszahlung</t>
  </si>
  <si>
    <t>real money online casino kentucky</t>
  </si>
  <si>
    <t>casino online utan spelpaus</t>
  </si>
  <si>
    <t>online casino bonus ohne einzahlung märz 2024</t>
  </si>
  <si>
    <t>top online casinos that accept yandex money</t>
  </si>
  <si>
    <t>best way to win online casino</t>
  </si>
  <si>
    <t>casino games demo play</t>
  </si>
  <si>
    <t>spiele casinos online casinos</t>
  </si>
  <si>
    <t>casinos online que aceptan tarjetas de credito</t>
  </si>
  <si>
    <t>live casino software provider</t>
  </si>
  <si>
    <t>bitcoin games casino</t>
  </si>
  <si>
    <t>instant play online casino</t>
  </si>
  <si>
    <t>paypal online gambling</t>
  </si>
  <si>
    <t>british columbia online casino</t>
  </si>
  <si>
    <t>craps online casino</t>
  </si>
  <si>
    <t>casino sites online</t>
  </si>
  <si>
    <t>mummys gold online casino</t>
  </si>
  <si>
    <t>online casino mit spielgeld</t>
  </si>
  <si>
    <t>online gambling in singapore</t>
  </si>
  <si>
    <t>online casinos no deposit free spins</t>
  </si>
  <si>
    <t>korea online casino</t>
  </si>
  <si>
    <t>online casino greece</t>
  </si>
  <si>
    <t>casino estoril online</t>
  </si>
  <si>
    <t>newest casinos online</t>
  </si>
  <si>
    <t>online casino schweiz echtgeld</t>
  </si>
  <si>
    <t>new online casinos with no deposit bonus codes</t>
  </si>
  <si>
    <t>same day withdrawal online casinos</t>
  </si>
  <si>
    <t>las vegas casino games</t>
  </si>
  <si>
    <t>best online betting casino</t>
  </si>
  <si>
    <t>live casino deposit termurah</t>
  </si>
  <si>
    <t>online casinos ontario</t>
  </si>
  <si>
    <t>online casino strategy</t>
  </si>
  <si>
    <t>casino online sicuri</t>
  </si>
  <si>
    <t>gametwist online casino</t>
  </si>
  <si>
    <t>apuestas online casino</t>
  </si>
  <si>
    <t>online gambling malta</t>
  </si>
  <si>
    <t>lowest house edge online casinos in ghana</t>
  </si>
  <si>
    <t>live baccarat online casino</t>
  </si>
  <si>
    <t>online casino europa bonus code</t>
  </si>
  <si>
    <t>online casino payment methods</t>
  </si>
  <si>
    <t>win casino games</t>
  </si>
  <si>
    <t>high roller online casinos</t>
  </si>
  <si>
    <t>chumba casino games</t>
  </si>
  <si>
    <t>casino slot online</t>
  </si>
  <si>
    <t>jackpot city online casino downloadable content</t>
  </si>
  <si>
    <t>free casino games online for fun</t>
  </si>
  <si>
    <t>online casino games that pay real money</t>
  </si>
  <si>
    <t>top elk studios online casino</t>
  </si>
  <si>
    <t>beste online casinos erfahrungen</t>
  </si>
  <si>
    <t>online casino betrug</t>
  </si>
  <si>
    <t>live casino mega ball</t>
  </si>
  <si>
    <t>casino games nz</t>
  </si>
  <si>
    <t>online roulette casino sites</t>
  </si>
  <si>
    <t>online casino with live dealers</t>
  </si>
  <si>
    <t>seo for online casino</t>
  </si>
  <si>
    <t>best online casino ideal</t>
  </si>
  <si>
    <t>online casino in new zealand</t>
  </si>
  <si>
    <t>casinos em portugal online</t>
  </si>
  <si>
    <t>casino games free online no download</t>
  </si>
  <si>
    <t>casino crash games</t>
  </si>
  <si>
    <t>online casino 2024 bonus ohne einzahlung</t>
  </si>
  <si>
    <t>online casino much better</t>
  </si>
  <si>
    <t>india casino online</t>
  </si>
  <si>
    <t>live roulette casino</t>
  </si>
  <si>
    <t>europa online casino</t>
  </si>
  <si>
    <t>casino bingo online</t>
  </si>
  <si>
    <t>casinos online games</t>
  </si>
  <si>
    <t>new online casinos us</t>
  </si>
  <si>
    <t>online interac casinos</t>
  </si>
  <si>
    <t>top online casino canada</t>
  </si>
  <si>
    <t>casino online zdarma</t>
  </si>
  <si>
    <t>online casino with best payouts</t>
  </si>
  <si>
    <t>fairstes online casino</t>
  </si>
  <si>
    <t>new online casinos australia 2023</t>
  </si>
  <si>
    <t>games at the casino</t>
  </si>
  <si>
    <t>cleopatra casino online</t>
  </si>
  <si>
    <t>online casino table games</t>
  </si>
  <si>
    <t>top casinos online españa</t>
  </si>
  <si>
    <t>live casino stream</t>
  </si>
  <si>
    <t>william hill online casino nj</t>
  </si>
  <si>
    <t>vanilla prepaid mastercard online gambling canada</t>
  </si>
  <si>
    <t>list of nj online casinos</t>
  </si>
  <si>
    <t>michigan casino online</t>
  </si>
  <si>
    <t>nomad games casino</t>
  </si>
  <si>
    <t>netbet online casino review</t>
  </si>
  <si>
    <t>games of casino</t>
  </si>
  <si>
    <t>online free spins casino</t>
  </si>
  <si>
    <t>american gambling online</t>
  </si>
  <si>
    <t>best online casino promo betway</t>
  </si>
  <si>
    <t>nj online casino free money</t>
  </si>
  <si>
    <t>blackjack online casino real money</t>
  </si>
  <si>
    <t>ritzo online casinos</t>
  </si>
  <si>
    <t>online gambling welcome bonus</t>
  </si>
  <si>
    <t>usa online casinos no deposit bonus</t>
  </si>
  <si>
    <t>bandar judi ion casino online</t>
  </si>
  <si>
    <t>online casinos free</t>
  </si>
  <si>
    <t>guts casino online</t>
  </si>
  <si>
    <t>online casino nl</t>
  </si>
  <si>
    <t>casino online free spins no deposit</t>
  </si>
  <si>
    <t>online casinos legal</t>
  </si>
  <si>
    <t>online casinos illinois</t>
  </si>
  <si>
    <t>ocean breeze online casino</t>
  </si>
  <si>
    <t>australia online casinos</t>
  </si>
  <si>
    <t>online flash casino games</t>
  </si>
  <si>
    <t>betsafe live casino</t>
  </si>
  <si>
    <t>casino gta 5 online</t>
  </si>
  <si>
    <t>glory casino live</t>
  </si>
  <si>
    <t>online casino no download</t>
  </si>
  <si>
    <t>casino magic online</t>
  </si>
  <si>
    <t>casino new games</t>
  </si>
  <si>
    <t>casinos online perú</t>
  </si>
  <si>
    <t>online casino vip program</t>
  </si>
  <si>
    <t>top online casinos real money</t>
  </si>
  <si>
    <t>online casino mit einzahlungsbonus</t>
  </si>
  <si>
    <t>switzerland casino online</t>
  </si>
  <si>
    <t>is online gambling legal in australia</t>
  </si>
  <si>
    <t>online casino amex</t>
  </si>
  <si>
    <t>jogos casino gratis online slots com br</t>
  </si>
  <si>
    <t>online casino sofortüberweisung</t>
  </si>
  <si>
    <t>new casino table games</t>
  </si>
  <si>
    <t>online casino non sticky bonus</t>
  </si>
  <si>
    <t>admiral casino online cz</t>
  </si>
  <si>
    <t>online casino swedish</t>
  </si>
  <si>
    <t>online casino minimum deposit</t>
  </si>
  <si>
    <t>online casino spiele</t>
  </si>
  <si>
    <t>casino roulette online</t>
  </si>
  <si>
    <t>finland online casinos</t>
  </si>
  <si>
    <t>bandar betting igkbet casino online</t>
  </si>
  <si>
    <t>$2 deposit online casino</t>
  </si>
  <si>
    <t>casino online las vegas</t>
  </si>
  <si>
    <t>barbados online casino review</t>
  </si>
  <si>
    <t>best online gambling australia</t>
  </si>
  <si>
    <t>online casino canada list</t>
  </si>
  <si>
    <t>casino online no deposit</t>
  </si>
  <si>
    <t>casino online soldi veri</t>
  </si>
  <si>
    <t>fast withdrawal online casinos</t>
  </si>
  <si>
    <t>play online casino usa</t>
  </si>
  <si>
    <t>canadian online casino reviews</t>
  </si>
  <si>
    <t>online casino bonus no wagering</t>
  </si>
  <si>
    <t>online casino utan spelgräns</t>
  </si>
  <si>
    <t>32red live casino</t>
  </si>
  <si>
    <t>free new slots games casino</t>
  </si>
  <si>
    <t>parx online casino nj</t>
  </si>
  <si>
    <t>casino online switzerland</t>
  </si>
  <si>
    <t>casino online legal em portugal</t>
  </si>
  <si>
    <t>best online live casino canada</t>
  </si>
  <si>
    <t>english casino online</t>
  </si>
  <si>
    <t>online casino baccarat</t>
  </si>
  <si>
    <t>online gambling in kansas</t>
  </si>
  <si>
    <t>online casino slot malaysia</t>
  </si>
  <si>
    <t>online casino deposit bonuses</t>
  </si>
  <si>
    <t>best new online casino nz</t>
  </si>
  <si>
    <t>online casino no verification</t>
  </si>
  <si>
    <t>casino online spelen</t>
  </si>
  <si>
    <t>casino top online</t>
  </si>
  <si>
    <t>online gambling for money</t>
  </si>
  <si>
    <t>zone casino games</t>
  </si>
  <si>
    <t>online casino 10 € bonus ohne einzahlung</t>
  </si>
  <si>
    <t>online no download casino</t>
  </si>
  <si>
    <t>ontario online casino real money</t>
  </si>
  <si>
    <t>casino roulette online play</t>
  </si>
  <si>
    <t>boku online casinos</t>
  </si>
  <si>
    <t>leo online casino</t>
  </si>
  <si>
    <t>klaver casino online casino</t>
  </si>
  <si>
    <t>new online casino uk</t>
  </si>
  <si>
    <t>top rated online gambling sites</t>
  </si>
  <si>
    <t>golden nugget online casino reviews</t>
  </si>
  <si>
    <t>citadel casino online</t>
  </si>
  <si>
    <t>alabama online gambling</t>
  </si>
  <si>
    <t>online casino zonder cruks w.store.micgadget.com</t>
  </si>
  <si>
    <t>online casino in ontario canada</t>
  </si>
  <si>
    <t>winbet online casino</t>
  </si>
  <si>
    <t>online bingo casinos</t>
  </si>
  <si>
    <t>las vegas games casino</t>
  </si>
  <si>
    <t>atlantic city casino games</t>
  </si>
  <si>
    <t>stay online casino</t>
  </si>
  <si>
    <t>online casino nj real money</t>
  </si>
  <si>
    <t>deposit with muchbetter at online casino</t>
  </si>
  <si>
    <t>luckyme slots online casino review</t>
  </si>
  <si>
    <t>casino games online free play</t>
  </si>
  <si>
    <t>casino online que aceptan paypal</t>
  </si>
  <si>
    <t>bandar betting live casino terpercaya</t>
  </si>
  <si>
    <t>jogos online casino</t>
  </si>
  <si>
    <t>seriöses online casino</t>
  </si>
  <si>
    <t>online gambling awareness</t>
  </si>
  <si>
    <t>top usa online casino</t>
  </si>
  <si>
    <t>new nz online casinos</t>
  </si>
  <si>
    <t>best online slots casinos</t>
  </si>
  <si>
    <t>luckywins live casino</t>
  </si>
  <si>
    <t>online casino mit hoher auszahlungsquote</t>
  </si>
  <si>
    <t>best online casino payouts</t>
  </si>
  <si>
    <t>online casino ohne einzahlung echtgeld</t>
  </si>
  <si>
    <t>nevada online gambling</t>
  </si>
  <si>
    <t>australian real online casino</t>
  </si>
  <si>
    <t>online gambling apps</t>
  </si>
  <si>
    <t>beste online casino bonussen</t>
  </si>
  <si>
    <t>fruity king online casino review</t>
  </si>
  <si>
    <t>best payout online casino nz</t>
  </si>
  <si>
    <t>pa borgata online casino</t>
  </si>
  <si>
    <t>best pennsylvania online casinos</t>
  </si>
  <si>
    <t>prepaid visa online casino</t>
  </si>
  <si>
    <t>online casino 1€ einzahlen</t>
  </si>
  <si>
    <t>neue online casinos mit no deposit bonus</t>
  </si>
  <si>
    <t>real money online casino utah</t>
  </si>
  <si>
    <t>online casino ohne konto 2020</t>
  </si>
  <si>
    <t>online casino nj with signup bonus</t>
  </si>
  <si>
    <t>can you cash a casino voucher online</t>
  </si>
  <si>
    <t>casino online germany</t>
  </si>
  <si>
    <t>online casinos best bonus</t>
  </si>
  <si>
    <t>draftkings online casino</t>
  </si>
  <si>
    <t>ausländische online-casino</t>
  </si>
  <si>
    <t>casinos en colombia online</t>
  </si>
  <si>
    <t>online real casino slots</t>
  </si>
  <si>
    <t>casino online android</t>
  </si>
  <si>
    <t>slot games casino online</t>
  </si>
  <si>
    <t>mejores casinos online mexico</t>
  </si>
  <si>
    <t>casino online bet</t>
  </si>
  <si>
    <t>dominican online casino</t>
  </si>
  <si>
    <t>online gambling technology</t>
  </si>
  <si>
    <t>hollywood online casino review</t>
  </si>
  <si>
    <t>online casino echtgeld spielen</t>
  </si>
  <si>
    <t>online casino 300 welcome bonus</t>
  </si>
  <si>
    <t>online gambling sites in pennsylvania</t>
  </si>
  <si>
    <t>free online casino games to play</t>
  </si>
  <si>
    <t>online casino svensk licens</t>
  </si>
  <si>
    <t>carnival games casino</t>
  </si>
  <si>
    <t>online casino gambling for real money</t>
  </si>
  <si>
    <t>casino games you can win real money</t>
  </si>
  <si>
    <t>freispiele online casino</t>
  </si>
  <si>
    <t>freeslots casino games</t>
  </si>
  <si>
    <t>best us casinos online</t>
  </si>
  <si>
    <t>echtgeld casino online</t>
  </si>
  <si>
    <t>online casino boni trust dice</t>
  </si>
  <si>
    <t>buffalo casino game online</t>
  </si>
  <si>
    <t>online casino 5 dollar deposit</t>
  </si>
  <si>
    <t>online gambling ct</t>
  </si>
  <si>
    <t>top 5 canadian online casinos</t>
  </si>
  <si>
    <t>casino roulette live</t>
  </si>
  <si>
    <t>casino sic bo online</t>
  </si>
  <si>
    <t>lucky creek online casino review</t>
  </si>
  <si>
    <t>casino online legal</t>
  </si>
  <si>
    <t>casinos online republica dominicana</t>
  </si>
  <si>
    <t>live casino vergleich</t>
  </si>
  <si>
    <t>casino games free play online</t>
  </si>
  <si>
    <t>best online casinos andorra</t>
  </si>
  <si>
    <t>merkur spiele online casino echtgeld</t>
  </si>
  <si>
    <t>bet365 online casino nj</t>
  </si>
  <si>
    <t>casino online betway</t>
  </si>
  <si>
    <t>online casino 10 dollar deposit</t>
  </si>
  <si>
    <t>mgm online casino new jersey</t>
  </si>
  <si>
    <t>jackpot city casino online gratis</t>
  </si>
  <si>
    <t>top 3 online casino</t>
  </si>
  <si>
    <t>golden nugget casino online nj</t>
  </si>
  <si>
    <t>new uk casino online</t>
  </si>
  <si>
    <t>platinum play online casino australia</t>
  </si>
  <si>
    <t>northwest territories online casino</t>
  </si>
  <si>
    <t>online casinos live</t>
  </si>
  <si>
    <t>best klarna casino online</t>
  </si>
  <si>
    <t>casino live philadelphia</t>
  </si>
  <si>
    <t>online casino payments</t>
  </si>
  <si>
    <t>casino slots games online</t>
  </si>
  <si>
    <t>slots casino free online</t>
  </si>
  <si>
    <t>luckynugget online casino spanish</t>
  </si>
  <si>
    <t>olg online casino</t>
  </si>
  <si>
    <t>online casino mit autoplay</t>
  </si>
  <si>
    <t>sbobet live casino</t>
  </si>
  <si>
    <t>top 10 online casino sites</t>
  </si>
  <si>
    <t>top ten casino games</t>
  </si>
  <si>
    <t>most popular online casinos</t>
  </si>
  <si>
    <t>cabaret club online casino</t>
  </si>
  <si>
    <t>top online casino honduras</t>
  </si>
  <si>
    <t>progressive jackpots online casino experten</t>
  </si>
  <si>
    <t>online casino gpay</t>
  </si>
  <si>
    <t>casino online bonus no deposit portugal</t>
  </si>
  <si>
    <t>jugar casino online</t>
  </si>
  <si>
    <t>mejores casinos online sin registro</t>
  </si>
  <si>
    <t>online casino for cash</t>
  </si>
  <si>
    <t>top uk online casino</t>
  </si>
  <si>
    <t>bitcoin mobile casino games</t>
  </si>
  <si>
    <t>colorado casino online</t>
  </si>
  <si>
    <t>online nz casino</t>
  </si>
  <si>
    <t>spiele casinos online casino spiele</t>
  </si>
  <si>
    <t>online casino play real money</t>
  </si>
  <si>
    <t>real casino games for real cash</t>
  </si>
  <si>
    <t>louisiana casino online</t>
  </si>
  <si>
    <t>william hill casino live</t>
  </si>
  <si>
    <t>juego online casino</t>
  </si>
  <si>
    <t>online new casino</t>
  </si>
  <si>
    <t>best online casinos in ireland</t>
  </si>
  <si>
    <t>casinos online apple pay españa</t>
  </si>
  <si>
    <t>online casino apps that pay real money</t>
  </si>
  <si>
    <t>casino book of ra online</t>
  </si>
  <si>
    <t>gratis casino slots online spelen</t>
  </si>
  <si>
    <t>casino online sicuro</t>
  </si>
  <si>
    <t>live casino games in bitcoin gambling site</t>
  </si>
  <si>
    <t>casino midas online</t>
  </si>
  <si>
    <t>live casino sverige</t>
  </si>
  <si>
    <t>online gambling sites australia</t>
  </si>
  <si>
    <t>online casinos echtgeld bonus</t>
  </si>
  <si>
    <t>spinpalace juegos de casino online</t>
  </si>
  <si>
    <t>online casino games to play for free</t>
  </si>
  <si>
    <t>online casino us</t>
  </si>
  <si>
    <t>majestic star casino online games</t>
  </si>
  <si>
    <t>best online casinos in pa</t>
  </si>
  <si>
    <t>best casino online review</t>
  </si>
  <si>
    <t>casinos espana online</t>
  </si>
  <si>
    <t>online casino free spin</t>
  </si>
  <si>
    <t>bra online casino</t>
  </si>
  <si>
    <t>neue casinos online</t>
  </si>
  <si>
    <t>casino online slovenija</t>
  </si>
  <si>
    <t>bewertung online casino</t>
  </si>
  <si>
    <t>online gambling united states</t>
  </si>
  <si>
    <t>spin online casino</t>
  </si>
  <si>
    <t>gambling online for real money</t>
  </si>
  <si>
    <t>casino online com bonus</t>
  </si>
  <si>
    <t>top online casinos in usa</t>
  </si>
  <si>
    <t>us online gambling</t>
  </si>
  <si>
    <t>gowild online casino</t>
  </si>
  <si>
    <t>fast payout online casinos</t>
  </si>
  <si>
    <t>slots games casino</t>
  </si>
  <si>
    <t>genesis casino games</t>
  </si>
  <si>
    <t>best payouts online casinos</t>
  </si>
  <si>
    <t>utah online casino</t>
  </si>
  <si>
    <t>online casino no verification withdrawal</t>
  </si>
  <si>
    <t>online casino not on gamstop</t>
  </si>
  <si>
    <t>top spinomenal online casino</t>
  </si>
  <si>
    <t>online casino low deposit</t>
  </si>
  <si>
    <t>casino online france</t>
  </si>
  <si>
    <t>top live casino games</t>
  </si>
  <si>
    <t>nieuwste casino online</t>
  </si>
  <si>
    <t>global live casino</t>
  </si>
  <si>
    <t>real money online casino games</t>
  </si>
  <si>
    <t>online casino slovenia</t>
  </si>
  <si>
    <t>ücretsiz online casino no deposit gerekli</t>
  </si>
  <si>
    <t>gratis online casino spiele ohne anmeldung</t>
  </si>
  <si>
    <t>best online gambling casino</t>
  </si>
  <si>
    <t>online casino bonus 🇩🇪 casinod.casino 🎁</t>
  </si>
  <si>
    <t>casinos online poker</t>
  </si>
  <si>
    <t>lucky online casino</t>
  </si>
  <si>
    <t>no deposit bonus online casino</t>
  </si>
  <si>
    <t>golden nugget online casino app</t>
  </si>
  <si>
    <t>casino online promotion</t>
  </si>
  <si>
    <t>golden online casino</t>
  </si>
  <si>
    <t>us casino online no deposit bonus</t>
  </si>
  <si>
    <t>vietnam casino online</t>
  </si>
  <si>
    <t>pay id online casino</t>
  </si>
  <si>
    <t>nuevos casinos online españa 2020</t>
  </si>
  <si>
    <t>new online casino slot games</t>
  </si>
  <si>
    <t>indian online casinos for rupees</t>
  </si>
  <si>
    <t>best online casino indiana</t>
  </si>
  <si>
    <t>online casino in new jersey</t>
  </si>
  <si>
    <t>are online casinos legal</t>
  </si>
  <si>
    <t>best dutch online casinos</t>
  </si>
  <si>
    <t>online casino sk bonus bez vkladu</t>
  </si>
  <si>
    <t>most secure online casino</t>
  </si>
  <si>
    <t>williamhill live casino</t>
  </si>
  <si>
    <t>mega wheel live casino</t>
  </si>
  <si>
    <t>best online casino bonuses uk</t>
  </si>
  <si>
    <t>real money online casino north dakota</t>
  </si>
  <si>
    <t>microgaming online casino</t>
  </si>
  <si>
    <t>roulette live online casino</t>
  </si>
  <si>
    <t>casino online svizzera</t>
  </si>
  <si>
    <t>grand casino online</t>
  </si>
  <si>
    <t>online casino casino games</t>
  </si>
  <si>
    <t>online casino merkur spiele</t>
  </si>
  <si>
    <t>quickest payout online casino</t>
  </si>
  <si>
    <t>new online casinos that accept us players</t>
  </si>
  <si>
    <t>best online casino ipad</t>
  </si>
  <si>
    <t>responsible online casino</t>
  </si>
  <si>
    <t>online casino offers uk</t>
  </si>
  <si>
    <t>top online casinos in ireland</t>
  </si>
  <si>
    <t>live casino games malaysia</t>
  </si>
  <si>
    <t>casino games table</t>
  </si>
  <si>
    <t>live dealer casino reviews</t>
  </si>
  <si>
    <t>georgia online gambling</t>
  </si>
  <si>
    <t>online casino reviews &amp; ratings</t>
  </si>
  <si>
    <t>no deposit live casino bonus</t>
  </si>
  <si>
    <t>virgin casino online nj</t>
  </si>
  <si>
    <t>casino online 🇩🇪 deutshespiele.blog</t>
  </si>
  <si>
    <t>live casino site</t>
  </si>
  <si>
    <t>mgm online casino in nj</t>
  </si>
  <si>
    <t>live casino thailand</t>
  </si>
  <si>
    <t>beste online casino echtgeld</t>
  </si>
  <si>
    <t>online live casino real money</t>
  </si>
  <si>
    <t>casino online con bonus senza deposito</t>
  </si>
  <si>
    <t>scatters casino online</t>
  </si>
  <si>
    <t>online casino without gamstop</t>
  </si>
  <si>
    <t>online casino real money fast payout</t>
  </si>
  <si>
    <t>spin casino live chat</t>
  </si>
  <si>
    <t>gioco casino online</t>
  </si>
  <si>
    <t>plinko online gambling</t>
  </si>
  <si>
    <t>ri online casino</t>
  </si>
  <si>
    <t>bestes playn go online casino</t>
  </si>
  <si>
    <t>casino online sem depósito</t>
  </si>
  <si>
    <t>singapore casino games</t>
  </si>
  <si>
    <t>cherry casino free games</t>
  </si>
  <si>
    <t>casinos online r franco</t>
  </si>
  <si>
    <t>slots online casino</t>
  </si>
  <si>
    <t>casino online senza download</t>
  </si>
  <si>
    <t>mobile casino games downloads</t>
  </si>
  <si>
    <t>are casino games rigged</t>
  </si>
  <si>
    <t>nzd online casinos</t>
  </si>
  <si>
    <t>google pay online casino</t>
  </si>
  <si>
    <t>online casino in nj</t>
  </si>
  <si>
    <t>good online casino apps</t>
  </si>
  <si>
    <t>casino games that pay real money through cash app</t>
  </si>
  <si>
    <t>online casino portugal</t>
  </si>
  <si>
    <t>find online casinos</t>
  </si>
  <si>
    <t>free online casino no deposit bonus codes</t>
  </si>
  <si>
    <t>legitimate online casino canada</t>
  </si>
  <si>
    <t>north carolina online gambling</t>
  </si>
  <si>
    <t>blackjack online casino</t>
  </si>
  <si>
    <t>norsk casino online</t>
  </si>
  <si>
    <t>online gambling deals</t>
  </si>
  <si>
    <t>casino online free play</t>
  </si>
  <si>
    <t>free iphone casino games</t>
  </si>
  <si>
    <t>online casinos vergleich</t>
  </si>
  <si>
    <t>spain online casinos</t>
  </si>
  <si>
    <t>no deposit online australian casinos</t>
  </si>
  <si>
    <t>qual melhor casino online</t>
  </si>
  <si>
    <t>online casino cyprus</t>
  </si>
  <si>
    <t>best online casinos usa</t>
  </si>
  <si>
    <t>online casinos in mi</t>
  </si>
  <si>
    <t>free casino games no download or registration</t>
  </si>
  <si>
    <t>harrahs online casino reviews</t>
  </si>
  <si>
    <t>online casinos that accept prepaid visa</t>
  </si>
  <si>
    <t>virginia casino online</t>
  </si>
  <si>
    <t>virgin nj online casino</t>
  </si>
  <si>
    <t>online casinos im test</t>
  </si>
  <si>
    <t>wat zijn de beste online casino</t>
  </si>
  <si>
    <t>michigan online casino no deposit bonus</t>
  </si>
  <si>
    <t>jugar casinos online</t>
  </si>
  <si>
    <t>online casino mit book of ra</t>
  </si>
  <si>
    <t>online casino games india</t>
  </si>
  <si>
    <t>buy online casino</t>
  </si>
  <si>
    <t>bonus online casinos</t>
  </si>
  <si>
    <t>luckynugget juegos de casino online</t>
  </si>
  <si>
    <t>monte carlo casino online</t>
  </si>
  <si>
    <t>online casino for australian players</t>
  </si>
  <si>
    <t>online casinos that accept bank account</t>
  </si>
  <si>
    <t>casino gambling games</t>
  </si>
  <si>
    <t>online casino deposit bonus</t>
  </si>
  <si>
    <t>new casino slots games</t>
  </si>
  <si>
    <t>online casino development</t>
  </si>
  <si>
    <t>online casino einzahlung paypal</t>
  </si>
  <si>
    <t>eurobet casino online</t>
  </si>
  <si>
    <t>casino online jackpot city</t>
  </si>
  <si>
    <t>online casino bonus 10 euro einzahlung</t>
  </si>
  <si>
    <t>slots lv online casino</t>
  </si>
  <si>
    <t>top playson online casino</t>
  </si>
  <si>
    <t>neue online casinos ohne einzahlung</t>
  </si>
  <si>
    <t>online casino bonus without deposit</t>
  </si>
  <si>
    <t>keno casino online</t>
  </si>
  <si>
    <t>live casino games online</t>
  </si>
  <si>
    <t>online casino with bank transfer</t>
  </si>
  <si>
    <t>australian online casino paypal</t>
  </si>
  <si>
    <t>live casino baccarat</t>
  </si>
  <si>
    <t>online gambling dc</t>
  </si>
  <si>
    <t>judi casino igkbet online</t>
  </si>
  <si>
    <t>casino online cryptologic</t>
  </si>
  <si>
    <t>italy online casino</t>
  </si>
  <si>
    <t>cresus casino online</t>
  </si>
  <si>
    <t>casino online in cambodia</t>
  </si>
  <si>
    <t>bestes pragmatic play online casino</t>
  </si>
  <si>
    <t>top casino online sites</t>
  </si>
  <si>
    <t>ontario new online casino</t>
  </si>
  <si>
    <t>ver casino online</t>
  </si>
  <si>
    <t>online gambling florida legal</t>
  </si>
  <si>
    <t>best online casino ca</t>
  </si>
  <si>
    <t>best online casino spain</t>
  </si>
  <si>
    <t>poker casino online</t>
  </si>
  <si>
    <t>new online casinos usa no deposit 2020</t>
  </si>
  <si>
    <t>golden nugget online casino promotions</t>
  </si>
  <si>
    <t>singapore online casino free credit</t>
  </si>
  <si>
    <t>mgm grand online gambling</t>
  </si>
  <si>
    <t>buitenlandse online casino</t>
  </si>
  <si>
    <t>monopoly casino game online free</t>
  </si>
  <si>
    <t>dogecoin online gambling</t>
  </si>
  <si>
    <t>casino online mit paypal</t>
  </si>
  <si>
    <t>online casino bulgarian</t>
  </si>
  <si>
    <t>best casinos online</t>
  </si>
  <si>
    <t>best rtg casinos australia online</t>
  </si>
  <si>
    <t>top online casino sites uk</t>
  </si>
  <si>
    <t>online casino india 2021</t>
  </si>
  <si>
    <t>new online casinos 2022</t>
  </si>
  <si>
    <t>online gambling sites michigan</t>
  </si>
  <si>
    <t>pinup online casino</t>
  </si>
  <si>
    <t>online casinos sofortüberweisung</t>
  </si>
  <si>
    <t>most trusted australian online casino</t>
  </si>
  <si>
    <t>casino card game online</t>
  </si>
  <si>
    <t>best uk online casinos</t>
  </si>
  <si>
    <t>bgo casino online</t>
  </si>
  <si>
    <t>spinson online casino</t>
  </si>
  <si>
    <t>new jersey online casino reviews</t>
  </si>
  <si>
    <t>online gratis casino</t>
  </si>
  <si>
    <t>best canadian casino online</t>
  </si>
  <si>
    <t>u.s. online casinos</t>
  </si>
  <si>
    <t>casino dk online casino</t>
  </si>
  <si>
    <t>beste betsoft online casino</t>
  </si>
  <si>
    <t>bestes skrill online casino</t>
  </si>
  <si>
    <t>online casino s licenci</t>
  </si>
  <si>
    <t>a trusted online gambling</t>
  </si>
  <si>
    <t>spain casino online</t>
  </si>
  <si>
    <t>online casinos that accept echeck</t>
  </si>
  <si>
    <t>pa online casino promo codes</t>
  </si>
  <si>
    <t>online casinos $1 deposit</t>
  </si>
  <si>
    <t>new online casino india</t>
  </si>
  <si>
    <t>online casino review canada</t>
  </si>
  <si>
    <t>best online casino to play</t>
  </si>
  <si>
    <t>casino spil online</t>
  </si>
  <si>
    <t>online casino echtgeld bonus ohne einzahlung</t>
  </si>
  <si>
    <t>casino online for real money</t>
  </si>
  <si>
    <t>promociones casinos online</t>
  </si>
  <si>
    <t>best online casinos in sweden</t>
  </si>
  <si>
    <t>best online casinos 2021</t>
  </si>
  <si>
    <t>california casino online</t>
  </si>
  <si>
    <t>online spiele casino</t>
  </si>
  <si>
    <t>siti casino live</t>
  </si>
  <si>
    <t>philippines online gambling</t>
  </si>
  <si>
    <t>malaysia online gambling</t>
  </si>
  <si>
    <t>1win casino online</t>
  </si>
  <si>
    <t>online casino deutschland bonus ohne einzahlung</t>
  </si>
  <si>
    <t>casinos online paraguay</t>
  </si>
  <si>
    <t>online casino best welcome bonus</t>
  </si>
  <si>
    <t>casino online gaming</t>
  </si>
  <si>
    <t>slot online 242--casino(rajadewa138)</t>
  </si>
  <si>
    <t>casino online ελλαδα</t>
  </si>
  <si>
    <t>best european online casinos</t>
  </si>
  <si>
    <t>online casino mit muchbetter</t>
  </si>
  <si>
    <t>casino game online uk</t>
  </si>
  <si>
    <t>casino online england</t>
  </si>
  <si>
    <t>online gambling sites india</t>
  </si>
  <si>
    <t>live game casino malaysia</t>
  </si>
  <si>
    <t>caesars casino online game</t>
  </si>
  <si>
    <t>casino games online play</t>
  </si>
  <si>
    <t>bandar betting live casino online</t>
  </si>
  <si>
    <t>online casino canada no wagering requirements</t>
  </si>
  <si>
    <t>online casino provider</t>
  </si>
  <si>
    <t>online gambling software provider</t>
  </si>
  <si>
    <t>online casino ohne begrenzung</t>
  </si>
  <si>
    <t>online casinos that accept amex</t>
  </si>
  <si>
    <t>online casinos reviews uk</t>
  </si>
  <si>
    <t>casinos online bonus</t>
  </si>
  <si>
    <t>online casino russian</t>
  </si>
  <si>
    <t>at home casino games</t>
  </si>
  <si>
    <t>free to play casino slot games</t>
  </si>
  <si>
    <t>best online casinos in australia</t>
  </si>
  <si>
    <t>best casino online in finland</t>
  </si>
  <si>
    <t>asia online casino</t>
  </si>
  <si>
    <t>cashtocode online casinos</t>
  </si>
  <si>
    <t>safe online casino ireland</t>
  </si>
  <si>
    <t>online casino za</t>
  </si>
  <si>
    <t>bally casino games</t>
  </si>
  <si>
    <t>best online casinos in saudi arabia</t>
  </si>
  <si>
    <t>spiel casino online</t>
  </si>
  <si>
    <t>casino online brasileiro</t>
  </si>
  <si>
    <t>mastercard online casinos</t>
  </si>
  <si>
    <t>online casino bonus bei anmeldung</t>
  </si>
  <si>
    <t>tipos casino online</t>
  </si>
  <si>
    <t>choosing the best online casinos in canada</t>
  </si>
  <si>
    <t>best usa casinos online</t>
  </si>
  <si>
    <t>states that online gambling is legal</t>
  </si>
  <si>
    <t>using paypal for online casino</t>
  </si>
  <si>
    <t>brand new online casinos usa no deposit bonus</t>
  </si>
  <si>
    <t>sportsbook casino online</t>
  </si>
  <si>
    <t>non uk online casino</t>
  </si>
  <si>
    <t>mohegan sun nj online casino</t>
  </si>
  <si>
    <t>online gambling in indiana</t>
  </si>
  <si>
    <t>online casino mit freispiele ohne einzahlung</t>
  </si>
  <si>
    <t>online casino games api integration</t>
  </si>
  <si>
    <t>caesars palace online casino</t>
  </si>
  <si>
    <t>casino online test</t>
  </si>
  <si>
    <t>free casino slot games for fun</t>
  </si>
  <si>
    <t>curacao online gambling license cost</t>
  </si>
  <si>
    <t>south african online casino list</t>
  </si>
  <si>
    <t>low minimum deposit online casino</t>
  </si>
  <si>
    <t>online casino accepting credit card</t>
  </si>
  <si>
    <t>online casino ab 5 euro einzahlung</t>
  </si>
  <si>
    <t>casino games best odds</t>
  </si>
  <si>
    <t>casino online ranking</t>
  </si>
  <si>
    <t>echeck online casinos</t>
  </si>
  <si>
    <t>olg online gambling</t>
  </si>
  <si>
    <t>casino online thailand</t>
  </si>
  <si>
    <t>online live dealer casino</t>
  </si>
  <si>
    <t>free casino games to play</t>
  </si>
  <si>
    <t>baccarat casino game online free</t>
  </si>
  <si>
    <t>booming games casino</t>
  </si>
  <si>
    <t>neue online casinos 2022</t>
  </si>
  <si>
    <t>casino online sin deposito</t>
  </si>
  <si>
    <t>888 online casino</t>
  </si>
  <si>
    <t>online casino giropay</t>
  </si>
  <si>
    <t>online casino south carolina</t>
  </si>
  <si>
    <t>online casinos croatia</t>
  </si>
  <si>
    <t>bandar judi casino live bonus melimpah</t>
  </si>
  <si>
    <t>play baccarat online casino</t>
  </si>
  <si>
    <t>online casino slovakia</t>
  </si>
  <si>
    <t>agen casino online terpercaya</t>
  </si>
  <si>
    <t>best online nj casinos</t>
  </si>
  <si>
    <t>fortunejack online casino</t>
  </si>
  <si>
    <t>casino luckia online</t>
  </si>
  <si>
    <t>free spins no deposit online casinos</t>
  </si>
  <si>
    <t>online casino $1 minimum deposit</t>
  </si>
  <si>
    <t>no deposit online casinos uk</t>
  </si>
  <si>
    <t>seriöse online casinos</t>
  </si>
  <si>
    <t>konzessionierte online casinos</t>
  </si>
  <si>
    <t>ganar dinero con casinos online</t>
  </si>
  <si>
    <t>top casino online romania</t>
  </si>
  <si>
    <t>casino online europe</t>
  </si>
  <si>
    <t>dragonfish online casinos</t>
  </si>
  <si>
    <t>best online casino germany</t>
  </si>
  <si>
    <t>online casinos with boku</t>
  </si>
  <si>
    <t>best game to play online casino</t>
  </si>
  <si>
    <t>new independent online casinos</t>
  </si>
  <si>
    <t>online free slots casino</t>
  </si>
  <si>
    <t>melhores casinos online blackjack</t>
  </si>
  <si>
    <t>spinpalace online casino argentina</t>
  </si>
  <si>
    <t>atlantis casino online</t>
  </si>
  <si>
    <t>secure casino online</t>
  </si>
  <si>
    <t>casino app games that pay real money</t>
  </si>
  <si>
    <t>online casino free credit</t>
  </si>
  <si>
    <t>gambling slot online</t>
  </si>
  <si>
    <t>jackpot city online casino australia</t>
  </si>
  <si>
    <t>vanilla visa gift card online gambling</t>
  </si>
  <si>
    <t>online casino mobile payment deutschland</t>
  </si>
  <si>
    <t>casino games casino games</t>
  </si>
  <si>
    <t>gute online casinos</t>
  </si>
  <si>
    <t>duitse online casino</t>
  </si>
  <si>
    <t>online casino ghana</t>
  </si>
  <si>
    <t>bally online casino</t>
  </si>
  <si>
    <t>online casinos free no deposit bonuses</t>
  </si>
  <si>
    <t>888 casino live casino</t>
  </si>
  <si>
    <t>gta online casino car</t>
  </si>
  <si>
    <t>delaware park online casino</t>
  </si>
  <si>
    <t>bet365 online casino review nj</t>
  </si>
  <si>
    <t>online casino big bonuses</t>
  </si>
  <si>
    <t>secure online casino</t>
  </si>
  <si>
    <t>bestes online casino spiel</t>
  </si>
  <si>
    <t>malaysia online casino slots</t>
  </si>
  <si>
    <t>beste online casino belgie</t>
  </si>
  <si>
    <t>online casino banküberweisung</t>
  </si>
  <si>
    <t>parx casino online nj</t>
  </si>
  <si>
    <t>casino online bonus code</t>
  </si>
  <si>
    <t>best online casino denmark</t>
  </si>
  <si>
    <t>best online casino play real money</t>
  </si>
  <si>
    <t>new uk online casino</t>
  </si>
  <si>
    <t>united kingdom online casinos</t>
  </si>
  <si>
    <t>agen judi casino online</t>
  </si>
  <si>
    <t>top rated australian online casinos</t>
  </si>
  <si>
    <t>betrouwbare casino online</t>
  </si>
  <si>
    <t>neue online casinos 2024</t>
  </si>
  <si>
    <t>online casino newsletter</t>
  </si>
  <si>
    <t>free online casino no deposit codes</t>
  </si>
  <si>
    <t>casino online bonus no deposit</t>
  </si>
  <si>
    <t>online casino εξωτερικου</t>
  </si>
  <si>
    <t>raging bull online casino</t>
  </si>
  <si>
    <t>casino online kostenlos</t>
  </si>
  <si>
    <t>slot games casino</t>
  </si>
  <si>
    <t>online casino free play bonus</t>
  </si>
  <si>
    <t>online casino in usa no deposit</t>
  </si>
  <si>
    <t>online casino bc</t>
  </si>
  <si>
    <t>best roulette casino online</t>
  </si>
  <si>
    <t>wunderino online casino login</t>
  </si>
  <si>
    <t>vegas online gambling</t>
  </si>
  <si>
    <t>online casinos that take prepaid visa</t>
  </si>
  <si>
    <t>online casino brands</t>
  </si>
  <si>
    <t>romania casino online</t>
  </si>
  <si>
    <t>caesars casino online nj</t>
  </si>
  <si>
    <t>online casino mit bitcoin</t>
  </si>
  <si>
    <t>games casino free online</t>
  </si>
  <si>
    <t>online casino mit sportwetten</t>
  </si>
  <si>
    <t>casino online aams lista</t>
  </si>
  <si>
    <t>iowa online casinos</t>
  </si>
  <si>
    <t>guia de casino online</t>
  </si>
  <si>
    <t>casino mate online casino</t>
  </si>
  <si>
    <t>casinos online arizona</t>
  </si>
  <si>
    <t>casinos online en paraguay</t>
  </si>
  <si>
    <t>online casino free</t>
  </si>
  <si>
    <t>casino ireland online</t>
  </si>
  <si>
    <t>casino romania online</t>
  </si>
  <si>
    <t>free casino slot games online</t>
  </si>
  <si>
    <t>casino online 🏆 deutschecasino.site</t>
  </si>
  <si>
    <t>casino slot games win real money</t>
  </si>
  <si>
    <t>free online casino bets</t>
  </si>
  <si>
    <t>usa online casino</t>
  </si>
  <si>
    <t>fenikss casino online</t>
  </si>
  <si>
    <t>online casino roulette echtgeld</t>
  </si>
  <si>
    <t>legal online casino singapore</t>
  </si>
  <si>
    <t>$5 deposit online casino</t>
  </si>
  <si>
    <t>live online casino canada</t>
  </si>
  <si>
    <t>legit casino online</t>
  </si>
  <si>
    <t>best bitcoin casinos online</t>
  </si>
  <si>
    <t>agen betting casino igkbet online</t>
  </si>
  <si>
    <t>robin roo online casino</t>
  </si>
  <si>
    <t>table top casino games</t>
  </si>
  <si>
    <t>curacao online casinos</t>
  </si>
  <si>
    <t>quick hit casino slot games</t>
  </si>
  <si>
    <t>online casinos with cad</t>
  </si>
  <si>
    <t>poker games casino</t>
  </si>
  <si>
    <t>crazy pachinko live casino</t>
  </si>
  <si>
    <t>bandar betting casino live</t>
  </si>
  <si>
    <t>casinos online usa</t>
  </si>
  <si>
    <t>online casino japanese</t>
  </si>
  <si>
    <t>best odds casino games</t>
  </si>
  <si>
    <t>casino online sites</t>
  </si>
  <si>
    <t>cash app online casino</t>
  </si>
  <si>
    <t>online casinos nj</t>
  </si>
  <si>
    <t>best online casinos for canadian players</t>
  </si>
  <si>
    <t>best online casino for roulette system</t>
  </si>
  <si>
    <t>casinoepoca casino online</t>
  </si>
  <si>
    <t>top red rake gaming online casino</t>
  </si>
  <si>
    <t>casinos games online</t>
  </si>
  <si>
    <t>online+casino</t>
  </si>
  <si>
    <t>online casino sms payment deutschland</t>
  </si>
  <si>
    <t>online no deposit casinos</t>
  </si>
  <si>
    <t>seriöse online casinos schweiz</t>
  </si>
  <si>
    <t>casinos online gambling</t>
  </si>
  <si>
    <t>casino online sanremo</t>
  </si>
  <si>
    <t>top online casinos in india</t>
  </si>
  <si>
    <t>online casino bonus ohne einzahlung deutschland</t>
  </si>
  <si>
    <t>neue online casinos 2020</t>
  </si>
  <si>
    <t>online casino games in canada</t>
  </si>
  <si>
    <t>real online casinos for real money</t>
  </si>
  <si>
    <t>online casino spiele kostenlos gametwist casino</t>
  </si>
  <si>
    <t>all slots casino online</t>
  </si>
  <si>
    <t>juegos online de casinos</t>
  </si>
  <si>
    <t>21 casino online</t>
  </si>
  <si>
    <t>review online casino</t>
  </si>
  <si>
    <t>betrouwbaar online casino ideal</t>
  </si>
  <si>
    <t>borgata casino online nj</t>
  </si>
  <si>
    <t>online casino debit card deposit</t>
  </si>
  <si>
    <t>canadian online casinos that accept echeck</t>
  </si>
  <si>
    <t>leovegas online casino india</t>
  </si>
  <si>
    <t>legit real money online casino</t>
  </si>
  <si>
    <t>online casino auszahlung probleme</t>
  </si>
  <si>
    <t>red tiger gaming online casino</t>
  </si>
  <si>
    <t>online casino echtgeld google pay</t>
  </si>
  <si>
    <t>virgin online casino</t>
  </si>
  <si>
    <t>online casinos belgie</t>
  </si>
  <si>
    <t>best games at the casino</t>
  </si>
  <si>
    <t>sichere online casinos mit bonus ohne einzahlung</t>
  </si>
  <si>
    <t>norwegian online casinos</t>
  </si>
  <si>
    <t>online casinos schweiz</t>
  </si>
  <si>
    <t>casino jackpot city online</t>
  </si>
  <si>
    <t>agen judi joker123 casino online</t>
  </si>
  <si>
    <t>online casino apple pay</t>
  </si>
  <si>
    <t>caesars casino online promotions</t>
  </si>
  <si>
    <t>high roller casino games</t>
  </si>
  <si>
    <t>online casino slovenský</t>
  </si>
  <si>
    <t>fastest online casino payout</t>
  </si>
  <si>
    <t>live online casino games</t>
  </si>
  <si>
    <t>online casino games australia real money</t>
  </si>
  <si>
    <t>mgm casino online pa</t>
  </si>
  <si>
    <t>betamo online casino</t>
  </si>
  <si>
    <t>win real money online casino for free usa</t>
  </si>
  <si>
    <t>best offers online casino</t>
  </si>
  <si>
    <t>jogos de casino gratis online</t>
  </si>
  <si>
    <t>holland casino online 2021</t>
  </si>
  <si>
    <t>yggdrasil online casino</t>
  </si>
  <si>
    <t>free online casino money no deposit</t>
  </si>
  <si>
    <t>live casino dealers</t>
  </si>
  <si>
    <t>bonos casino online</t>
  </si>
  <si>
    <t>best ontario online casinos</t>
  </si>
  <si>
    <t>betsoft online casinos</t>
  </si>
  <si>
    <t>arkansas online casinos</t>
  </si>
  <si>
    <t>download casino slot games</t>
  </si>
  <si>
    <t>online casino that accepts american express</t>
  </si>
  <si>
    <t>casinoland online casino</t>
  </si>
  <si>
    <t>online casino sites philippines</t>
  </si>
  <si>
    <t>latest online casino bonus codes</t>
  </si>
  <si>
    <t>best slot games to play at casino</t>
  </si>
  <si>
    <t>wms casino games online</t>
  </si>
  <si>
    <t>best online casino games in india</t>
  </si>
  <si>
    <t>m777 casino online</t>
  </si>
  <si>
    <t>online casino roulette live</t>
  </si>
  <si>
    <t>top 10 european online casinos</t>
  </si>
  <si>
    <t>casino echtgeld online</t>
  </si>
  <si>
    <t>casino free games slot</t>
  </si>
  <si>
    <t>android online casino</t>
  </si>
  <si>
    <t>plataformas de casino online</t>
  </si>
  <si>
    <t>kostenlose casino online spiele</t>
  </si>
  <si>
    <t>online casinos no deposit bonuses</t>
  </si>
  <si>
    <t>kaboo casino online casino</t>
  </si>
  <si>
    <t>online casino suriname</t>
  </si>
  <si>
    <t>new south african online casino</t>
  </si>
  <si>
    <t>best credit card online casinos</t>
  </si>
  <si>
    <t>migliori siti casino live</t>
  </si>
  <si>
    <t>best online casino slot</t>
  </si>
  <si>
    <t>casino online migliore</t>
  </si>
  <si>
    <t>circus online casino</t>
  </si>
  <si>
    <t>online gambling india 2023</t>
  </si>
  <si>
    <t>video poker online casino</t>
  </si>
  <si>
    <t>casino online 💰 deutschecasino.site</t>
  </si>
  <si>
    <t>betrouwbare nederlandse online casino</t>
  </si>
  <si>
    <t>betting usa new jersey online casinos</t>
  </si>
  <si>
    <t>casino list online</t>
  </si>
  <si>
    <t>florida online casinos</t>
  </si>
  <si>
    <t>eve online casino</t>
  </si>
  <si>
    <t>online casino games nj</t>
  </si>
  <si>
    <t>diy casino games</t>
  </si>
  <si>
    <t>casino card game online free</t>
  </si>
  <si>
    <t>lucky nugget online casino spanish</t>
  </si>
  <si>
    <t>parhaat online casino</t>
  </si>
  <si>
    <t>real money online casino alaska</t>
  </si>
  <si>
    <t>fast payout online casino australia</t>
  </si>
  <si>
    <t>best pa online casinos</t>
  </si>
  <si>
    <t>free casino games nz</t>
  </si>
  <si>
    <t>online casino deutschland test</t>
  </si>
  <si>
    <t>free online casino slots real money</t>
  </si>
  <si>
    <t>online casino free spins utan insättning</t>
  </si>
  <si>
    <t>saucify online casinos</t>
  </si>
  <si>
    <t>best online casino usa real money no deposit</t>
  </si>
  <si>
    <t>newest online casinos australia</t>
  </si>
  <si>
    <t>casino games for beginners</t>
  </si>
  <si>
    <t>casino online spielen mit echtgeld</t>
  </si>
  <si>
    <t>book of ra online casino österreich</t>
  </si>
  <si>
    <t>paysafecard casino online</t>
  </si>
  <si>
    <t>merkur casino games</t>
  </si>
  <si>
    <t>video poker casino games free</t>
  </si>
  <si>
    <t>top online casino uk</t>
  </si>
  <si>
    <t>online casino bonus 300</t>
  </si>
  <si>
    <t>online casinos top 100</t>
  </si>
  <si>
    <t>las vegas online gambling</t>
  </si>
  <si>
    <t>red tiger casino games</t>
  </si>
  <si>
    <t>best casino games to win money</t>
  </si>
  <si>
    <t>casino online australia real money</t>
  </si>
  <si>
    <t>online casino 5 euro bonus ohne einzahlung</t>
  </si>
  <si>
    <t>casino joy online</t>
  </si>
  <si>
    <t>netbet online casino erfahrungen</t>
  </si>
  <si>
    <t>mejores casinos online ruleta</t>
  </si>
  <si>
    <t>luck casino online</t>
  </si>
  <si>
    <t>online gambling companies</t>
  </si>
  <si>
    <t>judi casino sbc168 online</t>
  </si>
  <si>
    <t>casino online rotiri gratuite</t>
  </si>
  <si>
    <t>casino online con bonus gratis senza deposito</t>
  </si>
  <si>
    <t>online gambling sites new york</t>
  </si>
  <si>
    <t>the grand ivy online casino</t>
  </si>
  <si>
    <t>south african online casinos free bonus</t>
  </si>
  <si>
    <t>online 555 casino</t>
  </si>
  <si>
    <t>instadebit online casino</t>
  </si>
  <si>
    <t>online casino mindesteinzahlung 1€</t>
  </si>
  <si>
    <t>best casinos for online slot machines</t>
  </si>
  <si>
    <t>doubledown casino slots games blackjack roulette</t>
  </si>
  <si>
    <t>biggest uk online casinos</t>
  </si>
  <si>
    <t>alla online casino</t>
  </si>
  <si>
    <t>online casinos for real money slots</t>
  </si>
  <si>
    <t>best online casino to win money</t>
  </si>
  <si>
    <t>dogecoin casino games</t>
  </si>
  <si>
    <t>fast withdrawal online casino kenya</t>
  </si>
  <si>
    <t>online swiss casino</t>
  </si>
  <si>
    <t>cbet casino online</t>
  </si>
  <si>
    <t>club casino online</t>
  </si>
  <si>
    <t>rich casino online</t>
  </si>
  <si>
    <t>legit canadian online casino</t>
  </si>
  <si>
    <t>live blackjack casino online</t>
  </si>
  <si>
    <t>gambling online free money</t>
  </si>
  <si>
    <t>online casino nz no deposit</t>
  </si>
  <si>
    <t>sky casino online</t>
  </si>
  <si>
    <t>top online casino games</t>
  </si>
  <si>
    <t>best online casino canada reviews</t>
  </si>
  <si>
    <t>casino online mr bet</t>
  </si>
  <si>
    <t>online casino gratis freispiele ohne einzahlung</t>
  </si>
  <si>
    <t>hi lo live casino</t>
  </si>
  <si>
    <t>online casino boku</t>
  </si>
  <si>
    <t>togel casino online</t>
  </si>
  <si>
    <t>online casino that takes mastercard</t>
  </si>
  <si>
    <t>rating online casino</t>
  </si>
  <si>
    <t>online casino solution</t>
  </si>
  <si>
    <t>casino games for cash</t>
  </si>
  <si>
    <t>online casino slots usa</t>
  </si>
  <si>
    <t>best online casinos spain</t>
  </si>
  <si>
    <t>new online casinos</t>
  </si>
  <si>
    <t>free casino games no downloading no registration</t>
  </si>
  <si>
    <t>best online casino no deposit sign up bonus</t>
  </si>
  <si>
    <t>online gambling connecticut</t>
  </si>
  <si>
    <t>online bingo casino</t>
  </si>
  <si>
    <t>trusted online casino malaysia 2020</t>
  </si>
  <si>
    <t>casino interac online</t>
  </si>
  <si>
    <t>nuovi casino online con bonus senza deposito</t>
  </si>
  <si>
    <t>download online casino</t>
  </si>
  <si>
    <t>spain online casino</t>
  </si>
  <si>
    <t>free online casinos usa</t>
  </si>
  <si>
    <t>live dealer blackjack casino</t>
  </si>
  <si>
    <t>us online casinos</t>
  </si>
  <si>
    <t>hack online casino software</t>
  </si>
  <si>
    <t>online casino deposit with bank account</t>
  </si>
  <si>
    <t>lucky star casino online</t>
  </si>
  <si>
    <t>slot games casino free</t>
  </si>
  <si>
    <t>caesars casino online real money</t>
  </si>
  <si>
    <t>wolf gold online casino</t>
  </si>
  <si>
    <t>live casino platform</t>
  </si>
  <si>
    <t>online casino site uk</t>
  </si>
  <si>
    <t>online casinos best payout</t>
  </si>
  <si>
    <t>best online casino to play roulette</t>
  </si>
  <si>
    <t>22bet online casino review</t>
  </si>
  <si>
    <t>online casino nz real money</t>
  </si>
  <si>
    <t>legales online casino schweiz</t>
  </si>
  <si>
    <t>bäst casino online</t>
  </si>
  <si>
    <t>online casino recensie</t>
  </si>
  <si>
    <t>live casino games singapore</t>
  </si>
  <si>
    <t>software online casino</t>
  </si>
  <si>
    <t>casino osg777 online</t>
  </si>
  <si>
    <t>card and casino games</t>
  </si>
  <si>
    <t>suomiautomaatti online casino</t>
  </si>
  <si>
    <t>online casino that accepts apple pay</t>
  </si>
  <si>
    <t>uk online casino bonuses</t>
  </si>
  <si>
    <t>online gambling washington dc</t>
  </si>
  <si>
    <t>real money online casinos usa</t>
  </si>
  <si>
    <t>online casino sign up bonus no deposit</t>
  </si>
  <si>
    <t>online casino echeck deposit</t>
  </si>
  <si>
    <t>casino live free</t>
  </si>
  <si>
    <t>ghostbusters triple slime echtgeld online casinos</t>
  </si>
  <si>
    <t>10 online casinos</t>
  </si>
  <si>
    <t>10 best online casinos</t>
  </si>
  <si>
    <t>trusted online casino australia</t>
  </si>
  <si>
    <t>mejor casino online muchbetter españa</t>
  </si>
  <si>
    <t>gambling online nz</t>
  </si>
  <si>
    <t>revolut casino online</t>
  </si>
  <si>
    <t>bestes online casino mit hoher auszahlungsquote</t>
  </si>
  <si>
    <t>online sweepstakes casino real money</t>
  </si>
  <si>
    <t>online slots casino</t>
  </si>
  <si>
    <t>best payout casino online</t>
  </si>
  <si>
    <t>online casinos in south africa</t>
  </si>
  <si>
    <t>skybet online casino</t>
  </si>
  <si>
    <t>pa online casino news</t>
  </si>
  <si>
    <t>all slot casino online</t>
  </si>
  <si>
    <t>casino international online</t>
  </si>
  <si>
    <t>dream jackpot online casino review</t>
  </si>
  <si>
    <t>casinos españa online sin deposito</t>
  </si>
  <si>
    <t>bandar betting casino live online</t>
  </si>
  <si>
    <t>hollywood casino online pa</t>
  </si>
  <si>
    <t>casino online bonus ohne einzahlung 2024</t>
  </si>
  <si>
    <t>casinos juegos online</t>
  </si>
  <si>
    <t>scores nj online casino</t>
  </si>
  <si>
    <t>online casino mit paypal</t>
  </si>
  <si>
    <t>play bitcoin casino games</t>
  </si>
  <si>
    <t>casino online slot</t>
  </si>
  <si>
    <t>online betting gambling</t>
  </si>
  <si>
    <t>casino dadu online</t>
  </si>
  <si>
    <t>jocuri online gratis casino</t>
  </si>
  <si>
    <t>gambling online site</t>
  </si>
  <si>
    <t>simba games casino</t>
  </si>
  <si>
    <t>online casinos mit applepay</t>
  </si>
  <si>
    <t>online casino online</t>
  </si>
  <si>
    <t>netent games casino</t>
  </si>
  <si>
    <t>no minimum deposit online casino</t>
  </si>
  <si>
    <t>http://www.riverbellecasino.com/online-casino/</t>
  </si>
  <si>
    <t>online casino turkish</t>
  </si>
  <si>
    <t>2013 best online casino</t>
  </si>
  <si>
    <t>pokerstar casino online</t>
  </si>
  <si>
    <t>32red online casino review</t>
  </si>
  <si>
    <t>play casino poker online</t>
  </si>
  <si>
    <t>caesars casino online reviews</t>
  </si>
  <si>
    <t>casino land online casino</t>
  </si>
  <si>
    <t>top legit online casino</t>
  </si>
  <si>
    <t>tron online casino</t>
  </si>
  <si>
    <t>top boku online casino</t>
  </si>
  <si>
    <t>online casino 50 freispiele ohne einzahlung</t>
  </si>
  <si>
    <t>free bonus money online casinos</t>
  </si>
  <si>
    <t>types of online casino games</t>
  </si>
  <si>
    <t>legale online casinos</t>
  </si>
  <si>
    <t>best online casino app philippines</t>
  </si>
  <si>
    <t>jogos de casino online gratis roleta</t>
  </si>
  <si>
    <t>casino tops online</t>
  </si>
  <si>
    <t>jogos de casino online gratis</t>
  </si>
  <si>
    <t>smartphone casino games</t>
  </si>
  <si>
    <t>online casinos that accept vip preferred</t>
  </si>
  <si>
    <t>online casino in der schweiz</t>
  </si>
  <si>
    <t>online gambling for real money</t>
  </si>
  <si>
    <t>online casino mit kreditkarte</t>
  </si>
  <si>
    <t>bonus code for borgata online casino pa</t>
  </si>
  <si>
    <t>best online casinos for canada</t>
  </si>
  <si>
    <t>online casino in thailand</t>
  </si>
  <si>
    <t>estonia casino online</t>
  </si>
  <si>
    <t>mr green casino online</t>
  </si>
  <si>
    <t>online casino with free spins no deposit</t>
  </si>
  <si>
    <t>nieuw online casino nederland</t>
  </si>
  <si>
    <t>agen live casino indonesia</t>
  </si>
  <si>
    <t>online casino wagering explained</t>
  </si>
  <si>
    <t>new online casinos uk</t>
  </si>
  <si>
    <t>live american roulette online casino</t>
  </si>
  <si>
    <t>online casino ελλαδα</t>
  </si>
  <si>
    <t>fastest withdrawal online casino australia</t>
  </si>
  <si>
    <t>free online casino games with no deposit</t>
  </si>
  <si>
    <t>sunset online casino</t>
  </si>
  <si>
    <t>online real casino game</t>
  </si>
  <si>
    <t>casino theme party games</t>
  </si>
  <si>
    <t>online casino usa real money xb777</t>
  </si>
  <si>
    <t>synot online casino</t>
  </si>
  <si>
    <t>sicheres online-casino</t>
  </si>
  <si>
    <t>casinos de poker online</t>
  </si>
  <si>
    <t>casinos online sem deposito</t>
  </si>
  <si>
    <t>online casino las vegas</t>
  </si>
  <si>
    <t>online casino gaming software</t>
  </si>
  <si>
    <t>live casino website</t>
  </si>
  <si>
    <t>best online casinos in canada - popular &amp; trusted</t>
  </si>
  <si>
    <t>online casino mit google pay</t>
  </si>
  <si>
    <t>wv online casino</t>
  </si>
  <si>
    <t>pa online casino</t>
  </si>
  <si>
    <t>best usa online casino</t>
  </si>
  <si>
    <t>nj online casino free play</t>
  </si>
  <si>
    <t>online casino with live dealer</t>
  </si>
  <si>
    <t>casino online free money</t>
  </si>
  <si>
    <t>online gambling sites uk</t>
  </si>
  <si>
    <t>casino online com jogos playtech</t>
  </si>
  <si>
    <t>nj online casino welcome bonus</t>
  </si>
  <si>
    <t>casino games demo play free</t>
  </si>
  <si>
    <t>casino online usa</t>
  </si>
  <si>
    <t>connecticut online casino</t>
  </si>
  <si>
    <t>pa online casino reviews</t>
  </si>
  <si>
    <t>win online casino</t>
  </si>
  <si>
    <t>online casino testen</t>
  </si>
  <si>
    <t>mgm casino online bonus code</t>
  </si>
  <si>
    <t>all online casino malaysia</t>
  </si>
  <si>
    <t>new online casinos in australia</t>
  </si>
  <si>
    <t>online casino no deposit bonus 2018</t>
  </si>
  <si>
    <t>online casino einzahlung</t>
  </si>
  <si>
    <t>www jackpot city com online casino</t>
  </si>
  <si>
    <t>online casino free cash</t>
  </si>
  <si>
    <t>mejor casino online paypal</t>
  </si>
  <si>
    <t>online casino ratings</t>
  </si>
  <si>
    <t>online casino banking</t>
  </si>
  <si>
    <t>casinos en argentina online</t>
  </si>
  <si>
    <t>the casino online</t>
  </si>
  <si>
    <t>trustworthy online casinos</t>
  </si>
  <si>
    <t>casino card games free</t>
  </si>
  <si>
    <t>megarush online casino</t>
  </si>
  <si>
    <t>situs casino online terpercaya</t>
  </si>
  <si>
    <t>unbekannte online casinos</t>
  </si>
  <si>
    <t>casino slot games free</t>
  </si>
  <si>
    <t>best online casino that accepts jeton</t>
  </si>
  <si>
    <t>gutes online casino</t>
  </si>
  <si>
    <t>online casino ohne lizenz</t>
  </si>
  <si>
    <t>el torero online casino echtgeld</t>
  </si>
  <si>
    <t>online poker gambling</t>
  </si>
  <si>
    <t>beste nederlandse online casinos</t>
  </si>
  <si>
    <t>mohegan casino online</t>
  </si>
  <si>
    <t>mummysgold online casino</t>
  </si>
  <si>
    <t>online games gambling</t>
  </si>
  <si>
    <t>online casino neosurf 5 euro</t>
  </si>
  <si>
    <t>real money online casino alabama</t>
  </si>
  <si>
    <t>casino online entropay</t>
  </si>
  <si>
    <t>free downloadable casino games</t>
  </si>
  <si>
    <t>best online casino honestly</t>
  </si>
  <si>
    <t>wynnbet online casino pa</t>
  </si>
  <si>
    <t>draftkings online casino review</t>
  </si>
  <si>
    <t>jogos casino online ganhar dinheiro</t>
  </si>
  <si>
    <t>usa based online casinos</t>
  </si>
  <si>
    <t>české online casino bonus</t>
  </si>
  <si>
    <t>online casino mit risikoleiter</t>
  </si>
  <si>
    <t>online casino top 50</t>
  </si>
  <si>
    <t>online casinos in wv</t>
  </si>
  <si>
    <t>best online casino software</t>
  </si>
  <si>
    <t>casino online blackjack el salvador</t>
  </si>
  <si>
    <t>jackpot online casino</t>
  </si>
  <si>
    <t>kawbet live casino login</t>
  </si>
  <si>
    <t>online casino app milky way casino game</t>
  </si>
  <si>
    <t>cashino online casino</t>
  </si>
  <si>
    <t>bonusuri casino online</t>
  </si>
  <si>
    <t>euro casino online</t>
  </si>
  <si>
    <t>gambling casino online</t>
  </si>
  <si>
    <t>best online casino slots game</t>
  </si>
  <si>
    <t>real money gambling online</t>
  </si>
  <si>
    <t>pin up casino online manual</t>
  </si>
  <si>
    <t>online casino česká republika</t>
  </si>
  <si>
    <t>online gambling washington</t>
  </si>
  <si>
    <t>casinos online list</t>
  </si>
  <si>
    <t>casino online nou</t>
  </si>
  <si>
    <t>online casino malaysia free credit</t>
  </si>
  <si>
    <t>casino de portugal online</t>
  </si>
  <si>
    <t>casas de apuestas casino online</t>
  </si>
  <si>
    <t>uk online casino slots</t>
  </si>
  <si>
    <t>slot online 243--casino(rajadewa138)</t>
  </si>
  <si>
    <t>australian online casino 10 minimum deposit</t>
  </si>
  <si>
    <t>nuevos casinos online españa</t>
  </si>
  <si>
    <t>no deposit bonus codes for online casino</t>
  </si>
  <si>
    <t>is online gambling legal in arizona</t>
  </si>
  <si>
    <t>legale online casino nederland</t>
  </si>
  <si>
    <t>hard rock casino games</t>
  </si>
  <si>
    <t>best muchbetter online casinos</t>
  </si>
  <si>
    <t>my casino online</t>
  </si>
  <si>
    <t>live casino online termurah</t>
  </si>
  <si>
    <t>casinos online betsoft</t>
  </si>
  <si>
    <t>live online casino roulette</t>
  </si>
  <si>
    <t>casino games online slots</t>
  </si>
  <si>
    <t>online casino dk</t>
  </si>
  <si>
    <t>best online casinos aus</t>
  </si>
  <si>
    <t>online casino españa</t>
  </si>
  <si>
    <t>iwcasino online casino</t>
  </si>
  <si>
    <t>online casinos that accept paypal</t>
  </si>
  <si>
    <t>new online casino pa 2021</t>
  </si>
  <si>
    <t>top online casino sites that accept upaycard</t>
  </si>
  <si>
    <t>caesar online casino nj</t>
  </si>
  <si>
    <t>slovenske casino online</t>
  </si>
  <si>
    <t>online casino kostenlose freispiele</t>
  </si>
  <si>
    <t>casinos online bonus registo</t>
  </si>
  <si>
    <t>most popular online casino</t>
  </si>
  <si>
    <t>online casino ohne konto</t>
  </si>
  <si>
    <t>best german online casinos</t>
  </si>
  <si>
    <t>book of ra online casinos</t>
  </si>
  <si>
    <t>live casino welcome bonus</t>
  </si>
  <si>
    <t>top online casino brazil</t>
  </si>
  <si>
    <t>games game casino game card entertainment</t>
  </si>
  <si>
    <t>online casino tests</t>
  </si>
  <si>
    <t>juegos online de casino</t>
  </si>
  <si>
    <t>online casino mit schweizer franken</t>
  </si>
  <si>
    <t>casino board games</t>
  </si>
  <si>
    <t>mga online casinos</t>
  </si>
  <si>
    <t>table games in casino</t>
  </si>
  <si>
    <t>bandar sbc168 casino online</t>
  </si>
  <si>
    <t>real money australian online casino</t>
  </si>
  <si>
    <t>no deposit online casino bonus</t>
  </si>
  <si>
    <t>online casino gaming websites</t>
  </si>
  <si>
    <t>online real casino</t>
  </si>
  <si>
    <t>casino online vale a pena</t>
  </si>
  <si>
    <t>free online casinos</t>
  </si>
  <si>
    <t>play jackpot party casino online</t>
  </si>
  <si>
    <t>gambling casino online bonus</t>
  </si>
  <si>
    <t>twinspires online casino</t>
  </si>
  <si>
    <t>malta casinos online</t>
  </si>
  <si>
    <t>table casino games</t>
  </si>
  <si>
    <t>casino online sin dni</t>
  </si>
  <si>
    <t>starvegas casino online</t>
  </si>
  <si>
    <t>leo vegas live casino</t>
  </si>
  <si>
    <t>online gambling no deposit</t>
  </si>
  <si>
    <t>online casino index</t>
  </si>
  <si>
    <t>grand hotel casino online</t>
  </si>
  <si>
    <t>sky casino live</t>
  </si>
  <si>
    <t>hollandse casino online</t>
  </si>
  <si>
    <t>online casino neosurf</t>
  </si>
  <si>
    <t>golden nugget online casino pa</t>
  </si>
  <si>
    <t>real casino games online</t>
  </si>
  <si>
    <t>spinpalace casino online</t>
  </si>
  <si>
    <t>american online casino</t>
  </si>
  <si>
    <t>ocean resorts online casino</t>
  </si>
  <si>
    <t>borgata nj online casino</t>
  </si>
  <si>
    <t>live dealer online casino usa</t>
  </si>
  <si>
    <t>gold casino online</t>
  </si>
  <si>
    <t>free games slots casino</t>
  </si>
  <si>
    <t>online casino free bonus ohne einzahlung</t>
  </si>
  <si>
    <t>jackpot party casino free games</t>
  </si>
  <si>
    <t>dublinbet online casino</t>
  </si>
  <si>
    <t>most trusted online casino singapore</t>
  </si>
  <si>
    <t>online casino bonus uden indskud</t>
  </si>
  <si>
    <t>beat an online casino</t>
  </si>
  <si>
    <t>online casino france</t>
  </si>
  <si>
    <t>online real gambling slots</t>
  </si>
  <si>
    <t>spin palace juegos de casino online</t>
  </si>
  <si>
    <t>online gambling in australia</t>
  </si>
  <si>
    <t>best welcome bonus online casinos</t>
  </si>
  <si>
    <t>nuovi casino online 2017</t>
  </si>
  <si>
    <t>777 bet online casino</t>
  </si>
  <si>
    <t>mgm online casino desktop</t>
  </si>
  <si>
    <t>play free casino slot games for fun</t>
  </si>
  <si>
    <t>bet live casino</t>
  </si>
  <si>
    <t>tropica online casino</t>
  </si>
  <si>
    <t>casino online con bonus gratis</t>
  </si>
  <si>
    <t>online gambling with bitcoin</t>
  </si>
  <si>
    <t>international online gambling</t>
  </si>
  <si>
    <t>online casino echtgeld paysafe</t>
  </si>
  <si>
    <t>online casino spanien</t>
  </si>
  <si>
    <t>casino free casino games</t>
  </si>
  <si>
    <t>free casino games online slots with bonus</t>
  </si>
  <si>
    <t>cbet online gambling</t>
  </si>
  <si>
    <t>online casino mit google pay einzahlen</t>
  </si>
  <si>
    <t>online indian casino</t>
  </si>
  <si>
    <t>online casinos cashtocode</t>
  </si>
  <si>
    <t>online casino ecopayz</t>
  </si>
  <si>
    <t>wap mobile casino games</t>
  </si>
  <si>
    <t>borgata casino online</t>
  </si>
  <si>
    <t>best online casinos in the uk</t>
  </si>
  <si>
    <t>casinova casino online</t>
  </si>
  <si>
    <t>online casino ohne identifizierung</t>
  </si>
  <si>
    <t>888 online casino nj</t>
  </si>
  <si>
    <t>virginia online casinos</t>
  </si>
  <si>
    <t>nz online casino 5 dollar minimum deposit</t>
  </si>
  <si>
    <t>online gambling in maryland</t>
  </si>
  <si>
    <t>bandar judi casino sbc168 online</t>
  </si>
  <si>
    <t>casino estoril online app</t>
  </si>
  <si>
    <t>casino online mexico bono sin deposito</t>
  </si>
  <si>
    <t>online casino deutschland</t>
  </si>
  <si>
    <t>live casino demo play</t>
  </si>
  <si>
    <t>fastest withdrawal online casino canada</t>
  </si>
  <si>
    <t>21 online casino</t>
  </si>
  <si>
    <t>online casino no deposit bonus codes usa</t>
  </si>
  <si>
    <t>online casino ramses book</t>
  </si>
  <si>
    <t>popular online casinos</t>
  </si>
  <si>
    <t>river online casino</t>
  </si>
  <si>
    <t>online betting casino</t>
  </si>
  <si>
    <t>casino online lt</t>
  </si>
  <si>
    <t>offerte casino online</t>
  </si>
  <si>
    <t>best online casinos south africa</t>
  </si>
  <si>
    <t>casino online new zealand</t>
  </si>
  <si>
    <t>dublin casino online</t>
  </si>
  <si>
    <t>red dog online casino</t>
  </si>
  <si>
    <t>video slots casino online</t>
  </si>
  <si>
    <t>making money online gambling</t>
  </si>
  <si>
    <t>play online casino real money</t>
  </si>
  <si>
    <t>como ganar dinero en el casino online</t>
  </si>
  <si>
    <t>casino spellen online</t>
  </si>
  <si>
    <t>mejor casino online mastercard</t>
  </si>
  <si>
    <t>online casino instadebit</t>
  </si>
  <si>
    <t>play online casino uk</t>
  </si>
  <si>
    <t>svenskt online casino</t>
  </si>
  <si>
    <t>online casino canada no deposit bonus</t>
  </si>
  <si>
    <t>slotzo online casino review</t>
  </si>
  <si>
    <t>games in casino</t>
  </si>
  <si>
    <t>casino online danmark</t>
  </si>
  <si>
    <t>diamond7 online casino review</t>
  </si>
  <si>
    <t>slots casino online free</t>
  </si>
  <si>
    <t>10 besten online casinos</t>
  </si>
  <si>
    <t>online casino русский</t>
  </si>
  <si>
    <t>casino games that are easy to win</t>
  </si>
  <si>
    <t>jack casino online</t>
  </si>
  <si>
    <t>casino online argentina dinero real</t>
  </si>
  <si>
    <t>best online casino pennsylvania</t>
  </si>
  <si>
    <t>new online casinos 2020</t>
  </si>
  <si>
    <t>juego de casino online</t>
  </si>
  <si>
    <t>casino online argentina pesos</t>
  </si>
  <si>
    <t>new usa online casinos 2020</t>
  </si>
  <si>
    <t>casino online con bonus di benvenuto</t>
  </si>
  <si>
    <t>online casino sverige</t>
  </si>
  <si>
    <t>all british casino online</t>
  </si>
  <si>
    <t>online casino ideal 2022</t>
  </si>
  <si>
    <t>top 50 online casinos uk</t>
  </si>
  <si>
    <t>online real money casino usa</t>
  </si>
  <si>
    <t>online casino colombia</t>
  </si>
  <si>
    <t>online casino sc</t>
  </si>
  <si>
    <t>golden nugget casino online</t>
  </si>
  <si>
    <t>online casino bonus codes</t>
  </si>
  <si>
    <t>astropay online casino</t>
  </si>
  <si>
    <t>best online casino sweden</t>
  </si>
  <si>
    <t>real casino slots online free</t>
  </si>
  <si>
    <t>all mi online casinos</t>
  </si>
  <si>
    <t>quick casino games</t>
  </si>
  <si>
    <t>online casino schnelle auszahlung</t>
  </si>
  <si>
    <t>casino online zonder registratie</t>
  </si>
  <si>
    <t>swiss online casino</t>
  </si>
  <si>
    <t>online casino australia sign up bonus</t>
  </si>
  <si>
    <t>majestic slots online casino</t>
  </si>
  <si>
    <t>legal gambling online</t>
  </si>
  <si>
    <t>party online casino bonus code</t>
  </si>
  <si>
    <t>biggest online casino az</t>
  </si>
  <si>
    <t>best live casino online</t>
  </si>
  <si>
    <t>juego de casinos online</t>
  </si>
  <si>
    <t>casino online curacao</t>
  </si>
  <si>
    <t>casino online mga</t>
  </si>
  <si>
    <t>puerto rican online casinos</t>
  </si>
  <si>
    <t>nz online casino fast withdrawal</t>
  </si>
  <si>
    <t>internet casino casino online</t>
  </si>
  <si>
    <t>best online casino website</t>
  </si>
  <si>
    <t>casino online usa real money</t>
  </si>
  <si>
    <t>watch casino free online</t>
  </si>
  <si>
    <t>casino online-spiele</t>
  </si>
  <si>
    <t>best online casino for us players</t>
  </si>
  <si>
    <t>live dealers online casino</t>
  </si>
  <si>
    <t>free online casino slots with bonuses</t>
  </si>
  <si>
    <t>casino free online</t>
  </si>
  <si>
    <t>best online casino with litecoin</t>
  </si>
  <si>
    <t>los mejores casinos online peru</t>
  </si>
  <si>
    <t>casino online argentina mercadopago</t>
  </si>
  <si>
    <t>online casino jammin jars</t>
  </si>
  <si>
    <t>online live dealer casinos</t>
  </si>
  <si>
    <t>real money online casino new mexico</t>
  </si>
  <si>
    <t>online casinos portugal</t>
  </si>
  <si>
    <t>online casino europa erfahrungen</t>
  </si>
  <si>
    <t>legal online casino</t>
  </si>
  <si>
    <t>gambling online win real money</t>
  </si>
  <si>
    <t>casino slot games real money</t>
  </si>
  <si>
    <t>best online casino nz paysafe</t>
  </si>
  <si>
    <t>casinoepoca online casino español</t>
  </si>
  <si>
    <t>cazimbo online casino</t>
  </si>
  <si>
    <t>best online casino australia 2021</t>
  </si>
  <si>
    <t>online casino software developers</t>
  </si>
  <si>
    <t>novelty casino games</t>
  </si>
  <si>
    <t>casinos online canada</t>
  </si>
  <si>
    <t>online casino svizzera</t>
  </si>
  <si>
    <t>online casino without kyc</t>
  </si>
  <si>
    <t>online casino practice play</t>
  </si>
  <si>
    <t>online casino no kyc</t>
  </si>
  <si>
    <t>bonus live casino</t>
  </si>
  <si>
    <t>casino room online casino</t>
  </si>
  <si>
    <t>new online casino canada</t>
  </si>
  <si>
    <t>online casino mit 200 prozent bonus</t>
  </si>
  <si>
    <t>online casino med swish</t>
  </si>
  <si>
    <t>best online casino app</t>
  </si>
  <si>
    <t>mister green online casino</t>
  </si>
  <si>
    <t>legit casino games online</t>
  </si>
  <si>
    <t>monaco casino online</t>
  </si>
  <si>
    <t>online casino indiana</t>
  </si>
  <si>
    <t>slot online 231--casino(rajadewa138)</t>
  </si>
  <si>
    <t>best prepaid card for online gambling</t>
  </si>
  <si>
    <t>agen judi casino dadu online</t>
  </si>
  <si>
    <t>fair online casino</t>
  </si>
  <si>
    <t>bästa online casino</t>
  </si>
  <si>
    <t>best online casino bonus canada</t>
  </si>
  <si>
    <t>casino online money</t>
  </si>
  <si>
    <t>bitcoin live casino</t>
  </si>
  <si>
    <t>beswt online casino</t>
  </si>
  <si>
    <t>top instadebit online casinos</t>
  </si>
  <si>
    <t>live dealer casinos online</t>
  </si>
  <si>
    <t>online casino startguthaben ohne einzahlung</t>
  </si>
  <si>
    <t>best online casino for roulette</t>
  </si>
  <si>
    <t>online casino with trustly</t>
  </si>
  <si>
    <t>real online casino california</t>
  </si>
  <si>
    <t>connecticut online casinos</t>
  </si>
  <si>
    <t>20 best online casinos</t>
  </si>
  <si>
    <t>casino games developers</t>
  </si>
  <si>
    <t>online gambling sites for canadian</t>
  </si>
  <si>
    <t>casino' live</t>
  </si>
  <si>
    <t>online casino australia 10 dollar deposit</t>
  </si>
  <si>
    <t>online casino smartphone</t>
  </si>
  <si>
    <t>lucky nugget online casino chile</t>
  </si>
  <si>
    <t>casinos online australia</t>
  </si>
  <si>
    <t>casinos online 2022</t>
  </si>
  <si>
    <t>online casino ranking</t>
  </si>
  <si>
    <t>online gambling casino</t>
  </si>
  <si>
    <t>secure online casino with fast withdrawal options</t>
  </si>
  <si>
    <t>online casino apps real money</t>
  </si>
  <si>
    <t>top online australian casinos</t>
  </si>
  <si>
    <t>web casino online</t>
  </si>
  <si>
    <t>wolf treasure online casino australia</t>
  </si>
  <si>
    <t>online casino 🇩🇪 www.echtgeldspiele.site</t>
  </si>
  <si>
    <t>legal online gambling sites usa</t>
  </si>
  <si>
    <t>fastest payout online casino canada</t>
  </si>
  <si>
    <t>cookie online casino</t>
  </si>
  <si>
    <t>new mobile casino games</t>
  </si>
  <si>
    <t>online casino min deposit 5</t>
  </si>
  <si>
    <t>online casino echtgeld paypal</t>
  </si>
  <si>
    <t>ocean online casino promo code</t>
  </si>
  <si>
    <t>software for online casinos</t>
  </si>
  <si>
    <t>play free casino games slots</t>
  </si>
  <si>
    <t>gambling games online</t>
  </si>
  <si>
    <t>hard rock casino table games</t>
  </si>
  <si>
    <t>mejores casinos online visa</t>
  </si>
  <si>
    <t>hillside casino online</t>
  </si>
  <si>
    <t>casino online criptomonedas</t>
  </si>
  <si>
    <t>netherlands casino online</t>
  </si>
  <si>
    <t>joka online casino</t>
  </si>
  <si>
    <t>bitcoin casino table games</t>
  </si>
  <si>
    <t>online casino beste auszahlungsquoten</t>
  </si>
  <si>
    <t>casino cruise online casino</t>
  </si>
  <si>
    <t>strendus casino online</t>
  </si>
  <si>
    <t>stardust online casino</t>
  </si>
  <si>
    <t>mgm grand casino online betting</t>
  </si>
  <si>
    <t>casino apuestas online</t>
  </si>
  <si>
    <t>casino uk online no deposit bonus</t>
  </si>
  <si>
    <t>melhores casinos online portugueses</t>
  </si>
  <si>
    <t>japanese online casinos</t>
  </si>
  <si>
    <t>casino online english</t>
  </si>
  <si>
    <t>online casino solomon islands</t>
  </si>
  <si>
    <t>casinos online que aceptan tarjetas de crédito</t>
  </si>
  <si>
    <t>live casino ireland</t>
  </si>
  <si>
    <t>fastest paying online casino</t>
  </si>
  <si>
    <t>casino online 2022</t>
  </si>
  <si>
    <t>best online casinos ontario</t>
  </si>
  <si>
    <t>online casino bonus zonder storting</t>
  </si>
  <si>
    <t>online casino österreich paysafecard</t>
  </si>
  <si>
    <t>online casino echte gewinne</t>
  </si>
  <si>
    <t>online bitcoin gambling</t>
  </si>
  <si>
    <t>österreichische online casino</t>
  </si>
  <si>
    <t>new online mobile casinos</t>
  </si>
  <si>
    <t>top green valley games online casino sites</t>
  </si>
  <si>
    <t>online casino south africa no deposit</t>
  </si>
  <si>
    <t>online vegas casino</t>
  </si>
  <si>
    <t>beste deutsche online casinos</t>
  </si>
  <si>
    <t>best iphone casino games</t>
  </si>
  <si>
    <t>casinos online spielautomaten kostenlos spielen</t>
  </si>
  <si>
    <t>online casino instant withdraw</t>
  </si>
  <si>
    <t>bandar betting sbobet casino online</t>
  </si>
  <si>
    <t>online casino au</t>
  </si>
  <si>
    <t>stars online casino</t>
  </si>
  <si>
    <t>nuevos casinos online españa 2023</t>
  </si>
  <si>
    <t>online casino for australia</t>
  </si>
  <si>
    <t>delaware casino online</t>
  </si>
  <si>
    <t>top online casinos japan</t>
  </si>
  <si>
    <t>casino online transferencia bancaria</t>
  </si>
  <si>
    <t>best online gambling sites for real money</t>
  </si>
  <si>
    <t>mejor casino online evolution gaming</t>
  </si>
  <si>
    <t>best microgaming online casinos</t>
  </si>
  <si>
    <t>nz$ online casino</t>
  </si>
  <si>
    <t>747 live casino login slot play</t>
  </si>
  <si>
    <t>king casino bonus uk new online casino</t>
  </si>
  <si>
    <t>best online casino software providers</t>
  </si>
  <si>
    <t>best online casino philippines gcash</t>
  </si>
  <si>
    <t>online gambling australia real money</t>
  </si>
  <si>
    <t>microgaming casinos online</t>
  </si>
  <si>
    <t>casino games to win real cash</t>
  </si>
  <si>
    <t>best mi online casinos</t>
  </si>
  <si>
    <t>online real gambling</t>
  </si>
  <si>
    <t>cabaret club online casino argentina</t>
  </si>
  <si>
    <t>ohio online casino</t>
  </si>
  <si>
    <t>casino gry online</t>
  </si>
  <si>
    <t>joker online casino</t>
  </si>
  <si>
    <t>online casino nz dollars</t>
  </si>
  <si>
    <t>online casino real money singapore</t>
  </si>
  <si>
    <t>sic bo online casino</t>
  </si>
  <si>
    <t>spel online casino</t>
  </si>
  <si>
    <t>pennsylvania online casino promo codes</t>
  </si>
  <si>
    <t>new online canadian casinos</t>
  </si>
  <si>
    <t>mgm pa online casino</t>
  </si>
  <si>
    <t>online casino mit startguthaben</t>
  </si>
  <si>
    <t>philippine online casino</t>
  </si>
  <si>
    <t>top casinos online uk</t>
  </si>
  <si>
    <t>judi casino online</t>
  </si>
  <si>
    <t>free online casino play</t>
  </si>
  <si>
    <t>android casino online</t>
  </si>
  <si>
    <t>mobile online casino bonus</t>
  </si>
  <si>
    <t>neosurf online casino</t>
  </si>
  <si>
    <t>casinos online latinoamerica</t>
  </si>
  <si>
    <t>minimum deposit online casinos</t>
  </si>
  <si>
    <t>online casino 7 euro gratis</t>
  </si>
  <si>
    <t>konami online casino</t>
  </si>
  <si>
    <t>free fun casino games</t>
  </si>
  <si>
    <t>best casino online real money</t>
  </si>
  <si>
    <t>free bonuses online casino</t>
  </si>
  <si>
    <t>best free online casino</t>
  </si>
  <si>
    <t>e wallet casino online</t>
  </si>
  <si>
    <t>online casino winners</t>
  </si>
  <si>
    <t>pay by phone online casino</t>
  </si>
  <si>
    <t>casino online espanol</t>
  </si>
  <si>
    <t>woo casino online</t>
  </si>
  <si>
    <t>casino euro online casino</t>
  </si>
  <si>
    <t>live dealer online casinos</t>
  </si>
  <si>
    <t>legale online casinos österreich</t>
  </si>
  <si>
    <t>online baccarat gambling</t>
  </si>
  <si>
    <t>live online casino malaysia</t>
  </si>
  <si>
    <t>codere casino online</t>
  </si>
  <si>
    <t>slovenski online casino</t>
  </si>
  <si>
    <t>online casino register</t>
  </si>
  <si>
    <t>ojo casino games</t>
  </si>
  <si>
    <t>τα καλυτερα online casino στην ελλαδα</t>
  </si>
  <si>
    <t>online casino games free play</t>
  </si>
  <si>
    <t>nz best online casino</t>
  </si>
  <si>
    <t>casino online romania bonus fara depunere</t>
  </si>
  <si>
    <t>nyc casino online</t>
  </si>
  <si>
    <t>casino schweiz online</t>
  </si>
  <si>
    <t>golden casino online</t>
  </si>
  <si>
    <t>neue online casinos schweiz</t>
  </si>
  <si>
    <t>jocuri casino sloturi online</t>
  </si>
  <si>
    <t>slot online casino malaysia</t>
  </si>
  <si>
    <t>casumo casino online casino</t>
  </si>
  <si>
    <t>no deposit casino online</t>
  </si>
  <si>
    <t>melhores casino online</t>
  </si>
  <si>
    <t>sbobet casino games</t>
  </si>
  <si>
    <t>online casino real money free bonus</t>
  </si>
  <si>
    <t>biggest online casinos in the world</t>
  </si>
  <si>
    <t>best online casino online</t>
  </si>
  <si>
    <t>casinos online novos</t>
  </si>
  <si>
    <t>gala online casino review</t>
  </si>
  <si>
    <t>guide to online casinos</t>
  </si>
  <si>
    <t>online legit casino</t>
  </si>
  <si>
    <t>virtual online casino</t>
  </si>
  <si>
    <t>pokerstars online casino</t>
  </si>
  <si>
    <t>licensed online casino</t>
  </si>
  <si>
    <t>bonos casinos online sin deposito</t>
  </si>
  <si>
    <t>wintingo online casino</t>
  </si>
  <si>
    <t>montreal casino online</t>
  </si>
  <si>
    <t>online casino bonus ohne einzahlung 50 freispiele</t>
  </si>
  <si>
    <t>reeplay online casino</t>
  </si>
  <si>
    <t>online casino games south africa</t>
  </si>
  <si>
    <t>casino online mobile malaysia</t>
  </si>
  <si>
    <t>online casino deposit match</t>
  </si>
  <si>
    <t>ballys online casino</t>
  </si>
  <si>
    <t>slot online 363--casino(rajadewa138)</t>
  </si>
  <si>
    <t>online casino india</t>
  </si>
  <si>
    <t>is sugarhouse online casino safe</t>
  </si>
  <si>
    <t>best online casino south africa</t>
  </si>
  <si>
    <t>aus best online casino</t>
  </si>
  <si>
    <t>games slots casino</t>
  </si>
  <si>
    <t>casino game online for real money</t>
  </si>
  <si>
    <t>is online gambling legal in north carolina</t>
  </si>
  <si>
    <t>best baccarat online casino</t>
  </si>
  <si>
    <t>online casino mehr als 1 euro</t>
  </si>
  <si>
    <t>the best online casinos 2018</t>
  </si>
  <si>
    <t>online gambling in delaware</t>
  </si>
  <si>
    <t>casino online spielen mit startguthaben</t>
  </si>
  <si>
    <t>maquinas de casino online</t>
  </si>
  <si>
    <t>aladdin casino online</t>
  </si>
  <si>
    <t>casino online bonus bez depozytu</t>
  </si>
  <si>
    <t>online casino ohne echtgeld</t>
  </si>
  <si>
    <t>online casino paypal book of ra</t>
  </si>
  <si>
    <t>zimpler online casino</t>
  </si>
  <si>
    <t>online casino 日本語</t>
  </si>
  <si>
    <t>online casinos win big</t>
  </si>
  <si>
    <t>casino online asiatici</t>
  </si>
  <si>
    <t>casino live wheel indaxis.com</t>
  </si>
  <si>
    <t>new online casino 2017 no deposit bonus</t>
  </si>
  <si>
    <t>tivoli online casino</t>
  </si>
  <si>
    <t>online casino bonusse</t>
  </si>
  <si>
    <t>online casino echtgeld seriös</t>
  </si>
  <si>
    <t>phantoms mirror online casinos</t>
  </si>
  <si>
    <t>best online casinos that payout az</t>
  </si>
  <si>
    <t>best maestro casinos online</t>
  </si>
  <si>
    <t>casino bingo games</t>
  </si>
  <si>
    <t>top 10 real money online casinos</t>
  </si>
  <si>
    <t>best online casino payouts for us players</t>
  </si>
  <si>
    <t>online gambling slot machines</t>
  </si>
  <si>
    <t>best live casino app</t>
  </si>
  <si>
    <t>casino online confiavel</t>
  </si>
  <si>
    <t>maine online casino</t>
  </si>
  <si>
    <t>crypto live casino</t>
  </si>
  <si>
    <t>best online casino no deposit bonus</t>
  </si>
  <si>
    <t>fortune casino online</t>
  </si>
  <si>
    <t>website casino online</t>
  </si>
  <si>
    <t>baccarat online casinos in canada</t>
  </si>
  <si>
    <t>canada casino online</t>
  </si>
  <si>
    <t>online casinos that take cash app</t>
  </si>
  <si>
    <t>spin casino games online</t>
  </si>
  <si>
    <t>online casino 🇩🇪 casinod.casino</t>
  </si>
  <si>
    <t>slot online 234--casino(rajadewa138)</t>
  </si>
  <si>
    <t>online casino bonus guthaben ohne einzahlung</t>
  </si>
  <si>
    <t>online casinos legal usa</t>
  </si>
  <si>
    <t>resorts casino online gaming</t>
  </si>
  <si>
    <t>best live online casino usa</t>
  </si>
  <si>
    <t>green dragon casino online deposit 50 ribu</t>
  </si>
  <si>
    <t>casino slots online no deposit</t>
  </si>
  <si>
    <t>betsafe online casino easy withdrawal</t>
  </si>
  <si>
    <t>agen joker123 casino online</t>
  </si>
  <si>
    <t>online casino hohe auszahlungsquote</t>
  </si>
  <si>
    <t>best online casino dominican republic</t>
  </si>
  <si>
    <t>online casino with deposit bonus</t>
  </si>
  <si>
    <t>casino online dinero real sin depósito</t>
  </si>
  <si>
    <t>casino games you can win real money on</t>
  </si>
  <si>
    <t>neuer online casino bonus</t>
  </si>
  <si>
    <t>online gambling sites malaysia</t>
  </si>
  <si>
    <t>jacks casino online</t>
  </si>
  <si>
    <t>nj online gambling sites</t>
  </si>
  <si>
    <t>aristocrat casino games</t>
  </si>
  <si>
    <t>online casino australia 2023</t>
  </si>
  <si>
    <t>play online casino games for money</t>
  </si>
  <si>
    <t>dream vegas online casino</t>
  </si>
  <si>
    <t>online casinos play for real money</t>
  </si>
  <si>
    <t>free play casino games online</t>
  </si>
  <si>
    <t>best online casinos for real money</t>
  </si>
  <si>
    <t>online casino mit jackpot</t>
  </si>
  <si>
    <t>athi games casino</t>
  </si>
  <si>
    <t>online casino austria</t>
  </si>
  <si>
    <t>independent online casino reviews</t>
  </si>
  <si>
    <t>20 dollar minimum deposit online casino</t>
  </si>
  <si>
    <t>best online casinos honduras</t>
  </si>
  <si>
    <t>online casino without verification</t>
  </si>
  <si>
    <t>illegal online casino</t>
  </si>
  <si>
    <t>online casino 50 euro gratis</t>
  </si>
  <si>
    <t>casino games for free no downloads</t>
  </si>
  <si>
    <t>online casino playonlinecasino.ca</t>
  </si>
  <si>
    <t>online casino mi</t>
  </si>
  <si>
    <t>amex online casinos</t>
  </si>
  <si>
    <t>tango bet casino online</t>
  </si>
  <si>
    <t>best real money online casinos</t>
  </si>
  <si>
    <t>bearbrick online casino</t>
  </si>
  <si>
    <t>bonus code for caesars online casino</t>
  </si>
  <si>
    <t>spärra online casino</t>
  </si>
  <si>
    <t>lucky nugget online casino</t>
  </si>
  <si>
    <t>popular casino slot games</t>
  </si>
  <si>
    <t>online casino developers</t>
  </si>
  <si>
    <t>favourite online casinos</t>
  </si>
  <si>
    <t>online casinos auszahlung</t>
  </si>
  <si>
    <t>online casino no deposit minimum</t>
  </si>
  <si>
    <t>online casino high roller bonus</t>
  </si>
  <si>
    <t>como ganar en casinos online</t>
  </si>
  <si>
    <t>online casino holland</t>
  </si>
  <si>
    <t>neue online casinos ohne anmeldung</t>
  </si>
  <si>
    <t>live dealer bitcoin casino</t>
  </si>
  <si>
    <t>ruby fortune online casino canada</t>
  </si>
  <si>
    <t>online casino bonus reviews</t>
  </si>
  <si>
    <t>online casino real money michigan</t>
  </si>
  <si>
    <t>reliable online casino for mobile gaming</t>
  </si>
  <si>
    <t>hawaii online casinos</t>
  </si>
  <si>
    <t>casinos online bonos sin deposito</t>
  </si>
  <si>
    <t>online casinos rigged</t>
  </si>
  <si>
    <t>global online casino</t>
  </si>
  <si>
    <t>idaho casino online</t>
  </si>
  <si>
    <t>bovada casino online</t>
  </si>
  <si>
    <t>casino online con bonus immediato</t>
  </si>
  <si>
    <t>casinos online las vegas</t>
  </si>
  <si>
    <t>top 20 online casinos usa real money</t>
  </si>
  <si>
    <t>casino ruleta online</t>
  </si>
  <si>
    <t>phdream online casino</t>
  </si>
  <si>
    <t>best online casinos bahamas</t>
  </si>
  <si>
    <t>australian online casinos pokies</t>
  </si>
  <si>
    <t>seriöse online casinos erfahrungen</t>
  </si>
  <si>
    <t>virgin online casino review</t>
  </si>
  <si>
    <t>best online casinos for blackjack</t>
  </si>
  <si>
    <t>free vegas slots online casino</t>
  </si>
  <si>
    <t>casino daddy online</t>
  </si>
  <si>
    <t>us online casinos that accept paypal</t>
  </si>
  <si>
    <t>online casinos in saarland</t>
  </si>
  <si>
    <t>irish casino online</t>
  </si>
  <si>
    <t>pa online casino list</t>
  </si>
  <si>
    <t>best online casino promo betmgm</t>
  </si>
  <si>
    <t>casino games free online</t>
  </si>
  <si>
    <t>online casino games that accept paypal</t>
  </si>
  <si>
    <t>bandar live casino terpercaya</t>
  </si>
  <si>
    <t>casino spiele online echtgeld</t>
  </si>
  <si>
    <t>tropicana casino online gambling</t>
  </si>
  <si>
    <t>hopa online casino</t>
  </si>
  <si>
    <t>jackpot city online gambling</t>
  </si>
  <si>
    <t>cashtocode online casino</t>
  </si>
  <si>
    <t>casinos free online</t>
  </si>
  <si>
    <t>free casino games to play for fun</t>
  </si>
  <si>
    <t>mozzart online casino</t>
  </si>
  <si>
    <t>nytt casino online</t>
  </si>
  <si>
    <t>ukash online casinos</t>
  </si>
  <si>
    <t>best games casino</t>
  </si>
  <si>
    <t>online casino highest payout</t>
  </si>
  <si>
    <t>online casino magyarország</t>
  </si>
  <si>
    <t>bestes online casino 2019</t>
  </si>
  <si>
    <t>slot casino online malaysia</t>
  </si>
  <si>
    <t>gorilla casino online casino</t>
  </si>
  <si>
    <t>betting casino online</t>
  </si>
  <si>
    <t>casino online kostenlos spielen</t>
  </si>
  <si>
    <t>playzee casino online</t>
  </si>
  <si>
    <t>casino games slot</t>
  </si>
  <si>
    <t>mejores casinos dados online</t>
  </si>
  <si>
    <t>casino gratis online</t>
  </si>
  <si>
    <t>juega casino online</t>
  </si>
  <si>
    <t>online gambling virginia</t>
  </si>
  <si>
    <t>casino games list</t>
  </si>
  <si>
    <t>english writer for online casinos</t>
  </si>
  <si>
    <t>merkur online casino kostenlos</t>
  </si>
  <si>
    <t>fastest cash out online casino</t>
  </si>
  <si>
    <t>betvictor casino games</t>
  </si>
  <si>
    <t>casino madrid online</t>
  </si>
  <si>
    <t>can you cheat online casinos</t>
  </si>
  <si>
    <t>online casino freispiele ohne einzahlung 2021 neu</t>
  </si>
  <si>
    <t>casino nz online</t>
  </si>
  <si>
    <t>casinos online chile</t>
  </si>
  <si>
    <t>malaysia best online casino</t>
  </si>
  <si>
    <t>online casino eu</t>
  </si>
  <si>
    <t>online casino no deposit bonus keep winnings</t>
  </si>
  <si>
    <t>online casino payouts</t>
  </si>
  <si>
    <t>die besten online casinos in deutschland</t>
  </si>
  <si>
    <t>online gambling casino real money</t>
  </si>
  <si>
    <t>live dealer baccarat online casino</t>
  </si>
  <si>
    <t>agen judi casino live</t>
  </si>
  <si>
    <t>us online casinos with fast payout</t>
  </si>
  <si>
    <t>beste aristocrat online casinos</t>
  </si>
  <si>
    <t>online casino playing</t>
  </si>
  <si>
    <t>online casino blackjack bonus</t>
  </si>
  <si>
    <t>situs live casino</t>
  </si>
  <si>
    <t>online casino accepts paypal</t>
  </si>
  <si>
    <t>mejores casinos online colombia</t>
  </si>
  <si>
    <t>live online casino uk</t>
  </si>
  <si>
    <t>bandar betting casino dragon tiger online</t>
  </si>
  <si>
    <t>casino online estoril</t>
  </si>
  <si>
    <t>sri lanka online casino</t>
  </si>
  <si>
    <t>online casino einzahlung zurückfordern</t>
  </si>
  <si>
    <t>online casino plinko</t>
  </si>
  <si>
    <t>online gambling malaysia website</t>
  </si>
  <si>
    <t>hustler casino live tracker</t>
  </si>
  <si>
    <t>real online casino florida</t>
  </si>
  <si>
    <t>casino games free online play</t>
  </si>
  <si>
    <t>online casino snelle uitbetaling</t>
  </si>
  <si>
    <t>top bitcoin online casino</t>
  </si>
  <si>
    <t>best online casino welcome offers</t>
  </si>
  <si>
    <t>jackpots casino online</t>
  </si>
  <si>
    <t>live baccarat online casino ireland</t>
  </si>
  <si>
    <t>casino eldorado online</t>
  </si>
  <si>
    <t>free games casino play free</t>
  </si>
  <si>
    <t>casino online que acepta apple pay</t>
  </si>
  <si>
    <t>online casinos zonder registratie</t>
  </si>
  <si>
    <t>online casinos mit freispielen ohne einzahlung</t>
  </si>
  <si>
    <t>mohegan sun online casino nj</t>
  </si>
  <si>
    <t>slotomania slots casino games</t>
  </si>
  <si>
    <t>online casino app store</t>
  </si>
  <si>
    <t>games in a casino</t>
  </si>
  <si>
    <t>como jugar en el casino online</t>
  </si>
  <si>
    <t>miami online casino</t>
  </si>
  <si>
    <t>casino seguro online</t>
  </si>
  <si>
    <t>game casino online</t>
  </si>
  <si>
    <t>online casino tricks</t>
  </si>
  <si>
    <t>vera and john online casino</t>
  </si>
  <si>
    <t>nj online casinos that accept paypal</t>
  </si>
  <si>
    <t>newest online casino australia</t>
  </si>
  <si>
    <t>jackpotcity online casino login</t>
  </si>
  <si>
    <t>real online casinos australia</t>
  </si>
  <si>
    <t>online casino no deposit bonus usa</t>
  </si>
  <si>
    <t>casinos online a operar em portugal</t>
  </si>
  <si>
    <t>sugarhouse online casino promo code</t>
  </si>
  <si>
    <t>fast payout online casino canada</t>
  </si>
  <si>
    <t>masked singer online casino</t>
  </si>
  <si>
    <t>online bitcoin casino</t>
  </si>
  <si>
    <t>bästa svenska online casino</t>
  </si>
  <si>
    <t>online casino no gamestop</t>
  </si>
  <si>
    <t>top online casino india</t>
  </si>
  <si>
    <t>free casino slot games with bonus</t>
  </si>
  <si>
    <t>jugar en casinos online</t>
  </si>
  <si>
    <t>alabama casino online</t>
  </si>
  <si>
    <t>watch casino royale online free</t>
  </si>
  <si>
    <t>online sports gambling</t>
  </si>
  <si>
    <t>free online casinos no download</t>
  </si>
  <si>
    <t>casinos ruleta online</t>
  </si>
  <si>
    <t>ocean online casino review</t>
  </si>
  <si>
    <t>abrir un casino online</t>
  </si>
  <si>
    <t>opciones de pago fiables para casinos online</t>
  </si>
  <si>
    <t>best online casinos in canada 2019</t>
  </si>
  <si>
    <t>vegas casinos online</t>
  </si>
  <si>
    <t>tropicana online gambling</t>
  </si>
  <si>
    <t>online casino mastercard withdrawal</t>
  </si>
  <si>
    <t>online casino no credit card</t>
  </si>
  <si>
    <t>online casino zdarma bonus</t>
  </si>
  <si>
    <t>nz online casino</t>
  </si>
  <si>
    <t>quick hit casino games - free casino slots games</t>
  </si>
  <si>
    <t>best casino bonuses online</t>
  </si>
  <si>
    <t>casino royale online</t>
  </si>
  <si>
    <t>free casino video games</t>
  </si>
  <si>
    <t>justspin casino online casino real money</t>
  </si>
  <si>
    <t>online casino mit visa bezahlen</t>
  </si>
  <si>
    <t>novomatic casino online</t>
  </si>
  <si>
    <t>casino online con deposito minimo di 1 euro</t>
  </si>
  <si>
    <t>casino live italia</t>
  </si>
  <si>
    <t>vegas palms online casino</t>
  </si>
  <si>
    <t>1000 free games casino</t>
  </si>
  <si>
    <t>genting casino online malaysia</t>
  </si>
  <si>
    <t>non uk based online casinos</t>
  </si>
  <si>
    <t>usa casino online</t>
  </si>
  <si>
    <t>best online gambling sites usa</t>
  </si>
  <si>
    <t>internet bitcoin live casino</t>
  </si>
  <si>
    <t>microgaming casino games</t>
  </si>
  <si>
    <t>online casino real money apps</t>
  </si>
  <si>
    <t>gcash online casino</t>
  </si>
  <si>
    <t>eth online casino</t>
  </si>
  <si>
    <t>live casino providers</t>
  </si>
  <si>
    <t>casino epoca online</t>
  </si>
  <si>
    <t>casino games in singapore</t>
  </si>
  <si>
    <t>bc online casino</t>
  </si>
  <si>
    <t>online casino software price</t>
  </si>
  <si>
    <t>online casino magyaroknak</t>
  </si>
  <si>
    <t>jogos casino online gratis roleta</t>
  </si>
  <si>
    <t>nebraska online casino</t>
  </si>
  <si>
    <t>legitimate online casinos canada</t>
  </si>
  <si>
    <t>22bet live casino</t>
  </si>
  <si>
    <t>online gambling with cash app</t>
  </si>
  <si>
    <t>best online casino bonus uk</t>
  </si>
  <si>
    <t>online live casino malaysia</t>
  </si>
  <si>
    <t>card games at casino</t>
  </si>
  <si>
    <t>gamingclub online casino mexico</t>
  </si>
  <si>
    <t>chile online casino</t>
  </si>
  <si>
    <t>jackpot city online casino game</t>
  </si>
  <si>
    <t>free online casino video slots</t>
  </si>
  <si>
    <t>neon54 online casino</t>
  </si>
  <si>
    <t>multiplayer casino games</t>
  </si>
  <si>
    <t>wild jackpots online casino</t>
  </si>
  <si>
    <t>online casino bonus ohne einzahlung echtgeld</t>
  </si>
  <si>
    <t>top online casino slot</t>
  </si>
  <si>
    <t>free casino slot machine games for fun</t>
  </si>
  <si>
    <t>online real casino australia</t>
  </si>
  <si>
    <t>online casino business opportunities</t>
  </si>
  <si>
    <t>best nj online casino</t>
  </si>
  <si>
    <t>real money online gambling sites</t>
  </si>
  <si>
    <t>online casinos in netherlands</t>
  </si>
  <si>
    <t>10 best online casino</t>
  </si>
  <si>
    <t>tiger casino games</t>
  </si>
  <si>
    <t>casino pokerstars online</t>
  </si>
  <si>
    <t>online casino eröffnen</t>
  </si>
  <si>
    <t>online casino casumo</t>
  </si>
  <si>
    <t>jugar en el casino online</t>
  </si>
  <si>
    <t>nya online casino 2022 utan svensk licens</t>
  </si>
  <si>
    <t>best online casino review</t>
  </si>
  <si>
    <t>best visa casino online</t>
  </si>
  <si>
    <t>best online casino for indian players</t>
  </si>
  <si>
    <t>casinos online blackjack</t>
  </si>
  <si>
    <t>black widow online casinos</t>
  </si>
  <si>
    <t>best live casino game to play</t>
  </si>
  <si>
    <t>beste online casinos schweiz</t>
  </si>
  <si>
    <t>melhores sites de casino online</t>
  </si>
  <si>
    <t>online slots casino real money</t>
  </si>
  <si>
    <t>play casino slots for free online</t>
  </si>
  <si>
    <t>best online gambling site uk</t>
  </si>
  <si>
    <t>juegos casino cleopatra online gratis</t>
  </si>
  <si>
    <t>pragmatic play online casinos</t>
  </si>
  <si>
    <t>best online casino in philippines</t>
  </si>
  <si>
    <t>online casino startbonus</t>
  </si>
  <si>
    <t>legit swiss online casino</t>
  </si>
  <si>
    <t>os melhores casinos online</t>
  </si>
  <si>
    <t>all slots online casino review</t>
  </si>
  <si>
    <t>egt online casinos</t>
  </si>
  <si>
    <t>software casino games</t>
  </si>
  <si>
    <t>deutsches online casino</t>
  </si>
  <si>
    <t>vegas online casinos</t>
  </si>
  <si>
    <t>online casinos with free signup bonus</t>
  </si>
  <si>
    <t>online casinos in pa</t>
  </si>
  <si>
    <t>theislandgame casino games</t>
  </si>
  <si>
    <t>free casino games with bonuses</t>
  </si>
  <si>
    <t>casino games cards</t>
  </si>
  <si>
    <t>cartao credito casino online</t>
  </si>
  <si>
    <t>no deposit casino bonus online</t>
  </si>
  <si>
    <t>regent online casino</t>
  </si>
  <si>
    <t>e wallet online casino</t>
  </si>
  <si>
    <t>fastest withdrawal online casino usa</t>
  </si>
  <si>
    <t>online casino arizona</t>
  </si>
  <si>
    <t>online casinos giropay</t>
  </si>
  <si>
    <t>live casino live</t>
  </si>
  <si>
    <t>best online casinos for slots</t>
  </si>
  <si>
    <t>slot online 267--casino(rajadewa138)</t>
  </si>
  <si>
    <t>spanish online casino</t>
  </si>
  <si>
    <t>most trusted online casinos</t>
  </si>
  <si>
    <t>online casino berlin</t>
  </si>
  <si>
    <t>online cash casinos</t>
  </si>
  <si>
    <t>rent casino games</t>
  </si>
  <si>
    <t>no deposit bonus online casino real money</t>
  </si>
  <si>
    <t>lucky nugget online casino españa</t>
  </si>
  <si>
    <t>casino live roulette online</t>
  </si>
  <si>
    <t>best real money casinos online</t>
  </si>
  <si>
    <t>new jersey online casino no deposit bonus</t>
  </si>
  <si>
    <t>online casino germany</t>
  </si>
  <si>
    <t>holland casino online app</t>
  </si>
  <si>
    <t>online casino tether</t>
  </si>
  <si>
    <t>betway live casino app</t>
  </si>
  <si>
    <t>skycrown casino online</t>
  </si>
  <si>
    <t>integration platform for casino games</t>
  </si>
  <si>
    <t>christmas online casino bonus</t>
  </si>
  <si>
    <t>real live casino online</t>
  </si>
  <si>
    <t>bitcoin cash casino games</t>
  </si>
  <si>
    <t>vegas hero live casino</t>
  </si>
  <si>
    <t>online casinos pa</t>
  </si>
  <si>
    <t>reviews of online casinos</t>
  </si>
  <si>
    <t>online casino australia legal</t>
  </si>
  <si>
    <t>natural powers online spielen online casinos</t>
  </si>
  <si>
    <t>mgm online casino nj</t>
  </si>
  <si>
    <t>ibet casino online</t>
  </si>
  <si>
    <t>online casinos ohne einzahlung 2014</t>
  </si>
  <si>
    <t>online casino uk 5 deposit</t>
  </si>
  <si>
    <t>free online 3d casino slot games</t>
  </si>
  <si>
    <t>online casino belgium</t>
  </si>
  <si>
    <t>online casino geld zurück erfahrung</t>
  </si>
  <si>
    <t>casinos pt online</t>
  </si>
  <si>
    <t>casinos online españa seguros</t>
  </si>
  <si>
    <t>casino lobby - demo games</t>
  </si>
  <si>
    <t>live casino in india</t>
  </si>
  <si>
    <t>bester online casino willkommensbonus</t>
  </si>
  <si>
    <t>casino borgata online</t>
  </si>
  <si>
    <t>online casino slot games real money</t>
  </si>
  <si>
    <t>sports online gambling</t>
  </si>
  <si>
    <t>jackpot city online casino canada</t>
  </si>
  <si>
    <t>top online casino sites</t>
  </si>
  <si>
    <t>casino play online</t>
  </si>
  <si>
    <t>nya live casino</t>
  </si>
  <si>
    <t>online casino per lastschrift</t>
  </si>
  <si>
    <t>casinos online con tiradas gratis</t>
  </si>
  <si>
    <t>betsson live casino</t>
  </si>
  <si>
    <t>giochi di casino online</t>
  </si>
  <si>
    <t>ct online casinos</t>
  </si>
  <si>
    <t>video slots online casino</t>
  </si>
  <si>
    <t>online casino ohne lugas limit</t>
  </si>
  <si>
    <t>all new casino slot games</t>
  </si>
  <si>
    <t>spinpalace online casino spanish</t>
  </si>
  <si>
    <t>online casino spiele echtgeld</t>
  </si>
  <si>
    <t>top paysafecard online casinos</t>
  </si>
  <si>
    <t>beste kreditkarten online casinos</t>
  </si>
  <si>
    <t>casinos en españa online</t>
  </si>
  <si>
    <t>online casino games best uk</t>
  </si>
  <si>
    <t>casino online austria</t>
  </si>
  <si>
    <t>online casino no deposit bonus codes 2018 usa</t>
  </si>
  <si>
    <t>best online casino payouts australia</t>
  </si>
  <si>
    <t>online casino games new jersey</t>
  </si>
  <si>
    <t>casino free games download</t>
  </si>
  <si>
    <t>casino games with highest odds</t>
  </si>
  <si>
    <t>online casino list</t>
  </si>
  <si>
    <t>online grosvenor casinos</t>
  </si>
  <si>
    <t>eigenes online casino eröffnen</t>
  </si>
  <si>
    <t>online gambling us</t>
  </si>
  <si>
    <t>online casino paypal 5 euro einzahlung</t>
  </si>
  <si>
    <t>online casino bonus ohne einzahlung sofort 2019</t>
  </si>
  <si>
    <t>best online roulette casino</t>
  </si>
  <si>
    <t>casino en ligne live</t>
  </si>
  <si>
    <t>casinos online com bonus sem deposito</t>
  </si>
  <si>
    <t>holland casino online gokken</t>
  </si>
  <si>
    <t>online casino ohne einzahlung bonus</t>
  </si>
  <si>
    <t>bonus benvenuto casino online</t>
  </si>
  <si>
    <t>casino maxbet online deposit 50 ribu</t>
  </si>
  <si>
    <t>real online gambling sites</t>
  </si>
  <si>
    <t>promo codes for casino online</t>
  </si>
  <si>
    <t>online casino ersteinzahlungsbonus</t>
  </si>
  <si>
    <t>best online uk casino</t>
  </si>
  <si>
    <t>jackpot city casino online gambling</t>
  </si>
  <si>
    <t>online casinos no document need</t>
  </si>
  <si>
    <t>free slot casino games online for fun</t>
  </si>
  <si>
    <t>casinos online vivepay</t>
  </si>
  <si>
    <t>paf casino online</t>
  </si>
  <si>
    <t>casino online echtgeld bonus</t>
  </si>
  <si>
    <t>skycity online casino nz</t>
  </si>
  <si>
    <t>casino online sin depósito</t>
  </si>
  <si>
    <t>spin palace online casino download</t>
  </si>
  <si>
    <t>casino slot machine games list</t>
  </si>
  <si>
    <t>free casinos online slots</t>
  </si>
  <si>
    <t>play casinos online</t>
  </si>
  <si>
    <t>real money online casino arkansas no deposit</t>
  </si>
  <si>
    <t>best online casino for slots</t>
  </si>
  <si>
    <t>nederlandse casino online</t>
  </si>
  <si>
    <t>online dash gambling</t>
  </si>
  <si>
    <t>online casino in korea</t>
  </si>
  <si>
    <t>casino online gran madrid</t>
  </si>
  <si>
    <t>best online casino in south africa</t>
  </si>
  <si>
    <t>online live casino deutschland</t>
  </si>
  <si>
    <t>maryland online casino</t>
  </si>
  <si>
    <t>casino online best bonus</t>
  </si>
  <si>
    <t>online casino bonus einzahlung</t>
  </si>
  <si>
    <t>casino cbet online termurah</t>
  </si>
  <si>
    <t>casinos online españa</t>
  </si>
  <si>
    <t>online casino ohne einzahlung mit bonus</t>
  </si>
  <si>
    <t>real money online casino nj</t>
  </si>
  <si>
    <t>online casino canada baccarat</t>
  </si>
  <si>
    <t>new online casinos for usa players</t>
  </si>
  <si>
    <t>play online vegas casino games</t>
  </si>
  <si>
    <t>new jersey online casino bonus</t>
  </si>
  <si>
    <t>yggdrasil casino games</t>
  </si>
  <si>
    <t>casinos online with no deposit bonuses</t>
  </si>
  <si>
    <t>payid online casinos australia</t>
  </si>
  <si>
    <t>novoline online casinos</t>
  </si>
  <si>
    <t>top quickspin online casinos</t>
  </si>
  <si>
    <t>online casino gambling real money</t>
  </si>
  <si>
    <t>neueste online casino bonus ohne einzahlung</t>
  </si>
  <si>
    <t>nj online casino no deposit bonus</t>
  </si>
  <si>
    <t>hack online casino</t>
  </si>
  <si>
    <t>casino-online</t>
  </si>
  <si>
    <t>new online casinos 2021 no deposit bonus</t>
  </si>
  <si>
    <t>casino games for real money online</t>
  </si>
  <si>
    <t>online casino games that pay</t>
  </si>
  <si>
    <t>deutsches online casino paypal</t>
  </si>
  <si>
    <t>slot live casino</t>
  </si>
  <si>
    <t>jogos de casino online</t>
  </si>
  <si>
    <t>888 online casino reviews</t>
  </si>
  <si>
    <t>casino online que acepta muchbetter</t>
  </si>
  <si>
    <t>casino online venezia</t>
  </si>
  <si>
    <t>white label online casino</t>
  </si>
  <si>
    <t>5 min deposit online casino</t>
  </si>
  <si>
    <t>live dealers casino</t>
  </si>
  <si>
    <t>live casino crazy time</t>
  </si>
  <si>
    <t>play online casino games and win real money</t>
  </si>
  <si>
    <t>csgo live casino</t>
  </si>
  <si>
    <t>same day payout online casino</t>
  </si>
  <si>
    <t>best australian online casino</t>
  </si>
  <si>
    <t>casino merkur online</t>
  </si>
  <si>
    <t>live casino spil</t>
  </si>
  <si>
    <t>online casino report</t>
  </si>
  <si>
    <t>online new jersey casino</t>
  </si>
  <si>
    <t>online casino mr bet</t>
  </si>
  <si>
    <t>online casino free spins bonus</t>
  </si>
  <si>
    <t>demo games casino</t>
  </si>
  <si>
    <t>real money online gambling</t>
  </si>
  <si>
    <t>lucky nugget casino online</t>
  </si>
  <si>
    <t>casino south africa online</t>
  </si>
  <si>
    <t>online slot casino uk</t>
  </si>
  <si>
    <t>online casinos uk</t>
  </si>
  <si>
    <t>casino austria online</t>
  </si>
  <si>
    <t>non gamstop casino games pay with mobile credit</t>
  </si>
  <si>
    <t>mobilebet live casino</t>
  </si>
  <si>
    <t>online casino ohne online banking</t>
  </si>
  <si>
    <t>europalace online casino</t>
  </si>
  <si>
    <t>bandar ibcbet casino online</t>
  </si>
  <si>
    <t>jackpot paradise online casino review</t>
  </si>
  <si>
    <t>arkansas online gambling</t>
  </si>
  <si>
    <t>best online casino austria</t>
  </si>
  <si>
    <t>oregon online gambling</t>
  </si>
  <si>
    <t>online casinos canada real money</t>
  </si>
  <si>
    <t>casino online film</t>
  </si>
  <si>
    <t>giocare casino online</t>
  </si>
  <si>
    <t>maryland online gambling</t>
  </si>
  <si>
    <t>online gambling crash</t>
  </si>
  <si>
    <t>casinos online méxico</t>
  </si>
  <si>
    <t>jogos de casino online gratis slots</t>
  </si>
  <si>
    <t>fortune games casino</t>
  </si>
  <si>
    <t>live casino singapore</t>
  </si>
  <si>
    <t>nj golden nugget online casino</t>
  </si>
  <si>
    <t>silversands online casino</t>
  </si>
  <si>
    <t>migliori casino online italiani</t>
  </si>
  <si>
    <t>best casino online in singapore</t>
  </si>
  <si>
    <t>dreamz online casino</t>
  </si>
  <si>
    <t>betonline live casino</t>
  </si>
  <si>
    <t>wind creek casino games</t>
  </si>
  <si>
    <t>české casino online</t>
  </si>
  <si>
    <t>online casino mastercard acceptance</t>
  </si>
  <si>
    <t>amatic casino games</t>
  </si>
  <si>
    <t>louisiana online gambling</t>
  </si>
  <si>
    <t>sun casino online</t>
  </si>
  <si>
    <t>1win online casino</t>
  </si>
  <si>
    <t>best online casinos that accept paypal</t>
  </si>
  <si>
    <t>hardrock casino online</t>
  </si>
  <si>
    <t>cashman casino free slots machines &amp; vegas games</t>
  </si>
  <si>
    <t>neue online casinos 2021</t>
  </si>
  <si>
    <t>eldorado online casino</t>
  </si>
  <si>
    <t>roleta online casino</t>
  </si>
  <si>
    <t>zahlungsmittel online casino</t>
  </si>
  <si>
    <t>online casino freispiele</t>
  </si>
  <si>
    <t>casinos online in usa</t>
  </si>
  <si>
    <t>roobet online casino</t>
  </si>
  <si>
    <t>online casino plus bonus</t>
  </si>
  <si>
    <t>best live dealer online casino</t>
  </si>
  <si>
    <t>best canada casino online</t>
  </si>
  <si>
    <t>online casino anmeldung bonus</t>
  </si>
  <si>
    <t>japan online gambling</t>
  </si>
  <si>
    <t>online gambling promotions</t>
  </si>
  <si>
    <t>best blackjack online casino sites</t>
  </si>
  <si>
    <t>secure online casino canada</t>
  </si>
  <si>
    <t>monopoly online casino game</t>
  </si>
  <si>
    <t>casino holdem live</t>
  </si>
  <si>
    <t>casinos online nj</t>
  </si>
  <si>
    <t>online casino mit startguthaben bei anmeldung</t>
  </si>
  <si>
    <t>black jack online casino</t>
  </si>
  <si>
    <t>online casinos australia paypal</t>
  </si>
  <si>
    <t>top yggdrasil online casinos</t>
  </si>
  <si>
    <t>free casino games app</t>
  </si>
  <si>
    <t>best michigan online casino sites</t>
  </si>
  <si>
    <t>best online casino real money usa</t>
  </si>
  <si>
    <t>online casino geld zurückholen</t>
  </si>
  <si>
    <t>online casino srbija</t>
  </si>
  <si>
    <t>is online gambling legal in georgia</t>
  </si>
  <si>
    <t>best table games to play at casino</t>
  </si>
  <si>
    <t>online casino 2023</t>
  </si>
  <si>
    <t>casino online belgium</t>
  </si>
  <si>
    <t>roulette casino online game</t>
  </si>
  <si>
    <t>τα καλυτερα online casino</t>
  </si>
  <si>
    <t>real gambling games online</t>
  </si>
  <si>
    <t>www casino demo games</t>
  </si>
  <si>
    <t>neue online casino 🇩🇪 casinod.casino</t>
  </si>
  <si>
    <t>bitcoin online casino</t>
  </si>
  <si>
    <t>melhor casino online para brasileiros</t>
  </si>
  <si>
    <t>online casino auszahlungsquoten</t>
  </si>
  <si>
    <t>wynnbet online casino nj</t>
  </si>
  <si>
    <t>online casino real money colorado</t>
  </si>
  <si>
    <t>games online casinos</t>
  </si>
  <si>
    <t>england online casino</t>
  </si>
  <si>
    <t>best online casino ontario jackpot city</t>
  </si>
  <si>
    <t>online casino pay pal</t>
  </si>
  <si>
    <t>mgm online casino promo code</t>
  </si>
  <si>
    <t>los mejores casinos online de argentina</t>
  </si>
  <si>
    <t>pragmatic games casino</t>
  </si>
  <si>
    <t>best online usa casinos</t>
  </si>
  <si>
    <t>us casino online real money</t>
  </si>
  <si>
    <t>casino epoca online casino spanish</t>
  </si>
  <si>
    <t>online roulette gambling real money</t>
  </si>
  <si>
    <t>is royal vegas online casino legit</t>
  </si>
  <si>
    <t>sugarhouse casino online sportsbook</t>
  </si>
  <si>
    <t>top 100 casinos online</t>
  </si>
  <si>
    <t>goldrun casino online</t>
  </si>
  <si>
    <t>new nz online casinos 2023</t>
  </si>
  <si>
    <t>solaire online casino</t>
  </si>
  <si>
    <t>bahrain online casinos</t>
  </si>
  <si>
    <t>casino espinho online</t>
  </si>
  <si>
    <t>lucky win casino online</t>
  </si>
  <si>
    <t>casino games online uk</t>
  </si>
  <si>
    <t>australian online casinos real money</t>
  </si>
  <si>
    <t>online casino mit lastschrift</t>
  </si>
  <si>
    <t>online casinos 2026 usacasinobonuses.club</t>
  </si>
  <si>
    <t>sweepstake casinos online</t>
  </si>
  <si>
    <t>online casino in south africa</t>
  </si>
  <si>
    <t>online merkur casino</t>
  </si>
  <si>
    <t>casino online promociones</t>
  </si>
  <si>
    <t>best live casino canada</t>
  </si>
  <si>
    <t>online casino cash</t>
  </si>
  <si>
    <t>hollywood casino online real money</t>
  </si>
  <si>
    <t>playson casino games</t>
  </si>
  <si>
    <t>neue online casinos 2023</t>
  </si>
  <si>
    <t>casino online malaysia</t>
  </si>
  <si>
    <t>os melhores casinos online do mundo</t>
  </si>
  <si>
    <t>casino live online come funziona</t>
  </si>
  <si>
    <t>top casinos online andorra</t>
  </si>
  <si>
    <t>croc casino online</t>
  </si>
  <si>
    <t>paypal online casinos</t>
  </si>
  <si>
    <t>guts online casinos</t>
  </si>
  <si>
    <t>crypto casinos online</t>
  </si>
  <si>
    <t>best roulette games online betway casino</t>
  </si>
  <si>
    <t>cash to code online casino</t>
  </si>
  <si>
    <t>fazer um depósito em um cassino casino online</t>
  </si>
  <si>
    <t>online casino with $5 minimum deposit</t>
  </si>
  <si>
    <t>lowest casino edge games</t>
  </si>
  <si>
    <t>betrouwbare online casino ideal</t>
  </si>
  <si>
    <t>easiest casino games to win money</t>
  </si>
  <si>
    <t>online casinos no deposit bonus uk</t>
  </si>
  <si>
    <t>cool cat casino online play</t>
  </si>
  <si>
    <t>online casino with fastest payout</t>
  </si>
  <si>
    <t>co online casino</t>
  </si>
  <si>
    <t>21 casino games</t>
  </si>
  <si>
    <t>play for real money online casino</t>
  </si>
  <si>
    <t>malaysia trusted online casino</t>
  </si>
  <si>
    <t>casino new online</t>
  </si>
  <si>
    <t>best online australian casino</t>
  </si>
  <si>
    <t>best online casino in canada</t>
  </si>
  <si>
    <t>best online australian casinos</t>
  </si>
  <si>
    <t>mit online casino geld verdienen</t>
  </si>
  <si>
    <t>online casino vklad cez sms</t>
  </si>
  <si>
    <t>online casino promos</t>
  </si>
  <si>
    <t>bet365 online casino easy withdrawal</t>
  </si>
  <si>
    <t>online casino cz bonus</t>
  </si>
  <si>
    <t>taruhan sbobet casino online deposit termurah</t>
  </si>
  <si>
    <t>online casinos mit 1 euro einzahlung</t>
  </si>
  <si>
    <t>play casino online for fun</t>
  </si>
  <si>
    <t>cabaret club online casino spanish</t>
  </si>
  <si>
    <t>casino guide online</t>
  </si>
  <si>
    <t>drückglück online casino</t>
  </si>
  <si>
    <t>legal online casino schweiz</t>
  </si>
  <si>
    <t>high paying online casino ontario</t>
  </si>
  <si>
    <t>can you win big on online casinos</t>
  </si>
  <si>
    <t>miglior casino online italiano</t>
  </si>
  <si>
    <t>play free online casino games</t>
  </si>
  <si>
    <t>tizona online casino</t>
  </si>
  <si>
    <t>playuzu casino online</t>
  </si>
  <si>
    <t>best new online casino canada</t>
  </si>
  <si>
    <t>online casinos that accept paysafecard</t>
  </si>
  <si>
    <t>bestes casino online</t>
  </si>
  <si>
    <t>online casino mit handyguthaben bezahlen</t>
  </si>
  <si>
    <t>bandar judi casino sbobet online</t>
  </si>
  <si>
    <t>casino online unibet</t>
  </si>
  <si>
    <t>casino online pl</t>
  </si>
  <si>
    <t>bigboost online casino</t>
  </si>
  <si>
    <t>online casino echtgeld bonus ohne einzahlung 2018</t>
  </si>
  <si>
    <t>die besten online casinos 2020</t>
  </si>
  <si>
    <t>online casino for real money</t>
  </si>
  <si>
    <t>eerlijkstes online-casino</t>
  </si>
  <si>
    <t>casino online paypal argentina</t>
  </si>
  <si>
    <t>delaware online casinos</t>
  </si>
  <si>
    <t>betmgm online casino promo code</t>
  </si>
  <si>
    <t>ritzo casino play online</t>
  </si>
  <si>
    <t>online gambling usa legal</t>
  </si>
  <si>
    <t>nieuwe online casinos 2022</t>
  </si>
  <si>
    <t>top online casinos andorra</t>
  </si>
  <si>
    <t>free online slot casino games</t>
  </si>
  <si>
    <t>online casino nz 2023</t>
  </si>
  <si>
    <t>btc casino table games</t>
  </si>
  <si>
    <t>skycity casino online</t>
  </si>
  <si>
    <t>best new zealand online casino</t>
  </si>
  <si>
    <t>betclic casino online</t>
  </si>
  <si>
    <t>free casino games online play for fun</t>
  </si>
  <si>
    <t>new online casinos nj</t>
  </si>
  <si>
    <t>mgm online casino nj app</t>
  </si>
  <si>
    <t>merkur online casino</t>
  </si>
  <si>
    <t>blackjack ballroom online casino</t>
  </si>
  <si>
    <t>free online casino game</t>
  </si>
  <si>
    <t>bandar sbobet casino online deposit termurah</t>
  </si>
  <si>
    <t>u s online casino</t>
  </si>
  <si>
    <t>best online casino schweiz</t>
  </si>
  <si>
    <t>free offline casino games to download</t>
  </si>
  <si>
    <t>ontario casino online</t>
  </si>
  <si>
    <t>same day withdrawal online casinos nz</t>
  </si>
  <si>
    <t>instant payout online casino</t>
  </si>
  <si>
    <t>best credit card online casino sites</t>
  </si>
  <si>
    <t>top best online casino</t>
  </si>
  <si>
    <t>online casino free welcome bonus</t>
  </si>
  <si>
    <t>online casino angebote</t>
  </si>
  <si>
    <t>casino free play online</t>
  </si>
  <si>
    <t>live casino iphone</t>
  </si>
  <si>
    <t>svenska casino spel online</t>
  </si>
  <si>
    <t>crown casino online pokies</t>
  </si>
  <si>
    <t>live casino on mobile</t>
  </si>
  <si>
    <t>juegos online casino</t>
  </si>
  <si>
    <t>casinos fiables online</t>
  </si>
  <si>
    <t>online casino uk real money</t>
  </si>
  <si>
    <t>free online vegas casino slot games</t>
  </si>
  <si>
    <t>mejores casinos online de 2022</t>
  </si>
  <si>
    <t>free casino games no registration</t>
  </si>
  <si>
    <t>zahlungsmethoden online casino</t>
  </si>
  <si>
    <t>online casino schweiz mit startguthaben</t>
  </si>
  <si>
    <t>casino online microgaming</t>
  </si>
  <si>
    <t>casino games online for money</t>
  </si>
  <si>
    <t>casinos online fiables en espana</t>
  </si>
  <si>
    <t>best australian online casino sites</t>
  </si>
  <si>
    <t>play live casino malaysia</t>
  </si>
  <si>
    <t>australian online casinos</t>
  </si>
  <si>
    <t>online casino tipps</t>
  </si>
  <si>
    <t>online casino $10 min deposit</t>
  </si>
  <si>
    <t>new hampshire online gambling</t>
  </si>
  <si>
    <t>top payout casinos online</t>
  </si>
  <si>
    <t>casino games play for free</t>
  </si>
  <si>
    <t>easiest casino games to win</t>
  </si>
  <si>
    <t>virgin online casino bonus code</t>
  </si>
  <si>
    <t>beste online casino zahlungsmethoden</t>
  </si>
  <si>
    <t>top online casino bolivia</t>
  </si>
  <si>
    <t>online casino no deposit free bonus</t>
  </si>
  <si>
    <t>red dog online casino review</t>
  </si>
  <si>
    <t>online casino no verification withdrawal usa</t>
  </si>
  <si>
    <t>online casino in australia</t>
  </si>
  <si>
    <t>playmillion online casino review</t>
  </si>
  <si>
    <t>best casino offers online</t>
  </si>
  <si>
    <t>casinos online nuevos</t>
  </si>
  <si>
    <t>online gokken casino</t>
  </si>
  <si>
    <t>mobil casino online</t>
  </si>
  <si>
    <t>juegos casino online gratis argentina</t>
  </si>
  <si>
    <t>best felt gaming online casinos</t>
  </si>
  <si>
    <t>online casino in bangladesh</t>
  </si>
  <si>
    <t>top online casino egypt</t>
  </si>
  <si>
    <t>online casino echtgeld book of ra</t>
  </si>
  <si>
    <t>live roulette casino site</t>
  </si>
  <si>
    <t>juegos del casino online</t>
  </si>
  <si>
    <t>casinobonusca online casino</t>
  </si>
  <si>
    <t>online casino with cashback bonus</t>
  </si>
  <si>
    <t>brand new casinos online</t>
  </si>
  <si>
    <t>new york online gambling</t>
  </si>
  <si>
    <t>casino online free bonus</t>
  </si>
  <si>
    <t>best klarna online casinos</t>
  </si>
  <si>
    <t>australian online casino no deposit bonus 2020</t>
  </si>
  <si>
    <t>online gambling verification</t>
  </si>
  <si>
    <t>casino games that pay</t>
  </si>
  <si>
    <t>free casino slots with bonus games</t>
  </si>
  <si>
    <t>online casino volt</t>
  </si>
  <si>
    <t>casino royale free online</t>
  </si>
  <si>
    <t>online casinos for us players</t>
  </si>
  <si>
    <t>igt casino games</t>
  </si>
  <si>
    <t>online casino top 10</t>
  </si>
  <si>
    <t>gambling online pa</t>
  </si>
  <si>
    <t>online casinos japan</t>
  </si>
  <si>
    <t>kiwi online casino</t>
  </si>
  <si>
    <t>bclc online casino</t>
  </si>
  <si>
    <t>casino blackjack games free</t>
  </si>
  <si>
    <t>south carolina online casinos</t>
  </si>
  <si>
    <t>casino latvia online</t>
  </si>
  <si>
    <t>agen betting maxbet casino online</t>
  </si>
  <si>
    <t>giocare al casino online</t>
  </si>
  <si>
    <t>draftkings online casino reviews</t>
  </si>
  <si>
    <t>online casino turnkey solution</t>
  </si>
  <si>
    <t>neue online casinos 2019 bonus ohne einzahlung</t>
  </si>
  <si>
    <t>maine casino online</t>
  </si>
  <si>
    <t>online nj casinos</t>
  </si>
  <si>
    <t>top australian online casinos</t>
  </si>
  <si>
    <t>ontario online casino promo</t>
  </si>
  <si>
    <t>list of casino games</t>
  </si>
  <si>
    <t>online casino bonus ohne einzahlung 2021</t>
  </si>
  <si>
    <t>shadowbet online casino</t>
  </si>
  <si>
    <t>brand new usa online casinos 2019</t>
  </si>
  <si>
    <t>internet casino game online</t>
  </si>
  <si>
    <t>top online casinos in the world</t>
  </si>
  <si>
    <t>thai online casino</t>
  </si>
  <si>
    <t>top online real money gambling</t>
  </si>
  <si>
    <t>casino online utan licens</t>
  </si>
  <si>
    <t>jackpot city online casino español</t>
  </si>
  <si>
    <t>casino online senza deposito</t>
  </si>
  <si>
    <t>online casino games for free</t>
  </si>
  <si>
    <t>dolly casino online</t>
  </si>
  <si>
    <t>best online gambling sites real money</t>
  </si>
  <si>
    <t>arena casino online</t>
  </si>
  <si>
    <t>canadian online gambling sites</t>
  </si>
  <si>
    <t>online sweepstakes casino real money usa</t>
  </si>
  <si>
    <t>casino play online real money</t>
  </si>
  <si>
    <t>rubyfortune online casino spanish</t>
  </si>
  <si>
    <t>online gambling paypal</t>
  </si>
  <si>
    <t>lucky creek online casino</t>
  </si>
  <si>
    <t>top rated online casino real money</t>
  </si>
  <si>
    <t>casino' online</t>
  </si>
  <si>
    <t>casino live romania</t>
  </si>
  <si>
    <t>fastest payout online casinos</t>
  </si>
  <si>
    <t>online casino gids</t>
  </si>
  <si>
    <t>live deal or no deal casino</t>
  </si>
  <si>
    <t>best online casino real money australia</t>
  </si>
  <si>
    <t>online casino test chip</t>
  </si>
  <si>
    <t>oregon casino online</t>
  </si>
  <si>
    <t>top 10 online casinos</t>
  </si>
  <si>
    <t>gd casino online</t>
  </si>
  <si>
    <t>ahti games casino bonukset</t>
  </si>
  <si>
    <t>real legit online casino</t>
  </si>
  <si>
    <t>real pay online casino</t>
  </si>
  <si>
    <t>pokies online casino</t>
  </si>
  <si>
    <t>unibet online casino review</t>
  </si>
  <si>
    <t>regent play online casino</t>
  </si>
  <si>
    <t>online casino spellen</t>
  </si>
  <si>
    <t>online casino bonus michigan</t>
  </si>
  <si>
    <t>golden nugget online casino bonus</t>
  </si>
  <si>
    <t>online casino 10 euro deposit</t>
  </si>
  <si>
    <t>best online casino australia real money</t>
  </si>
  <si>
    <t>gambling online nj</t>
  </si>
  <si>
    <t>100 online casinos</t>
  </si>
  <si>
    <t>online games casino free</t>
  </si>
  <si>
    <t>free casino games that pay real money</t>
  </si>
  <si>
    <t>online casino gamblers</t>
  </si>
  <si>
    <t>casino online regalo sin deposito</t>
  </si>
  <si>
    <t>indian ruby online casino</t>
  </si>
  <si>
    <t>black jack live casino</t>
  </si>
  <si>
    <t>bet 365 live casino</t>
  </si>
  <si>
    <t>online gambling sites that accept paypal</t>
  </si>
  <si>
    <t>royal vegas online casino</t>
  </si>
  <si>
    <t>golden tiger online casino review</t>
  </si>
  <si>
    <t>bandar judi casino blackjack online</t>
  </si>
  <si>
    <t>nz online casino 1 dollar deposit</t>
  </si>
  <si>
    <t>netbet casino online</t>
  </si>
  <si>
    <t>free casino slot games for fun no download</t>
  </si>
  <si>
    <t>biggest online casinos uk</t>
  </si>
  <si>
    <t>top michigan online casinos</t>
  </si>
  <si>
    <t>casinos best online</t>
  </si>
  <si>
    <t>crypto casino online</t>
  </si>
  <si>
    <t>online gambling nc</t>
  </si>
  <si>
    <t>top bonus online casinos</t>
  </si>
  <si>
    <t>carnival cruise casino games</t>
  </si>
  <si>
    <t>france online casino</t>
  </si>
  <si>
    <t>types of casino card games</t>
  </si>
  <si>
    <t>best online casino offers</t>
  </si>
  <si>
    <t>slot online 238--casino(rajadewa138)</t>
  </si>
  <si>
    <t>online casino download</t>
  </si>
  <si>
    <t>online gambling iowa</t>
  </si>
  <si>
    <t>greenlandic online casinos</t>
  </si>
  <si>
    <t>georgia online casinos</t>
  </si>
  <si>
    <t>idaho online casino</t>
  </si>
  <si>
    <t>paypal deposit online casino</t>
  </si>
  <si>
    <t>mejores casinos online ruleta andorra</t>
  </si>
  <si>
    <t>spanish online casinos</t>
  </si>
  <si>
    <t>rubyfortune online casino</t>
  </si>
  <si>
    <t>live casino australia</t>
  </si>
  <si>
    <t>online casino n1</t>
  </si>
  <si>
    <t>online casino texas holdem poker</t>
  </si>
  <si>
    <t>online casino no deposit bonus 2021</t>
  </si>
  <si>
    <t>dunder online casino</t>
  </si>
  <si>
    <t>independent casino online</t>
  </si>
  <si>
    <t>online casinos that accept e transfer</t>
  </si>
  <si>
    <t>the best online casino for real money</t>
  </si>
  <si>
    <t>best online casinos uk</t>
  </si>
  <si>
    <t>are online live casinos rigged</t>
  </si>
  <si>
    <t>online casino debit card withdrawal</t>
  </si>
  <si>
    <t>free online casino games canada</t>
  </si>
  <si>
    <t>play casino slots online for free</t>
  </si>
  <si>
    <t>tutti i casino online aams</t>
  </si>
  <si>
    <t>new uk online casinos</t>
  </si>
  <si>
    <t>holland casino online slots</t>
  </si>
  <si>
    <t>online gaming casino</t>
  </si>
  <si>
    <t>betfair casino live</t>
  </si>
  <si>
    <t>beste online casino bonus ohne einzahlung</t>
  </si>
  <si>
    <t>slovenské online casino</t>
  </si>
  <si>
    <t>online casino roulette trick</t>
  </si>
  <si>
    <t>ritzo casino online</t>
  </si>
  <si>
    <t>casino online que acepta entropay</t>
  </si>
  <si>
    <t>e wallet online gambling</t>
  </si>
  <si>
    <t>online casino with no deposit bonus</t>
  </si>
  <si>
    <t>mummys gold casino online cyprus</t>
  </si>
  <si>
    <t>casino online darmowe pieniadze za rejestracje</t>
  </si>
  <si>
    <t>online casino england</t>
  </si>
  <si>
    <t>top online slot casinos</t>
  </si>
  <si>
    <t>online fish table casino</t>
  </si>
  <si>
    <t>jogos casino online free</t>
  </si>
  <si>
    <t>online casino games with no deposit</t>
  </si>
  <si>
    <t>online new casinos</t>
  </si>
  <si>
    <t>casino online francais</t>
  </si>
  <si>
    <t>best online casino ohio</t>
  </si>
  <si>
    <t>casino epoca games</t>
  </si>
  <si>
    <t>springbok online casino</t>
  </si>
  <si>
    <t>cyprus online casino</t>
  </si>
  <si>
    <t>free games online casino</t>
  </si>
  <si>
    <t>online casino mobile app</t>
  </si>
  <si>
    <t>ps4 casino games</t>
  </si>
  <si>
    <t>casino online espanha</t>
  </si>
  <si>
    <t>online bet casino</t>
  </si>
  <si>
    <t>online casino in philippines</t>
  </si>
  <si>
    <t>hard rock casino online login</t>
  </si>
  <si>
    <t>online casinos kuwait</t>
  </si>
  <si>
    <t>win real money casino games</t>
  </si>
  <si>
    <t>online zodiacbet casino</t>
  </si>
  <si>
    <t>snai casino live</t>
  </si>
  <si>
    <t>gamingclub online casino spanish</t>
  </si>
  <si>
    <t>hacking online casino</t>
  </si>
  <si>
    <t>online casino ireland</t>
  </si>
  <si>
    <t>casinos online casino</t>
  </si>
  <si>
    <t>casino tragamonedas online</t>
  </si>
  <si>
    <t>online casinos ohne deutsche lizenz</t>
  </si>
  <si>
    <t>mejores casinos internacionales online</t>
  </si>
  <si>
    <t>silver oak online casino</t>
  </si>
  <si>
    <t>top online casino singapore</t>
  </si>
  <si>
    <t>online casino no deposit</t>
  </si>
  <si>
    <t>swedish online casinos</t>
  </si>
  <si>
    <t>e wallet online casino malaysia</t>
  </si>
  <si>
    <t>nfl online gambling</t>
  </si>
  <si>
    <t>ahti games casino pelit</t>
  </si>
  <si>
    <t>online casino mit free spins ohne einzahlung</t>
  </si>
  <si>
    <t>honest online casino nz 2019</t>
  </si>
  <si>
    <t>casinos online bitcoin</t>
  </si>
  <si>
    <t>mac online casinos</t>
  </si>
  <si>
    <t>online casino citadel instant banking</t>
  </si>
  <si>
    <t>online casino intercasino</t>
  </si>
  <si>
    <t>online free casino slot games</t>
  </si>
  <si>
    <t>online gambling hong kong</t>
  </si>
  <si>
    <t>casino machine games</t>
  </si>
  <si>
    <t>casinos online muchbetter españa</t>
  </si>
  <si>
    <t>wazdan online casino</t>
  </si>
  <si>
    <t>ganabet casino online</t>
  </si>
  <si>
    <t>juegos casino online gratis tragamonedas</t>
  </si>
  <si>
    <t>harrahs casino online reviews</t>
  </si>
  <si>
    <t>online live gambling</t>
  </si>
  <si>
    <t>new casino free games</t>
  </si>
  <si>
    <t>online casinos neosurf</t>
  </si>
  <si>
    <t>cresus online casino avis</t>
  </si>
  <si>
    <t>online casinos paysafecard</t>
  </si>
  <si>
    <t>best three card poker online casinos</t>
  </si>
  <si>
    <t>casino maxbet online</t>
  </si>
  <si>
    <t>das beste online casino</t>
  </si>
  <si>
    <t>casino online no deposit bonus free</t>
  </si>
  <si>
    <t>mummysgold casino online</t>
  </si>
  <si>
    <t>online no deposit bonus casinos</t>
  </si>
  <si>
    <t>ares online casino</t>
  </si>
  <si>
    <t>new online casinos michigan</t>
  </si>
  <si>
    <t>agen judi live casino terpercaya</t>
  </si>
  <si>
    <t>super cherry schweizer online casino</t>
  </si>
  <si>
    <t>fast games online gambling</t>
  </si>
  <si>
    <t>casino online chile paypal</t>
  </si>
  <si>
    <t>online casinos no deposit bonus usa</t>
  </si>
  <si>
    <t>online casino umsatzbedingungen</t>
  </si>
  <si>
    <t>bandar betting casino bluebet33 online</t>
  </si>
  <si>
    <t>north dakota online casinos</t>
  </si>
  <si>
    <t>online casino ny</t>
  </si>
  <si>
    <t>leon casino online</t>
  </si>
  <si>
    <t>best online casinos eu</t>
  </si>
  <si>
    <t>beste online casino belgië</t>
  </si>
  <si>
    <t>new online casino 3 deposit bonus</t>
  </si>
  <si>
    <t>online gambling in the uk</t>
  </si>
  <si>
    <t>online gambling platform providers</t>
  </si>
  <si>
    <t>best online blackjack casinos ireland</t>
  </si>
  <si>
    <t>online casino mit boku bezahlen</t>
  </si>
  <si>
    <t>online gambling in uk</t>
  </si>
  <si>
    <t>casino live slot</t>
  </si>
  <si>
    <t>online casino minimum deposit 1 euro</t>
  </si>
  <si>
    <t>mezinárodní online casino</t>
  </si>
  <si>
    <t>maryland live casino hotel</t>
  </si>
  <si>
    <t>gioco casino online gratis</t>
  </si>
  <si>
    <t>top betsoft online casino</t>
  </si>
  <si>
    <t>play online casino at playojo</t>
  </si>
  <si>
    <t>hardest casino games</t>
  </si>
  <si>
    <t>casino online bonus za rejestracje</t>
  </si>
  <si>
    <t>mejores casinos online que aceptan neosurf</t>
  </si>
  <si>
    <t>best online slot casinos</t>
  </si>
  <si>
    <t>crown casino online real money</t>
  </si>
  <si>
    <t>casino scores monopoly live</t>
  </si>
  <si>
    <t>casino live table games</t>
  </si>
  <si>
    <t>casino online mastercard</t>
  </si>
  <si>
    <t>best online casino usa reviews</t>
  </si>
  <si>
    <t>online casino mit handy guthaben aufladen</t>
  </si>
  <si>
    <t>online casino south africa real money, no deposit</t>
  </si>
  <si>
    <t>poker online gambling</t>
  </si>
  <si>
    <t>online gambling sites that accept paybymobile</t>
  </si>
  <si>
    <t>casino online book of ra deluxe</t>
  </si>
  <si>
    <t>famous casino games</t>
  </si>
  <si>
    <t>big casino online</t>
  </si>
  <si>
    <t>danske casino online</t>
  </si>
  <si>
    <t>caesars online casino nj</t>
  </si>
  <si>
    <t>casino online free bonus no deposit required</t>
  </si>
  <si>
    <t>judi casino bluebet33 online</t>
  </si>
  <si>
    <t>online casino quick withdrawal</t>
  </si>
  <si>
    <t>eurogrand live casino</t>
  </si>
  <si>
    <t>new michigan online casino no deposit bonus</t>
  </si>
  <si>
    <t>borgata online casino nj review</t>
  </si>
  <si>
    <t>uk casinos online</t>
  </si>
  <si>
    <t>najbolji hrvatski online casino</t>
  </si>
  <si>
    <t>เว็บ casino online</t>
  </si>
  <si>
    <t>top online casino nz</t>
  </si>
  <si>
    <t>best casino online 2024</t>
  </si>
  <si>
    <t>best online casinos bangladesh</t>
  </si>
  <si>
    <t>casino online schweiz</t>
  </si>
  <si>
    <t>games casino slots</t>
  </si>
  <si>
    <t>grand mondial online casino</t>
  </si>
  <si>
    <t>vegas poker online casino</t>
  </si>
  <si>
    <t>yukon online casino</t>
  </si>
  <si>
    <t>south african online casinos list</t>
  </si>
  <si>
    <t>online casino real money south carolina</t>
  </si>
  <si>
    <t>online casinos with no minimum deposit</t>
  </si>
  <si>
    <t>borgata online casino bonus code</t>
  </si>
  <si>
    <t>online casino real money usa</t>
  </si>
  <si>
    <t>gta online casino cars</t>
  </si>
  <si>
    <t>casino nou online</t>
  </si>
  <si>
    <t>top 10 online casinos australia</t>
  </si>
  <si>
    <t>nj online casino bonus</t>
  </si>
  <si>
    <t>casino games slots online</t>
  </si>
  <si>
    <t>top casino online</t>
  </si>
  <si>
    <t>free slots casino games with bonus</t>
  </si>
  <si>
    <t>www jackpotcity casino online com au</t>
  </si>
  <si>
    <t>best online gambling sites sports</t>
  </si>
  <si>
    <t>top reelplay online casino</t>
  </si>
  <si>
    <t>batavia casino online</t>
  </si>
  <si>
    <t>online casinos malta</t>
  </si>
  <si>
    <t>casino games sites</t>
  </si>
  <si>
    <t>online casino bonus ohne einzahlung 2022</t>
  </si>
  <si>
    <t>online casinos that accept skrill</t>
  </si>
  <si>
    <t>wink slots online casino review</t>
  </si>
  <si>
    <t>najlepsie online casino</t>
  </si>
  <si>
    <t>griffon casino games</t>
  </si>
  <si>
    <t>play online casino at playojo reviews</t>
  </si>
  <si>
    <t>online casino bonus bez vkladu</t>
  </si>
  <si>
    <t>online casino spielen in deutschland</t>
  </si>
  <si>
    <t>biggest online casino companies</t>
  </si>
  <si>
    <t>best no deposit bonus online casino</t>
  </si>
  <si>
    <t>online casino türkçe</t>
  </si>
  <si>
    <t>real money online casinos michigan</t>
  </si>
  <si>
    <t>real money online casinos that accept paypal</t>
  </si>
  <si>
    <t>nj online casino hard rock</t>
  </si>
  <si>
    <t>list casino games</t>
  </si>
  <si>
    <t>free casino online slots</t>
  </si>
  <si>
    <t>best online casino no document</t>
  </si>
  <si>
    <t>baccarat casino online</t>
  </si>
  <si>
    <t>casino online internacional</t>
  </si>
  <si>
    <t>neue online casinos 2019</t>
  </si>
  <si>
    <t>online casino india legal</t>
  </si>
  <si>
    <t>online casino using gcash</t>
  </si>
  <si>
    <t>golden nugget online casino bonus code</t>
  </si>
  <si>
    <t>software for online casino</t>
  </si>
  <si>
    <t>online casino loyalty programs</t>
  </si>
  <si>
    <t>online casino with no deposit bonuses</t>
  </si>
  <si>
    <t>online gambling alberta</t>
  </si>
  <si>
    <t>online poker casinos</t>
  </si>
  <si>
    <t>casino online blackjack en vivo</t>
  </si>
  <si>
    <t>new casino online 2019</t>
  </si>
  <si>
    <t>prime slots online casino</t>
  </si>
  <si>
    <t>neu online casino bonus ohne einzahlung</t>
  </si>
  <si>
    <t>basta online casino</t>
  </si>
  <si>
    <t>best uk casino sites for online baccarat</t>
  </si>
  <si>
    <t>dollar minimum deposit usa online casino</t>
  </si>
  <si>
    <t>bellagio online casino</t>
  </si>
  <si>
    <t>online casino real money aus</t>
  </si>
  <si>
    <t>betano casino online</t>
  </si>
  <si>
    <t>online bingo gambling</t>
  </si>
  <si>
    <t>casino online free bonus nz</t>
  </si>
  <si>
    <t>32red online casino</t>
  </si>
  <si>
    <t>caesars palace online casino promo code</t>
  </si>
  <si>
    <t>recensioni casino online</t>
  </si>
  <si>
    <t>spille casino online</t>
  </si>
  <si>
    <t>online casino siteleri</t>
  </si>
  <si>
    <t>casino online italia</t>
  </si>
  <si>
    <t>beste online casinos kreditkarte</t>
  </si>
  <si>
    <t>mastercard en casino online</t>
  </si>
  <si>
    <t>online casino demo play</t>
  </si>
  <si>
    <t>casino games names</t>
  </si>
  <si>
    <t>live casino deposit bonus</t>
  </si>
  <si>
    <t>bitcoin online casino game</t>
  </si>
  <si>
    <t>online gambling nova scotia</t>
  </si>
  <si>
    <t>jack pot city online casino</t>
  </si>
  <si>
    <t>online casinos that accept prepaid mastercard</t>
  </si>
  <si>
    <t>online casinos in texas</t>
  </si>
  <si>
    <t>casino kortspel online</t>
  </si>
  <si>
    <t>casino best games</t>
  </si>
  <si>
    <t>best australian online casinos real money</t>
  </si>
  <si>
    <t>different types of online casino games</t>
  </si>
  <si>
    <t>blacklist online casino</t>
  </si>
  <si>
    <t>7slots casino online</t>
  </si>
  <si>
    <t>african online casinos</t>
  </si>
  <si>
    <t>online casino legit</t>
  </si>
  <si>
    <t>american online casino for uk</t>
  </si>
  <si>
    <t>brand new casino online</t>
  </si>
  <si>
    <t>resort online casino us</t>
  </si>
  <si>
    <t>casino woodbine table games</t>
  </si>
  <si>
    <t>free keno casino games</t>
  </si>
  <si>
    <t>online casino bonus codes no deposit</t>
  </si>
  <si>
    <t>online casino sofort auszahlung</t>
  </si>
  <si>
    <t>bestes live casino</t>
  </si>
  <si>
    <t>names of casino games</t>
  </si>
  <si>
    <t>online blackjack casinos</t>
  </si>
  <si>
    <t>online casino no download required</t>
  </si>
  <si>
    <t>online casinos with no deposit bonuses</t>
  </si>
  <si>
    <t>online casino geld zurück ohne anwalt</t>
  </si>
  <si>
    <t>casino offers online</t>
  </si>
  <si>
    <t>ceske casino online</t>
  </si>
  <si>
    <t>casino online finland</t>
  </si>
  <si>
    <t>fast withdrawal online casinos ghana</t>
  </si>
  <si>
    <t>real time gaming online casinos</t>
  </si>
  <si>
    <t>live casino roulette online</t>
  </si>
  <si>
    <t>online gambling betting</t>
  </si>
  <si>
    <t>jackmillion online casino</t>
  </si>
  <si>
    <t>online casino 2020</t>
  </si>
  <si>
    <t>online casino ohne anmeldung spielen</t>
  </si>
  <si>
    <t>best online casino websites</t>
  </si>
  <si>
    <t>online casino uden rofus</t>
  </si>
  <si>
    <t>ibcbet casino online</t>
  </si>
  <si>
    <t>online gambling affiliate programs</t>
  </si>
  <si>
    <t>sugarhouse online casino review</t>
  </si>
  <si>
    <t>random logic online casinos</t>
  </si>
  <si>
    <t>bally casino online</t>
  </si>
  <si>
    <t>online gambling games for real money</t>
  </si>
  <si>
    <t>reliable online casino</t>
  </si>
  <si>
    <t>agen live casino</t>
  </si>
  <si>
    <t>online casino sperren app</t>
  </si>
  <si>
    <t>best online casino paysafecard</t>
  </si>
  <si>
    <t>καινουργια online casino</t>
  </si>
  <si>
    <t>gta online casino heist replay glitch</t>
  </si>
  <si>
    <t>online casino echt geld winnen</t>
  </si>
  <si>
    <t>quebec online gambling</t>
  </si>
  <si>
    <t>online casino that uses paypal</t>
  </si>
  <si>
    <t>online casino polski</t>
  </si>
  <si>
    <t>free online casino to win real money</t>
  </si>
  <si>
    <t>new casino online real money</t>
  </si>
  <si>
    <t>oklahoma online casinos</t>
  </si>
  <si>
    <t>neue online casinos 2020 bonus ohne einzahlung</t>
  </si>
  <si>
    <t>wheel of fortune online casino</t>
  </si>
  <si>
    <t>wms casinos online</t>
  </si>
  <si>
    <t>casino online tragamonedas</t>
  </si>
  <si>
    <t>mejores casinos online andorra</t>
  </si>
  <si>
    <t>online casino localisation</t>
  </si>
  <si>
    <t>web slot casino online</t>
  </si>
  <si>
    <t>bestes online casino deutschland</t>
  </si>
  <si>
    <t>wild west casino games</t>
  </si>
  <si>
    <t>tennessee online casino</t>
  </si>
  <si>
    <t>new online casino usa</t>
  </si>
  <si>
    <t>betano online casino</t>
  </si>
  <si>
    <t>online casino neue</t>
  </si>
  <si>
    <t>best pa online casino bonus</t>
  </si>
  <si>
    <t>best microgaming casinos online</t>
  </si>
  <si>
    <t>unibet online casino nj</t>
  </si>
  <si>
    <t>canadian online casino interac</t>
  </si>
  <si>
    <t>casino online play for real money</t>
  </si>
  <si>
    <t>casino online ohne einzahlung bonus</t>
  </si>
  <si>
    <t>georgia online casino</t>
  </si>
  <si>
    <t>casino online games real money</t>
  </si>
  <si>
    <t>trusted online casino for high roller players</t>
  </si>
  <si>
    <t>casino spel online</t>
  </si>
  <si>
    <t>real money casino online no deposit</t>
  </si>
  <si>
    <t>online casino echtgeld paysafecard</t>
  </si>
  <si>
    <t>casino online for sale</t>
  </si>
  <si>
    <t>royal vegas online casino withdrawal</t>
  </si>
  <si>
    <t>770 red online casino</t>
  </si>
  <si>
    <t>ca casino online</t>
  </si>
  <si>
    <t>no deposit bonus codes online casinos</t>
  </si>
  <si>
    <t>casino las vegas online casino</t>
  </si>
  <si>
    <t>online casino malaysia minimum deposit rm10</t>
  </si>
  <si>
    <t>pagoefectivo en casinos online</t>
  </si>
  <si>
    <t>trusted online gambling</t>
  </si>
  <si>
    <t>online gambling customer service</t>
  </si>
  <si>
    <t>casino dice games</t>
  </si>
  <si>
    <t>slingo casino games</t>
  </si>
  <si>
    <t>visa debit online casino</t>
  </si>
  <si>
    <t>sequenze casino online</t>
  </si>
  <si>
    <t>gambling games in casino</t>
  </si>
  <si>
    <t>$3 deposit online casino</t>
  </si>
  <si>
    <t>casino usa online</t>
  </si>
  <si>
    <t>$1 deposit online casino</t>
  </si>
  <si>
    <t>win money online casino</t>
  </si>
  <si>
    <t>bonos sin deposito casinos online</t>
  </si>
  <si>
    <t>crypto casino live</t>
  </si>
  <si>
    <t>ruleta casino online gratis</t>
  </si>
  <si>
    <t>online casino in singapore</t>
  </si>
  <si>
    <t>best online casino game software</t>
  </si>
  <si>
    <t>hard rock online casino florida</t>
  </si>
  <si>
    <t>avantgarde casino online</t>
  </si>
  <si>
    <t>online casino aktionen</t>
  </si>
  <si>
    <t>comprar software de casino online</t>
  </si>
  <si>
    <t>agen betting casino online</t>
  </si>
  <si>
    <t>online bingo and casino</t>
  </si>
  <si>
    <t>online casinos cyprus</t>
  </si>
  <si>
    <t>online casinos saxony-anhalt</t>
  </si>
  <si>
    <t>play online casino singapore</t>
  </si>
  <si>
    <t>online german casinos</t>
  </si>
  <si>
    <t>online casino trusted compny</t>
  </si>
  <si>
    <t>online casino 5 euro mindesteinzahlung</t>
  </si>
  <si>
    <t>online casino ohne bonus</t>
  </si>
  <si>
    <t>online casino hessen</t>
  </si>
  <si>
    <t>malaysia online casino list</t>
  </si>
  <si>
    <t>slot online 245--casino(rajadewa138)</t>
  </si>
  <si>
    <t>caesars casino online slots</t>
  </si>
  <si>
    <t>online casino mit postfinance</t>
  </si>
  <si>
    <t>tragaperras casino online</t>
  </si>
  <si>
    <t>best online casino 2015</t>
  </si>
  <si>
    <t>best new jersey online gambling sites</t>
  </si>
  <si>
    <t>fortune room online casino</t>
  </si>
  <si>
    <t>casino online utan konto</t>
  </si>
  <si>
    <t>tropicana casino online</t>
  </si>
  <si>
    <t>como jugar al casino online</t>
  </si>
  <si>
    <t>ehrliches online casino</t>
  </si>
  <si>
    <t>casino games for fun</t>
  </si>
  <si>
    <t>online casinos greenland</t>
  </si>
  <si>
    <t>yebo online casino</t>
  </si>
  <si>
    <t>paradise 8 online casino login</t>
  </si>
  <si>
    <t>free casino online roulette</t>
  </si>
  <si>
    <t>online casinos in pennsylvania</t>
  </si>
  <si>
    <t>online play casino roulette game</t>
  </si>
  <si>
    <t>new free casino slot games</t>
  </si>
  <si>
    <t>luckia casino online</t>
  </si>
  <si>
    <t>best online gambling sites uk</t>
  </si>
  <si>
    <t>best casino online nz</t>
  </si>
  <si>
    <t>online casino schweiz neu</t>
  </si>
  <si>
    <t>blackjack online casino free</t>
  </si>
  <si>
    <t>online casino play for real money</t>
  </si>
  <si>
    <t>10 bet online casino</t>
  </si>
  <si>
    <t>online gambling games uk</t>
  </si>
  <si>
    <t>best online casino payment methods</t>
  </si>
  <si>
    <t>best online casino that accepts mastercard</t>
  </si>
  <si>
    <t>greentube online casino</t>
  </si>
  <si>
    <t>best real money casino online</t>
  </si>
  <si>
    <t>casino courses online</t>
  </si>
  <si>
    <t>wunderwins online casino</t>
  </si>
  <si>
    <t>casinos online com bonus gratis</t>
  </si>
  <si>
    <t>online casinos ny</t>
  </si>
  <si>
    <t>online casino for money</t>
  </si>
  <si>
    <t>casino online esc</t>
  </si>
  <si>
    <t>best live casino bonus</t>
  </si>
  <si>
    <t>casino ontario online</t>
  </si>
  <si>
    <t>online casinos bewertung</t>
  </si>
  <si>
    <t>no deposit casino online 50 free casino bonus</t>
  </si>
  <si>
    <t>borgata online casino nj</t>
  </si>
  <si>
    <t>casino cash games</t>
  </si>
  <si>
    <t>vr casino games</t>
  </si>
  <si>
    <t>ξενα online casino</t>
  </si>
  <si>
    <t>new usa online casinos</t>
  </si>
  <si>
    <t>south carolina casino online</t>
  </si>
  <si>
    <t>live play casino</t>
  </si>
  <si>
    <t>online casino portal</t>
  </si>
  <si>
    <t>australian casino online</t>
  </si>
  <si>
    <t>live casino bonus code</t>
  </si>
  <si>
    <t>top 10 online casinos in the world</t>
  </si>
  <si>
    <t>btc casino games</t>
  </si>
  <si>
    <t>olg online casino reviews</t>
  </si>
  <si>
    <t>same day cash out online casino</t>
  </si>
  <si>
    <t>golden pokies online casino</t>
  </si>
  <si>
    <t>online casino med bäst utdelning</t>
  </si>
  <si>
    <t>beste online casino nederland</t>
  </si>
  <si>
    <t>sugarhouse online casino pa</t>
  </si>
  <si>
    <t>fastest payout online casino</t>
  </si>
  <si>
    <t>pennsylvania online casinos</t>
  </si>
  <si>
    <t>bestes entercash online casino</t>
  </si>
  <si>
    <t>washington online casino</t>
  </si>
  <si>
    <t>cambodia casino online</t>
  </si>
  <si>
    <t>bingo online casinos</t>
  </si>
  <si>
    <t>bestes cashtocode online casino</t>
  </si>
  <si>
    <t>casumo online casino</t>
  </si>
  <si>
    <t>play online casino for real money</t>
  </si>
  <si>
    <t>us online casino bonus</t>
  </si>
  <si>
    <t>kajot casino online</t>
  </si>
  <si>
    <t>online no deposit casino bonuses</t>
  </si>
  <si>
    <t>online casinos 2026 www.usacasinobonuses.us</t>
  </si>
  <si>
    <t>new zealand casino online</t>
  </si>
  <si>
    <t>on online casino</t>
  </si>
  <si>
    <t>casino online stranieri</t>
  </si>
  <si>
    <t>online mobile casino no deposit bonus</t>
  </si>
  <si>
    <t>south dakota casino online</t>
  </si>
  <si>
    <t>play casino roulette online free</t>
  </si>
  <si>
    <t>no deposit bonuses online casinos</t>
  </si>
  <si>
    <t>best online casino live</t>
  </si>
  <si>
    <t>online casino blackjack live</t>
  </si>
  <si>
    <t>swiss casinos online</t>
  </si>
  <si>
    <t>best online uk casinos</t>
  </si>
  <si>
    <t>top 10 online casinos nz</t>
  </si>
  <si>
    <t>online gambling in north carolina</t>
  </si>
  <si>
    <t>online casinos with cash sign up bonus</t>
  </si>
  <si>
    <t>brand new online casinos accepting us players</t>
  </si>
  <si>
    <t>online tropicana casino</t>
  </si>
  <si>
    <t>online casino ohne einsatzlimit</t>
  </si>
  <si>
    <t>no deposit bonus codes for online casinos</t>
  </si>
  <si>
    <t>online casino uae</t>
  </si>
  <si>
    <t>diamond7 online casino</t>
  </si>
  <si>
    <t>pennsylvania online casino</t>
  </si>
  <si>
    <t>wms gaming online casino</t>
  </si>
  <si>
    <t>reputable online casinos</t>
  </si>
  <si>
    <t>virgin online casino pa</t>
  </si>
  <si>
    <t>australia online casino</t>
  </si>
  <si>
    <t>casinos online panama</t>
  </si>
  <si>
    <t>online casino table game</t>
  </si>
  <si>
    <t>online casino für schweizer im ausland</t>
  </si>
  <si>
    <t>casino online nj</t>
  </si>
  <si>
    <t>gamingclub juegos de casino online</t>
  </si>
  <si>
    <t>online casinos www.echtgeldcasino24.de.com</t>
  </si>
  <si>
    <t>chances casino games</t>
  </si>
  <si>
    <t>lucky 7 online casino</t>
  </si>
  <si>
    <t>neusten online casinos</t>
  </si>
  <si>
    <t>online canadian casinos</t>
  </si>
  <si>
    <t>sportium casino online</t>
  </si>
  <si>
    <t>zodiac online casino canada</t>
  </si>
  <si>
    <t>online casino real money betus</t>
  </si>
  <si>
    <t>casino reviews online</t>
  </si>
  <si>
    <t>top 10 online roulette casinos</t>
  </si>
  <si>
    <t>slot casinos online</t>
  </si>
  <si>
    <t>bandar betting casino blackjack online</t>
  </si>
  <si>
    <t>book of ra deluxe online casino</t>
  </si>
  <si>
    <t>casino games online for real money</t>
  </si>
  <si>
    <t>online casino uk best</t>
  </si>
  <si>
    <t>online casinos wo man mit handy bezahlen kann</t>
  </si>
  <si>
    <t>singapore trusted online casino</t>
  </si>
  <si>
    <t>live casino malaysia free myr</t>
  </si>
  <si>
    <t>stargames casino online</t>
  </si>
  <si>
    <t>best online nj casino</t>
  </si>
  <si>
    <t>michigan online casino deposit bonus</t>
  </si>
  <si>
    <t>online casinos 2022</t>
  </si>
  <si>
    <t>genting online casino review</t>
  </si>
  <si>
    <t>gran casino online</t>
  </si>
  <si>
    <t>keno online casino games</t>
  </si>
  <si>
    <t>taruhan casino roulette online</t>
  </si>
  <si>
    <t>jugar jackpot party casino online</t>
  </si>
  <si>
    <t>online casino weihnachtsbonus</t>
  </si>
  <si>
    <t>the best canadian online casinos in 2021</t>
  </si>
  <si>
    <t>novoline online casino echtgeld</t>
  </si>
  <si>
    <t>lizensierte online casinos</t>
  </si>
  <si>
    <t>online casino french</t>
  </si>
  <si>
    <t>casino table games online</t>
  </si>
  <si>
    <t>glory casino online login</t>
  </si>
  <si>
    <t>game online casino</t>
  </si>
  <si>
    <t>casino online polska</t>
  </si>
  <si>
    <t>live casino house เครดิตฟรี 200 บาท ไม่ต้องฝาก</t>
  </si>
  <si>
    <t>online casino accepting skrill</t>
  </si>
  <si>
    <t>usa online casinos real money</t>
  </si>
  <si>
    <t>casino germany online</t>
  </si>
  <si>
    <t>razor returns online casino</t>
  </si>
  <si>
    <t>jogos de casino online gratuito</t>
  </si>
  <si>
    <t>online keno casino</t>
  </si>
  <si>
    <t>thunderstruck 2 online casinos</t>
  </si>
  <si>
    <t>casino online welcome bonus no deposit</t>
  </si>
  <si>
    <t>casino online que acepta visa electron</t>
  </si>
  <si>
    <t>live casino online india</t>
  </si>
  <si>
    <t>online casinos with best payout</t>
  </si>
  <si>
    <t>online casino play free</t>
  </si>
  <si>
    <t>oregon online gambling real money</t>
  </si>
  <si>
    <t>nieuwe online casino 2022</t>
  </si>
  <si>
    <t>fast payout online casino uk</t>
  </si>
  <si>
    <t>online casino nederland bonus</t>
  </si>
  <si>
    <t>casino lugano online</t>
  </si>
  <si>
    <t>gambling online with real money</t>
  </si>
  <si>
    <t>no deposit online casino bonus codes</t>
  </si>
  <si>
    <t>casino online juegos</t>
  </si>
  <si>
    <t>live casino provider</t>
  </si>
  <si>
    <t>betunlim casino online</t>
  </si>
  <si>
    <t>trusted online casino singapore</t>
  </si>
  <si>
    <t>snelle uitbetaling online casino</t>
  </si>
  <si>
    <t>besten online casinos bonus ohne einzahlung</t>
  </si>
  <si>
    <t>online casino $1 deposit</t>
  </si>
  <si>
    <t>666 casino online review</t>
  </si>
  <si>
    <t>online gambling north carolina</t>
  </si>
  <si>
    <t>online live casino bonus ohne einzahlung</t>
  </si>
  <si>
    <t>casino online de</t>
  </si>
  <si>
    <t>online casino vklad přes paysafecard</t>
  </si>
  <si>
    <t>real online casinos that pay real money</t>
  </si>
  <si>
    <t>online gambling nj</t>
  </si>
  <si>
    <t>online gambling in india</t>
  </si>
  <si>
    <t>casino vegas online slots</t>
  </si>
  <si>
    <t>slotvision online casino</t>
  </si>
  <si>
    <t>beste online casino schnelle auszahlung</t>
  </si>
  <si>
    <t>uk casino online no deposit bonus</t>
  </si>
  <si>
    <t>new online casino bonuses no deposit</t>
  </si>
  <si>
    <t>vulkan vegas online casino</t>
  </si>
  <si>
    <t>mr bet online casino</t>
  </si>
  <si>
    <t>free play online casino</t>
  </si>
  <si>
    <t>norsk online casino</t>
  </si>
  <si>
    <t>online casino geld auszahlen</t>
  </si>
  <si>
    <t>slot casino online</t>
  </si>
  <si>
    <t>best isoftbet online casinos</t>
  </si>
  <si>
    <t>tropicana online casino</t>
  </si>
  <si>
    <t>best online casino bonuses</t>
  </si>
  <si>
    <t>online casino neu</t>
  </si>
  <si>
    <t>online casino with free money no deposit</t>
  </si>
  <si>
    <t>new online casino 2018</t>
  </si>
  <si>
    <t>online cash casino</t>
  </si>
  <si>
    <t>casino ideal online</t>
  </si>
  <si>
    <t>online gambling craps</t>
  </si>
  <si>
    <t>online casino paypal auszahlung</t>
  </si>
  <si>
    <t>online casino utan spelpaus</t>
  </si>
  <si>
    <t>slovenské online casino bonus bez vkladu</t>
  </si>
  <si>
    <t>best online casino strategy</t>
  </si>
  <si>
    <t>nove online casino</t>
  </si>
  <si>
    <t>a list of casino games</t>
  </si>
  <si>
    <t>casino login online</t>
  </si>
  <si>
    <t>online casino norwegian</t>
  </si>
  <si>
    <t>rapid transfer online casinos</t>
  </si>
  <si>
    <t>best casinos online canada</t>
  </si>
  <si>
    <t>lista casino online</t>
  </si>
  <si>
    <t>free online casino dealer training</t>
  </si>
  <si>
    <t>jugar en casino online</t>
  </si>
  <si>
    <t>casinos online free bonus</t>
  </si>
  <si>
    <t>online game casino malaysia</t>
  </si>
  <si>
    <t>juegos de casino online con dinero real</t>
  </si>
  <si>
    <t>casino aams live</t>
  </si>
  <si>
    <t>best online casinos with fast payouts</t>
  </si>
  <si>
    <t>online casino pro české hráče 2022</t>
  </si>
  <si>
    <t>online casino beste gewinnchancen</t>
  </si>
  <si>
    <t>best online casinos austria</t>
  </si>
  <si>
    <t>online casino bonus codes ohne einzahlung</t>
  </si>
  <si>
    <t>online casino pay for it</t>
  </si>
  <si>
    <t>online casino schleswig holstein</t>
  </si>
  <si>
    <t>uk top online casino</t>
  </si>
  <si>
    <t>beste online casino paysafecard</t>
  </si>
  <si>
    <t>jackpot city juegos de casino online</t>
  </si>
  <si>
    <t>good online casinos</t>
  </si>
  <si>
    <t>online casino efbet</t>
  </si>
  <si>
    <t>pokerstars live casino</t>
  </si>
  <si>
    <t>casino online games roulette</t>
  </si>
  <si>
    <t>best online real cash casino</t>
  </si>
  <si>
    <t>online casinos startgeld ohne einzahlung</t>
  </si>
  <si>
    <t>best australian online casino 2021</t>
  </si>
  <si>
    <t>casino live roulette</t>
  </si>
  <si>
    <t>casino online espana 2023</t>
  </si>
  <si>
    <t>new online casino games</t>
  </si>
  <si>
    <t>free credit online casino singapore</t>
  </si>
  <si>
    <t>online casinos in michigan</t>
  </si>
  <si>
    <t>judi maxbet casino online</t>
  </si>
  <si>
    <t>online casino vergleich</t>
  </si>
  <si>
    <t>hippodrome online casino no deposit</t>
  </si>
  <si>
    <t>online casino gratis spins</t>
  </si>
  <si>
    <t>review online casinos</t>
  </si>
  <si>
    <t>casinos online colombia</t>
  </si>
  <si>
    <t>top online casino austria</t>
  </si>
  <si>
    <t>play casino games online for free</t>
  </si>
  <si>
    <t>tablet online casinos</t>
  </si>
  <si>
    <t>online casino games with free spins</t>
  </si>
  <si>
    <t>best online casino in malaysia</t>
  </si>
  <si>
    <t>id online casino</t>
  </si>
  <si>
    <t>hard rock casino online gambling</t>
  </si>
  <si>
    <t>online casino mit sofortauszahlung</t>
  </si>
  <si>
    <t>free online casino games no download</t>
  </si>
  <si>
    <t>maryland casino online</t>
  </si>
  <si>
    <t>best yandex money casinos online</t>
  </si>
  <si>
    <t>live casino maryland</t>
  </si>
  <si>
    <t>online casino games in australia</t>
  </si>
  <si>
    <t>north carolina online casino</t>
  </si>
  <si>
    <t>real money online casino tennessee</t>
  </si>
  <si>
    <t>baccarat casino online game</t>
  </si>
  <si>
    <t>best online live casino</t>
  </si>
  <si>
    <t>free offline casino slot games</t>
  </si>
  <si>
    <t>online gambling mn</t>
  </si>
  <si>
    <t>online casinos real money canada</t>
  </si>
  <si>
    <t>prepaid visa card online casino</t>
  </si>
  <si>
    <t>spinanga online casino</t>
  </si>
  <si>
    <t>online casino developers website</t>
  </si>
  <si>
    <t>καλύτερα online casino</t>
  </si>
  <si>
    <t>online casino lobby</t>
  </si>
  <si>
    <t>philboss online casino</t>
  </si>
  <si>
    <t>daily free spins online casino</t>
  </si>
  <si>
    <t>pots of luck online casino review</t>
  </si>
  <si>
    <t>mobile casino slot games</t>
  </si>
  <si>
    <t>pay real cash online casinos</t>
  </si>
  <si>
    <t>české online casino</t>
  </si>
  <si>
    <t>online casino mit zimpler</t>
  </si>
  <si>
    <t>best casino games to win online</t>
  </si>
  <si>
    <t>online casino 5 euro bonus</t>
  </si>
  <si>
    <t>online casino gambling sites</t>
  </si>
  <si>
    <t>casinos online nederland</t>
  </si>
  <si>
    <t>malta online casinos</t>
  </si>
  <si>
    <t>best online casino canada review</t>
  </si>
  <si>
    <t>online casino with highest payout percentage</t>
  </si>
  <si>
    <t>online casino website for sale</t>
  </si>
  <si>
    <t>italian online casino</t>
  </si>
  <si>
    <t>online casino top 100</t>
  </si>
  <si>
    <t>juegos de casino online gratis sin descargar</t>
  </si>
  <si>
    <t>best online casino uk</t>
  </si>
  <si>
    <t>best online casino real money canada</t>
  </si>
  <si>
    <t>games casino games</t>
  </si>
  <si>
    <t>captain cooks online casino login</t>
  </si>
  <si>
    <t>online gambling statistics</t>
  </si>
  <si>
    <t>live casino experience</t>
  </si>
  <si>
    <t>singapore online gambling</t>
  </si>
  <si>
    <t>british casino online</t>
  </si>
  <si>
    <t>nieuwe online casinos 2021</t>
  </si>
  <si>
    <t>neue online casino 2020</t>
  </si>
  <si>
    <t>cyprus casino online</t>
  </si>
  <si>
    <t>online casino rtp</t>
  </si>
  <si>
    <t>safe online casino australia</t>
  </si>
  <si>
    <t>jackpot party casino games – free pokies games</t>
  </si>
  <si>
    <t>online gambling florida</t>
  </si>
  <si>
    <t>online casino grosvenor</t>
  </si>
  <si>
    <t>online casino deutschland ohne einzahlung</t>
  </si>
  <si>
    <t>bangladeshi online casino</t>
  </si>
  <si>
    <t>online casino video slots</t>
  </si>
  <si>
    <t>online casino gratis freispiele</t>
  </si>
  <si>
    <t>welche online casinos sind gut</t>
  </si>
  <si>
    <t>live bitcoin casino</t>
  </si>
  <si>
    <t>online casino ελληνικά</t>
  </si>
  <si>
    <t>crypto online casinos</t>
  </si>
  <si>
    <t>online casinos ohne bonus</t>
  </si>
  <si>
    <t>casino multiplayer games</t>
  </si>
  <si>
    <t>online casino bonus codes australia</t>
  </si>
  <si>
    <t>online casino winner</t>
  </si>
  <si>
    <t>cardano casino online</t>
  </si>
  <si>
    <t>jogar blackjack casino online</t>
  </si>
  <si>
    <t>sportsbook online casino</t>
  </si>
  <si>
    <t>seriöses online casino österreich</t>
  </si>
  <si>
    <t>best online sports gambling sites</t>
  </si>
  <si>
    <t>slots online casinos</t>
  </si>
  <si>
    <t>online casino 5 euro deposit</t>
  </si>
  <si>
    <t>online casino mit a1 bezahlen</t>
  </si>
  <si>
    <t>neue online casinos ohne limit</t>
  </si>
  <si>
    <t>casino online new jersey</t>
  </si>
  <si>
    <t>casino online ruleta</t>
  </si>
  <si>
    <t>high rollers online casino</t>
  </si>
  <si>
    <t>high stakes casino games</t>
  </si>
  <si>
    <t>best live casino holdem</t>
  </si>
  <si>
    <t>windows casino online</t>
  </si>
  <si>
    <t>new ontario online casinos</t>
  </si>
  <si>
    <t>make money online casino</t>
  </si>
  <si>
    <t>gambling online in canada</t>
  </si>
  <si>
    <t>washington casino online</t>
  </si>
  <si>
    <t>casino online visa</t>
  </si>
  <si>
    <t>bally wulff online casino</t>
  </si>
  <si>
    <t>dice games at casino</t>
  </si>
  <si>
    <t>nano casino games</t>
  </si>
  <si>
    <t>casinos en vivo online</t>
  </si>
  <si>
    <t>pay by mobile online casino</t>
  </si>
  <si>
    <t>online gambling sites with real money</t>
  </si>
  <si>
    <t>casinos españa online</t>
  </si>
  <si>
    <t>casinia online casino</t>
  </si>
  <si>
    <t>online casino mit paysafe</t>
  </si>
  <si>
    <t>grand casino online game</t>
  </si>
  <si>
    <t>online casino gewinnchancen</t>
  </si>
  <si>
    <t>harrahs online casino nj</t>
  </si>
  <si>
    <t>skill on net online casinos</t>
  </si>
  <si>
    <t>king billy online casino review</t>
  </si>
  <si>
    <t>play real casino slots online</t>
  </si>
  <si>
    <t>ritzo online casino</t>
  </si>
  <si>
    <t>play casino online australia</t>
  </si>
  <si>
    <t>ahti games casino</t>
  </si>
  <si>
    <t>online gambling site reviews</t>
  </si>
  <si>
    <t>betmgm online casino michigan</t>
  </si>
  <si>
    <t>online casino mit 10 euro mindesteinzahlung</t>
  </si>
  <si>
    <t>high stakes online casinos</t>
  </si>
  <si>
    <t>west virginia online gambling</t>
  </si>
  <si>
    <t>new online casino bonus codes</t>
  </si>
  <si>
    <t>top irish online casinos</t>
  </si>
  <si>
    <t>utah online gambling</t>
  </si>
  <si>
    <t>simba games online casino review</t>
  </si>
  <si>
    <t>free casino games slot machines</t>
  </si>
  <si>
    <t>online casino zonder bonus</t>
  </si>
  <si>
    <t>best arizona online casino</t>
  </si>
  <si>
    <t>washington online gambling</t>
  </si>
  <si>
    <t>play casino baccarat online</t>
  </si>
  <si>
    <t>mejor casino online hipay españa</t>
  </si>
  <si>
    <t>best online casino worldwide</t>
  </si>
  <si>
    <t>play free casino games online no download</t>
  </si>
  <si>
    <t>starting my own online gambling business</t>
  </si>
  <si>
    <t>online casino schleswig-holstein</t>
  </si>
  <si>
    <t>spin casino live help</t>
  </si>
  <si>
    <t>indiana online casino</t>
  </si>
  <si>
    <t>888 new jersey online casino</t>
  </si>
  <si>
    <t>slots casino games</t>
  </si>
  <si>
    <t>online casinos with no deposit</t>
  </si>
  <si>
    <t>neue online casinos deutschland</t>
  </si>
  <si>
    <t>bestes deutsches online casino</t>
  </si>
  <si>
    <t>casino online payment</t>
  </si>
  <si>
    <t>novoline casino online</t>
  </si>
  <si>
    <t>nj online casino golden nugget</t>
  </si>
  <si>
    <t>casino games online win real money</t>
  </si>
  <si>
    <t>caesars online casino review</t>
  </si>
  <si>
    <t>casino online south africa</t>
  </si>
  <si>
    <t>casinos portugal online</t>
  </si>
  <si>
    <t>casino live aams</t>
  </si>
  <si>
    <t>no deposit online casinos</t>
  </si>
  <si>
    <t>casinos online real money</t>
  </si>
  <si>
    <t>all nj online casinos</t>
  </si>
  <si>
    <t>jackpotcity casino online</t>
  </si>
  <si>
    <t>pa online casino no deposit bonus</t>
  </si>
  <si>
    <t>online casino real money instant payout</t>
  </si>
  <si>
    <t>online casino games for money</t>
  </si>
  <si>
    <t>lista casino online aams</t>
  </si>
  <si>
    <t>online casino bewertungen</t>
  </si>
  <si>
    <t>online casino bonuses uk</t>
  </si>
  <si>
    <t>casino club live casino</t>
  </si>
  <si>
    <t>live crazy time casino</t>
  </si>
  <si>
    <t>uk online live casino</t>
  </si>
  <si>
    <t>pala casino online</t>
  </si>
  <si>
    <t>online casinos ohne anmeldung</t>
  </si>
  <si>
    <t>bonus de casino online</t>
  </si>
  <si>
    <t>online casino ideal zonder registratie</t>
  </si>
  <si>
    <t>jogos online de casino</t>
  </si>
  <si>
    <t>caesar free casino games</t>
  </si>
  <si>
    <t>live casino online free</t>
  </si>
  <si>
    <t>online casino nj</t>
  </si>
  <si>
    <t>sverige online casino</t>
  </si>
  <si>
    <t>golden nugget casino online bonus code</t>
  </si>
  <si>
    <t>best online roulette casino sri lanka</t>
  </si>
  <si>
    <t>online casino mit applepay</t>
  </si>
  <si>
    <t>best south african online casino</t>
  </si>
  <si>
    <t>88 fortunes slots casino games</t>
  </si>
  <si>
    <t>nj online casino signup bonus</t>
  </si>
  <si>
    <t>fanduel online casino review</t>
  </si>
  <si>
    <t>free online casino canada</t>
  </si>
  <si>
    <t>online nj casino</t>
  </si>
  <si>
    <t>casinoclub online casino</t>
  </si>
  <si>
    <t>bingo casinos online</t>
  </si>
  <si>
    <t>mejores casinos online del mundo</t>
  </si>
  <si>
    <t>bonanza casino online</t>
  </si>
  <si>
    <t>no deposit real money online casino</t>
  </si>
  <si>
    <t>casino online software</t>
  </si>
  <si>
    <t>online casino albania</t>
  </si>
  <si>
    <t>online casino usa real money</t>
  </si>
  <si>
    <t>real money online casino minnesota</t>
  </si>
  <si>
    <t>best online casino canada 2020</t>
  </si>
  <si>
    <t>online casinos apple pay</t>
  </si>
  <si>
    <t>best casino online nederland</t>
  </si>
  <si>
    <t>online casinos 🇩🇪 echtgeldspiele.site</t>
  </si>
  <si>
    <t>making money online casino</t>
  </si>
  <si>
    <t>bangladeshi online casinos</t>
  </si>
  <si>
    <t>best online casino highest payout</t>
  </si>
  <si>
    <t>bestes 2by2 gaming online casino</t>
  </si>
  <si>
    <t>casinos legales online peru</t>
  </si>
  <si>
    <t>online casino geld zurück österreich</t>
  </si>
  <si>
    <t>new nj online casinos</t>
  </si>
  <si>
    <t>online casino auszahlungsquote</t>
  </si>
  <si>
    <t>software casinos online</t>
  </si>
  <si>
    <t>pragmatic casino games</t>
  </si>
  <si>
    <t>spin palace casino games</t>
  </si>
  <si>
    <t>online casino verde</t>
  </si>
  <si>
    <t>die besten online casino echtgeld</t>
  </si>
  <si>
    <t>top rated online casinos in nj</t>
  </si>
  <si>
    <t>casino online österreich</t>
  </si>
  <si>
    <t>motor city casino online</t>
  </si>
  <si>
    <t>best online casino 2020</t>
  </si>
  <si>
    <t>online casino pay by phone</t>
  </si>
  <si>
    <t>casino online es</t>
  </si>
  <si>
    <t>real live casinos online</t>
  </si>
  <si>
    <t>best online casinos azerbaijan</t>
  </si>
  <si>
    <t>online casino schweiz vergleich</t>
  </si>
  <si>
    <t>bandar casino live indonesia</t>
  </si>
  <si>
    <t>live casino spielgeld</t>
  </si>
  <si>
    <t>visa gift card online casino</t>
  </si>
  <si>
    <t>best live casinos online</t>
  </si>
  <si>
    <t>online casino influencers</t>
  </si>
  <si>
    <t>vegas expert casino online</t>
  </si>
  <si>
    <t>online casino no cruks</t>
  </si>
  <si>
    <t>new arizona online casino</t>
  </si>
  <si>
    <t>best live casino site sweden</t>
  </si>
  <si>
    <t>online casino top list</t>
  </si>
  <si>
    <t>online casino ohne deutsche regeln</t>
  </si>
  <si>
    <t>online casino uden indbetaling</t>
  </si>
  <si>
    <t>new casino online australia</t>
  </si>
  <si>
    <t>online casino 🇺🇸 usacasinobonuses.site</t>
  </si>
  <si>
    <t>nebraska online gambling</t>
  </si>
  <si>
    <t>casinos online sin deposito</t>
  </si>
  <si>
    <t>online no deposit bonus casino</t>
  </si>
  <si>
    <t>online casinos that accept prepaid cards</t>
  </si>
  <si>
    <t>casino online novo</t>
  </si>
  <si>
    <t>casino games com</t>
  </si>
  <si>
    <t>casinos online microgaming</t>
  </si>
  <si>
    <t>best online casinos argentina</t>
  </si>
  <si>
    <t>online casino with bonus</t>
  </si>
  <si>
    <t>slot casino free online</t>
  </si>
  <si>
    <t>oklahoma casino online</t>
  </si>
  <si>
    <t>play online gambling</t>
  </si>
  <si>
    <t>casino brasil online</t>
  </si>
  <si>
    <t>casino online schweiz legal</t>
  </si>
  <si>
    <t>online casino az</t>
  </si>
  <si>
    <t>casino betting online</t>
  </si>
  <si>
    <t>backgammon online casino</t>
  </si>
  <si>
    <t>casino online bonus 🇩🇪 deutshespiele.blog</t>
  </si>
  <si>
    <t>online casino american express deposit</t>
  </si>
  <si>
    <t>casino games that you can play offline</t>
  </si>
  <si>
    <t>online casinos that take echeck</t>
  </si>
  <si>
    <t>casinos online/en línea confiables</t>
  </si>
  <si>
    <t>casino online bez depozytu</t>
  </si>
  <si>
    <t>casino live house</t>
  </si>
  <si>
    <t>online casino 500 bonus</t>
  </si>
  <si>
    <t>casino card table games</t>
  </si>
  <si>
    <t>top google pay online casinos</t>
  </si>
  <si>
    <t>online casino gutscheine</t>
  </si>
  <si>
    <t>giochi online casino</t>
  </si>
  <si>
    <t>casino online utan svensk licens</t>
  </si>
  <si>
    <t>beste online casino bonus mit einzahlung</t>
  </si>
  <si>
    <t>online casinos in india</t>
  </si>
  <si>
    <t>online casino accept ecopayz</t>
  </si>
  <si>
    <t>casino popular games</t>
  </si>
  <si>
    <t>casino promotions online</t>
  </si>
  <si>
    <t>casinos en mexico online</t>
  </si>
  <si>
    <t>online casino softwares</t>
  </si>
  <si>
    <t>united states online casino real money</t>
  </si>
  <si>
    <t>online slot gambling</t>
  </si>
  <si>
    <t>bitstarz casino online in malta</t>
  </si>
  <si>
    <t>online free casinos</t>
  </si>
  <si>
    <t>free casino games on line</t>
  </si>
  <si>
    <t>online casino big bass bonanza</t>
  </si>
  <si>
    <t>watch casino online free</t>
  </si>
  <si>
    <t>online casino oklahoma</t>
  </si>
  <si>
    <t>tiradas gratis casino online</t>
  </si>
  <si>
    <t>casino online bästa</t>
  </si>
  <si>
    <t>cash online casino</t>
  </si>
  <si>
    <t>south korea online gambling</t>
  </si>
  <si>
    <t>top casinos for online blackjack in the uk</t>
  </si>
  <si>
    <t>bitcoin live casino roulette</t>
  </si>
  <si>
    <t>all slots online mobile casino</t>
  </si>
  <si>
    <t>sites de casinos online</t>
  </si>
  <si>
    <t>best online casino brazil</t>
  </si>
  <si>
    <t>keno online casino</t>
  </si>
  <si>
    <t>borgata online casino new jersey</t>
  </si>
  <si>
    <t>caesars online casino michigan</t>
  </si>
  <si>
    <t>real online gambling slots</t>
  </si>
  <si>
    <t>topless online casino</t>
  </si>
  <si>
    <t>ruleta casino online free</t>
  </si>
  <si>
    <t>live casino free spins no deposit</t>
  </si>
  <si>
    <t>mejores casinos online blackjack</t>
  </si>
  <si>
    <t>best online european casinos</t>
  </si>
  <si>
    <t>online casino ontario reddit</t>
  </si>
  <si>
    <t>beste online casino schweiz</t>
  </si>
  <si>
    <t>casino online live dealer</t>
  </si>
  <si>
    <t>pay by phone bill online casino south africa</t>
  </si>
  <si>
    <t>cc6 online casino</t>
  </si>
  <si>
    <t>casino bonus online</t>
  </si>
  <si>
    <t>newest online casino no deposit bonus</t>
  </si>
  <si>
    <t>online casino im ausland spielen</t>
  </si>
  <si>
    <t>slot games in casino</t>
  </si>
  <si>
    <t>new online uk casino</t>
  </si>
  <si>
    <t>casino online malaysia 2020</t>
  </si>
  <si>
    <t>online casino höchste auszahlungsquote</t>
  </si>
  <si>
    <t>online internet gambling</t>
  </si>
  <si>
    <t>online casino 10 euro ohne einzahlung</t>
  </si>
  <si>
    <t>online casino ny real money no deposit</t>
  </si>
  <si>
    <t>jeton online casino</t>
  </si>
  <si>
    <t>best online crypto casinos</t>
  </si>
  <si>
    <t>pin up casino online</t>
  </si>
  <si>
    <t>march madness casino tournament online</t>
  </si>
  <si>
    <t>free casino table games no download</t>
  </si>
  <si>
    <t>casino online colombia</t>
  </si>
  <si>
    <t>casino online retiro inmediato</t>
  </si>
  <si>
    <t>va online gambling</t>
  </si>
  <si>
    <t>migliori casino live</t>
  </si>
  <si>
    <t>download free casino games for pc offline</t>
  </si>
  <si>
    <t>sa gaming live casino</t>
  </si>
  <si>
    <t>casino online spain</t>
  </si>
  <si>
    <t>bonus online casino ontario</t>
  </si>
  <si>
    <t>casino games best chance of winning</t>
  </si>
  <si>
    <t>casino classic online casino danmark</t>
  </si>
  <si>
    <t>online casino usa</t>
  </si>
  <si>
    <t>online casino polska</t>
  </si>
  <si>
    <t>online gambling in maine</t>
  </si>
  <si>
    <t>casino free online slots</t>
  </si>
  <si>
    <t>casino slots free games</t>
  </si>
  <si>
    <t>best online casinos in uk</t>
  </si>
  <si>
    <t>casino online chileno</t>
  </si>
  <si>
    <t>online casino klage</t>
  </si>
  <si>
    <t>instant withdrawal online casino usa 2022</t>
  </si>
  <si>
    <t>live dealer casino usa</t>
  </si>
  <si>
    <t>genting casino online</t>
  </si>
  <si>
    <t>new online casino 2019</t>
  </si>
  <si>
    <t>best eu online casino</t>
  </si>
  <si>
    <t>online casinos mit echtem geld</t>
  </si>
  <si>
    <t>swiss casino online app</t>
  </si>
  <si>
    <t>inclave casino games</t>
  </si>
  <si>
    <t>nj online casino bonus codes</t>
  </si>
  <si>
    <t>online casino allowed in australia</t>
  </si>
  <si>
    <t>online casino estland</t>
  </si>
  <si>
    <t>casino online deutschland</t>
  </si>
  <si>
    <t>5 euro storten online casino</t>
  </si>
  <si>
    <t>online casino gutschein</t>
  </si>
  <si>
    <t>österreich casino online</t>
  </si>
  <si>
    <t>online casino greek</t>
  </si>
  <si>
    <t>bandar live casino</t>
  </si>
  <si>
    <t>casino games online for fun</t>
  </si>
  <si>
    <t>casino norge online</t>
  </si>
  <si>
    <t>casino singapore online</t>
  </si>
  <si>
    <t>anonymous casino online</t>
  </si>
  <si>
    <t>blackjack online casinos</t>
  </si>
  <si>
    <t>online casino reviews new zealand</t>
  </si>
  <si>
    <t>online paypal casino</t>
  </si>
  <si>
    <t>neteller online casino</t>
  </si>
  <si>
    <t>jogos casino gratis online</t>
  </si>
  <si>
    <t>plae8 online casino</t>
  </si>
  <si>
    <t>sign up bonus online casino</t>
  </si>
  <si>
    <t>online casino that accepts visa</t>
  </si>
  <si>
    <t>casino online games</t>
  </si>
  <si>
    <t>seriöses online casino mit schneller auszahlung</t>
  </si>
  <si>
    <t>betway casino online canada</t>
  </si>
  <si>
    <t>low deposit online casino</t>
  </si>
  <si>
    <t>online australian casino real money</t>
  </si>
  <si>
    <t>casinos online chile jugar en pesos</t>
  </si>
  <si>
    <t>bonus codes for online casinos</t>
  </si>
  <si>
    <t>casino online za darmo</t>
  </si>
  <si>
    <t>online baccarat casino</t>
  </si>
  <si>
    <t>best casino games for android</t>
  </si>
  <si>
    <t>online casinos myanmar</t>
  </si>
  <si>
    <t>bandar taruhan casino live terbaik</t>
  </si>
  <si>
    <t>macau casino online</t>
  </si>
  <si>
    <t>auszahlung online casino</t>
  </si>
  <si>
    <t>bodog online casino malaysia</t>
  </si>
  <si>
    <t>most fun casino games</t>
  </si>
  <si>
    <t>online casino utan svensk licens</t>
  </si>
  <si>
    <t>taruhan casino baccarat online</t>
  </si>
  <si>
    <t>free casino and slot games</t>
  </si>
  <si>
    <t>best online casino australia reddit</t>
  </si>
  <si>
    <t>online casino paysafecard</t>
  </si>
  <si>
    <t>online casino s ceskou license</t>
  </si>
  <si>
    <t>taruhan oriental casino online</t>
  </si>
  <si>
    <t>free slot games casino</t>
  </si>
  <si>
    <t>casino online uk no deposit</t>
  </si>
  <si>
    <t>casino online greek</t>
  </si>
  <si>
    <t>australia online casino no deposit bonus</t>
  </si>
  <si>
    <t>best casino games app</t>
  </si>
  <si>
    <t>is online gambling legal in ny</t>
  </si>
  <si>
    <t>genting live casino</t>
  </si>
  <si>
    <t>play online gambling games</t>
  </si>
  <si>
    <t>grand online casino</t>
  </si>
  <si>
    <t>payid online casino</t>
  </si>
  <si>
    <t>casino games au</t>
  </si>
  <si>
    <t>online casino zonder licentie</t>
  </si>
  <si>
    <t>bolivian online casino</t>
  </si>
  <si>
    <t>free online gambling sites</t>
  </si>
  <si>
    <t>online casino that accepts prepaid visa</t>
  </si>
  <si>
    <t>all free casino games</t>
  </si>
  <si>
    <t>best online casino gambling</t>
  </si>
  <si>
    <t>online casino spil</t>
  </si>
  <si>
    <t>online casinos usa real money</t>
  </si>
  <si>
    <t>casino games no deposit</t>
  </si>
  <si>
    <t>new casino games no deposit</t>
  </si>
  <si>
    <t>casino online norge</t>
  </si>
  <si>
    <t>online kostenlos casino spielen</t>
  </si>
  <si>
    <t>live casino free bonus no deposit</t>
  </si>
  <si>
    <t>online casino no document requested</t>
  </si>
  <si>
    <t>amunra online casino</t>
  </si>
  <si>
    <t>betway casino live</t>
  </si>
  <si>
    <t>online casino software</t>
  </si>
  <si>
    <t>online casino tricks 2019</t>
  </si>
  <si>
    <t>online casino novomatic</t>
  </si>
  <si>
    <t>casino austria wien online spielen</t>
  </si>
  <si>
    <t>online casino that accepts mastercard</t>
  </si>
  <si>
    <t>holland casino online aanmelden</t>
  </si>
  <si>
    <t>start your own online casino</t>
  </si>
  <si>
    <t>best online casinos australia</t>
  </si>
  <si>
    <t>aspers online casino</t>
  </si>
  <si>
    <t>pay by phone casino games</t>
  </si>
  <si>
    <t>real casino play online</t>
  </si>
  <si>
    <t>casinos online big time gaming</t>
  </si>
  <si>
    <t>online casino vip programs</t>
  </si>
  <si>
    <t>best online casino in world</t>
  </si>
  <si>
    <t>esc casino online</t>
  </si>
  <si>
    <t>live casino deutschland</t>
  </si>
  <si>
    <t>online casinos that take bitcoin</t>
  </si>
  <si>
    <t>playing online casinos</t>
  </si>
  <si>
    <t>top online casino indonesia</t>
  </si>
  <si>
    <t>beste online casino österreich</t>
  </si>
  <si>
    <t>book of ra online casino</t>
  </si>
  <si>
    <t>online casino sites that accept jeton</t>
  </si>
  <si>
    <t>online casino slots nz</t>
  </si>
  <si>
    <t>canadian online casinos that accept paypal</t>
  </si>
  <si>
    <t>online casino png</t>
  </si>
  <si>
    <t>online casino svenska</t>
  </si>
  <si>
    <t>ireland online casino</t>
  </si>
  <si>
    <t>casino online thai</t>
  </si>
  <si>
    <t>best md online casino site</t>
  </si>
  <si>
    <t>vegas casino online no deposit bonus codes 2020</t>
  </si>
  <si>
    <t>online casino hohe gewinne</t>
  </si>
  <si>
    <t>skrill accepted online casino</t>
  </si>
  <si>
    <t>best online casinos that accept ecopayz</t>
  </si>
  <si>
    <t>live casino new zealand</t>
  </si>
  <si>
    <t>online casino in india</t>
  </si>
  <si>
    <t>www.free casino slot games</t>
  </si>
  <si>
    <t>online casinos that accept vanilla mastercard</t>
  </si>
  <si>
    <t>online gambling arizona</t>
  </si>
  <si>
    <t>swisscasinos online casino</t>
  </si>
  <si>
    <t>bandar betting casino joker123 online</t>
  </si>
  <si>
    <t>online casino beste</t>
  </si>
  <si>
    <t>fake casino games</t>
  </si>
  <si>
    <t>resort online casino</t>
  </si>
  <si>
    <t>ruleta casino gratis online</t>
  </si>
  <si>
    <t>online casino craps real money</t>
  </si>
  <si>
    <t>nj online casinos list</t>
  </si>
  <si>
    <t>top nz online casino</t>
  </si>
  <si>
    <t>jogos de casinos online</t>
  </si>
  <si>
    <t>isoftbet online casino</t>
  </si>
  <si>
    <t>wisconsin online casino</t>
  </si>
  <si>
    <t>real money online casino maine</t>
  </si>
  <si>
    <t>geld von online casino zurückfordern</t>
  </si>
  <si>
    <t>biggest casino online</t>
  </si>
  <si>
    <t>lucky nugget juegos de casino online</t>
  </si>
  <si>
    <t>online baccarat casinos</t>
  </si>
  <si>
    <t>site casino online</t>
  </si>
  <si>
    <t>online casinos that accept $5 deposits</t>
  </si>
  <si>
    <t>best online gambling deals</t>
  </si>
  <si>
    <t>online casino deposit methods canada</t>
  </si>
  <si>
    <t>online casino game providers</t>
  </si>
  <si>
    <t>online live casino singapore</t>
  </si>
  <si>
    <t>slot casino online free</t>
  </si>
  <si>
    <t>online casino app real money philippines</t>
  </si>
  <si>
    <t>miami club online casino</t>
  </si>
  <si>
    <t>online casino best uk</t>
  </si>
  <si>
    <t>top online uk casinos</t>
  </si>
  <si>
    <t>pa online gambling sites</t>
  </si>
  <si>
    <t>gratis startguthaben online casino</t>
  </si>
  <si>
    <t>slots jackpot online casino</t>
  </si>
  <si>
    <t>crazy time casino online</t>
  </si>
  <si>
    <t>payment gateway for online gambling business</t>
  </si>
  <si>
    <t>fast withdrawal online casino</t>
  </si>
  <si>
    <t>online casino ohne einzahlungslimit</t>
  </si>
  <si>
    <t>online casinos delaware</t>
  </si>
  <si>
    <t>new online casinos ireland</t>
  </si>
  <si>
    <t>safe online casinos usa</t>
  </si>
  <si>
    <t>bonos de casino online</t>
  </si>
  <si>
    <t>top uae online casino sites</t>
  </si>
  <si>
    <t>mr green online casino erfahrungen</t>
  </si>
  <si>
    <t>online casino in sweden</t>
  </si>
  <si>
    <t>agen taruhan casino sbobet online</t>
  </si>
  <si>
    <t>online casinos that accept australian players</t>
  </si>
  <si>
    <t>best hawaii online casinos</t>
  </si>
  <si>
    <t>best online casino australia no deposit bonus</t>
  </si>
  <si>
    <t>free to play casino games</t>
  </si>
  <si>
    <t>danske online casino</t>
  </si>
  <si>
    <t>casino with table games</t>
  </si>
  <si>
    <t>best online casino malaysia 2022</t>
  </si>
  <si>
    <t>888 online casino review</t>
  </si>
  <si>
    <t>curacao casino online</t>
  </si>
  <si>
    <t>legit online gambling sites</t>
  </si>
  <si>
    <t>new online casinos south africa</t>
  </si>
  <si>
    <t>online no deposit casino usa</t>
  </si>
  <si>
    <t>online casino bonus no deposit</t>
  </si>
  <si>
    <t>online casino real money reviews</t>
  </si>
  <si>
    <t>casinos canada online</t>
  </si>
  <si>
    <t>casinos-online-888</t>
  </si>
  <si>
    <t>fairgo online casino</t>
  </si>
  <si>
    <t>online casino paydirekt</t>
  </si>
  <si>
    <t>paras online casino</t>
  </si>
  <si>
    <t>riverbelle juegos de casino online</t>
  </si>
  <si>
    <t>10 dollar minimum deposit usa online casino</t>
  </si>
  <si>
    <t>vegas william hill live casino</t>
  </si>
  <si>
    <t>casino online como se juega</t>
  </si>
  <si>
    <t>turnkey online casino for sale</t>
  </si>
  <si>
    <t>casino games real money no deposit</t>
  </si>
  <si>
    <t>online casino einzahlung unter 10 euro</t>
  </si>
  <si>
    <t>online casino mit live dealer</t>
  </si>
  <si>
    <t>highest payout online casino</t>
  </si>
  <si>
    <t>bet365 games play casino slots</t>
  </si>
  <si>
    <t>online casino liste</t>
  </si>
  <si>
    <t>online casino gewinn versteuern schweiz</t>
  </si>
  <si>
    <t>nj online casino promotions</t>
  </si>
  <si>
    <t>bandar judi casino bluebet33 online</t>
  </si>
  <si>
    <t>online casino schnelle verifizierung</t>
  </si>
  <si>
    <t>casinos dados online</t>
  </si>
  <si>
    <t>real money online casino florida</t>
  </si>
  <si>
    <t>book of dead online casino no deposit bonus</t>
  </si>
  <si>
    <t>find an online casino</t>
  </si>
  <si>
    <t>best online bonus casino</t>
  </si>
  <si>
    <t>best pay casino online</t>
  </si>
  <si>
    <t>south africa online gambling</t>
  </si>
  <si>
    <t>casino online argentina opiniones</t>
  </si>
  <si>
    <t>games to play at casino</t>
  </si>
  <si>
    <t>making money from online casinos</t>
  </si>
  <si>
    <t>online casino nyheter</t>
  </si>
  <si>
    <t>free online casino slot</t>
  </si>
  <si>
    <t>new zealand online casino free spins</t>
  </si>
  <si>
    <t>top canadian online casino</t>
  </si>
  <si>
    <t>liste aller online casinos</t>
  </si>
  <si>
    <t>online casino liste deutschland</t>
  </si>
  <si>
    <t>online casino usa real money fast payout</t>
  </si>
  <si>
    <t>live casino no deposit bonus codes</t>
  </si>
  <si>
    <t>casino online com bonus de registo</t>
  </si>
  <si>
    <t>mejores casinos online paraguay</t>
  </si>
  <si>
    <t>migliori casino online europei</t>
  </si>
  <si>
    <t>caesars pa online casino app</t>
  </si>
  <si>
    <t>mr green online casino</t>
  </si>
  <si>
    <t>casinos online argentina en pesos</t>
  </si>
  <si>
    <t>free jackpot party casino games</t>
  </si>
  <si>
    <t>paypal casino games</t>
  </si>
  <si>
    <t>online casino mit 10 euro einzahlung</t>
  </si>
  <si>
    <t>online casino marketing plan</t>
  </si>
  <si>
    <t>judi casino online android</t>
  </si>
  <si>
    <t>promotion online casino malaysia</t>
  </si>
  <si>
    <t>va online casino</t>
  </si>
  <si>
    <t>casino games slot machines</t>
  </si>
  <si>
    <t>recommended online casino</t>
  </si>
  <si>
    <t>casino online aus</t>
  </si>
  <si>
    <t>online casino 200 match bonus</t>
  </si>
  <si>
    <t>online casino uk kingcasinobonus</t>
  </si>
  <si>
    <t>hollywood casino pa online</t>
  </si>
  <si>
    <t>online casinos ohne lizenz</t>
  </si>
  <si>
    <t>jack's casino online inloggen</t>
  </si>
  <si>
    <t>online casino ipad</t>
  </si>
  <si>
    <t>video poker online casinos</t>
  </si>
  <si>
    <t>online gambling ontario legal</t>
  </si>
  <si>
    <t>usa online casino no deposit bonus codes</t>
  </si>
  <si>
    <t>casino online argentina</t>
  </si>
  <si>
    <t>casino 368bet online</t>
  </si>
  <si>
    <t>casino online netent</t>
  </si>
  <si>
    <t>casinos online latinoamérica</t>
  </si>
  <si>
    <t>casino online dinheiro de verdade</t>
  </si>
  <si>
    <t>online casinos ireland</t>
  </si>
  <si>
    <t>platinum play online casino download</t>
  </si>
  <si>
    <t>online casino europa login</t>
  </si>
  <si>
    <t>legales online casino</t>
  </si>
  <si>
    <t>casino online solverde</t>
  </si>
  <si>
    <t>legaal online casino nederland</t>
  </si>
  <si>
    <t>best payout online casino real money</t>
  </si>
  <si>
    <t>download platinum play online casino</t>
  </si>
  <si>
    <t>no deposit codes for online casinos</t>
  </si>
  <si>
    <t>online gambling hawaii</t>
  </si>
  <si>
    <t>top canadian casinos online</t>
  </si>
  <si>
    <t>paysafe online gambling</t>
  </si>
  <si>
    <t>blackjack online casino live dealer</t>
  </si>
  <si>
    <t>mejores casinos online blackjack andorra</t>
  </si>
  <si>
    <t>lucky nugget online casino mexico</t>
  </si>
  <si>
    <t>chumba casino online</t>
  </si>
  <si>
    <t>secure online casino sites</t>
  </si>
  <si>
    <t>casino online for real money usa</t>
  </si>
  <si>
    <t>best online casino philippines</t>
  </si>
  <si>
    <t>live casino slots online</t>
  </si>
  <si>
    <t>online casino finland</t>
  </si>
  <si>
    <t>best online casino promotion</t>
  </si>
  <si>
    <t>joker online casino malaysia</t>
  </si>
  <si>
    <t>casino cz online</t>
  </si>
  <si>
    <t>agen judi casino maxbet online</t>
  </si>
  <si>
    <t>mejores casinos online que aceptan apple pay</t>
  </si>
  <si>
    <t>money drop live casino</t>
  </si>
  <si>
    <t>australian online gambling sites</t>
  </si>
  <si>
    <t>casinos online apple pay</t>
  </si>
  <si>
    <t>nj online casino reviews</t>
  </si>
  <si>
    <t>borgata casino online reviews</t>
  </si>
  <si>
    <t>neue seriöse online casinos</t>
  </si>
  <si>
    <t>casino online slots free play</t>
  </si>
  <si>
    <t>casino free slots games</t>
  </si>
  <si>
    <t>online casino deutschland verboten</t>
  </si>
  <si>
    <t>safe online gambling</t>
  </si>
  <si>
    <t>hyperion online casino</t>
  </si>
  <si>
    <t>mejor casino online klarna</t>
  </si>
  <si>
    <t>online gambling real money arizona</t>
  </si>
  <si>
    <t>online casino new zeland</t>
  </si>
  <si>
    <t>online casino nrw</t>
  </si>
  <si>
    <t>888 live casino</t>
  </si>
  <si>
    <t>best online casinos in 2022</t>
  </si>
  <si>
    <t>online-casino-bonus</t>
  </si>
  <si>
    <t>grand theft auto v online casino</t>
  </si>
  <si>
    <t>topx casino online</t>
  </si>
  <si>
    <t>top 20 online casino</t>
  </si>
  <si>
    <t>free play casino online</t>
  </si>
  <si>
    <t>best slots online casino</t>
  </si>
  <si>
    <t>www jackpotcity casino online com</t>
  </si>
  <si>
    <t>online mi casinos</t>
  </si>
  <si>
    <t>top ten casino online</t>
  </si>
  <si>
    <t>seriöse online casinos mit startguthaben</t>
  </si>
  <si>
    <t>best uk online casino</t>
  </si>
  <si>
    <t>online gambling in north dakota</t>
  </si>
  <si>
    <t>casino online bonus de bun venit</t>
  </si>
  <si>
    <t>online casinos texas</t>
  </si>
  <si>
    <t>spel casino online</t>
  </si>
  <si>
    <t>casino online pesos chilenos</t>
  </si>
  <si>
    <t>avis cresus online casino</t>
  </si>
  <si>
    <t>online casinos with thunderstruck</t>
  </si>
  <si>
    <t>online casino casino</t>
  </si>
  <si>
    <t>casino online uk</t>
  </si>
  <si>
    <t>best online usa casino</t>
  </si>
  <si>
    <t>online casino ohne limit 🇩🇪 www.50casino.de</t>
  </si>
  <si>
    <t>caesars online casino canada</t>
  </si>
  <si>
    <t>online casino with bitcoin</t>
  </si>
  <si>
    <t>grosvenor casino online login</t>
  </si>
  <si>
    <t>2023 online casinos</t>
  </si>
  <si>
    <t>online casino handyrechnung</t>
  </si>
  <si>
    <t>bandar live casino online</t>
  </si>
  <si>
    <t>polskie casino online</t>
  </si>
  <si>
    <t>casino games ethereum</t>
  </si>
  <si>
    <t>west virginia casinos online</t>
  </si>
  <si>
    <t>online casinos ✅ www.echtgeldstar.site</t>
  </si>
  <si>
    <t>play for free casino games</t>
  </si>
  <si>
    <t>best online casino no deposit</t>
  </si>
  <si>
    <t>online casino play</t>
  </si>
  <si>
    <t>holland casino online spelen</t>
  </si>
  <si>
    <t>royal house online casino</t>
  </si>
  <si>
    <t>reels of joy online casino</t>
  </si>
  <si>
    <t>online casino swiss</t>
  </si>
  <si>
    <t>promo code online casino ohne einzahlung</t>
  </si>
  <si>
    <t>the best free casino slot games</t>
  </si>
  <si>
    <t>online casino business plan</t>
  </si>
  <si>
    <t>casino di venezia online</t>
  </si>
  <si>
    <t>indiana online casinos</t>
  </si>
  <si>
    <t>usa online casinos that pay</t>
  </si>
  <si>
    <t>agen casino live terpercaya</t>
  </si>
  <si>
    <t>gioco online casino</t>
  </si>
  <si>
    <t>online gambling in pennsylvania</t>
  </si>
  <si>
    <t>vegas casino online free spins</t>
  </si>
  <si>
    <t>real money online casino connecticut</t>
  </si>
  <si>
    <t>eurogrand online casino review</t>
  </si>
  <si>
    <t>beste klarna online casinos</t>
  </si>
  <si>
    <t>casino online stream</t>
  </si>
  <si>
    <t>juegos online de casino 2023</t>
  </si>
  <si>
    <t>bonos de casinos online sin deposito</t>
  </si>
  <si>
    <t>turnkey online casino</t>
  </si>
  <si>
    <t>nv online gambling</t>
  </si>
  <si>
    <t>casino gaming online</t>
  </si>
  <si>
    <t>jackpot247 online casino review</t>
  </si>
  <si>
    <t>casinos online dinheiro real</t>
  </si>
  <si>
    <t>casino gambling games list</t>
  </si>
  <si>
    <t>online live dealer casino usa</t>
  </si>
  <si>
    <t>10 euro gratis online casino</t>
  </si>
  <si>
    <t>live casino online uk</t>
  </si>
  <si>
    <t>online casino freispiele ohne einzahlung 2022 neu</t>
  </si>
  <si>
    <t>real money online casino arkansas</t>
  </si>
  <si>
    <t>partypoker online casino</t>
  </si>
  <si>
    <t>gambling online paypal</t>
  </si>
  <si>
    <t>online casino klarna lastschrift</t>
  </si>
  <si>
    <t>new zealand online casino games</t>
  </si>
  <si>
    <t>legitimate online casinos</t>
  </si>
  <si>
    <t>online casino 24</t>
  </si>
  <si>
    <t>jackpotcity live casino</t>
  </si>
  <si>
    <t>online casino coupons</t>
  </si>
  <si>
    <t>casino online nederlandse's beste online casino</t>
  </si>
  <si>
    <t>holland casino online review</t>
  </si>
  <si>
    <t>agen taruhan ion casino online</t>
  </si>
  <si>
    <t>online casino in</t>
  </si>
  <si>
    <t>casino online dinero real gratis</t>
  </si>
  <si>
    <t>honest online casino</t>
  </si>
  <si>
    <t>a que jugar en casinos online</t>
  </si>
  <si>
    <t>best casino online in india</t>
  </si>
  <si>
    <t>casino nl online</t>
  </si>
  <si>
    <t>ruby casino online</t>
  </si>
  <si>
    <t>aussie casinos online</t>
  </si>
  <si>
    <t>online casinos per handyrechnung</t>
  </si>
  <si>
    <t>online gambling sites florida</t>
  </si>
  <si>
    <t>odds in casino games</t>
  </si>
  <si>
    <t>quickest withdrawal online casinos</t>
  </si>
  <si>
    <t>jogo de casino online</t>
  </si>
  <si>
    <t>casino slot games online</t>
  </si>
  <si>
    <t>online casino erfahrungen</t>
  </si>
  <si>
    <t>gambling real money online</t>
  </si>
  <si>
    <t>book of dead online casinos</t>
  </si>
  <si>
    <t>topp 10 online casino</t>
  </si>
  <si>
    <t>najlepsie online casino slovensko</t>
  </si>
  <si>
    <t>casinos online em portugal</t>
  </si>
  <si>
    <t>website agen judi casino live</t>
  </si>
  <si>
    <t>brand new usa online casinos</t>
  </si>
  <si>
    <t>online casinos mexico</t>
  </si>
  <si>
    <t>highest payout online casino australia</t>
  </si>
  <si>
    <t>nuevo casino online espana</t>
  </si>
  <si>
    <t>best online casino sites</t>
  </si>
  <si>
    <t>free casino video slot games</t>
  </si>
  <si>
    <t>best paying online casinos</t>
  </si>
  <si>
    <t>best new australian online casinos</t>
  </si>
  <si>
    <t>siti di casino online</t>
  </si>
  <si>
    <t>slots heaven online casino</t>
  </si>
  <si>
    <t>jackpot party casino game online for free</t>
  </si>
  <si>
    <t>online casino paysafecard 5</t>
  </si>
  <si>
    <t>best casino video games</t>
  </si>
  <si>
    <t>casino greece online</t>
  </si>
  <si>
    <t>best klarna online casino</t>
  </si>
  <si>
    <t>hacking online casino games</t>
  </si>
  <si>
    <t>online gambling slot</t>
  </si>
  <si>
    <t>alberta online casino</t>
  </si>
  <si>
    <t>top ten best online casinos</t>
  </si>
  <si>
    <t>fair go casino online</t>
  </si>
  <si>
    <t>what's the best online casino</t>
  </si>
  <si>
    <t>top uk casino games</t>
  </si>
  <si>
    <t>live gambling online</t>
  </si>
  <si>
    <t>best canadian online casino</t>
  </si>
  <si>
    <t>online casino with bonuses</t>
  </si>
  <si>
    <t>games for casino</t>
  </si>
  <si>
    <t>casinos online dinero real</t>
  </si>
  <si>
    <t>uk casino table games</t>
  </si>
  <si>
    <t>betmgm pa online casino</t>
  </si>
  <si>
    <t>online casino real money europe</t>
  </si>
  <si>
    <t>american casinos online</t>
  </si>
  <si>
    <t>cambodia online casino</t>
  </si>
  <si>
    <t>ignition online casino</t>
  </si>
  <si>
    <t>online casinos in the usa</t>
  </si>
  <si>
    <t>ocean online casino app</t>
  </si>
  <si>
    <t>bizzo casino online</t>
  </si>
  <si>
    <t>casinos online moveis</t>
  </si>
  <si>
    <t>live casino games online slots</t>
  </si>
  <si>
    <t>jackpot casino online free</t>
  </si>
  <si>
    <t>latest online casino</t>
  </si>
  <si>
    <t>casino games to play at home</t>
  </si>
  <si>
    <t>iron dog studio online casinos</t>
  </si>
  <si>
    <t>online no deposit casino</t>
  </si>
  <si>
    <t>casinos online paypal</t>
  </si>
  <si>
    <t>malaysia casino online</t>
  </si>
  <si>
    <t>online casino with free bonus</t>
  </si>
  <si>
    <t>automaten casino online</t>
  </si>
  <si>
    <t>real online casinos real money</t>
  </si>
  <si>
    <t>real cash online casinos</t>
  </si>
  <si>
    <t>online casino scam</t>
  </si>
  <si>
    <t>best michigan online gambling sites</t>
  </si>
  <si>
    <t>agen taruhan oriental casino online</t>
  </si>
  <si>
    <t>casinos online netent</t>
  </si>
  <si>
    <t>seriöse online casinos mit bonus ohne einzahlung</t>
  </si>
  <si>
    <t>best ripple online casinos</t>
  </si>
  <si>
    <t>gambling online game</t>
  </si>
  <si>
    <t>tropicana nj online casino</t>
  </si>
  <si>
    <t>casino online united states</t>
  </si>
  <si>
    <t>is online gambling legal in massachusetts</t>
  </si>
  <si>
    <t>spin palace online casino spanish</t>
  </si>
  <si>
    <t>planetwin365 casino live</t>
  </si>
  <si>
    <t>bet365 casino online</t>
  </si>
  <si>
    <t>best online casino microgaming</t>
  </si>
  <si>
    <t>new online casinos usa real money</t>
  </si>
  <si>
    <t>casino online welcome bonus</t>
  </si>
  <si>
    <t>live casino online malaysia</t>
  </si>
  <si>
    <t>online casino accept maestro</t>
  </si>
  <si>
    <t>mejor casino online mexico</t>
  </si>
  <si>
    <t>best paying online casino uk</t>
  </si>
  <si>
    <t>free games casino games</t>
  </si>
  <si>
    <t>top online real money casinos</t>
  </si>
  <si>
    <t>dice casino games</t>
  </si>
  <si>
    <t>online real money casino australia</t>
  </si>
  <si>
    <t>online casino fast payout</t>
  </si>
  <si>
    <t>casino online bonos</t>
  </si>
  <si>
    <t>singapore online casino</t>
  </si>
  <si>
    <t>online casino bonus ohne einzahlung 2024 neu</t>
  </si>
  <si>
    <t>casino games for real money</t>
  </si>
  <si>
    <t>online casino deutschland bonus code</t>
  </si>
  <si>
    <t>mejores casinos online con dinero real</t>
  </si>
  <si>
    <t>casino games for iphone</t>
  </si>
  <si>
    <t>top us online casinos</t>
  </si>
  <si>
    <t>online 888 casino</t>
  </si>
  <si>
    <t>online casino malaysia welcome bonus</t>
  </si>
  <si>
    <t>online casinos mit deutscher lizenz</t>
  </si>
  <si>
    <t>online české casino</t>
  </si>
  <si>
    <t>harrington casino online</t>
  </si>
  <si>
    <t>draftkings online casino pa</t>
  </si>
  <si>
    <t>game casino online malaysia</t>
  </si>
  <si>
    <t>echt geld online casinos</t>
  </si>
  <si>
    <t>real money online casino mi</t>
  </si>
  <si>
    <t>harrah's online casino nj</t>
  </si>
  <si>
    <t>online casino mit handyrechnung bezahlen</t>
  </si>
  <si>
    <t>live casino vip</t>
  </si>
  <si>
    <t>online casino australia reviews</t>
  </si>
  <si>
    <t>online casino paysafecard 10€</t>
  </si>
  <si>
    <t>best online gambling</t>
  </si>
  <si>
    <t>online flash casino</t>
  </si>
  <si>
    <t>best online casino bonus nz</t>
  </si>
  <si>
    <t>online casino real money cash app</t>
  </si>
  <si>
    <t>real online gambling apps</t>
  </si>
  <si>
    <t>gaming club online flash casino</t>
  </si>
  <si>
    <t>buitenlands online casino</t>
  </si>
  <si>
    <t>karamba online casino</t>
  </si>
  <si>
    <t>online casino mit paysafe bezahlen</t>
  </si>
  <si>
    <t>all online casinos list</t>
  </si>
  <si>
    <t>deutschland casino online</t>
  </si>
  <si>
    <t>casino style games</t>
  </si>
  <si>
    <t>renting casino games</t>
  </si>
  <si>
    <t>casino online dansk</t>
  </si>
  <si>
    <t>sweden online gambling</t>
  </si>
  <si>
    <t>migliori casino online live</t>
  </si>
  <si>
    <t>fastest paying online casinos</t>
  </si>
  <si>
    <t>caesars casino online bonus code</t>
  </si>
  <si>
    <t>best canadian casinos for online craps</t>
  </si>
  <si>
    <t>bandar taruhan live casino online</t>
  </si>
  <si>
    <t>top casino games real money</t>
  </si>
  <si>
    <t>casino online live roulette</t>
  </si>
  <si>
    <t>casino online argentina bono sin deposito</t>
  </si>
  <si>
    <t>cool cat online casino</t>
  </si>
  <si>
    <t>best casino online australia</t>
  </si>
  <si>
    <t>sure win online casino</t>
  </si>
  <si>
    <t>real money online casino oregon</t>
  </si>
  <si>
    <t>uk online casino not on gamstop</t>
  </si>
  <si>
    <t>juegos de casino online dinero real</t>
  </si>
  <si>
    <t>parx casino online pa</t>
  </si>
  <si>
    <t>online casino zonder verificatie</t>
  </si>
  <si>
    <t>casino online slot machine</t>
  </si>
  <si>
    <t>gaming club online casino español</t>
  </si>
  <si>
    <t>bet365 live casino not working</t>
  </si>
  <si>
    <t>casinos online top</t>
  </si>
  <si>
    <t>minnesota online casino</t>
  </si>
  <si>
    <t>casino slots online</t>
  </si>
  <si>
    <t>neue online casino ohne einzahlung</t>
  </si>
  <si>
    <t>casino online vivo</t>
  </si>
  <si>
    <t>casino online chile</t>
  </si>
  <si>
    <t>live dealer casino software</t>
  </si>
  <si>
    <t>casino online 2020</t>
  </si>
  <si>
    <t>best caribbean stud poker online casinos</t>
  </si>
  <si>
    <t>gratis casino online</t>
  </si>
  <si>
    <t>online casino schweizer franken</t>
  </si>
  <si>
    <t>online casino österreich echtgeld</t>
  </si>
  <si>
    <t>online pokies casino</t>
  </si>
  <si>
    <t>online casino per bankeinzug</t>
  </si>
  <si>
    <t>jugar casino online gratis tragamonedas</t>
  </si>
  <si>
    <t>online casinos 2023</t>
  </si>
  <si>
    <t>online casino betrugstest</t>
  </si>
  <si>
    <t>online game gambling</t>
  </si>
  <si>
    <t>online casino software platform</t>
  </si>
  <si>
    <t>nevada casino online</t>
  </si>
  <si>
    <t>tropicana online casino signup bonus</t>
  </si>
  <si>
    <t>slots of vegas online casino</t>
  </si>
  <si>
    <t>online canadian casino no deposit bonus</t>
  </si>
  <si>
    <t>online casino malta license</t>
  </si>
  <si>
    <t>casino online hrvatska</t>
  </si>
  <si>
    <t>situs judi casino live</t>
  </si>
  <si>
    <t>winspirit online casino</t>
  </si>
  <si>
    <t>best casino online bonus</t>
  </si>
  <si>
    <t>online casinos with free no deposit bonuses</t>
  </si>
  <si>
    <t>free bonus casino online</t>
  </si>
  <si>
    <t>easy casino games to win money</t>
  </si>
  <si>
    <t>dreamcatcher live casino</t>
  </si>
  <si>
    <t>5 dollar deposit online casino</t>
  </si>
  <si>
    <t>grande vegas online casino</t>
  </si>
  <si>
    <t>best baccarat online casino sites</t>
  </si>
  <si>
    <t>real money online casino pennsylvania</t>
  </si>
  <si>
    <t>legjobb online casino</t>
  </si>
  <si>
    <t>new online australian casinos</t>
  </si>
  <si>
    <t>play casino online nz</t>
  </si>
  <si>
    <t>casino online spiel</t>
  </si>
  <si>
    <t>arkansas online casino</t>
  </si>
  <si>
    <t>nj online casino promo codes</t>
  </si>
  <si>
    <t>online casino welcome bonus</t>
  </si>
  <si>
    <t>online casino international</t>
  </si>
  <si>
    <t>lord of the ocean online casino</t>
  </si>
  <si>
    <t>best online gambling casinos</t>
  </si>
  <si>
    <t>gambling slots online</t>
  </si>
  <si>
    <t>online casino mit freispiele</t>
  </si>
  <si>
    <t>online casino slot</t>
  </si>
  <si>
    <t>online casino games to win real money</t>
  </si>
  <si>
    <t>online casinos for real money,</t>
  </si>
  <si>
    <t>online casinos no deposit free money</t>
  </si>
  <si>
    <t>free casino games for fun</t>
  </si>
  <si>
    <t>online casino στην ελλαδα</t>
  </si>
  <si>
    <t>online casino bonus ohne einzahlung 2020</t>
  </si>
  <si>
    <t>visa online casino</t>
  </si>
  <si>
    <t>online casino canada interac</t>
  </si>
  <si>
    <t>online casinos gaming</t>
  </si>
  <si>
    <t>online casino minimalny vklad 5 eur</t>
  </si>
  <si>
    <t>uk online casino guide</t>
  </si>
  <si>
    <t>online casino info</t>
  </si>
  <si>
    <t>best new jersey online casinos</t>
  </si>
  <si>
    <t>merkur online casino paysafecard</t>
  </si>
  <si>
    <t>play casino game online</t>
  </si>
  <si>
    <t>davegas live casino</t>
  </si>
  <si>
    <t>magyar casino online</t>
  </si>
  <si>
    <t>alle online casino</t>
  </si>
  <si>
    <t>best australian online casino slots</t>
  </si>
  <si>
    <t>free online casino money</t>
  </si>
  <si>
    <t>online casino mit echten gewinnen</t>
  </si>
  <si>
    <t>casino slot games</t>
  </si>
  <si>
    <t>online casino deposit by phone</t>
  </si>
  <si>
    <t>online casinos that accept american express</t>
  </si>
  <si>
    <t>newest online casino list</t>
  </si>
  <si>
    <t>casino games with highest win rate</t>
  </si>
  <si>
    <t>casino games free downloads</t>
  </si>
  <si>
    <t>888 online casino ontario</t>
  </si>
  <si>
    <t>online casino nz dollar</t>
  </si>
  <si>
    <t>new casino games online</t>
  </si>
  <si>
    <t>platinum play online casino</t>
  </si>
  <si>
    <t>online casino bulgaria</t>
  </si>
  <si>
    <t>highest payout online casinos</t>
  </si>
  <si>
    <t>online casino gratis startgeld</t>
  </si>
  <si>
    <t>online gambling uae</t>
  </si>
  <si>
    <t>best online casino bonus in the uk</t>
  </si>
  <si>
    <t>online casino free signup bonus no deposit</t>
  </si>
  <si>
    <t>online casino bez registrace</t>
  </si>
  <si>
    <t>echt geld online casino</t>
  </si>
  <si>
    <t>online casinos nederland</t>
  </si>
  <si>
    <t>play live casino online</t>
  </si>
  <si>
    <t>beste online casino deutschland</t>
  </si>
  <si>
    <t>online casino pragmatic play</t>
  </si>
  <si>
    <t>casinos online estados unidos</t>
  </si>
  <si>
    <t>online casino bonus ohne einzahlung 2016</t>
  </si>
  <si>
    <t>casino real online argentina</t>
  </si>
  <si>
    <t>legal online gambling</t>
  </si>
  <si>
    <t>tropicana casino pa online</t>
  </si>
  <si>
    <t>best rated online casino</t>
  </si>
  <si>
    <t>nz online casinos</t>
  </si>
  <si>
    <t>online casino spiele bonus</t>
  </si>
  <si>
    <t>casino online bangladesh</t>
  </si>
  <si>
    <t>online casinos new</t>
  </si>
  <si>
    <t>online casino uk paypal</t>
  </si>
  <si>
    <t>beste ewallet online casinos</t>
  </si>
  <si>
    <t>best online casinos with no deposit bonuses</t>
  </si>
  <si>
    <t>online casino games no deposit</t>
  </si>
  <si>
    <t>online casino bonus ohne einzahlung österreich</t>
  </si>
  <si>
    <t>maneki casino online</t>
  </si>
  <si>
    <t>wild casino online</t>
  </si>
  <si>
    <t>qual o melhor casino online</t>
  </si>
  <si>
    <t>good online casino canada</t>
  </si>
  <si>
    <t>best online casino romania</t>
  </si>
  <si>
    <t>casino online merkur</t>
  </si>
  <si>
    <t>hack 4 all online casino</t>
  </si>
  <si>
    <t>free games casino slots</t>
  </si>
  <si>
    <t>casino games free slots</t>
  </si>
  <si>
    <t>best online gambling south africa</t>
  </si>
  <si>
    <t>can you make money gambling online</t>
  </si>
  <si>
    <t>meadows online casino</t>
  </si>
  <si>
    <t>online casino utomlands</t>
  </si>
  <si>
    <t>online pa casino</t>
  </si>
  <si>
    <t>bandar taruhan casino ibcbet online</t>
  </si>
  <si>
    <t>online casino ca</t>
  </si>
  <si>
    <t>online casino with free signup bonus philippines</t>
  </si>
  <si>
    <t>online casino mit auszahlung</t>
  </si>
  <si>
    <t>live casino offers india</t>
  </si>
  <si>
    <t>free casino slots games for fun</t>
  </si>
  <si>
    <t>top german online casinos</t>
  </si>
  <si>
    <t>slot online 360--casino(rajadewa138)</t>
  </si>
  <si>
    <t>como ganar dinero en casino online</t>
  </si>
  <si>
    <t>free casino games slot machine</t>
  </si>
  <si>
    <t>demo online casino games</t>
  </si>
  <si>
    <t>einzahlung online casino</t>
  </si>
  <si>
    <t>mgm nj online casino</t>
  </si>
  <si>
    <t>best swedish online casinos</t>
  </si>
  <si>
    <t>bónus de casinos online</t>
  </si>
  <si>
    <t>online casino bonus no deposit required</t>
  </si>
  <si>
    <t>spinyoo online casino malta</t>
  </si>
  <si>
    <t>real money online casino nz</t>
  </si>
  <si>
    <t>mount airy online casino</t>
  </si>
  <si>
    <t>online casino aus</t>
  </si>
  <si>
    <t>casino free demo games</t>
  </si>
  <si>
    <t>casino games bingo</t>
  </si>
  <si>
    <t>lista de casinos online</t>
  </si>
  <si>
    <t>live casino bet365</t>
  </si>
  <si>
    <t>netent mobile casino games</t>
  </si>
  <si>
    <t>online casino iskustva</t>
  </si>
  <si>
    <t>casino zodiac online</t>
  </si>
  <si>
    <t>conquestador online casino</t>
  </si>
  <si>
    <t>online gambling legal in us</t>
  </si>
  <si>
    <t>online casino non uk</t>
  </si>
  <si>
    <t>europe online casino</t>
  </si>
  <si>
    <t>new us online casinos with no deposit bonuses</t>
  </si>
  <si>
    <t>all slots mobile casino games</t>
  </si>
  <si>
    <t>casino war online free</t>
  </si>
  <si>
    <t>atlantis online casino</t>
  </si>
  <si>
    <t>synottip online casino</t>
  </si>
  <si>
    <t>top ten online casino sites</t>
  </si>
  <si>
    <t>free casino blackjack online</t>
  </si>
  <si>
    <t>10 best casino online</t>
  </si>
  <si>
    <t>bwin live casino</t>
  </si>
  <si>
    <t>best games to play at casino to win</t>
  </si>
  <si>
    <t>casino games.</t>
  </si>
  <si>
    <t>best skrill online casinos</t>
  </si>
  <si>
    <t>no deposit bonus online casino pa</t>
  </si>
  <si>
    <t>online live casinos</t>
  </si>
  <si>
    <t>novomatic online casino österreich</t>
  </si>
  <si>
    <t>casino online méxico</t>
  </si>
  <si>
    <t>online jackpot city casino</t>
  </si>
  <si>
    <t>australian online casino slots</t>
  </si>
  <si>
    <t>melhores casinos online para brasileiros</t>
  </si>
  <si>
    <t>online casino app echtgeld iphone</t>
  </si>
  <si>
    <t>casino heroes online review</t>
  </si>
  <si>
    <t>1win casino games</t>
  </si>
  <si>
    <t>online casino australia baccarat</t>
  </si>
  <si>
    <t>casino poker games list</t>
  </si>
  <si>
    <t>betsson casino online spiele</t>
  </si>
  <si>
    <t>leo vegas casino online</t>
  </si>
  <si>
    <t>online casinos greece</t>
  </si>
  <si>
    <t>online casino 1 euro deposit</t>
  </si>
  <si>
    <t>quick withdrawal online casino</t>
  </si>
  <si>
    <t>jumba bet free spins online casino</t>
  </si>
  <si>
    <t>napoleon casino games</t>
  </si>
  <si>
    <t>international online casino real money</t>
  </si>
  <si>
    <t>mejor casino online microgaming</t>
  </si>
  <si>
    <t>online casino ohne registrierung</t>
  </si>
  <si>
    <t>trusted online casinos for us players</t>
  </si>
  <si>
    <t>holland casino online gokkasten</t>
  </si>
  <si>
    <t>rocketplay casino online</t>
  </si>
  <si>
    <t>top ten online casinos</t>
  </si>
  <si>
    <t>real casino online</t>
  </si>
  <si>
    <t>online casino website</t>
  </si>
  <si>
    <t>online casinos romania</t>
  </si>
  <si>
    <t>online casinos iowa</t>
  </si>
  <si>
    <t>casino demo lobby games at $45</t>
  </si>
  <si>
    <t>paginas de casinos online com bitcoin</t>
  </si>
  <si>
    <t>online casino reviews usa</t>
  </si>
  <si>
    <t>online casino canadian dollars</t>
  </si>
  <si>
    <t>online casino eu lizenz</t>
  </si>
  <si>
    <t>schweizer casino online</t>
  </si>
  <si>
    <t>casino tropez online</t>
  </si>
  <si>
    <t>winner live casino</t>
  </si>
  <si>
    <t>casino online trustly</t>
  </si>
  <si>
    <t>types of games in casino</t>
  </si>
  <si>
    <t>casino online 🎰 casin.fit</t>
  </si>
  <si>
    <t>online casino real money paypal no deposit</t>
  </si>
  <si>
    <t>seriöse online casinos österreich</t>
  </si>
  <si>
    <t>bono bienvenida casino online</t>
  </si>
  <si>
    <t>unibet live casino</t>
  </si>
  <si>
    <t>online casino 1 dollar deposit</t>
  </si>
  <si>
    <t>pa online casino no deposit promo codes</t>
  </si>
  <si>
    <t>top casinos online australia</t>
  </si>
  <si>
    <t>online new jersey casinos</t>
  </si>
  <si>
    <t>online casino jackpot winners</t>
  </si>
  <si>
    <t>casino classic casino games</t>
  </si>
  <si>
    <t>swiss casino online bonus code</t>
  </si>
  <si>
    <t>online casino bonanza</t>
  </si>
  <si>
    <t>fanduel online casino promo code</t>
  </si>
  <si>
    <t>mohegan sun online casino promo codes</t>
  </si>
  <si>
    <t>casinos online ruleta andorra</t>
  </si>
  <si>
    <t>free casino games with free spins</t>
  </si>
  <si>
    <t>gratis casino spiele online</t>
  </si>
  <si>
    <t>play casino games online free</t>
  </si>
  <si>
    <t>online casino urteil</t>
  </si>
  <si>
    <t>mgm online casino nj login</t>
  </si>
  <si>
    <t>free online no deposit casino bonuses</t>
  </si>
  <si>
    <t>casino carnival games</t>
  </si>
  <si>
    <t>online casino belgique</t>
  </si>
  <si>
    <t>bandar casino green dragon online</t>
  </si>
  <si>
    <t>bästa online casino utan registrering</t>
  </si>
  <si>
    <t>aspers casino online</t>
  </si>
  <si>
    <t>casino online slots uk</t>
  </si>
  <si>
    <t>spinpalace online casino español</t>
  </si>
  <si>
    <t>uk best casino online</t>
  </si>
  <si>
    <t>slot online 247--casino(rajadewa138)</t>
  </si>
  <si>
    <t>online casinos in bahamas</t>
  </si>
  <si>
    <t>new online casino free spins</t>
  </si>
  <si>
    <t>online casino license uk</t>
  </si>
  <si>
    <t>real online casino usa</t>
  </si>
  <si>
    <t>online united states casino</t>
  </si>
  <si>
    <t>online gambling sites california</t>
  </si>
  <si>
    <t>casino online senza deposito 1 ora gratis</t>
  </si>
  <si>
    <t>top rated casinos online</t>
  </si>
  <si>
    <t>online british casino</t>
  </si>
  <si>
    <t>best games to play in the casino</t>
  </si>
  <si>
    <t>alles spitze online casino</t>
  </si>
  <si>
    <t>online gambling business for sale</t>
  </si>
  <si>
    <t>live casino top 10 indaxis.com</t>
  </si>
  <si>
    <t>best online casino sites uk</t>
  </si>
  <si>
    <t>online casino ohne lizenz 🇩🇪 www.50casino.de</t>
  </si>
  <si>
    <t>real money online casino</t>
  </si>
  <si>
    <t>casino online por dinero real</t>
  </si>
  <si>
    <t>live casino offers</t>
  </si>
  <si>
    <t>casino online crazy time</t>
  </si>
  <si>
    <t>online casino anmelden</t>
  </si>
  <si>
    <t>best free online casino slots</t>
  </si>
  <si>
    <t>best gambling game online</t>
  </si>
  <si>
    <t>casino card games online</t>
  </si>
  <si>
    <t>live casino monopoly</t>
  </si>
  <si>
    <t>best indian casino online</t>
  </si>
  <si>
    <t>legal australian online casino</t>
  </si>
  <si>
    <t>online casino free bonus no deposit no download</t>
  </si>
  <si>
    <t>online casino zonder cruks</t>
  </si>
  <si>
    <t>demo online casino</t>
  </si>
  <si>
    <t>migliori siti casino online</t>
  </si>
  <si>
    <t>online casino cheat codes</t>
  </si>
  <si>
    <t>draftkings nj online casino</t>
  </si>
  <si>
    <t>casino online top 10</t>
  </si>
  <si>
    <t>casinos online free money</t>
  </si>
  <si>
    <t>online casino bonuses usa</t>
  </si>
  <si>
    <t>tiger casino online</t>
  </si>
  <si>
    <t>treasure mile online casino</t>
  </si>
  <si>
    <t>australian online slots casino</t>
  </si>
  <si>
    <t>casino games in vegas</t>
  </si>
  <si>
    <t>online ideal casino malta</t>
  </si>
  <si>
    <t>uk based online casino</t>
  </si>
  <si>
    <t>online casino bank transfer deposit</t>
  </si>
  <si>
    <t>online casino that accepts credit card</t>
  </si>
  <si>
    <t>online casino for free</t>
  </si>
  <si>
    <t>casinos online seguros y fiables</t>
  </si>
  <si>
    <t>beste auszahlungsquote online casino</t>
  </si>
  <si>
    <t>unibet casino live nl</t>
  </si>
  <si>
    <t>como ganar dinero casino online</t>
  </si>
  <si>
    <t>online gambling deutsch</t>
  </si>
  <si>
    <t>casino online recensioni</t>
  </si>
  <si>
    <t>best random logic online casino</t>
  </si>
  <si>
    <t>casino games online singapore</t>
  </si>
  <si>
    <t>live casino games real money</t>
  </si>
  <si>
    <t>mummys gold online casino chile</t>
  </si>
  <si>
    <t>mgm online casino bonus code</t>
  </si>
  <si>
    <t>free online casino no deposit bonus</t>
  </si>
  <si>
    <t>online casino schweiz app</t>
  </si>
  <si>
    <t>online casino bet365</t>
  </si>
  <si>
    <t>online casinos echtgeld</t>
  </si>
  <si>
    <t>online casinos liste</t>
  </si>
  <si>
    <t>online free casino slots machine</t>
  </si>
  <si>
    <t>deutsche online casino casinod.casino 🇩🇪</t>
  </si>
  <si>
    <t>online casino poker games</t>
  </si>
  <si>
    <t>online gambling in the united states</t>
  </si>
  <si>
    <t>macau online casino</t>
  </si>
  <si>
    <t>best new uk online casino</t>
  </si>
  <si>
    <t>vegas casino online no deposit bonus codes</t>
  </si>
  <si>
    <t>top rubyplay online casinos</t>
  </si>
  <si>
    <t>no deposit bonus for online casino</t>
  </si>
  <si>
    <t>play n go online casinos</t>
  </si>
  <si>
    <t>deutschland online casino</t>
  </si>
  <si>
    <t>online casino mobile payment</t>
  </si>
  <si>
    <t>usa accepted online casinos</t>
  </si>
  <si>
    <t>online casino sign up bonuses</t>
  </si>
  <si>
    <t>live casino blackjack online</t>
  </si>
  <si>
    <t>classic casino online</t>
  </si>
  <si>
    <t>nj online casino apps</t>
  </si>
  <si>
    <t>online casino sofortüberweisung schweiz</t>
  </si>
  <si>
    <t>online casino signup bonus no deposit</t>
  </si>
  <si>
    <t>7 slots casino online</t>
  </si>
  <si>
    <t>best australian online casino real money</t>
  </si>
  <si>
    <t>gluck games online casinos</t>
  </si>
  <si>
    <t>apuestas mejores casinos online</t>
  </si>
  <si>
    <t>online casino website template</t>
  </si>
  <si>
    <t>best online pa casino</t>
  </si>
  <si>
    <t>new online casinos usa no deposit</t>
  </si>
  <si>
    <t>pennsylvania online gambling</t>
  </si>
  <si>
    <t>chances games com casino casino games</t>
  </si>
  <si>
    <t>plataforma de casino online</t>
  </si>
  <si>
    <t>live casino social</t>
  </si>
  <si>
    <t>casino online españa legal</t>
  </si>
  <si>
    <t>online casino thailand</t>
  </si>
  <si>
    <t>online casino real money welcome bonus</t>
  </si>
  <si>
    <t>philippines online casino</t>
  </si>
  <si>
    <t>online casino spiele schweiz</t>
  </si>
  <si>
    <t>online casino no deposit bonus 2019</t>
  </si>
  <si>
    <t>casino online utan registrering</t>
  </si>
  <si>
    <t>malaysia online casino free sign up bonus</t>
  </si>
  <si>
    <t>casino games for pc</t>
  </si>
  <si>
    <t>boomerang online casino</t>
  </si>
  <si>
    <t>megaways casino &amp; online slots</t>
  </si>
  <si>
    <t>online gambling tricks</t>
  </si>
  <si>
    <t>casino scorsese online</t>
  </si>
  <si>
    <t>casinos online con pagoefectivo</t>
  </si>
  <si>
    <t>australian online casino no deposit bonus</t>
  </si>
  <si>
    <t>solverde online casino</t>
  </si>
  <si>
    <t>free bet online casino malaysia</t>
  </si>
  <si>
    <t>online casino kostenlos bonus ohne einzahlung</t>
  </si>
  <si>
    <t>casino in india online</t>
  </si>
  <si>
    <t>free money online casinos</t>
  </si>
  <si>
    <t>online gambling slots real money</t>
  </si>
  <si>
    <t>top online casino that accepts siru deposits</t>
  </si>
  <si>
    <t>mejor casino online entropay</t>
  </si>
  <si>
    <t>grootste online casino</t>
  </si>
  <si>
    <t>online casino echtgeld</t>
  </si>
  <si>
    <t>online gambling payment processors</t>
  </si>
  <si>
    <t>online casinos no deposit welcome bonus nz</t>
  </si>
  <si>
    <t>cheapest online gambling license</t>
  </si>
  <si>
    <t>casino online dinero real</t>
  </si>
  <si>
    <t>casino with live dealers</t>
  </si>
  <si>
    <t>online casino south africa no deposit bonus</t>
  </si>
  <si>
    <t>india online casino</t>
  </si>
  <si>
    <t>online casino utan registrering</t>
  </si>
  <si>
    <t>online casino royal</t>
  </si>
  <si>
    <t>online gambling games real money</t>
  </si>
  <si>
    <t>online casinos nz</t>
  </si>
  <si>
    <t>bovada casino games</t>
  </si>
  <si>
    <t>casinos online free bonus no deposit</t>
  </si>
  <si>
    <t>online casino spiele österreich</t>
  </si>
  <si>
    <t>online casino uk list</t>
  </si>
  <si>
    <t>online gambling gaming</t>
  </si>
  <si>
    <t>online casino indaxis</t>
  </si>
  <si>
    <t>best deposit bonus online casino</t>
  </si>
  <si>
    <t>casino app games</t>
  </si>
  <si>
    <t>online casino schweiz test</t>
  </si>
  <si>
    <t>best australian online casinos</t>
  </si>
  <si>
    <t>play casino online real money</t>
  </si>
  <si>
    <t>real money online casino missouri</t>
  </si>
  <si>
    <t>online casino games in india</t>
  </si>
  <si>
    <t>online casinos mst gift card</t>
  </si>
  <si>
    <t>casino online tarjetas credito</t>
  </si>
  <si>
    <t>online casino blocker</t>
  </si>
  <si>
    <t>borgata casino online bonus code</t>
  </si>
  <si>
    <t>golden star casino online</t>
  </si>
  <si>
    <t>free games casino slot machine</t>
  </si>
  <si>
    <t>online echtgeld casino</t>
  </si>
  <si>
    <t>white-label online casino software</t>
  </si>
  <si>
    <t>pinup casino online</t>
  </si>
  <si>
    <t>online spiele casino automaten</t>
  </si>
  <si>
    <t>top live casino websites</t>
  </si>
  <si>
    <t>casino slot machines free games</t>
  </si>
  <si>
    <t>free casino games for fun only</t>
  </si>
  <si>
    <t>online casino illegal geld zurückfordern</t>
  </si>
  <si>
    <t>giochi casino gratis online</t>
  </si>
  <si>
    <t>princess crown casino online</t>
  </si>
  <si>
    <t>online spin casino</t>
  </si>
  <si>
    <t>singapore live casino</t>
  </si>
  <si>
    <t>best casino online games</t>
  </si>
  <si>
    <t>online casino on tether</t>
  </si>
  <si>
    <t>online casino best bonus</t>
  </si>
  <si>
    <t>top 10 canadian online casinos</t>
  </si>
  <si>
    <t>nieuw online casino</t>
  </si>
  <si>
    <t>casino online singapore</t>
  </si>
  <si>
    <t>online casino credit</t>
  </si>
  <si>
    <t>ph online casino</t>
  </si>
  <si>
    <t>casino live promo code</t>
  </si>
  <si>
    <t>nuevos casinos online</t>
  </si>
  <si>
    <t>casino italiani online</t>
  </si>
  <si>
    <t>mr beast online casino</t>
  </si>
  <si>
    <t>easy casino games to win</t>
  </si>
  <si>
    <t>caesars online casino app</t>
  </si>
  <si>
    <t>ruby fortune online casino spanish</t>
  </si>
  <si>
    <t>live uk casino</t>
  </si>
  <si>
    <t>nuevos casinos online 2022</t>
  </si>
  <si>
    <t>online casino real money free play</t>
  </si>
  <si>
    <t>bonus code online casino</t>
  </si>
  <si>
    <t>888 casino online chat</t>
  </si>
  <si>
    <t>online casino for real money in india</t>
  </si>
  <si>
    <t>free online gambling no deposit</t>
  </si>
  <si>
    <t>caesars casino online customer service</t>
  </si>
  <si>
    <t>playtech live casino</t>
  </si>
  <si>
    <t>casino online com bonus gratis</t>
  </si>
  <si>
    <t>usdt online casino</t>
  </si>
  <si>
    <t>online casino geld zurück klarna</t>
  </si>
  <si>
    <t>casino games provider</t>
  </si>
  <si>
    <t>online casino with free spins</t>
  </si>
  <si>
    <t>online casino italiano</t>
  </si>
  <si>
    <t>gratorama online casino</t>
  </si>
  <si>
    <t>casino android games</t>
  </si>
  <si>
    <t>top 10 online casinos worldwide</t>
  </si>
  <si>
    <t>hard rock casino online nj</t>
  </si>
  <si>
    <t>parklane online casino</t>
  </si>
  <si>
    <t>casino slots online for real money</t>
  </si>
  <si>
    <t>states online gambling is legal</t>
  </si>
  <si>
    <t>online casino in united states</t>
  </si>
  <si>
    <t>microgaming online casino no deposit</t>
  </si>
  <si>
    <t>cashback bonus online casino</t>
  </si>
  <si>
    <t>international casino online real money</t>
  </si>
  <si>
    <t>legal online gambling illinois</t>
  </si>
  <si>
    <t>bestes online casino golden tiger</t>
  </si>
  <si>
    <t>no deposit bonuses for online casinos</t>
  </si>
  <si>
    <t>online casino land</t>
  </si>
  <si>
    <t>online top casinos</t>
  </si>
  <si>
    <t>seriöse online casinos test</t>
  </si>
  <si>
    <t>betway casino online slots</t>
  </si>
  <si>
    <t>online casino deposit $1</t>
  </si>
  <si>
    <t>casino games india</t>
  </si>
  <si>
    <t>online casino in switzerland</t>
  </si>
  <si>
    <t>sweepstakes online casino real money</t>
  </si>
  <si>
    <t>casinos chilenos online</t>
  </si>
  <si>
    <t>live casino online spielen</t>
  </si>
  <si>
    <t>online casinos with free spins no deposit</t>
  </si>
  <si>
    <t>casinos online que aceptan visa</t>
  </si>
  <si>
    <t>casino online portugues</t>
  </si>
  <si>
    <t>costa rica online gambling license</t>
  </si>
  <si>
    <t>casino online spielen mit echtgeld schweiz</t>
  </si>
  <si>
    <t>slots casino online</t>
  </si>
  <si>
    <t>casino online win real money</t>
  </si>
  <si>
    <t>casinos online que si pagan</t>
  </si>
  <si>
    <t>gambling wheel online</t>
  </si>
  <si>
    <t>guide to casino games</t>
  </si>
  <si>
    <t>online casino ukraine</t>
  </si>
  <si>
    <t>online casino mit paypal einzahlung österreich</t>
  </si>
  <si>
    <t>playtech online casino</t>
  </si>
  <si>
    <t>penn play casino online</t>
  </si>
  <si>
    <t>online casino med bankid</t>
  </si>
  <si>
    <t>on online casinos</t>
  </si>
  <si>
    <t>no deposit online casino uk</t>
  </si>
  <si>
    <t>trusted online casino canada</t>
  </si>
  <si>
    <t>credit cards online casinos</t>
  </si>
  <si>
    <t>beste online casino mit echtgeld</t>
  </si>
  <si>
    <t>online casinos 2020</t>
  </si>
  <si>
    <t>top rated australian online casino</t>
  </si>
  <si>
    <t>play casino slots online for real money</t>
  </si>
  <si>
    <t>top online casino bonuses</t>
  </si>
  <si>
    <t>play online casino for real money usa</t>
  </si>
  <si>
    <t>online casino 2 euro einzahlung</t>
  </si>
  <si>
    <t>real money online casino texas</t>
  </si>
  <si>
    <t>speel online casino</t>
  </si>
  <si>
    <t>online casino games canada</t>
  </si>
  <si>
    <t>melhores jogos de casino online</t>
  </si>
  <si>
    <t>ladbrokes online casino</t>
  </si>
  <si>
    <t>safest casino online</t>
  </si>
  <si>
    <t>barbados casino online</t>
  </si>
  <si>
    <t>online casino bonus code bestandskunden</t>
  </si>
  <si>
    <t>online casino ohne einzahlung sofort</t>
  </si>
  <si>
    <t>casinos online skrill</t>
  </si>
  <si>
    <t>online casinos mit google pay</t>
  </si>
  <si>
    <t>free casino slot games for android</t>
  </si>
  <si>
    <t>online casino uk no deposit</t>
  </si>
  <si>
    <t>jogos online casino gratis</t>
  </si>
  <si>
    <t>migliori casino online aams</t>
  </si>
  <si>
    <t>my live online casino</t>
  </si>
  <si>
    <t>roulette live casino</t>
  </si>
  <si>
    <t>casino online kasyno.blog 🇵🇱</t>
  </si>
  <si>
    <t>best payouts online casino</t>
  </si>
  <si>
    <t>best mi online casino</t>
  </si>
  <si>
    <t>online casino ideal in nederland</t>
  </si>
  <si>
    <t>free online casinos games</t>
  </si>
  <si>
    <t>top 5 casino games</t>
  </si>
  <si>
    <t>nj online casino promo code</t>
  </si>
  <si>
    <t>jocuri online casino</t>
  </si>
  <si>
    <t>pokerstars casino online</t>
  </si>
  <si>
    <t>olg ca online casino</t>
  </si>
  <si>
    <t>taruhan casino online</t>
  </si>
  <si>
    <t>online casino slots real money no deposit</t>
  </si>
  <si>
    <t>online casino eurogrand</t>
  </si>
  <si>
    <t>best ipad casino games</t>
  </si>
  <si>
    <t>svensk casino online</t>
  </si>
  <si>
    <t>betmgm online casino</t>
  </si>
  <si>
    <t>online casino jackpots</t>
  </si>
  <si>
    <t>vegas casino online</t>
  </si>
  <si>
    <t>sky online casino</t>
  </si>
  <si>
    <t>best online casinos 2018</t>
  </si>
  <si>
    <t>jogos online casinos</t>
  </si>
  <si>
    <t>real money online casino maryland</t>
  </si>
  <si>
    <t>10 cent roulette online casinos</t>
  </si>
  <si>
    <t>vergleich online casino</t>
  </si>
  <si>
    <t>best german online casino</t>
  </si>
  <si>
    <t>online casino bonus freispiele ohne einzahlung</t>
  </si>
  <si>
    <t>casino live streaming</t>
  </si>
  <si>
    <t>beste online casino</t>
  </si>
  <si>
    <t>bitcoin casino games</t>
  </si>
  <si>
    <t>bandar casino live terpercaya</t>
  </si>
  <si>
    <t>casino online em portugal</t>
  </si>
  <si>
    <t>casino online bonus fara depunere</t>
  </si>
  <si>
    <t>australian online real money casino</t>
  </si>
  <si>
    <t>best online casino sites for real money</t>
  </si>
  <si>
    <t>online casino klarna</t>
  </si>
  <si>
    <t>online casino nederland no deposit bonus</t>
  </si>
  <si>
    <t>malaysia online casino welcome bonus</t>
  </si>
  <si>
    <t>betsafe online casino</t>
  </si>
  <si>
    <t>star casino online</t>
  </si>
  <si>
    <t>anonymous online casino</t>
  </si>
  <si>
    <t>online casino latvia</t>
  </si>
  <si>
    <t>online casino casino game</t>
  </si>
  <si>
    <t>casino online play free</t>
  </si>
  <si>
    <t>best online casino nz 2023</t>
  </si>
  <si>
    <t>best online casino game to make money</t>
  </si>
  <si>
    <t>online casinos no verifications</t>
  </si>
  <si>
    <t>beste online casinos ohne limit</t>
  </si>
  <si>
    <t>live casino house</t>
  </si>
  <si>
    <t>online casinos beste auszahlungsquote</t>
  </si>
  <si>
    <t>casino online ruby fortune</t>
  </si>
  <si>
    <t>online casinos for real money no deposit</t>
  </si>
  <si>
    <t>20bet online casino</t>
  </si>
  <si>
    <t>america's best online casinos</t>
  </si>
  <si>
    <t>casino online free bonus no deposit real money</t>
  </si>
  <si>
    <t>best online casino india</t>
  </si>
  <si>
    <t>illinois online gambling</t>
  </si>
  <si>
    <t>indiana live casino</t>
  </si>
  <si>
    <t>trusted live casino malaysia</t>
  </si>
  <si>
    <t>tropicana casino nj online</t>
  </si>
  <si>
    <t>all slots live casino</t>
  </si>
  <si>
    <t>nj online casinos free bonus</t>
  </si>
  <si>
    <t>casinos online bono bienvenida</t>
  </si>
  <si>
    <t>best withdrawal online casino</t>
  </si>
  <si>
    <t>safe online casino nz</t>
  </si>
  <si>
    <t>michigan online casino promo code</t>
  </si>
  <si>
    <t>top 10 online casino in india</t>
  </si>
  <si>
    <t>free casino games slots no downloads</t>
  </si>
  <si>
    <t>iphone online casinos mit echtgeld</t>
  </si>
  <si>
    <t>top rated online casino usa</t>
  </si>
  <si>
    <t>australian online casino minimum deposit 5</t>
  </si>
  <si>
    <t>beste online casino paypal</t>
  </si>
  <si>
    <t>casino legal online</t>
  </si>
  <si>
    <t>online casino 日本</t>
  </si>
  <si>
    <t>taruhan casino maxbet online</t>
  </si>
  <si>
    <t>paypal casinos online</t>
  </si>
  <si>
    <t>online casino webseite</t>
  </si>
  <si>
    <t>raging bull casino online</t>
  </si>
  <si>
    <t>zugelassene online casinos deutschland</t>
  </si>
  <si>
    <t>online casino freispiele bei registrierung</t>
  </si>
  <si>
    <t>hawaii online casino</t>
  </si>
  <si>
    <t>quali sono i migliori casino online</t>
  </si>
  <si>
    <t>boo casino online</t>
  </si>
  <si>
    <t>melhores casinos online portugal</t>
  </si>
  <si>
    <t>illinois casino online</t>
  </si>
  <si>
    <t>grand mondial online casino reviews</t>
  </si>
  <si>
    <t>legal online casino malaysia</t>
  </si>
  <si>
    <t>online casino games singapore</t>
  </si>
  <si>
    <t>blackjack online gambling</t>
  </si>
  <si>
    <t>casino video poker games</t>
  </si>
  <si>
    <t>real money online casino canada</t>
  </si>
  <si>
    <t>online casinos online</t>
  </si>
  <si>
    <t>online casinos accepting skrill</t>
  </si>
  <si>
    <t>betamo casino online</t>
  </si>
  <si>
    <t>unibet casino games online</t>
  </si>
  <si>
    <t>online casino real money no deposit bonus</t>
  </si>
  <si>
    <t>liste online casinos</t>
  </si>
  <si>
    <t>online casino 🇩🇪 echtgeldstar.site</t>
  </si>
  <si>
    <t>alaska online gambling</t>
  </si>
  <si>
    <t>free online casino games real money</t>
  </si>
  <si>
    <t>casino online caliente</t>
  </si>
  <si>
    <t>10cric live casino</t>
  </si>
  <si>
    <t>goede online casino</t>
  </si>
  <si>
    <t>nya casino online</t>
  </si>
  <si>
    <t>indian online casino games</t>
  </si>
  <si>
    <t>hollywood casino online</t>
  </si>
  <si>
    <t>novoline casinos online</t>
  </si>
  <si>
    <t>netent online casinos</t>
  </si>
  <si>
    <t>merkur online casino echtgeld</t>
  </si>
  <si>
    <t>online sports gambling pa</t>
  </si>
  <si>
    <t>bandar judi live casino online</t>
  </si>
  <si>
    <t>jackpotcity online casino spanish</t>
  </si>
  <si>
    <t>uk gambling online</t>
  </si>
  <si>
    <t>casino online free spin</t>
  </si>
  <si>
    <t>online casino nederland</t>
  </si>
  <si>
    <t>ozwin online casino</t>
  </si>
  <si>
    <t>real casino online for real money</t>
  </si>
  <si>
    <t>best online casino for payouts</t>
  </si>
  <si>
    <t>most reputable online casinos</t>
  </si>
  <si>
    <t>trustly online casino</t>
  </si>
  <si>
    <t>live casino einzahlungsbonus</t>
  </si>
  <si>
    <t>casino.com live casino</t>
  </si>
  <si>
    <t>online gambling sites</t>
  </si>
  <si>
    <t>live casino unibet</t>
  </si>
  <si>
    <t>best online gambling sites australia</t>
  </si>
  <si>
    <t>caesars palace casino online</t>
  </si>
  <si>
    <t>online casino bwin</t>
  </si>
  <si>
    <t>online casinos that accept visa debit</t>
  </si>
  <si>
    <t>top 10 casino games</t>
  </si>
  <si>
    <t>swiss online casino legit</t>
  </si>
  <si>
    <t>uk online casino new</t>
  </si>
  <si>
    <t>online casino poker real money</t>
  </si>
  <si>
    <t>slots casinos online</t>
  </si>
  <si>
    <t>online casino games malaysia</t>
  </si>
  <si>
    <t>free spins real money online casino</t>
  </si>
  <si>
    <t>offline casino games</t>
  </si>
  <si>
    <t>online casino canada slots</t>
  </si>
  <si>
    <t>fastest withdrawal online casino uk</t>
  </si>
  <si>
    <t>lucky casino online</t>
  </si>
  <si>
    <t>casino live casino</t>
  </si>
  <si>
    <t>online casino freispiele ohne einzahlung 2022</t>
  </si>
  <si>
    <t>online casino swish</t>
  </si>
  <si>
    <t>no deposit online casino australia</t>
  </si>
  <si>
    <t>sports gambling online</t>
  </si>
  <si>
    <t>greenlander online casinos</t>
  </si>
  <si>
    <t>casino on net free games</t>
  </si>
  <si>
    <t>online-casinos mit eu lizenz</t>
  </si>
  <si>
    <t>online gambling vermont</t>
  </si>
  <si>
    <t>live casino ideal</t>
  </si>
  <si>
    <t>top online casinos india</t>
  </si>
  <si>
    <t>bäst online casino</t>
  </si>
  <si>
    <t>mobile games casino</t>
  </si>
  <si>
    <t>bandar judi casino igkbet online</t>
  </si>
  <si>
    <t>online casino bonus codes nj</t>
  </si>
  <si>
    <t>vox casino online</t>
  </si>
  <si>
    <t>neues online casino bonus ohne einzahlung</t>
  </si>
  <si>
    <t>top canadian online casinos</t>
  </si>
  <si>
    <t>pokerstars online casino pa</t>
  </si>
  <si>
    <t>top nz online casinos</t>
  </si>
  <si>
    <t>does bank of america allow online gambling</t>
  </si>
  <si>
    <t>games and casino</t>
  </si>
  <si>
    <t>gates of olympus online casino</t>
  </si>
  <si>
    <t>montana online casino</t>
  </si>
  <si>
    <t>jackpot jill online casino login</t>
  </si>
  <si>
    <t>au casinos online</t>
  </si>
  <si>
    <t>online doge gambling</t>
  </si>
  <si>
    <t>louisiana online casinos</t>
  </si>
  <si>
    <t>online casino български</t>
  </si>
  <si>
    <t>pa casinos online</t>
  </si>
  <si>
    <t>all australian online casino</t>
  </si>
  <si>
    <t>easy gambling games online</t>
  </si>
  <si>
    <t>best online casino games</t>
  </si>
  <si>
    <t>tarjeta de crédito en casinos online</t>
  </si>
  <si>
    <t>internet casino games</t>
  </si>
  <si>
    <t>agen betting casino blackjack online</t>
  </si>
  <si>
    <t>merkur casino online kostenlos spielen</t>
  </si>
  <si>
    <t>mt airy casino online</t>
  </si>
  <si>
    <t>bitcoin casino live dealers</t>
  </si>
  <si>
    <t>casino online deutsch</t>
  </si>
  <si>
    <t>casinos online legales en españa</t>
  </si>
  <si>
    <t>live casino free play</t>
  </si>
  <si>
    <t>sugarhouse online casino</t>
  </si>
  <si>
    <t>tennessee online casinos</t>
  </si>
  <si>
    <t>beginner casino games</t>
  </si>
  <si>
    <t>caesars online casino nj app</t>
  </si>
  <si>
    <t>1 online casino canada</t>
  </si>
  <si>
    <t>nz casino games</t>
  </si>
  <si>
    <t>bestes muchbetter online casino</t>
  </si>
  <si>
    <t>texas online casino</t>
  </si>
  <si>
    <t>online casinos for android</t>
  </si>
  <si>
    <t>best online sweepstakes casino</t>
  </si>
  <si>
    <t>e transfer online casinos</t>
  </si>
  <si>
    <t>top online casino greenland</t>
  </si>
  <si>
    <t>top casinos online</t>
  </si>
  <si>
    <t>jogos online de casino gratis</t>
  </si>
  <si>
    <t>casino online tiradas gratis</t>
  </si>
  <si>
    <t>alberta online casinos 2023</t>
  </si>
  <si>
    <t>casino online que acepta mastercard</t>
  </si>
  <si>
    <t>online gambling bc</t>
  </si>
  <si>
    <t>casinos ontario online</t>
  </si>
  <si>
    <t>indonesia casino online</t>
  </si>
  <si>
    <t>buy casino games for website</t>
  </si>
  <si>
    <t>free online casino software</t>
  </si>
  <si>
    <t>online casino games fake money</t>
  </si>
  <si>
    <t>top 10 payout online casinos ghana</t>
  </si>
  <si>
    <t>deal or no deal online casino</t>
  </si>
  <si>
    <t>free slots casino games</t>
  </si>
  <si>
    <t>australian online casino $10 minimum deposit</t>
  </si>
  <si>
    <t>online live casino</t>
  </si>
  <si>
    <t>curacao casinos online</t>
  </si>
  <si>
    <t>ap33 live casino</t>
  </si>
  <si>
    <t>top rated online casinos</t>
  </si>
  <si>
    <t>online casinos that accept echecks</t>
  </si>
  <si>
    <t>online casino betalen met paypal</t>
  </si>
  <si>
    <t>online casino guide for beginners</t>
  </si>
  <si>
    <t>tips to win online casino games</t>
  </si>
  <si>
    <t>new canadian online casino</t>
  </si>
  <si>
    <t>online spiele casino automaten geld</t>
  </si>
  <si>
    <t>casino kostenlos online spielen</t>
  </si>
  <si>
    <t>online gambling tips and tricks</t>
  </si>
  <si>
    <t>online casino sites usa</t>
  </si>
  <si>
    <t>white lion casino online</t>
  </si>
  <si>
    <t>live casino bonus no deposit</t>
  </si>
  <si>
    <t>best odds online casino</t>
  </si>
  <si>
    <t>online casino play casino games</t>
  </si>
  <si>
    <t>nytt online casino</t>
  </si>
  <si>
    <t>online casino gratis geld</t>
  </si>
  <si>
    <t>card casino games</t>
  </si>
  <si>
    <t>casino online barcelona</t>
  </si>
  <si>
    <t>bitcoin best online casinos</t>
  </si>
  <si>
    <t>free casino slot games with bonus rounds</t>
  </si>
  <si>
    <t>online casino mit merkur spielen</t>
  </si>
  <si>
    <t>mr vegas online casino</t>
  </si>
  <si>
    <t>lightning link casino free slots games</t>
  </si>
  <si>
    <t>online casino lucky dreams</t>
  </si>
  <si>
    <t>best online casinos nz</t>
  </si>
  <si>
    <t>goa casino games</t>
  </si>
  <si>
    <t>booming games online casino</t>
  </si>
  <si>
    <t>online casino for fun</t>
  </si>
  <si>
    <t>fruit casino games</t>
  </si>
  <si>
    <t>betway online casino</t>
  </si>
  <si>
    <t>casino bs as online</t>
  </si>
  <si>
    <t>kare 999 online casino login</t>
  </si>
  <si>
    <t>netherlands online casinos</t>
  </si>
  <si>
    <t>online casino australia real money free spins</t>
  </si>
  <si>
    <t>play online casino games for real money</t>
  </si>
  <si>
    <t>online casino latviešu</t>
  </si>
  <si>
    <t>play online casino malaysia</t>
  </si>
  <si>
    <t>was ist das beste online casino</t>
  </si>
  <si>
    <t>online casinos uk list</t>
  </si>
  <si>
    <t>baha mar casino table games</t>
  </si>
  <si>
    <t>cz online casino</t>
  </si>
  <si>
    <t>kingdom casino online</t>
  </si>
  <si>
    <t>about online casino</t>
  </si>
  <si>
    <t>online casino selbst erstellen</t>
  </si>
  <si>
    <t>casinos online autorizados em portugal</t>
  </si>
  <si>
    <t>crash games casino</t>
  </si>
  <si>
    <t>reputable online gambling sites</t>
  </si>
  <si>
    <t>grosvenor online casino</t>
  </si>
  <si>
    <t>casino online italiani</t>
  </si>
  <si>
    <t>online casino real money app</t>
  </si>
  <si>
    <t>online casino de erfahrungen</t>
  </si>
  <si>
    <t>casino games aggregator</t>
  </si>
  <si>
    <t>online casino mastercard</t>
  </si>
  <si>
    <t>ethereum casino games</t>
  </si>
  <si>
    <t>online casino mississippi</t>
  </si>
  <si>
    <t>ceske online casino</t>
  </si>
  <si>
    <t>casino games for money mi</t>
  </si>
  <si>
    <t>real money online casino oklahoma</t>
  </si>
  <si>
    <t>newest online casinos with no deposit bonuses</t>
  </si>
  <si>
    <t>$10 deposit online casino australia</t>
  </si>
  <si>
    <t>legal online casinos us</t>
  </si>
  <si>
    <t>besten casino online</t>
  </si>
  <si>
    <t>como ganar en casino online</t>
  </si>
  <si>
    <t>juegos casino online gratis sin descargar</t>
  </si>
  <si>
    <t>nl casino online</t>
  </si>
  <si>
    <t>online casino bitcoin withdrawal</t>
  </si>
  <si>
    <t>online casino nieuw</t>
  </si>
  <si>
    <t>mejores casinos online skrill</t>
  </si>
  <si>
    <t>best online casino with fast payout</t>
  </si>
  <si>
    <t>casino online teleingreso</t>
  </si>
  <si>
    <t>free online casino pokies</t>
  </si>
  <si>
    <t>ontario online casino no deposit bonus</t>
  </si>
  <si>
    <t>vancouver online casinos</t>
  </si>
  <si>
    <t>mississippi online casinos</t>
  </si>
  <si>
    <t>agen betting live casino terpercaya</t>
  </si>
  <si>
    <t>online casino 2017</t>
  </si>
  <si>
    <t>online gambling canada legal</t>
  </si>
  <si>
    <t>jugar online casino</t>
  </si>
  <si>
    <t>best online casinos that payout</t>
  </si>
  <si>
    <t>neue online casinos mit startguthaben</t>
  </si>
  <si>
    <t>casino spiele online kostenlos ohne anmeldung</t>
  </si>
  <si>
    <t>casino spielen online kostenlos</t>
  </si>
  <si>
    <t>wow vegas online casino</t>
  </si>
  <si>
    <t>casino noir online casino</t>
  </si>
  <si>
    <t>online casino einzahlung per handyrechnung</t>
  </si>
  <si>
    <t>best la online casinos</t>
  </si>
  <si>
    <t>best british online casinos</t>
  </si>
  <si>
    <t>united states casino online</t>
  </si>
  <si>
    <t>online mobile casino</t>
  </si>
  <si>
    <t>michigan online casino offers</t>
  </si>
  <si>
    <t>jackpot city online casino real money</t>
  </si>
  <si>
    <t>online casino video poker</t>
  </si>
  <si>
    <t>panalobet online casino</t>
  </si>
  <si>
    <t>online casinos in österreich</t>
  </si>
  <si>
    <t>casino online roleta</t>
  </si>
  <si>
    <t>jackpot jill online casino</t>
  </si>
  <si>
    <t>online casino ohne deutsche lizenz</t>
  </si>
  <si>
    <t>luxury casino online</t>
  </si>
  <si>
    <t>best payout casino online canada</t>
  </si>
  <si>
    <t>best online casinos pennsylvania</t>
  </si>
  <si>
    <t>mummysgold online casino españa</t>
  </si>
  <si>
    <t>agen live casino terbaik</t>
  </si>
  <si>
    <t>casino sbc168 online</t>
  </si>
  <si>
    <t>love reels casino online</t>
  </si>
  <si>
    <t>gry online casino</t>
  </si>
  <si>
    <t>online casino gratis bonus</t>
  </si>
  <si>
    <t>casino online españa gratis</t>
  </si>
  <si>
    <t>list of casino table games</t>
  </si>
  <si>
    <t>online casino malaysia telegram group</t>
  </si>
  <si>
    <t>casino management certificate online</t>
  </si>
  <si>
    <t>real live casino games</t>
  </si>
  <si>
    <t>minimum deposit online casino</t>
  </si>
  <si>
    <t>lottery casino online</t>
  </si>
  <si>
    <t>casinos online con bonos sin deposito</t>
  </si>
  <si>
    <t>river belle online casino spanish</t>
  </si>
  <si>
    <t>online casino with ideal</t>
  </si>
  <si>
    <t>new online casinos canada</t>
  </si>
  <si>
    <t>online casino malta lizenz</t>
  </si>
  <si>
    <t>casino live online</t>
  </si>
  <si>
    <t>best online casino indonesia</t>
  </si>
  <si>
    <t>online casino in canada</t>
  </si>
  <si>
    <t>wv casino online</t>
  </si>
  <si>
    <t>can you win money online gambling</t>
  </si>
  <si>
    <t>is online gambling legal in malaysia</t>
  </si>
  <si>
    <t>online casinos with australian dollars</t>
  </si>
  <si>
    <t>casino and online casino guide</t>
  </si>
  <si>
    <t>online casinos that accept bank transfer</t>
  </si>
  <si>
    <t>blacklisted online casino players</t>
  </si>
  <si>
    <t>online casino uk bonus</t>
  </si>
  <si>
    <t>jackpot city online casino download</t>
  </si>
  <si>
    <t>online casino content aggregator</t>
  </si>
  <si>
    <t>mejores casinos online en perú</t>
  </si>
  <si>
    <t>casino online crypto</t>
  </si>
  <si>
    <t>slot v online casino</t>
  </si>
  <si>
    <t>online casino slots games</t>
  </si>
  <si>
    <t>philippine online casino gcash</t>
  </si>
  <si>
    <t>best casino games to make money</t>
  </si>
  <si>
    <t>top aus online casino</t>
  </si>
  <si>
    <t>bitcoin casino games online</t>
  </si>
  <si>
    <t>online casino ideal snelle uitbetaling</t>
  </si>
  <si>
    <t>top real money online casinos</t>
  </si>
  <si>
    <t>casino sverige online</t>
  </si>
  <si>
    <t>online casino sweepstakes software</t>
  </si>
  <si>
    <t>online casino handy paypal</t>
  </si>
  <si>
    <t>jogos casino online gratis slot machines</t>
  </si>
  <si>
    <t>illinois online casinos</t>
  </si>
  <si>
    <t>live casino spelen</t>
  </si>
  <si>
    <t>slot online casino 🇩🇪 deutshespiele.blog</t>
  </si>
  <si>
    <t>top igt online casino</t>
  </si>
  <si>
    <t>online casino license costs</t>
  </si>
  <si>
    <t>sverige casino online</t>
  </si>
  <si>
    <t>real online casino that pays real money</t>
  </si>
  <si>
    <t>is online gambling legal in new jersey</t>
  </si>
  <si>
    <t>uk online casino reviews</t>
  </si>
  <si>
    <t>casino online nl free bonus no deposit</t>
  </si>
  <si>
    <t>online casinos that accept echeck deposits</t>
  </si>
  <si>
    <t>free bonus codes for online casinos</t>
  </si>
  <si>
    <t>online casino belgie met gratis startgeld</t>
  </si>
  <si>
    <t>casino games free spins no deposit</t>
  </si>
  <si>
    <t>types of online gambling</t>
  </si>
  <si>
    <t>top 20 uk online casinos</t>
  </si>
  <si>
    <t>online gambling free</t>
  </si>
  <si>
    <t>online casinos echt geld</t>
  </si>
  <si>
    <t>free money online casino</t>
  </si>
  <si>
    <t>paddy power live casino</t>
  </si>
  <si>
    <t>mansion online casino</t>
  </si>
  <si>
    <t>casino online movie</t>
  </si>
  <si>
    <t>geld zurück online casino</t>
  </si>
  <si>
    <t>united states online casinos</t>
  </si>
  <si>
    <t>bonus online casino</t>
  </si>
  <si>
    <t>online casino mobile deposit</t>
  </si>
  <si>
    <t>online casinos that accept jeton deposits</t>
  </si>
  <si>
    <t>best odds in casino games</t>
  </si>
  <si>
    <t>nieuw online casino 2021</t>
  </si>
  <si>
    <t>casino online live games</t>
  </si>
  <si>
    <t>online casino hack tool</t>
  </si>
  <si>
    <t>online casino einzahlungsbonus</t>
  </si>
  <si>
    <t>can you use a visa gift card for online gambling</t>
  </si>
  <si>
    <t>best wirecard online casino</t>
  </si>
  <si>
    <t>best online casino bonus codes</t>
  </si>
  <si>
    <t>sunmaker online casino</t>
  </si>
  <si>
    <t>ganar dinero casino online</t>
  </si>
  <si>
    <t>free casino games canada</t>
  </si>
  <si>
    <t>online uk casino sites</t>
  </si>
  <si>
    <t>best online casinos that accept skrill</t>
  </si>
  <si>
    <t>casino online play in uk</t>
  </si>
  <si>
    <t>bandar taruhan live casino indonesia</t>
  </si>
  <si>
    <t>gaming club juegos de casino online</t>
  </si>
  <si>
    <t>online international casino</t>
  </si>
  <si>
    <t>can you start your own online casino</t>
  </si>
  <si>
    <t>jackpot casino games</t>
  </si>
  <si>
    <t>bandar casino sbc168 online</t>
  </si>
  <si>
    <t>parx online casino promo codes</t>
  </si>
  <si>
    <t>licensed online casino australia</t>
  </si>
  <si>
    <t>william hill casino games</t>
  </si>
  <si>
    <t>online casinos that payout</t>
  </si>
  <si>
    <t>top online casinos germany</t>
  </si>
  <si>
    <t>best online casino promo wynnbet</t>
  </si>
  <si>
    <t>casino games that pay cash</t>
  </si>
  <si>
    <t>online casino français</t>
  </si>
  <si>
    <t>michigan online casino bonus</t>
  </si>
  <si>
    <t>las vegas casino online real money</t>
  </si>
  <si>
    <t>live roulette casino online</t>
  </si>
  <si>
    <t>echtgeld online casinos</t>
  </si>
  <si>
    <t>judi online live casino</t>
  </si>
  <si>
    <t>online casino bonus hunting</t>
  </si>
  <si>
    <t>brand new online casino</t>
  </si>
  <si>
    <t>online casino overzicht</t>
  </si>
  <si>
    <t>online casinos free bonus</t>
  </si>
  <si>
    <t>jackpot games casino</t>
  </si>
  <si>
    <t>uptown aces online casino</t>
  </si>
  <si>
    <t>online casino spielgeld</t>
  </si>
  <si>
    <t>beste nederlands online casino</t>
  </si>
  <si>
    <t>best online casino fast payout</t>
  </si>
  <si>
    <t>online casino bonussen zonder storting</t>
  </si>
  <si>
    <t>free online casino games for fun no download</t>
  </si>
  <si>
    <t>easiest casino games</t>
  </si>
  <si>
    <t>online casino no deposits</t>
  </si>
  <si>
    <t>casino poker games</t>
  </si>
  <si>
    <t>online casino uk casinogambiba.uk.com</t>
  </si>
  <si>
    <t>nouveau casino online</t>
  </si>
  <si>
    <t>star casino online game</t>
  </si>
  <si>
    <t>usa casinos online no deposit bonus</t>
  </si>
  <si>
    <t>efbet casino online free game</t>
  </si>
  <si>
    <t>online casino hyperino</t>
  </si>
  <si>
    <t>europa online casino south africa</t>
  </si>
  <si>
    <t>online casino real money india</t>
  </si>
  <si>
    <t>7kasino online casino</t>
  </si>
  <si>
    <t>spill casino online</t>
  </si>
  <si>
    <t>online casino live dealers live roulette</t>
  </si>
  <si>
    <t>mejor casino online que acepta bitcoin</t>
  </si>
  <si>
    <t>buffalo casino games</t>
  </si>
  <si>
    <t>online casino testberichte</t>
  </si>
  <si>
    <t>best casino online</t>
  </si>
  <si>
    <t>best live online casino</t>
  </si>
  <si>
    <t>online casino craps</t>
  </si>
  <si>
    <t>online casino bonus ohne einzahlung</t>
  </si>
  <si>
    <t>online casino book of ra</t>
  </si>
  <si>
    <t>online casino mit europäischer lizenz</t>
  </si>
  <si>
    <t>the best casino online</t>
  </si>
  <si>
    <t>online casino no deposit sign up bonus australia</t>
  </si>
  <si>
    <t>aviator casino online</t>
  </si>
  <si>
    <t>khel karo casino online</t>
  </si>
  <si>
    <t>online casino ohne einzahlung neu</t>
  </si>
  <si>
    <t>alberta casino online</t>
  </si>
  <si>
    <t>hippodrome online casino review</t>
  </si>
  <si>
    <t>casino online spielen echtgeld</t>
  </si>
  <si>
    <t>sichere online casinos</t>
  </si>
  <si>
    <t>sloto cash online casino review</t>
  </si>
  <si>
    <t>online casino with real money</t>
  </si>
  <si>
    <t>casino online bani reali</t>
  </si>
  <si>
    <t>real money online casino vermont</t>
  </si>
  <si>
    <t>best real casino online</t>
  </si>
  <si>
    <t>bet mgm online casino nj</t>
  </si>
  <si>
    <t>online casino neu paypal</t>
  </si>
  <si>
    <t>spil online casino</t>
  </si>
  <si>
    <t>casino online book of ra</t>
  </si>
  <si>
    <t>online casino mit ec karte bezahlen</t>
  </si>
  <si>
    <t>online gambling canada real money</t>
  </si>
  <si>
    <t>casino online chile cuenta rut</t>
  </si>
  <si>
    <t>casino games software</t>
  </si>
  <si>
    <t>safe online casino</t>
  </si>
  <si>
    <t>free online gambling games for real money</t>
  </si>
  <si>
    <t>are there any real online casinos</t>
  </si>
  <si>
    <t>online casinos that accept yandex money deposits</t>
  </si>
  <si>
    <t>deutsches online casino echtgeld</t>
  </si>
  <si>
    <t>online casino canada jackpotcity</t>
  </si>
  <si>
    <t>play for fun casino games</t>
  </si>
  <si>
    <t>quick payout online casino</t>
  </si>
  <si>
    <t>online casino live casino</t>
  </si>
  <si>
    <t>neue online casino 2021</t>
  </si>
  <si>
    <t>online gambling alabama</t>
  </si>
  <si>
    <t>pa hollywood casino online</t>
  </si>
  <si>
    <t>los mejores casinos online de estados unidos</t>
  </si>
  <si>
    <t>betway login casino games</t>
  </si>
  <si>
    <t>online casino promotion</t>
  </si>
  <si>
    <t>best online casino welcome bonus no deposit</t>
  </si>
  <si>
    <t>online casino nederland gratis spins</t>
  </si>
  <si>
    <t>west virginia casino online</t>
  </si>
  <si>
    <t>creation of a turnkey online casino</t>
  </si>
  <si>
    <t>poker casino games</t>
  </si>
  <si>
    <t>online casinos that accept cash app</t>
  </si>
  <si>
    <t>online casino bonuses no deposit</t>
  </si>
  <si>
    <t>nj online gambling</t>
  </si>
  <si>
    <t>india live casino</t>
  </si>
  <si>
    <t>most trusted online casino</t>
  </si>
  <si>
    <t>gambling online michigan</t>
  </si>
  <si>
    <t>best casinos to play online</t>
  </si>
  <si>
    <t>online casino cryptocurrency</t>
  </si>
  <si>
    <t>best ecopayz casino online</t>
  </si>
  <si>
    <t>best online casino with instant withdrawal</t>
  </si>
  <si>
    <t>best casino gambling online</t>
  </si>
  <si>
    <t>online casino freespins</t>
  </si>
  <si>
    <t>fish table gambling game online real money usa</t>
  </si>
  <si>
    <t>online gambling in utah</t>
  </si>
  <si>
    <t>online casino bonus ohne einzahlung neu</t>
  </si>
  <si>
    <t>spilleautmater online casino</t>
  </si>
  <si>
    <t>casino online paypal deposit</t>
  </si>
  <si>
    <t>jogar roleta casino online</t>
  </si>
  <si>
    <t>e-wallet casino online</t>
  </si>
  <si>
    <t>online gambling game</t>
  </si>
  <si>
    <t>online baseball gambling</t>
  </si>
  <si>
    <t>online casino mit echtgeld bonus</t>
  </si>
  <si>
    <t>monopoly live online casino</t>
  </si>
  <si>
    <t>best online casino 2017</t>
  </si>
  <si>
    <t>best casino site online</t>
  </si>
  <si>
    <t>australian online casino reviews</t>
  </si>
  <si>
    <t>casinos online free</t>
  </si>
  <si>
    <t>casino online украина</t>
  </si>
  <si>
    <t>offshore online casino</t>
  </si>
  <si>
    <t>ocean casino online</t>
  </si>
  <si>
    <t>nj tropicana online casino</t>
  </si>
  <si>
    <t>online casino complaints</t>
  </si>
  <si>
    <t>online casino list uk</t>
  </si>
  <si>
    <t>top online casinos europe</t>
  </si>
  <si>
    <t>best odds games at casino</t>
  </si>
  <si>
    <t>beat online casinos</t>
  </si>
  <si>
    <t>casino games with free spins</t>
  </si>
  <si>
    <t>beste online casinos nl</t>
  </si>
  <si>
    <t>online casino litecoin</t>
  </si>
  <si>
    <t>voodoodreams live casino</t>
  </si>
  <si>
    <t>beste online casino 2019</t>
  </si>
  <si>
    <t>casino online bonus free</t>
  </si>
  <si>
    <t>sg online casino free credit</t>
  </si>
  <si>
    <t>ballys online casino nj</t>
  </si>
  <si>
    <t>star casino games</t>
  </si>
  <si>
    <t>casinos online bonus sem deposito</t>
  </si>
  <si>
    <t>mgm online casino nj bonus code</t>
  </si>
  <si>
    <t>promociones de casinos online</t>
  </si>
  <si>
    <t>online casino live tables</t>
  </si>
  <si>
    <t>vegas casino online no deposit bonus</t>
  </si>
  <si>
    <t>casino online much better</t>
  </si>
  <si>
    <t>tng e-wallet online casino</t>
  </si>
  <si>
    <t>online casino games hack</t>
  </si>
  <si>
    <t>cabaret club casino online</t>
  </si>
  <si>
    <t>osg777 casino online termurah</t>
  </si>
  <si>
    <t>michigan online casino sign up bonus</t>
  </si>
  <si>
    <t>juegos de casino online que mas pagan</t>
  </si>
  <si>
    <t>new jersey online gambling</t>
  </si>
  <si>
    <t>top online casino liechtenstein</t>
  </si>
  <si>
    <t>casino games online free bonus</t>
  </si>
  <si>
    <t>top 50 usa online casinos</t>
  </si>
  <si>
    <t>best casinos online nz</t>
  </si>
  <si>
    <t>online casino uk no gamstop</t>
  </si>
  <si>
    <t>nv online casinos</t>
  </si>
  <si>
    <t>best match bonus online casino</t>
  </si>
  <si>
    <t>slot machine online casino</t>
  </si>
  <si>
    <t>jili online casino</t>
  </si>
  <si>
    <t>online gaming casinos</t>
  </si>
  <si>
    <t>plainridge park casino table games</t>
  </si>
  <si>
    <t>live casino online real money</t>
  </si>
  <si>
    <t>real casino games win real money</t>
  </si>
  <si>
    <t>promo casino online</t>
  </si>
  <si>
    <t>online casino ohne limit</t>
  </si>
  <si>
    <t>online casino reviews canada</t>
  </si>
  <si>
    <t>best casino in india online</t>
  </si>
  <si>
    <t>best real money online casino usa</t>
  </si>
  <si>
    <t>estoril sol casino online</t>
  </si>
  <si>
    <t>voodoo casino online</t>
  </si>
  <si>
    <t>massachusetts online casino</t>
  </si>
  <si>
    <t>online casino zonder documenten</t>
  </si>
  <si>
    <t>real money live casino</t>
  </si>
  <si>
    <t>online no deposit casino games</t>
  </si>
  <si>
    <t>online casino instant payout</t>
  </si>
  <si>
    <t>play online casino game</t>
  </si>
  <si>
    <t>online casino with instadebit</t>
  </si>
  <si>
    <t>online gambling vs casino</t>
  </si>
  <si>
    <t>visa gift card online gambling</t>
  </si>
  <si>
    <t>casinos online con licencia en españa</t>
  </si>
  <si>
    <t>de beste online casinos in nederland</t>
  </si>
  <si>
    <t>top online casinos michigan</t>
  </si>
  <si>
    <t>online casino betalningar</t>
  </si>
  <si>
    <t>mejor casino online peru</t>
  </si>
  <si>
    <t>online casino high roller</t>
  </si>
  <si>
    <t>mexgana casino online</t>
  </si>
  <si>
    <t>atlantic city casino online perú</t>
  </si>
  <si>
    <t>top online roulette casinos uk</t>
  </si>
  <si>
    <t>best online mobile casino</t>
  </si>
  <si>
    <t>online casino leovegas jackpot</t>
  </si>
  <si>
    <t>casinos online com transferencia bancaria</t>
  </si>
  <si>
    <t>online gambling site singapore</t>
  </si>
  <si>
    <t>grandx casino online</t>
  </si>
  <si>
    <t>black jack casino online</t>
  </si>
  <si>
    <t>www.betsson.com online casino</t>
  </si>
  <si>
    <t>casino online vip</t>
  </si>
  <si>
    <t>online casino mit klarna bezahlen</t>
  </si>
  <si>
    <t>online casino mit echtgeld gewinnen</t>
  </si>
  <si>
    <t>roulette casino games</t>
  </si>
  <si>
    <t>twin online casino</t>
  </si>
  <si>
    <t>casino online en argentina</t>
  </si>
  <si>
    <t>mmc996 online casino</t>
  </si>
  <si>
    <t>top casino online uk</t>
  </si>
  <si>
    <t>casino live betting</t>
  </si>
  <si>
    <t>mrgreen online casino</t>
  </si>
  <si>
    <t>hard rock online gambling</t>
  </si>
  <si>
    <t>best withdrawal online casino australia</t>
  </si>
  <si>
    <t>bandar taruhan casino sic bo online</t>
  </si>
  <si>
    <t>live casino uk online</t>
  </si>
  <si>
    <t>empfohlene online casinos</t>
  </si>
  <si>
    <t>online casino same day payout</t>
  </si>
  <si>
    <t>is online gambling legal</t>
  </si>
  <si>
    <t>casino stranieri online</t>
  </si>
  <si>
    <t>kingmaker online casino</t>
  </si>
  <si>
    <t>trusted online casino malaysia 2018</t>
  </si>
  <si>
    <t>best bonuses online casino</t>
  </si>
  <si>
    <t>casino online plinko</t>
  </si>
  <si>
    <t>baltimore live casino</t>
  </si>
  <si>
    <t>best online casino for canadians</t>
  </si>
  <si>
    <t>online casino 10 euro einzahlen</t>
  </si>
  <si>
    <t>juego casino online</t>
  </si>
  <si>
    <t>best online casinos for australian players</t>
  </si>
  <si>
    <t>blog online casino</t>
  </si>
  <si>
    <t>live casino tier match</t>
  </si>
  <si>
    <t>live online blackjack casino</t>
  </si>
  <si>
    <t>blackjack casinos online</t>
  </si>
  <si>
    <t>7 sultans online casino</t>
  </si>
  <si>
    <t>international online casino no deposit</t>
  </si>
  <si>
    <t>νεα online casino</t>
  </si>
  <si>
    <t>live casino cambodia</t>
  </si>
  <si>
    <t>best skrill online casino</t>
  </si>
  <si>
    <t>safest online casino usa</t>
  </si>
  <si>
    <t>casino portugal apostas online</t>
  </si>
  <si>
    <t>online casino ohne personalausweis</t>
  </si>
  <si>
    <t>online gambling pa</t>
  </si>
  <si>
    <t>online casino massachusetts</t>
  </si>
  <si>
    <t>online casino denmark</t>
  </si>
  <si>
    <t>welcome bonus online casino malaysia</t>
  </si>
  <si>
    <t>casino slots online free</t>
  </si>
  <si>
    <t>caesars online casino promo code</t>
  </si>
  <si>
    <t>real online casinos usa</t>
  </si>
  <si>
    <t>play online casino</t>
  </si>
  <si>
    <t>casino en live</t>
  </si>
  <si>
    <t>online roulette gambling</t>
  </si>
  <si>
    <t>casinos online sin verificación</t>
  </si>
  <si>
    <t>live roulette online casino</t>
  </si>
  <si>
    <t>sanremo casino online</t>
  </si>
  <si>
    <t>online casino philippines using gcash</t>
  </si>
  <si>
    <t>online casino in california</t>
  </si>
  <si>
    <t>online gambling sites philippines</t>
  </si>
  <si>
    <t>best casino online in uk</t>
  </si>
  <si>
    <t>online casino mit ecopayz</t>
  </si>
  <si>
    <t>new online casino 2021</t>
  </si>
  <si>
    <t>10 pound deposit online casino</t>
  </si>
  <si>
    <t>best novoline online casino sites</t>
  </si>
  <si>
    <t>best bonus online casino</t>
  </si>
  <si>
    <t>free casino games real money</t>
  </si>
  <si>
    <t>live casino terpercaya</t>
  </si>
  <si>
    <t>spinanga casino online</t>
  </si>
  <si>
    <t>online casino beste bewertung</t>
  </si>
  <si>
    <t>highest paying online casinos</t>
  </si>
  <si>
    <t>darmowe casino online</t>
  </si>
  <si>
    <t>online casino california</t>
  </si>
  <si>
    <t>online casino spiele gratis</t>
  </si>
  <si>
    <t>online casino freispiele ohne einzahlung 2021</t>
  </si>
  <si>
    <t>iowa online casino</t>
  </si>
  <si>
    <t>online casino real money canada</t>
  </si>
  <si>
    <t>playlive online casino pa</t>
  </si>
  <si>
    <t>mn online casino</t>
  </si>
  <si>
    <t>wild card city casino play online</t>
  </si>
  <si>
    <t>bwin online casino</t>
  </si>
  <si>
    <t>online casino bonus ohne einzahlung 10 euro</t>
  </si>
  <si>
    <t>best chance casino games</t>
  </si>
  <si>
    <t>novo casino online</t>
  </si>
  <si>
    <t>casino online google play</t>
  </si>
  <si>
    <t>casino slot machine online</t>
  </si>
  <si>
    <t>casino online pa</t>
  </si>
  <si>
    <t>spielautomaten casino online</t>
  </si>
  <si>
    <t>online uk casino new</t>
  </si>
  <si>
    <t>casino days online casino</t>
  </si>
  <si>
    <t>online casino gaming platform</t>
  </si>
  <si>
    <t>megapari casino online</t>
  </si>
  <si>
    <t>litecoin live casino</t>
  </si>
  <si>
    <t>beste dragonfish online casinos</t>
  </si>
  <si>
    <t>draftkings casino games</t>
  </si>
  <si>
    <t>casino bewertungen online casino experten</t>
  </si>
  <si>
    <t>bonus casino online no deposit</t>
  </si>
  <si>
    <t>casino online america</t>
  </si>
  <si>
    <t>online casinos that accept us credit cards</t>
  </si>
  <si>
    <t>casino spin games</t>
  </si>
  <si>
    <t>casino online sverige</t>
  </si>
  <si>
    <t>grand ivy online casino</t>
  </si>
  <si>
    <t>online casino fraud</t>
  </si>
  <si>
    <t>best online casinos uae</t>
  </si>
  <si>
    <t>red flush online casino</t>
  </si>
  <si>
    <t>casinos online internacionales</t>
  </si>
  <si>
    <t>europa casino online</t>
  </si>
  <si>
    <t>uk online casinos</t>
  </si>
  <si>
    <t>online casino test stiftung warentest</t>
  </si>
  <si>
    <t>quick hit casino slots games</t>
  </si>
  <si>
    <t>black diamond online casino</t>
  </si>
  <si>
    <t>trustworthy casino online</t>
  </si>
  <si>
    <t>online casino white label</t>
  </si>
  <si>
    <t>veilige online casinos</t>
  </si>
  <si>
    <t>casino online gry 🇵🇱 kasyno.blog</t>
  </si>
  <si>
    <t>slot machine free casino slot games for fun</t>
  </si>
  <si>
    <t>download jackpot city casino games</t>
  </si>
  <si>
    <t>buy online casino website</t>
  </si>
  <si>
    <t>casino online italiani autorizzati</t>
  </si>
  <si>
    <t>judi casino online terpercaya</t>
  </si>
  <si>
    <t>online casino 10 euro bonus ohne einzahlung</t>
  </si>
  <si>
    <t>beste live blackjack casino</t>
  </si>
  <si>
    <t>neue merkur online casinos</t>
  </si>
  <si>
    <t>online casino no deposit bonus codes australia</t>
  </si>
  <si>
    <t>mr play online casino</t>
  </si>
  <si>
    <t>hex online casino</t>
  </si>
  <si>
    <t>free online casino games for fun</t>
  </si>
  <si>
    <t>online casino at</t>
  </si>
  <si>
    <t>monopoly casino game online</t>
  </si>
  <si>
    <t>the online casino</t>
  </si>
  <si>
    <t>online casino license cost</t>
  </si>
  <si>
    <t>sweepstakes online casino</t>
  </si>
  <si>
    <t>casino slot games free play</t>
  </si>
  <si>
    <t>casino online echtgeld</t>
  </si>
  <si>
    <t>taruhan casino blackjack online deposit 50 ribu</t>
  </si>
  <si>
    <t>online casino českém</t>
  </si>
  <si>
    <t>österreich online casino</t>
  </si>
  <si>
    <t>michigan real money online casino</t>
  </si>
  <si>
    <t>mohegan sun casino online</t>
  </si>
  <si>
    <t>arab online casinos</t>
  </si>
  <si>
    <t>krypto online casino</t>
  </si>
  <si>
    <t>best payout online casino</t>
  </si>
  <si>
    <t>casino spielen online</t>
  </si>
  <si>
    <t>red casino online</t>
  </si>
  <si>
    <t>beste casino online nederland</t>
  </si>
  <si>
    <t>mifinity online casino</t>
  </si>
  <si>
    <t>top payout online casino</t>
  </si>
  <si>
    <t>admiral online casino</t>
  </si>
  <si>
    <t>woo online casino</t>
  </si>
  <si>
    <t>bonuses live casino</t>
  </si>
  <si>
    <t>bitcoin online casino bonuses</t>
  </si>
  <si>
    <t>online casino slots free</t>
  </si>
  <si>
    <t>fanduel online casino bonus</t>
  </si>
  <si>
    <t>live casino kings</t>
  </si>
  <si>
    <t>ecopayz online casino</t>
  </si>
  <si>
    <t>secure online casinos</t>
  </si>
  <si>
    <t>casino online beste</t>
  </si>
  <si>
    <t>live online casino australia</t>
  </si>
  <si>
    <t>top rated online gambling casino</t>
  </si>
  <si>
    <t>gambling online ny</t>
  </si>
  <si>
    <t>bandar judi casino cbet online</t>
  </si>
  <si>
    <t>online casinos österreich</t>
  </si>
  <si>
    <t>indonesian online casino</t>
  </si>
  <si>
    <t>online crypto casinos</t>
  </si>
  <si>
    <t>best casino canada online</t>
  </si>
  <si>
    <t>casino online pagamento paypal</t>
  </si>
  <si>
    <t>pa online casino promotions</t>
  </si>
  <si>
    <t>unibet pa online casino</t>
  </si>
  <si>
    <t>gran casino torrelodones online</t>
  </si>
  <si>
    <t>svenskt casino online</t>
  </si>
  <si>
    <t>american casino online</t>
  </si>
  <si>
    <t>spin live casino</t>
  </si>
  <si>
    <t>online gambling sa</t>
  </si>
  <si>
    <t>casino top 10 online</t>
  </si>
  <si>
    <t>online casino no deposit bonus canada</t>
  </si>
  <si>
    <t>belizean online casino</t>
  </si>
  <si>
    <t>wild fortune online casino</t>
  </si>
  <si>
    <t>kfc4u online casino</t>
  </si>
  <si>
    <t>free slot machine games casino</t>
  </si>
  <si>
    <t>live casino no deposit</t>
  </si>
  <si>
    <t>online casino booming games</t>
  </si>
  <si>
    <t>skycity online casino review</t>
  </si>
  <si>
    <t>online echtgeld casino paypal</t>
  </si>
  <si>
    <t>luxembourg online casino</t>
  </si>
  <si>
    <t>nieuwe casino online</t>
  </si>
  <si>
    <t>skycity online gambling</t>
  </si>
  <si>
    <t>slots and casino games</t>
  </si>
  <si>
    <t>live casino roulette wheel</t>
  </si>
  <si>
    <t>7 casino online</t>
  </si>
  <si>
    <t>casinos online brasil</t>
  </si>
  <si>
    <t>facebook casino games free</t>
  </si>
  <si>
    <t>casino online spiele</t>
  </si>
  <si>
    <t>best casino uk online</t>
  </si>
  <si>
    <t>online casino español</t>
  </si>
  <si>
    <t>casino epoca juegos de casino online</t>
  </si>
  <si>
    <t>rivers casino online</t>
  </si>
  <si>
    <t>casino games for home</t>
  </si>
  <si>
    <t>no download casino games</t>
  </si>
  <si>
    <t>casino games for free online</t>
  </si>
  <si>
    <t>miss white kostenlos spielen online casinos</t>
  </si>
  <si>
    <t>live casino norge</t>
  </si>
  <si>
    <t>betsson casino online</t>
  </si>
  <si>
    <t>casino online bonus za registraci</t>
  </si>
  <si>
    <t>online casino mit mga lizenz</t>
  </si>
  <si>
    <t>online casinos ontario canada</t>
  </si>
  <si>
    <t>juegos online casinos</t>
  </si>
  <si>
    <t>mejores casinos online chile</t>
  </si>
  <si>
    <t>biggest online casino arizona</t>
  </si>
  <si>
    <t>website judi casino live</t>
  </si>
  <si>
    <t>live casino game providers</t>
  </si>
  <si>
    <t>caesars online casino michigan app</t>
  </si>
  <si>
    <t>new york online casino</t>
  </si>
  <si>
    <t>casino online teleingreso españa</t>
  </si>
  <si>
    <t>free spin online casino no deposit bonus codes</t>
  </si>
  <si>
    <t>online casino slot 💰 deutschecasino.site</t>
  </si>
  <si>
    <t>gamomat online casino</t>
  </si>
  <si>
    <t>best online no deposit casino</t>
  </si>
  <si>
    <t>slot online 404--casino(rajadewa138)</t>
  </si>
  <si>
    <t>migliori casino online</t>
  </si>
  <si>
    <t>trusted casino online canada</t>
  </si>
  <si>
    <t>playtech online casinos</t>
  </si>
  <si>
    <t>online casino in michigan</t>
  </si>
  <si>
    <t>online casino betalen met ideal</t>
  </si>
  <si>
    <t>free mobile casino games</t>
  </si>
  <si>
    <t>bandar judi casino live deposit 50 ribu</t>
  </si>
  <si>
    <t>casino online germania</t>
  </si>
  <si>
    <t>slot online 227--casino(rajadewa138)</t>
  </si>
  <si>
    <t>agen betting casino ibcbet online</t>
  </si>
  <si>
    <t>real money online casino wisconsin</t>
  </si>
  <si>
    <t>fun online casino</t>
  </si>
  <si>
    <t>online casino with paypal deposit</t>
  </si>
  <si>
    <t>casino online rating</t>
  </si>
  <si>
    <t>online casino empfehlung</t>
  </si>
  <si>
    <t>sugarhouse nj online casino</t>
  </si>
  <si>
    <t>casinos online uk</t>
  </si>
  <si>
    <t>usa casino online real money</t>
  </si>
  <si>
    <t>live casino dealers online</t>
  </si>
  <si>
    <t>online casino pokies</t>
  </si>
  <si>
    <t>starting an online casino</t>
  </si>
  <si>
    <t>jugar casino online chile</t>
  </si>
  <si>
    <t>online casino 200 bonus</t>
  </si>
  <si>
    <t>online gambling netherlands</t>
  </si>
  <si>
    <t>online casino bonus ohne einzahlung guru</t>
  </si>
  <si>
    <t>online casino paypal canada</t>
  </si>
  <si>
    <t>viva slots vegas free slot casino games online</t>
  </si>
  <si>
    <t>online casino geld ohne einzahlung</t>
  </si>
  <si>
    <t>online casino slots that pay real money</t>
  </si>
  <si>
    <t>top online casino malta</t>
  </si>
  <si>
    <t>online casino gaming</t>
  </si>
  <si>
    <t>online games casino free slot machines</t>
  </si>
  <si>
    <t>casino online bonus sem deposito</t>
  </si>
  <si>
    <t>online casinos that pay real money</t>
  </si>
  <si>
    <t>online casino king billy</t>
  </si>
  <si>
    <t>live casino sg</t>
  </si>
  <si>
    <t>die besten online casinos</t>
  </si>
  <si>
    <t>big win casino games</t>
  </si>
  <si>
    <t>casino games win real cash</t>
  </si>
  <si>
    <t>best casino slots online</t>
  </si>
  <si>
    <t>pennsylvania online casino no deposit bonus</t>
  </si>
  <si>
    <t>river belle casino free games</t>
  </si>
  <si>
    <t>online casino kuwait</t>
  </si>
  <si>
    <t>paypal live casino</t>
  </si>
  <si>
    <t>hippodrome online casino reviews</t>
  </si>
  <si>
    <t>online casino maximaleinsatz</t>
  </si>
  <si>
    <t>usa online casinos that accept discover card</t>
  </si>
  <si>
    <t>casino online texas holdem real money</t>
  </si>
  <si>
    <t>free online slots casino</t>
  </si>
  <si>
    <t>ausländische online casinos</t>
  </si>
  <si>
    <t>free casino games bonus</t>
  </si>
  <si>
    <t>play free casino online</t>
  </si>
  <si>
    <t>german online casino</t>
  </si>
  <si>
    <t>playtech casino games</t>
  </si>
  <si>
    <t>casino online spania</t>
  </si>
  <si>
    <t>gaming club online casino españa</t>
  </si>
  <si>
    <t>new online casino 2017</t>
  </si>
  <si>
    <t>top online casino deutschland</t>
  </si>
  <si>
    <t>eurobet casino live</t>
  </si>
  <si>
    <t>best online casino baccarat</t>
  </si>
  <si>
    <t>regulated online casinos</t>
  </si>
  <si>
    <t>play casino slots online</t>
  </si>
  <si>
    <t>casino games with no deposit</t>
  </si>
  <si>
    <t>bitcoin casino live</t>
  </si>
  <si>
    <t>casino online visa españa</t>
  </si>
  <si>
    <t>bestes echtgeld online casino</t>
  </si>
  <si>
    <t>online nba gambling</t>
  </si>
  <si>
    <t>lista casino online non aams</t>
  </si>
  <si>
    <t>fast withdrawal online casino ghana</t>
  </si>
  <si>
    <t>free casino games slots no download</t>
  </si>
  <si>
    <t>pa online casino sign up bonus</t>
  </si>
  <si>
    <t>besten online casinos deutschland</t>
  </si>
  <si>
    <t>download casino games for real money</t>
  </si>
  <si>
    <t>online casino spielen schweiz</t>
  </si>
  <si>
    <t>online casino kostenlos spielen</t>
  </si>
  <si>
    <t>live blackjack online casinos</t>
  </si>
  <si>
    <t>online casino withdraw to bank account</t>
  </si>
  <si>
    <t>live casino online singapore</t>
  </si>
  <si>
    <t>novomatic games casino</t>
  </si>
  <si>
    <t>888 casino games</t>
  </si>
  <si>
    <t>casino online lobanet</t>
  </si>
  <si>
    <t>gambling games online free</t>
  </si>
  <si>
    <t>hippodrome online casino</t>
  </si>
  <si>
    <t>casino online winbet</t>
  </si>
  <si>
    <t>online casino minimum deposit $5</t>
  </si>
  <si>
    <t>gamingclub online casino español</t>
  </si>
  <si>
    <t>best nj online casino bonuses</t>
  </si>
  <si>
    <t>real money online casino south dakota</t>
  </si>
  <si>
    <t>legal online gambling usa</t>
  </si>
  <si>
    <t>online casinos aus</t>
  </si>
  <si>
    <t>online casinos in canada</t>
  </si>
  <si>
    <t>online casino utan licens</t>
  </si>
  <si>
    <t>vegasino casino online</t>
  </si>
  <si>
    <t>live casino indonesia</t>
  </si>
  <si>
    <t>online casino frank</t>
  </si>
  <si>
    <t>live casino dealer</t>
  </si>
  <si>
    <t>ohio online casinos</t>
  </si>
  <si>
    <t>best australian online casino fast payout</t>
  </si>
  <si>
    <t>online mobile casinos</t>
  </si>
  <si>
    <t>best online casino in uk</t>
  </si>
  <si>
    <t>best high roller online casinos</t>
  </si>
  <si>
    <t>jackpot city online casino</t>
  </si>
  <si>
    <t>online holland casino</t>
  </si>
  <si>
    <t>online gaming platform casino</t>
  </si>
  <si>
    <t>casino craps online</t>
  </si>
  <si>
    <t>real online casino</t>
  </si>
  <si>
    <t>gaming club online casino</t>
  </si>
  <si>
    <t>casino games slot free</t>
  </si>
  <si>
    <t>mejor casino online que acepta hipay</t>
  </si>
  <si>
    <t>best online casinos in japan</t>
  </si>
  <si>
    <t>real online casino win real money</t>
  </si>
  <si>
    <t>las vegas usa online casino</t>
  </si>
  <si>
    <t>888 casino live</t>
  </si>
  <si>
    <t>casino online internazionali</t>
  </si>
  <si>
    <t>online casino ohne oasis</t>
  </si>
  <si>
    <t>slotty vegas online casino</t>
  </si>
  <si>
    <t>cherry fiesta online casino</t>
  </si>
  <si>
    <t>biggest online casinos</t>
  </si>
  <si>
    <t>is online gambling legal in california</t>
  </si>
  <si>
    <t>casino las vegas online</t>
  </si>
  <si>
    <t>course online gambling</t>
  </si>
  <si>
    <t>online gambling sites real money usa</t>
  </si>
  <si>
    <t>casino games live</t>
  </si>
  <si>
    <t>casino online video poker</t>
  </si>
  <si>
    <t>casino online bonus ohne einzahlung</t>
  </si>
  <si>
    <t>neue online casino mit bonus ohne einzahlung</t>
  </si>
  <si>
    <t>aussie play online casino</t>
  </si>
  <si>
    <t>slots casino games online</t>
  </si>
  <si>
    <t>online casino ohne 1 euro limit</t>
  </si>
  <si>
    <t>casinos slots online</t>
  </si>
  <si>
    <t>lotto casino online</t>
  </si>
  <si>
    <t>online casino 1</t>
  </si>
  <si>
    <t>safe online casinos in new zealand</t>
  </si>
  <si>
    <t>highest payout rate online casino</t>
  </si>
  <si>
    <t>recensione gioco digitale casino live</t>
  </si>
  <si>
    <t>spela live casino</t>
  </si>
  <si>
    <t>online casino mit onlineüberweisen</t>
  </si>
  <si>
    <t>best mobile casino games</t>
  </si>
  <si>
    <t>online casino that accept neosurf</t>
  </si>
  <si>
    <t>new jersey online casino list</t>
  </si>
  <si>
    <t>jackpotcity online casino español</t>
  </si>
  <si>
    <t>online casino free no deposit bonus</t>
  </si>
  <si>
    <t>online casino mr green</t>
  </si>
  <si>
    <t>spinomenal online casino</t>
  </si>
  <si>
    <t>casino online list</t>
  </si>
  <si>
    <t>best jeton online casino</t>
  </si>
  <si>
    <t>casino online casinos</t>
  </si>
  <si>
    <t>software de casino online</t>
  </si>
  <si>
    <t>slot online 369--casino(rajadewa138)</t>
  </si>
  <si>
    <t>maryland live casino</t>
  </si>
  <si>
    <t>visa en casino online</t>
  </si>
  <si>
    <t>online casino erfahrungsberichte</t>
  </si>
  <si>
    <t>online casino 5 € gratis</t>
  </si>
  <si>
    <t>free gambling games online</t>
  </si>
  <si>
    <t>online casino min deposit</t>
  </si>
  <si>
    <t>casino online cz</t>
  </si>
  <si>
    <t>german online casinos</t>
  </si>
  <si>
    <t>online gambling site uk</t>
  </si>
  <si>
    <t>goa casino online</t>
  </si>
  <si>
    <t>payment gateway for online casino</t>
  </si>
  <si>
    <t>online casinos mit sofortauszahlung</t>
  </si>
  <si>
    <t>easiest casino slot games to win</t>
  </si>
  <si>
    <t>ban yourself from gambling online</t>
  </si>
  <si>
    <t>spin palace casino online</t>
  </si>
  <si>
    <t>best online casino games to make money</t>
  </si>
  <si>
    <t>casino zeus online</t>
  </si>
  <si>
    <t>online casino gutscheincode</t>
  </si>
  <si>
    <t>free casino games online slots</t>
  </si>
  <si>
    <t>besten online casino bonus ohne einzahlung</t>
  </si>
  <si>
    <t>rtg online casino</t>
  </si>
  <si>
    <t>jacks online casino</t>
  </si>
  <si>
    <t>free casino games no download no registration</t>
  </si>
  <si>
    <t>casino online royal</t>
  </si>
  <si>
    <t>online casinos that accept bitcoin</t>
  </si>
  <si>
    <t>online casino spil danmark</t>
  </si>
  <si>
    <t>new online casino £3 deposit bonus</t>
  </si>
  <si>
    <t>safe online gambling sites</t>
  </si>
  <si>
    <t>online casino promo codes</t>
  </si>
  <si>
    <t>new online casinos australia 2022</t>
  </si>
  <si>
    <t>online gambling offers</t>
  </si>
  <si>
    <t>genesis online casino</t>
  </si>
  <si>
    <t>is online gambling safe</t>
  </si>
  <si>
    <t>free credit new register online casino malaysia</t>
  </si>
  <si>
    <t>ohio online gambling</t>
  </si>
  <si>
    <t>play live casino promo code</t>
  </si>
  <si>
    <t>best online casino malaysia</t>
  </si>
  <si>
    <t>casino internacional online</t>
  </si>
  <si>
    <t>casino software games</t>
  </si>
  <si>
    <t>recommended online casinos</t>
  </si>
  <si>
    <t>best online casino welcome bonuses</t>
  </si>
  <si>
    <t>live casino schweiz</t>
  </si>
  <si>
    <t>free online casino table games</t>
  </si>
  <si>
    <t>online casino edmonton</t>
  </si>
  <si>
    <t>online casino ohne anmeldung echtgeld</t>
  </si>
  <si>
    <t>casinos online bonos</t>
  </si>
  <si>
    <t>bestes online casino österreich</t>
  </si>
  <si>
    <t>caesars online casino new jersey</t>
  </si>
  <si>
    <t>live casino black jack</t>
  </si>
  <si>
    <t>casino card games names</t>
  </si>
  <si>
    <t>wyoming online casino bonus</t>
  </si>
  <si>
    <t>online casinos in sri lanka</t>
  </si>
  <si>
    <t>novomatic online casinos</t>
  </si>
  <si>
    <t>malaysia casino online free credit</t>
  </si>
  <si>
    <t>best online casino slots usa</t>
  </si>
  <si>
    <t>eesti online casino</t>
  </si>
  <si>
    <t>best online casino no deposit bonus codes</t>
  </si>
  <si>
    <t>online casino states</t>
  </si>
  <si>
    <t>casino online australia</t>
  </si>
  <si>
    <t>live dealer casino online</t>
  </si>
  <si>
    <t>favourite online casino</t>
  </si>
  <si>
    <t>casino roulette online kostenlos spielen</t>
  </si>
  <si>
    <t>online best casino</t>
  </si>
  <si>
    <t>casino online svizzeri</t>
  </si>
  <si>
    <t>online gambling new york</t>
  </si>
  <si>
    <t>casino online spin</t>
  </si>
  <si>
    <t>opiniones casinos online</t>
  </si>
  <si>
    <t>casino europei online</t>
  </si>
  <si>
    <t>betrivers online casino pa</t>
  </si>
  <si>
    <t>online casinos no deposit bonus codes</t>
  </si>
  <si>
    <t>geld zurück online casino anwalt</t>
  </si>
  <si>
    <t>casinos online con astropay</t>
  </si>
  <si>
    <t>online gambling fish game</t>
  </si>
  <si>
    <t>casinos online con bono de bienvenida</t>
  </si>
  <si>
    <t>grosvenor casino live</t>
  </si>
  <si>
    <t>casino free games online</t>
  </si>
  <si>
    <t>bitcoin live casino online</t>
  </si>
  <si>
    <t>harrahs online casino</t>
  </si>
  <si>
    <t>demo casino games free</t>
  </si>
  <si>
    <t>favourite casino games</t>
  </si>
  <si>
    <t>instant casino games</t>
  </si>
  <si>
    <t>casino online betting</t>
  </si>
  <si>
    <t>online casino uk no verification</t>
  </si>
  <si>
    <t>online casino in america</t>
  </si>
  <si>
    <t>the live casino</t>
  </si>
  <si>
    <t>online casinos canada legal</t>
  </si>
  <si>
    <t>las vegas free online casino slots</t>
  </si>
  <si>
    <t>online casino for real money no deposit</t>
  </si>
  <si>
    <t>jackpot city casino online canada</t>
  </si>
  <si>
    <t>jersey online casino</t>
  </si>
  <si>
    <t>top 10 online casinos österreich</t>
  </si>
  <si>
    <t>live casino österreich</t>
  </si>
  <si>
    <t>taruhan live casino indonesia</t>
  </si>
  <si>
    <t>online casinos for real money usa</t>
  </si>
  <si>
    <t>free slots casinos online</t>
  </si>
  <si>
    <t>casino online snabba uttag</t>
  </si>
  <si>
    <t>bgo online casino</t>
  </si>
  <si>
    <t>start an online casino</t>
  </si>
  <si>
    <t>v2 online casino</t>
  </si>
  <si>
    <t>easy deposit online casino</t>
  </si>
  <si>
    <t>online casino that use payid</t>
  </si>
  <si>
    <t>rent casino games for party</t>
  </si>
  <si>
    <t>big online casino</t>
  </si>
  <si>
    <t>new casinos online 2019</t>
  </si>
  <si>
    <t>atlantic city online casinos deals</t>
  </si>
  <si>
    <t>online casino ohne steuer</t>
  </si>
  <si>
    <t>skycity online casino login</t>
  </si>
  <si>
    <t>international casinos online</t>
  </si>
  <si>
    <t>free casino slot games to play</t>
  </si>
  <si>
    <t>baji live casino</t>
  </si>
  <si>
    <t>craps holland casino online</t>
  </si>
  <si>
    <t>free online casino bet</t>
  </si>
  <si>
    <t>online betting casino games</t>
  </si>
  <si>
    <t>trusted online casino nz</t>
  </si>
  <si>
    <t>online casino hohe gewinnchance</t>
  </si>
  <si>
    <t>casino online pagamento skrill</t>
  </si>
  <si>
    <t>free online casino slot games</t>
  </si>
  <si>
    <t>game casino online free</t>
  </si>
  <si>
    <t>top ten online gambling sites</t>
  </si>
  <si>
    <t>mejores casinos online 2023</t>
  </si>
  <si>
    <t>roulette gambling online</t>
  </si>
  <si>
    <t>costa games casino</t>
  </si>
  <si>
    <t>wms casino games</t>
  </si>
  <si>
    <t>ballys casino online</t>
  </si>
  <si>
    <t>casinos online com bonus</t>
  </si>
  <si>
    <t>play bitcoin casino online</t>
  </si>
  <si>
    <t>casino online offer</t>
  </si>
  <si>
    <t>migliori casino online criptocasino</t>
  </si>
  <si>
    <t>best online casino for malaysian</t>
  </si>
  <si>
    <t>casino online en español</t>
  </si>
  <si>
    <t>casinos online que aceptan paypal</t>
  </si>
  <si>
    <t>vavada casino online</t>
  </si>
  <si>
    <t>best jeton online casinos</t>
  </si>
  <si>
    <t>$5 deposit online casino nz</t>
  </si>
  <si>
    <t>dreams online casino</t>
  </si>
  <si>
    <t>free live casino no deposit</t>
  </si>
  <si>
    <t>nz online casino real money</t>
  </si>
  <si>
    <t>online virgin casino</t>
  </si>
  <si>
    <t>online casino 500 euro bonus</t>
  </si>
  <si>
    <t>virginia online casino</t>
  </si>
  <si>
    <t>gambling online casino</t>
  </si>
  <si>
    <t>casinoepoca online casino spanish</t>
  </si>
  <si>
    <t>nstant payout online casinos</t>
  </si>
  <si>
    <t>live dealer casino bonus</t>
  </si>
  <si>
    <t>online casino 2025</t>
  </si>
  <si>
    <t>schweiz online casino</t>
  </si>
  <si>
    <t>online casino deutschland erfahrung</t>
  </si>
  <si>
    <t>australian online casino sites</t>
  </si>
  <si>
    <t>daftar sbobet casino online</t>
  </si>
  <si>
    <t>best online casino slot machines</t>
  </si>
  <si>
    <t>roxy palace casino free games</t>
  </si>
  <si>
    <t>casinoepoca online casino</t>
  </si>
  <si>
    <t>online spil casino</t>
  </si>
  <si>
    <t>the hippodrome casino online</t>
  </si>
  <si>
    <t>most trusted online casino for us players</t>
  </si>
  <si>
    <t>klarna online casino</t>
  </si>
  <si>
    <t>the best online casino malaysia</t>
  </si>
  <si>
    <t>cazeus online casino</t>
  </si>
  <si>
    <t>spin casino games</t>
  </si>
  <si>
    <t>bandar judi casino live deposit termurah</t>
  </si>
  <si>
    <t>online casino withdrawal time</t>
  </si>
  <si>
    <t>bgaming online casino</t>
  </si>
  <si>
    <t>online casino for usa</t>
  </si>
  <si>
    <t>safest online gambling sites</t>
  </si>
  <si>
    <t>free online casino promotions</t>
  </si>
  <si>
    <t>maine online casinos</t>
  </si>
  <si>
    <t>casino phú quốc online</t>
  </si>
  <si>
    <t>best online no deposit casino bonuses</t>
  </si>
  <si>
    <t>casino games free download</t>
  </si>
  <si>
    <t>online casino with free bonus without deposit</t>
  </si>
  <si>
    <t>casino best online</t>
  </si>
  <si>
    <t>free casino games download full version</t>
  </si>
  <si>
    <t>jeetbuzz live casino</t>
  </si>
  <si>
    <t>online gambling philippines</t>
  </si>
  <si>
    <t>free casino slots games with bonus rounds</t>
  </si>
  <si>
    <t>online casino sofort</t>
  </si>
  <si>
    <t>online casino verluste zurückholen</t>
  </si>
  <si>
    <t>mgm online gambling michigan</t>
  </si>
  <si>
    <t>legal online casino canada</t>
  </si>
  <si>
    <t>online casino bonus ohne einzahlung juni 2018</t>
  </si>
  <si>
    <t>open online casino</t>
  </si>
  <si>
    <t>casino online non aams sicuri</t>
  </si>
  <si>
    <t>online gambling payments</t>
  </si>
  <si>
    <t>frank online casino</t>
  </si>
  <si>
    <t>west virginia online casino</t>
  </si>
  <si>
    <t>online spielen casino</t>
  </si>
  <si>
    <t>casino online argentina con mercado pago</t>
  </si>
  <si>
    <t>free online casinos with no deposit bonuses</t>
  </si>
  <si>
    <t>mejores casinos online para ganar dinero</t>
  </si>
  <si>
    <t>australian licensed online casinos</t>
  </si>
  <si>
    <t>online casino auszahlung paypal</t>
  </si>
  <si>
    <t>online casino kajot</t>
  </si>
  <si>
    <t>melhores casinos online brasileiros</t>
  </si>
  <si>
    <t>echeck online casino</t>
  </si>
  <si>
    <t>online caesars casino</t>
  </si>
  <si>
    <t>gambling online games</t>
  </si>
  <si>
    <t>agen casino live bonus melimpah</t>
  </si>
  <si>
    <t>best online casino nz 2020</t>
  </si>
  <si>
    <t>online best casinos</t>
  </si>
  <si>
    <t>taruhan casino joker123 online</t>
  </si>
  <si>
    <t>gambling addiction courses online</t>
  </si>
  <si>
    <t>best online casino signup bouns, australia</t>
  </si>
  <si>
    <t>roulette poker och blackjack bästa casino online</t>
  </si>
  <si>
    <t>gambling online real money</t>
  </si>
  <si>
    <t>casino online terbaik</t>
  </si>
  <si>
    <t>best live dragon tiger casino</t>
  </si>
  <si>
    <t>instant withdrawal online casinos</t>
  </si>
  <si>
    <t>casino games craps</t>
  </si>
  <si>
    <t>online casino best deposit bonus</t>
  </si>
  <si>
    <t>new nz casino online</t>
  </si>
  <si>
    <t>muchbetter online casino</t>
  </si>
  <si>
    <t>top ten canadian online casinos</t>
  </si>
  <si>
    <t>michigan online casinos list</t>
  </si>
  <si>
    <t>m88 casino online</t>
  </si>
  <si>
    <t>online bonus casinos</t>
  </si>
  <si>
    <t>fast payout online casino for slot tournaments</t>
  </si>
  <si>
    <t>the best online casino</t>
  </si>
  <si>
    <t>rush games casino</t>
  </si>
  <si>
    <t>best online casino australia</t>
  </si>
  <si>
    <t>poker gambling online</t>
  </si>
  <si>
    <t>online casino bewertung</t>
  </si>
  <si>
    <t>best online casino bonus</t>
  </si>
  <si>
    <t>paradise casino online</t>
  </si>
  <si>
    <t>casino online gratis senza deposito</t>
  </si>
  <si>
    <t>free no deposit mobile casino games</t>
  </si>
  <si>
    <t>casino online rosario</t>
  </si>
  <si>
    <t>play online casino for money</t>
  </si>
  <si>
    <t>online casino espana</t>
  </si>
  <si>
    <t>live casino apk</t>
  </si>
  <si>
    <t>casinos online legales en colombia</t>
  </si>
  <si>
    <t>wirecard online casinos</t>
  </si>
  <si>
    <t>casino online mit bonus ohne einzahlung</t>
  </si>
  <si>
    <t>geld winnen online casino</t>
  </si>
  <si>
    <t>golden star online casino</t>
  </si>
  <si>
    <t>hardrock online casino</t>
  </si>
  <si>
    <t>online casino no wagering</t>
  </si>
  <si>
    <t>code share online doubledown casino</t>
  </si>
  <si>
    <t>casino online argentina pago facil</t>
  </si>
  <si>
    <t>top live casinos online</t>
  </si>
  <si>
    <t>online casino mit freispielen</t>
  </si>
  <si>
    <t>online casino ohne einzahlung bonus erhalten</t>
  </si>
  <si>
    <t>las vegas online casino usa</t>
  </si>
  <si>
    <t>blackjack casino games</t>
  </si>
  <si>
    <t>online casino interac</t>
  </si>
  <si>
    <t>best online football gambling sites</t>
  </si>
  <si>
    <t>live dealer roulette online casinos</t>
  </si>
  <si>
    <t>online casino bonus ohne einzahlung 2017</t>
  </si>
  <si>
    <t>best casino games odds</t>
  </si>
  <si>
    <t>rivalo online casino</t>
  </si>
  <si>
    <t>online casino mit cashtocode</t>
  </si>
  <si>
    <t>gran casino madrid online</t>
  </si>
  <si>
    <t>voodoo dreams online casino</t>
  </si>
  <si>
    <t>online casino baden</t>
  </si>
  <si>
    <t>online gambling south africa / sites</t>
  </si>
  <si>
    <t>live casino paypal</t>
  </si>
  <si>
    <t>nv casino online</t>
  </si>
  <si>
    <t>new hampshire online casino</t>
  </si>
  <si>
    <t>casinos mexicanos online</t>
  </si>
  <si>
    <t>bezahlmethoden in schweizer online casinos</t>
  </si>
  <si>
    <t>online casino that accepts credit cards</t>
  </si>
  <si>
    <t>best casino online reviews</t>
  </si>
  <si>
    <t>online casino italian</t>
  </si>
  <si>
    <t>online casinos merkur</t>
  </si>
  <si>
    <t>ontario online casino</t>
  </si>
  <si>
    <t>mohegan sun online casino reviews</t>
  </si>
  <si>
    <t>bandar oriental casino online</t>
  </si>
  <si>
    <t>casino online en mexico</t>
  </si>
  <si>
    <t>casino online dinheiro real</t>
  </si>
  <si>
    <t>real casino games for real money online</t>
  </si>
  <si>
    <t>casinos de españa online</t>
  </si>
  <si>
    <t>american express online casino</t>
  </si>
  <si>
    <t>efbet online casino</t>
  </si>
  <si>
    <t>reputable online casino</t>
  </si>
  <si>
    <t>casino cards games</t>
  </si>
  <si>
    <t>twin spin online casino</t>
  </si>
  <si>
    <t>andar bahar live casino</t>
  </si>
  <si>
    <t>88 fortunes online casino</t>
  </si>
  <si>
    <t>online casino no minimum deposit</t>
  </si>
  <si>
    <t>online casino startgeld</t>
  </si>
  <si>
    <t>us online casino real money</t>
  </si>
  <si>
    <t>casino tournaments online</t>
  </si>
  <si>
    <t>online craps gambling</t>
  </si>
  <si>
    <t>online casino mit skrill</t>
  </si>
  <si>
    <t>do you have to pay taxes on online gambling</t>
  </si>
  <si>
    <t>online casino ndb codes 2022</t>
  </si>
  <si>
    <t>legale online casino</t>
  </si>
  <si>
    <t>casino österreich online</t>
  </si>
  <si>
    <t>online casino gute gewinnchancen</t>
  </si>
  <si>
    <t>california online casinos</t>
  </si>
  <si>
    <t>online gambling in south dakota</t>
  </si>
  <si>
    <t>gta online casino auto</t>
  </si>
  <si>
    <t>online casino paypal withdrawal nz</t>
  </si>
  <si>
    <t>online casino echtes geld</t>
  </si>
  <si>
    <t>casino online españa tragamonedas</t>
  </si>
  <si>
    <t>trucchi casino online</t>
  </si>
  <si>
    <t>online gambling louisiana</t>
  </si>
  <si>
    <t>free casino games roulette</t>
  </si>
  <si>
    <t>online casino free money no deposit</t>
  </si>
  <si>
    <t>online book of ra casino</t>
  </si>
  <si>
    <t>casino games online real money</t>
  </si>
  <si>
    <t>mcw live casino</t>
  </si>
  <si>
    <t>online casino rsa</t>
  </si>
  <si>
    <t>ndb codes online casinos</t>
  </si>
  <si>
    <t>online gambling ny</t>
  </si>
  <si>
    <t>online casino 2022</t>
  </si>
  <si>
    <t>casino spiele online</t>
  </si>
  <si>
    <t>chances casino online real money</t>
  </si>
  <si>
    <t>double up online casino</t>
  </si>
  <si>
    <t>biggest online casino in the world</t>
  </si>
  <si>
    <t>slot online 434--casino(rajadewa138)</t>
  </si>
  <si>
    <t>real gambling online</t>
  </si>
  <si>
    <t>live dealer casino nz</t>
  </si>
  <si>
    <t>online casino promo for betrivers</t>
  </si>
  <si>
    <t>pa online gambling apps</t>
  </si>
  <si>
    <t>hollands casino online</t>
  </si>
  <si>
    <t>best crypto wallet for online gambling</t>
  </si>
  <si>
    <t>best texas online casinos</t>
  </si>
  <si>
    <t>online gambling casino games</t>
  </si>
  <si>
    <t>online casinos ohne oasis</t>
  </si>
  <si>
    <t>best online casinos in india</t>
  </si>
  <si>
    <t>online casino poli deposit</t>
  </si>
  <si>
    <t>woodbine casino games</t>
  </si>
  <si>
    <t>casino games online for free</t>
  </si>
  <si>
    <t>new online casino</t>
  </si>
  <si>
    <t>new online casino 2023</t>
  </si>
  <si>
    <t>mejor casino online playson</t>
  </si>
  <si>
    <t>online casinos mit ideal</t>
  </si>
  <si>
    <t>biggest online casino</t>
  </si>
  <si>
    <t>online casino beste bonus</t>
  </si>
  <si>
    <t>tutti i casino online</t>
  </si>
  <si>
    <t>online casino game</t>
  </si>
  <si>
    <t>dansk live casino</t>
  </si>
  <si>
    <t>online casino in the philippines</t>
  </si>
  <si>
    <t>best new online casino sites</t>
  </si>
  <si>
    <t>best online casino for baccarat</t>
  </si>
  <si>
    <t>nagad88 live casino</t>
  </si>
  <si>
    <t>casinos online no deposit</t>
  </si>
  <si>
    <t>online casino transfer bancar</t>
  </si>
  <si>
    <t>sicheres online casino</t>
  </si>
  <si>
    <t>best online casino payout</t>
  </si>
  <si>
    <t>casino poker online</t>
  </si>
  <si>
    <t>online casino hack software</t>
  </si>
  <si>
    <t>tropicana atlantic city online casino</t>
  </si>
  <si>
    <t>online casinos not with gamstop</t>
  </si>
  <si>
    <t>casino cruise online</t>
  </si>
  <si>
    <t>online casino card games</t>
  </si>
  <si>
    <t>online gambling new jersey</t>
  </si>
  <si>
    <t>best online casino game</t>
  </si>
  <si>
    <t>casinos online thunderkick</t>
  </si>
  <si>
    <t>online gambling sites in india</t>
  </si>
  <si>
    <t>online casino accepts vanilla visa</t>
  </si>
  <si>
    <t>play online games casino</t>
  </si>
  <si>
    <t>casino online betsson</t>
  </si>
  <si>
    <t>online uk casino no deposit bonus</t>
  </si>
  <si>
    <t>nuovi casino online italiani</t>
  </si>
  <si>
    <t>www jackpotcity com online casino</t>
  </si>
  <si>
    <t>gamble casino online</t>
  </si>
  <si>
    <t>best online casino bonus india</t>
  </si>
  <si>
    <t>ab casinos online</t>
  </si>
  <si>
    <t>welcome bonus online casino</t>
  </si>
  <si>
    <t>bestes online casino schweiz</t>
  </si>
  <si>
    <t>canadian online casino slots</t>
  </si>
  <si>
    <t>agent 747.live casino login</t>
  </si>
  <si>
    <t>sesame online casino</t>
  </si>
  <si>
    <t>real vegas online casino bonus codes</t>
  </si>
  <si>
    <t>vegas casino online no deposit bonus code</t>
  </si>
  <si>
    <t>miglior casino online non aams</t>
  </si>
  <si>
    <t>online casino recenzje</t>
  </si>
  <si>
    <t>online casino spel</t>
  </si>
  <si>
    <t>instant withdrawal online casino canada</t>
  </si>
  <si>
    <t>best neteller online casinos</t>
  </si>
  <si>
    <t>no deposit bonus casino online</t>
  </si>
  <si>
    <t>online casinos deposit bonus</t>
  </si>
  <si>
    <t>online casino spiele online casinos</t>
  </si>
  <si>
    <t>plinko online casino</t>
  </si>
  <si>
    <t>online gambling in wyoming</t>
  </si>
  <si>
    <t>jackpotcity online casino españa</t>
  </si>
  <si>
    <t>clone bonus online casino</t>
  </si>
  <si>
    <t>uk online casinos not on gamstop</t>
  </si>
  <si>
    <t>golden nugget online casino nj</t>
  </si>
  <si>
    <t>arabic casino online</t>
  </si>
  <si>
    <t>top paying online casinos</t>
  </si>
  <si>
    <t>live casino online cyprus</t>
  </si>
  <si>
    <t>georgia casino online</t>
  </si>
  <si>
    <t>online casino mit visa</t>
  </si>
  <si>
    <t>new online casinos january 2023</t>
  </si>
  <si>
    <t>free online casino slot machines</t>
  </si>
  <si>
    <t>888 casino online no brasil</t>
  </si>
  <si>
    <t>online casino real money australia</t>
  </si>
  <si>
    <t>casinos online roleta</t>
  </si>
  <si>
    <t>online casinos slot</t>
  </si>
  <si>
    <t>bizzo online casino</t>
  </si>
  <si>
    <t>casino online com multibanco</t>
  </si>
  <si>
    <t>schweizer online casino</t>
  </si>
  <si>
    <t>best online casinos bonuses</t>
  </si>
  <si>
    <t>new online casinos no deposit</t>
  </si>
  <si>
    <t>best online casino guide</t>
  </si>
  <si>
    <t>paf online casino</t>
  </si>
  <si>
    <t>beste uitbetalende online casino</t>
  </si>
  <si>
    <t>slothunter online casino</t>
  </si>
  <si>
    <t>novoline online casino österreich</t>
  </si>
  <si>
    <t>free cash online casino</t>
  </si>
  <si>
    <t>online us casino</t>
  </si>
  <si>
    <t>italia casino live</t>
  </si>
  <si>
    <t>newest online casinos uk</t>
  </si>
  <si>
    <t>online casino registration</t>
  </si>
  <si>
    <t>no deposit casino bonuses online</t>
  </si>
  <si>
    <t>best new casinos online</t>
  </si>
  <si>
    <t>holland online casino slot machines</t>
  </si>
  <si>
    <t>casino card games list</t>
  </si>
  <si>
    <t>casino games with highest payout</t>
  </si>
  <si>
    <t>new uk casinos online</t>
  </si>
  <si>
    <t>play online casino slots</t>
  </si>
  <si>
    <t>betrouwbare online casino</t>
  </si>
  <si>
    <t>besten online casinos</t>
  </si>
  <si>
    <t>online casino william hill</t>
  </si>
  <si>
    <t>online casino stortingsbonus</t>
  </si>
  <si>
    <t>online btc casino</t>
  </si>
  <si>
    <t>betrivers online casino bonus code</t>
  </si>
  <si>
    <t>casino online 365</t>
  </si>
  <si>
    <t>free bonus no deposit mobile casino games</t>
  </si>
  <si>
    <t>online casinos canada</t>
  </si>
  <si>
    <t>online casino bonuses no deposit required</t>
  </si>
  <si>
    <t>online casino affiliates</t>
  </si>
  <si>
    <t>oklahoma online gambling</t>
  </si>
  <si>
    <t>online casino deposit methods</t>
  </si>
  <si>
    <t>video poker casino online</t>
  </si>
  <si>
    <t>everybody wins casino games</t>
  </si>
  <si>
    <t>Informational,Navigational,Branded,Non-local</t>
  </si>
  <si>
    <t>free live casino</t>
  </si>
  <si>
    <t>best odds in casino table games</t>
  </si>
  <si>
    <t>worst odds casino games</t>
  </si>
  <si>
    <t>best ontario online casino bonus</t>
  </si>
  <si>
    <t>1 live casino</t>
  </si>
  <si>
    <t>747.live casino register</t>
  </si>
  <si>
    <t>play free casino games online without downloading</t>
  </si>
  <si>
    <t>best online gambling promotions</t>
  </si>
  <si>
    <t>online free casino</t>
  </si>
  <si>
    <t>casino swiss online</t>
  </si>
  <si>
    <t>tn online casino</t>
  </si>
  <si>
    <t>online casinos real money no deposit</t>
  </si>
  <si>
    <t>monopoly online casino</t>
  </si>
  <si>
    <t>vulkan casino online</t>
  </si>
  <si>
    <t>are there any online casinos that pay real money</t>
  </si>
  <si>
    <t>casino live game</t>
  </si>
  <si>
    <t>river belle online casino</t>
  </si>
  <si>
    <t>da vinci diamonds casinos online casinos</t>
  </si>
  <si>
    <t>mummys gold online casino spanish</t>
  </si>
  <si>
    <t>legit online casinos</t>
  </si>
  <si>
    <t>online casino ohne 1 € limit</t>
  </si>
  <si>
    <t>best online casino florida</t>
  </si>
  <si>
    <t>sa casino online</t>
  </si>
  <si>
    <t>stay casino online</t>
  </si>
  <si>
    <t>online casino marketing agency</t>
  </si>
  <si>
    <t>caesars casino pa online</t>
  </si>
  <si>
    <t>online gambling denmark</t>
  </si>
  <si>
    <t>top 10 online casinos in canada</t>
  </si>
  <si>
    <t>top online casinos that accept jeton</t>
  </si>
  <si>
    <t>lucky red online casino</t>
  </si>
  <si>
    <t>online cryptocurrency casino</t>
  </si>
  <si>
    <t>best casino online india</t>
  </si>
  <si>
    <t>fastest withdrawal online casino ghana</t>
  </si>
  <si>
    <t>online casino estonia</t>
  </si>
  <si>
    <t>hustler casino live</t>
  </si>
  <si>
    <t>free online games casino roulette</t>
  </si>
  <si>
    <t>online casinos that take prepaid cards</t>
  </si>
  <si>
    <t>top 10 casino online</t>
  </si>
  <si>
    <t>best online casino for canada</t>
  </si>
  <si>
    <t>new live casino</t>
  </si>
  <si>
    <t>golden lion online casino</t>
  </si>
  <si>
    <t>leovegas live casino</t>
  </si>
  <si>
    <t>mgm grand detroit online casino</t>
  </si>
  <si>
    <t>casino online lista</t>
  </si>
  <si>
    <t>online casino с минимальным депозитом</t>
  </si>
  <si>
    <t>best online social casinos</t>
  </si>
  <si>
    <t>casino slots games for free</t>
  </si>
  <si>
    <t>top crypto online casino</t>
  </si>
  <si>
    <t>casinos online indonesia</t>
  </si>
  <si>
    <t>fishing casino games</t>
  </si>
  <si>
    <t>online casino business opportunity</t>
  </si>
  <si>
    <t>beste online casino spiele</t>
  </si>
  <si>
    <t>online casino mit paypal einzahlen</t>
  </si>
  <si>
    <t>online gambling ontario</t>
  </si>
  <si>
    <t>best blackjack casino online</t>
  </si>
  <si>
    <t>online casino with boku</t>
  </si>
  <si>
    <t>real casino games for free</t>
  </si>
  <si>
    <t>atlantis casino games</t>
  </si>
  <si>
    <t>mi casino online</t>
  </si>
  <si>
    <t>online casino south korea</t>
  </si>
  <si>
    <t>unibet online casino pa</t>
  </si>
  <si>
    <t>online sports gambling sites</t>
  </si>
  <si>
    <t>online casino 400 prozent bonus</t>
  </si>
  <si>
    <t>best paying online casino south africa</t>
  </si>
  <si>
    <t>online casino demo games</t>
  </si>
  <si>
    <t>legit online casino philippines gcash</t>
  </si>
  <si>
    <t>online casino wildz</t>
  </si>
  <si>
    <t>bonus casino online</t>
  </si>
  <si>
    <t>make money online gambling</t>
  </si>
  <si>
    <t>schwarze liste online casinos</t>
  </si>
  <si>
    <t>live casino sports betting</t>
  </si>
  <si>
    <t>online casino that accepts echeck</t>
  </si>
  <si>
    <t>new online casinos in pa</t>
  </si>
  <si>
    <t>slot online 224--casino(rajadewa138)</t>
  </si>
  <si>
    <t>pragmatic play casino games</t>
  </si>
  <si>
    <t>kansspelbelasting online casino</t>
  </si>
  <si>
    <t>top online casino that accepts neteller</t>
  </si>
  <si>
    <t>tropica casino online</t>
  </si>
  <si>
    <t>nj online casino deposit bonus</t>
  </si>
  <si>
    <t>estoril sol casinos online</t>
  </si>
  <si>
    <t>live baccarat casino site canada</t>
  </si>
  <si>
    <t>draftkings online casino promo</t>
  </si>
  <si>
    <t>gta online casino</t>
  </si>
  <si>
    <t>monopoly casino live</t>
  </si>
  <si>
    <t>swiss casino online poker</t>
  </si>
  <si>
    <t>ako si vybrat online casino</t>
  </si>
  <si>
    <t>borgata online casino</t>
  </si>
  <si>
    <t>jackpotcity online casino no deposit bonus</t>
  </si>
  <si>
    <t>all online casino</t>
  </si>
  <si>
    <t>online casino kostenlos ohne anmeldung</t>
  </si>
  <si>
    <t>best canadian online casino payouts</t>
  </si>
  <si>
    <t>go wild online casino</t>
  </si>
  <si>
    <t>best pay by phone casinos online</t>
  </si>
  <si>
    <t>best skrill casino online</t>
  </si>
  <si>
    <t>online gambling sites canada</t>
  </si>
  <si>
    <t>best uitbetalende online casino</t>
  </si>
  <si>
    <t>top online gambling</t>
  </si>
  <si>
    <t>bonos de casino online peru</t>
  </si>
  <si>
    <t>good online casino games</t>
  </si>
  <si>
    <t>casino war online</t>
  </si>
  <si>
    <t>grosvenor casino games</t>
  </si>
  <si>
    <t>online cricket gambling</t>
  </si>
  <si>
    <t>build online casino</t>
  </si>
  <si>
    <t>live casino immersive roulette</t>
  </si>
  <si>
    <t>online casino slot tricks</t>
  </si>
  <si>
    <t>juegos online casino gratis sin descargar</t>
  </si>
  <si>
    <t>list of online casino sites</t>
  </si>
  <si>
    <t>legitimate online casinos australia</t>
  </si>
  <si>
    <t>beste online casinos deutschland</t>
  </si>
  <si>
    <t>online casino iphone</t>
  </si>
  <si>
    <t>slots vegas online casino</t>
  </si>
  <si>
    <t>live casino slot online</t>
  </si>
  <si>
    <t>casino mobile online</t>
  </si>
  <si>
    <t>casinos online legais portugal</t>
  </si>
  <si>
    <t>live casino evolution</t>
  </si>
  <si>
    <t>gambling site online</t>
  </si>
  <si>
    <t>best online casino mexico</t>
  </si>
  <si>
    <t>real casino games real money</t>
  </si>
  <si>
    <t>free online casinos spins</t>
  </si>
  <si>
    <t>rocketplay casino play online</t>
  </si>
  <si>
    <t>online gambling massachusetts</t>
  </si>
  <si>
    <t>bet365 casino games</t>
  </si>
  <si>
    <t>legitimate online casino</t>
  </si>
  <si>
    <t>melhor online casino</t>
  </si>
  <si>
    <t>online casino that accept mastercard</t>
  </si>
  <si>
    <t>online casino legaal</t>
  </si>
  <si>
    <t>honest online casinos</t>
  </si>
  <si>
    <t>australian online casinos paypal</t>
  </si>
  <si>
    <t>florida casino online</t>
  </si>
  <si>
    <t>online casino uk not on gamstop</t>
  </si>
  <si>
    <t>voucher casino online</t>
  </si>
  <si>
    <t>online casino lizenz kaufen</t>
  </si>
  <si>
    <t>hack casino games</t>
  </si>
  <si>
    <t>best online casino in the world</t>
  </si>
  <si>
    <t>reliable online casinos</t>
  </si>
  <si>
    <t>visa en casinos online</t>
  </si>
  <si>
    <t>betmgm online casino pa</t>
  </si>
  <si>
    <t>best online casino slots</t>
  </si>
  <si>
    <t>jocuri slot casino online</t>
  </si>
  <si>
    <t>online australia casino</t>
  </si>
  <si>
    <t>best online casino canada real money</t>
  </si>
  <si>
    <t>best payout online casino south africa</t>
  </si>
  <si>
    <t>bollywood casino games</t>
  </si>
  <si>
    <t>casino online en directo</t>
  </si>
  <si>
    <t>juegos de casino online gratis</t>
  </si>
  <si>
    <t>casino online best payout</t>
  </si>
  <si>
    <t>royal casino online</t>
  </si>
  <si>
    <t>beste casino deutschland online</t>
  </si>
  <si>
    <t>spins online casino</t>
  </si>
  <si>
    <t>online casino ohne einzahlung 2019</t>
  </si>
  <si>
    <t>online casino no deposit bonus nz</t>
  </si>
  <si>
    <t>casino online no deposit bonus uk</t>
  </si>
  <si>
    <t>best paying online casino ontario</t>
  </si>
  <si>
    <t>spela på casino online</t>
  </si>
  <si>
    <t>online casino schweiz bonus</t>
  </si>
  <si>
    <t>hard rock online casino app</t>
  </si>
  <si>
    <t>888 casino live help</t>
  </si>
  <si>
    <t>top neteller online casinos</t>
  </si>
  <si>
    <t>online gambling in west virginia</t>
  </si>
  <si>
    <t>online gambling real money canada</t>
  </si>
  <si>
    <t>list of online casinos</t>
  </si>
  <si>
    <t>gta 5 online casino</t>
  </si>
  <si>
    <t>online casino português</t>
  </si>
  <si>
    <t>bonus ohne einzahlung online casino</t>
  </si>
  <si>
    <t>igt online casino</t>
  </si>
  <si>
    <t>casino online 🇩🇪 echtgeldspiele.site</t>
  </si>
  <si>
    <t>yukon gold casino online</t>
  </si>
  <si>
    <t>agen casino blackjack online</t>
  </si>
  <si>
    <t>new canada online casino</t>
  </si>
  <si>
    <t>choosing an online casino</t>
  </si>
  <si>
    <t>online casino bester bonus</t>
  </si>
  <si>
    <t>instant withdrawal online casino</t>
  </si>
  <si>
    <t>casino online republica dominicana</t>
  </si>
  <si>
    <t>casino online romania 2024</t>
  </si>
  <si>
    <t>best free casino games for android</t>
  </si>
  <si>
    <t>real money online casino ohio</t>
  </si>
  <si>
    <t>riviera casino online</t>
  </si>
  <si>
    <t>cheeky win online casino</t>
  </si>
  <si>
    <t>jogar casino online em portugal</t>
  </si>
  <si>
    <t>top online casino bonus</t>
  </si>
  <si>
    <t>online casino 5 dollar min deposit</t>
  </si>
  <si>
    <t>playmillion online casino</t>
  </si>
  <si>
    <t>good online casino</t>
  </si>
  <si>
    <t>new independent online casino</t>
  </si>
  <si>
    <t>online casinos live roulette</t>
  </si>
  <si>
    <t>solitaire gambling online</t>
  </si>
  <si>
    <t>nieuwe online casino belgie</t>
  </si>
  <si>
    <t>online casino software download</t>
  </si>
  <si>
    <t>cleopatra plus casinos online casinos</t>
  </si>
  <si>
    <t>casino live superbet</t>
  </si>
  <si>
    <t>rizk casino online</t>
  </si>
  <si>
    <t>casino jugar online</t>
  </si>
  <si>
    <t>most trusted online casino canada</t>
  </si>
  <si>
    <t>online casinos neteller</t>
  </si>
  <si>
    <t>online casinos qatar</t>
  </si>
  <si>
    <t>free casino games downloads</t>
  </si>
  <si>
    <t>borgata free online casino</t>
  </si>
  <si>
    <t>online casino liechtenstein</t>
  </si>
  <si>
    <t>casino games on line</t>
  </si>
  <si>
    <t>new zealand online casino</t>
  </si>
  <si>
    <t>live casino locations</t>
  </si>
  <si>
    <t>online cardano casino</t>
  </si>
  <si>
    <t>online casinos mit startgeld ohne einzahlung</t>
  </si>
  <si>
    <t>best casino games online uk</t>
  </si>
  <si>
    <t>online casino philippines paypal</t>
  </si>
  <si>
    <t>real money online casino kansas</t>
  </si>
  <si>
    <t>best payout online casinos</t>
  </si>
  <si>
    <t>most trusted online casino usa</t>
  </si>
  <si>
    <t>love island games casino</t>
  </si>
  <si>
    <t>betfair live casino</t>
  </si>
  <si>
    <t>schweizer online casinos</t>
  </si>
  <si>
    <t>best online casinos singapore</t>
  </si>
  <si>
    <t>goldbet casino online</t>
  </si>
  <si>
    <t>roulette online casino</t>
  </si>
  <si>
    <t>au$ online casino</t>
  </si>
  <si>
    <t>casino online bonus 🇩🇪 casinod.casino 🎁</t>
  </si>
  <si>
    <t>best payout online casino sites</t>
  </si>
  <si>
    <t>new aus online casino</t>
  </si>
  <si>
    <t>online casino vulkan</t>
  </si>
  <si>
    <t>eu online casinos</t>
  </si>
  <si>
    <t>new casino online 2023</t>
  </si>
  <si>
    <t>spinit casino online</t>
  </si>
  <si>
    <t>tipico live casino</t>
  </si>
  <si>
    <t>online casino mit apple pay</t>
  </si>
  <si>
    <t>online casino usa no deposit bonus</t>
  </si>
  <si>
    <t>casino online 2017</t>
  </si>
  <si>
    <t>mgm online casinos</t>
  </si>
  <si>
    <t>bestes applepay online casino</t>
  </si>
  <si>
    <t>casino poker games online</t>
  </si>
  <si>
    <t>online casino no wagering requirements</t>
  </si>
  <si>
    <t>online casino neukundenbonus ohne einzahlung</t>
  </si>
  <si>
    <t>casino action games</t>
  </si>
  <si>
    <t>pagoefectivo en casino online</t>
  </si>
  <si>
    <t>online casinos in ontario</t>
  </si>
  <si>
    <t>rhode island online casinos</t>
  </si>
  <si>
    <t>triple edge studios online casinos</t>
  </si>
  <si>
    <t>hard rock casino online free play</t>
  </si>
  <si>
    <t>top online casinos ireland</t>
  </si>
  <si>
    <t>online casino ελλάδα</t>
  </si>
  <si>
    <t>online casino danmark de bedste online casinoer</t>
  </si>
  <si>
    <t>online casinos ohne limit</t>
  </si>
  <si>
    <t>jackpotcity online casino review</t>
  </si>
  <si>
    <t>red slots online casino</t>
  </si>
  <si>
    <t>casinos online fuera de españa</t>
  </si>
  <si>
    <t>paid online casino</t>
  </si>
  <si>
    <t>online casino no sticky bonus</t>
  </si>
  <si>
    <t>online casino ohne 5 sekunden regel</t>
  </si>
  <si>
    <t>toto online casino</t>
  </si>
  <si>
    <t>casino online mexico</t>
  </si>
  <si>
    <t>free casino online games</t>
  </si>
  <si>
    <t>australian online casino payid</t>
  </si>
  <si>
    <t>welches online casino zahlt am besten</t>
  </si>
  <si>
    <t>online gambling sites for real money</t>
  </si>
  <si>
    <t>best canada online casinos</t>
  </si>
  <si>
    <t>empire casino online</t>
  </si>
  <si>
    <t>best online baccarat casino</t>
  </si>
  <si>
    <t>las vegas online casinos</t>
  </si>
  <si>
    <t>american online casinos</t>
  </si>
  <si>
    <t>casinos online portugal</t>
  </si>
  <si>
    <t>online casinos mit startguthaben</t>
  </si>
  <si>
    <t>games online casino</t>
  </si>
  <si>
    <t>gambling online malaysia</t>
  </si>
  <si>
    <t>million casino online</t>
  </si>
  <si>
    <t>new zealad online casino</t>
  </si>
  <si>
    <t>parx online casino reviews</t>
  </si>
  <si>
    <t>casino de online</t>
  </si>
  <si>
    <t>casinos gambling online</t>
  </si>
  <si>
    <t>live sic bo casino</t>
  </si>
  <si>
    <t>online casino met ideal</t>
  </si>
  <si>
    <t>online casino minimální vklad 5 eur</t>
  </si>
  <si>
    <t>casino online que acepta neteller</t>
  </si>
  <si>
    <t>reliable online casino reviews</t>
  </si>
  <si>
    <t>best canadian online casino bonuses</t>
  </si>
  <si>
    <t>malaysia online casino</t>
  </si>
  <si>
    <t>premier live casino</t>
  </si>
  <si>
    <t>old casino games</t>
  </si>
  <si>
    <t>new online casinos 2021 usa</t>
  </si>
  <si>
    <t>online casino bonus ohne einzahlung sofort 2021</t>
  </si>
  <si>
    <t>free credit online casino</t>
  </si>
  <si>
    <t>casino deutschland online bonus ohne einzahlung</t>
  </si>
  <si>
    <t>slot machine gambling online</t>
  </si>
  <si>
    <t>start online casino</t>
  </si>
  <si>
    <t>online casino österreich paypal</t>
  </si>
  <si>
    <t>common casino table games</t>
  </si>
  <si>
    <t>casino del rio online</t>
  </si>
  <si>
    <t>top online casino malaysia</t>
  </si>
  <si>
    <t>netent live casino</t>
  </si>
  <si>
    <t>usa online gambling sites</t>
  </si>
  <si>
    <t>online casino spelautomater</t>
  </si>
  <si>
    <t>online us casinos</t>
  </si>
  <si>
    <t>best online poker casino</t>
  </si>
  <si>
    <t>bester willkommensbonus online casino</t>
  </si>
  <si>
    <t>canada casinos online</t>
  </si>
  <si>
    <t>777 online casino</t>
  </si>
  <si>
    <t>play casino games for free</t>
  </si>
  <si>
    <t>caesars casino online free slots</t>
  </si>
  <si>
    <t>free games slot casino</t>
  </si>
  <si>
    <t>free casino games with free coins no deposit</t>
  </si>
  <si>
    <t>online casino european roulette</t>
  </si>
  <si>
    <t>casino game online free</t>
  </si>
  <si>
    <t>casinos australia online</t>
  </si>
  <si>
    <t>best bonus casino online</t>
  </si>
  <si>
    <t>casino online en colombia</t>
  </si>
  <si>
    <t>live casino h</t>
  </si>
  <si>
    <t>coral casino online</t>
  </si>
  <si>
    <t>casino online with real money</t>
  </si>
  <si>
    <t>online casinos that payout instantly</t>
  </si>
  <si>
    <t>online casino mit bank verifizierung</t>
  </si>
  <si>
    <t>best real money online casino canada</t>
  </si>
  <si>
    <t>best us online casinos</t>
  </si>
  <si>
    <t>online casino bonus ohne einzahlung neu 2024</t>
  </si>
  <si>
    <t>casino estoril online bonus</t>
  </si>
  <si>
    <t>independent online casinos uk</t>
  </si>
  <si>
    <t>best canadian casinos online</t>
  </si>
  <si>
    <t>live casino uk</t>
  </si>
  <si>
    <t>no deposit free spins online casino</t>
  </si>
  <si>
    <t>bahraini online casino</t>
  </si>
  <si>
    <t>casino online lightning roulette</t>
  </si>
  <si>
    <t>newest casino online</t>
  </si>
  <si>
    <t>playzee online casino</t>
  </si>
  <si>
    <t>lightning roulette online casino</t>
  </si>
  <si>
    <t>parx casino online</t>
  </si>
  <si>
    <t>stars casino online</t>
  </si>
  <si>
    <t>free casino games download</t>
  </si>
  <si>
    <t>online casino no deposit bonus code</t>
  </si>
  <si>
    <t>alla casino online</t>
  </si>
  <si>
    <t>online casino geld zurück erfahrung österreich</t>
  </si>
  <si>
    <t>skycity online casino website</t>
  </si>
  <si>
    <t>best live casino bonuses</t>
  </si>
  <si>
    <t>unibet online casino review pa</t>
  </si>
  <si>
    <t>best mobile online casino</t>
  </si>
  <si>
    <t>pinup online casino aviator</t>
  </si>
  <si>
    <t>live casino poker tournament</t>
  </si>
  <si>
    <t>winning online casino</t>
  </si>
  <si>
    <t>online casino business plan pdf</t>
  </si>
  <si>
    <t>új magyar online casino</t>
  </si>
  <si>
    <t>paddy power online casino</t>
  </si>
  <si>
    <t>canada online free casinos</t>
  </si>
  <si>
    <t>best muchbetter online casino sites</t>
  </si>
  <si>
    <t>delaware online casino</t>
  </si>
  <si>
    <t>beste bonus online casino</t>
  </si>
  <si>
    <t>top online casinos in australia</t>
  </si>
  <si>
    <t>canadian casino games</t>
  </si>
  <si>
    <t>sg online casino</t>
  </si>
  <si>
    <t>casino caliente online</t>
  </si>
  <si>
    <t>online casinos mit klarna</t>
  </si>
  <si>
    <t>online casino no id</t>
  </si>
  <si>
    <t>online casinos with visa</t>
  </si>
  <si>
    <t>thailand online casino</t>
  </si>
  <si>
    <t>canadian online casino</t>
  </si>
  <si>
    <t>netent online casinos portugal</t>
  </si>
  <si>
    <t>craps casino online</t>
  </si>
  <si>
    <t>slot online gambling</t>
  </si>
  <si>
    <t>casinos online criptomonedas</t>
  </si>
  <si>
    <t>löwenplay online casino</t>
  </si>
  <si>
    <t>slots capital casino online</t>
  </si>
  <si>
    <t>online casino echtgeld schnelle auszahlung</t>
  </si>
  <si>
    <t>minnesota online gambling</t>
  </si>
  <si>
    <t>online casino real</t>
  </si>
  <si>
    <t>best online live casino uk</t>
  </si>
  <si>
    <t>live slots casino</t>
  </si>
  <si>
    <t>best australian online casino paypal</t>
  </si>
  <si>
    <t>online hollywood casino</t>
  </si>
  <si>
    <t>live hotel and casino</t>
  </si>
  <si>
    <t>online mobile casinos usa</t>
  </si>
  <si>
    <t>online casino mit paysafecard</t>
  </si>
  <si>
    <t>new york casino online</t>
  </si>
  <si>
    <t>online casino kenya</t>
  </si>
  <si>
    <t>spela online casino utomlands</t>
  </si>
  <si>
    <t>rbc online gambling</t>
  </si>
  <si>
    <t>online casino offer</t>
  </si>
  <si>
    <t>online free bonus casino</t>
  </si>
  <si>
    <t>biggest winnuing casino online</t>
  </si>
  <si>
    <t>online casino poli</t>
  </si>
  <si>
    <t>casino games play for real money</t>
  </si>
  <si>
    <t>free online casino slots with bonus rounds</t>
  </si>
  <si>
    <t>top european online casinos</t>
  </si>
  <si>
    <t>atlantic city online casino</t>
  </si>
  <si>
    <t>casinos online que aceptan mastercard</t>
  </si>
  <si>
    <t>casino online slot 🇩🇪 deutshespiele.blog</t>
  </si>
  <si>
    <t>casino slot machine games</t>
  </si>
  <si>
    <t>casino aams online</t>
  </si>
  <si>
    <t>rocket online casino</t>
  </si>
  <si>
    <t>free online casino spins no deposit</t>
  </si>
  <si>
    <t>mejores casinos online méxico</t>
  </si>
  <si>
    <t>games casino slot</t>
  </si>
  <si>
    <t>best ireland online casino</t>
  </si>
  <si>
    <t>online casino 1 euro einsatz</t>
  </si>
  <si>
    <t>best realtime gaming online casino sites</t>
  </si>
  <si>
    <t>online casino with neosurf</t>
  </si>
  <si>
    <t>states that allow online gambling</t>
  </si>
  <si>
    <t>online casino minimální vklad 200 kč</t>
  </si>
  <si>
    <t>casinos online en chile</t>
  </si>
  <si>
    <t>best online gambling games</t>
  </si>
  <si>
    <t>best canadian online casinos</t>
  </si>
  <si>
    <t>casino online 2018</t>
  </si>
  <si>
    <t>british online casino</t>
  </si>
  <si>
    <t>astropay en casino online</t>
  </si>
  <si>
    <t>one casino online</t>
  </si>
  <si>
    <t>live casino hotel</t>
  </si>
  <si>
    <t>danish online casino</t>
  </si>
  <si>
    <t>sports gambling sites online</t>
  </si>
  <si>
    <t>online casino games ontario</t>
  </si>
  <si>
    <t>online casino russia</t>
  </si>
  <si>
    <t>hollywood online casino promo code</t>
  </si>
  <si>
    <t>online casino apps for real money</t>
  </si>
  <si>
    <t>best phone casino games</t>
  </si>
  <si>
    <t>american roulette online casino</t>
  </si>
  <si>
    <t>wildcardcity casino online</t>
  </si>
  <si>
    <t>casino online legais em portugal</t>
  </si>
  <si>
    <t>top scientific games online casino</t>
  </si>
  <si>
    <t>ny online casinos</t>
  </si>
  <si>
    <t>playstar online casino nj</t>
  </si>
  <si>
    <t>pin up bet casino pin up online</t>
  </si>
  <si>
    <t>bitcoin cash online casinos</t>
  </si>
  <si>
    <t>casino slots online gambling</t>
  </si>
  <si>
    <t>casinos online new zealand</t>
  </si>
  <si>
    <t>jogos casino online</t>
  </si>
  <si>
    <t>internet cafe online casino</t>
  </si>
  <si>
    <t>casino pin up online</t>
  </si>
  <si>
    <t>online blackjack casino</t>
  </si>
  <si>
    <t>mejor casino online ruleta</t>
  </si>
  <si>
    <t>real online casino apps</t>
  </si>
  <si>
    <t>most reputable online casino</t>
  </si>
  <si>
    <t>proveedor de software para casino online</t>
  </si>
  <si>
    <t>much better online casino</t>
  </si>
  <si>
    <t>online casino reactoonz</t>
  </si>
  <si>
    <t>casino schedule ease online</t>
  </si>
  <si>
    <t>online casino bonus code</t>
  </si>
  <si>
    <t>eldorado casino online</t>
  </si>
  <si>
    <t>list of usa online casinos</t>
  </si>
  <si>
    <t>video poker casino games</t>
  </si>
  <si>
    <t>casino online in india</t>
  </si>
  <si>
    <t>tropicana online casino promo codes</t>
  </si>
  <si>
    <t>online casino maestro</t>
  </si>
  <si>
    <t>best bitcoin cash casino online</t>
  </si>
  <si>
    <t>gaming club online casino spanish</t>
  </si>
  <si>
    <t>instant withdrawal online casino usa 2020</t>
  </si>
  <si>
    <t>online casino pagcor</t>
  </si>
  <si>
    <t>play casino online</t>
  </si>
  <si>
    <t>best mastercard online casinos</t>
  </si>
  <si>
    <t>casino games odds chart</t>
  </si>
  <si>
    <t>free casino games no deposit</t>
  </si>
  <si>
    <t>online casino welcome bonuses</t>
  </si>
  <si>
    <t>online casino bonus ohne einzahlung 2024</t>
  </si>
  <si>
    <t>casino online smartphone</t>
  </si>
  <si>
    <t>casino online bonus de registo</t>
  </si>
  <si>
    <t>spil casino online</t>
  </si>
  <si>
    <t>casino online brazil</t>
  </si>
  <si>
    <t>top 10 online gambling companies</t>
  </si>
  <si>
    <t>beste online roulette casinos</t>
  </si>
  <si>
    <t>play free casino games</t>
  </si>
  <si>
    <t>online casino startguthaben</t>
  </si>
  <si>
    <t>betconstruct live casino</t>
  </si>
  <si>
    <t>live casino gaming</t>
  </si>
  <si>
    <t>online casino roulette 10 cent</t>
  </si>
  <si>
    <t>ireland casino online</t>
  </si>
  <si>
    <t>top online casinos in uk</t>
  </si>
  <si>
    <t>online casino zonder idin</t>
  </si>
  <si>
    <t>online real money gambling</t>
  </si>
  <si>
    <t>beste online casino app</t>
  </si>
  <si>
    <t>best casino games in canada</t>
  </si>
  <si>
    <t>online gambling platform</t>
  </si>
  <si>
    <t>casino online 777</t>
  </si>
  <si>
    <t>casino games free casino games</t>
  </si>
  <si>
    <t>jugar al casino online</t>
  </si>
  <si>
    <t>online casino sweden</t>
  </si>
  <si>
    <t>lucky casino games</t>
  </si>
  <si>
    <t>real cash casino online</t>
  </si>
  <si>
    <t>online casino lizenz deutschland</t>
  </si>
  <si>
    <t>free spins no deposit casino games</t>
  </si>
  <si>
    <t>nine casino online</t>
  </si>
  <si>
    <t>casino online india</t>
  </si>
  <si>
    <t>best indian online casino</t>
  </si>
  <si>
    <t>caesars pa online casino bonus code</t>
  </si>
  <si>
    <t>casinos deutschland online</t>
  </si>
  <si>
    <t>casino igkbet online</t>
  </si>
  <si>
    <t>bgaming online casinos</t>
  </si>
  <si>
    <t>best online sports gambling</t>
  </si>
  <si>
    <t>safe gambling online sites</t>
  </si>
  <si>
    <t>best nj casino online</t>
  </si>
  <si>
    <t>gambling online canada</t>
  </si>
  <si>
    <t>mejor juego de casino online</t>
  </si>
  <si>
    <t>worldwide casino online</t>
  </si>
  <si>
    <t>gratis online casino</t>
  </si>
  <si>
    <t>casino online bono bienvenida</t>
  </si>
  <si>
    <t>live casino sites</t>
  </si>
  <si>
    <t>casino online no deposit free money</t>
  </si>
  <si>
    <t>louisiana online casino sites</t>
  </si>
  <si>
    <t>casinos online mexico</t>
  </si>
  <si>
    <t>bitcoin casino slot games</t>
  </si>
  <si>
    <t>online casino gratis bonus ohne einzahlung</t>
  </si>
  <si>
    <t>live casino tricks</t>
  </si>
  <si>
    <t>pronto casino live chat</t>
  </si>
  <si>
    <t>jugar casino online sin deposito</t>
  </si>
  <si>
    <t>online casino iowa</t>
  </si>
  <si>
    <t>casino online gratuit</t>
  </si>
  <si>
    <t>genesis online casino review</t>
  </si>
  <si>
    <t>online casino jamaica</t>
  </si>
  <si>
    <t>casino games litecoin</t>
  </si>
  <si>
    <t>casino games no download</t>
  </si>
  <si>
    <t>casinos new online</t>
  </si>
  <si>
    <t>online casinos usa</t>
  </si>
  <si>
    <t>online casino uk</t>
  </si>
  <si>
    <t>blitz casino online</t>
  </si>
  <si>
    <t>online casino colorado real money</t>
  </si>
  <si>
    <t>online casino pennsylvania</t>
  </si>
  <si>
    <t>casino online brasil</t>
  </si>
  <si>
    <t>play casino free games</t>
  </si>
  <si>
    <t>casino pokies games</t>
  </si>
  <si>
    <t>casino holdem online</t>
  </si>
  <si>
    <t>harrahs online casino promo code</t>
  </si>
  <si>
    <t>download free casino slot games for mobile phone</t>
  </si>
  <si>
    <t>10 minimum deposit online casino</t>
  </si>
  <si>
    <t>judi casino live</t>
  </si>
  <si>
    <t>super7 casino online</t>
  </si>
  <si>
    <t>canada online casino no deposit bonus</t>
  </si>
  <si>
    <t>online casino software free</t>
  </si>
  <si>
    <t>casino online piu affidabili</t>
  </si>
  <si>
    <t>mgm online casino games</t>
  </si>
  <si>
    <t>australian real money online casino</t>
  </si>
  <si>
    <t>747 live casino login slot play philippines</t>
  </si>
  <si>
    <t>hrvatski online casino</t>
  </si>
  <si>
    <t>minimum deposit casino online</t>
  </si>
  <si>
    <t>all michigan online casinos</t>
  </si>
  <si>
    <t>online casinos that accept credit card</t>
  </si>
  <si>
    <t>online casino easy withdrawal</t>
  </si>
  <si>
    <t>safe uk online casino</t>
  </si>
  <si>
    <t>best konami online casinos</t>
  </si>
  <si>
    <t>melhores casinos online paypal</t>
  </si>
  <si>
    <t>bc casino online</t>
  </si>
  <si>
    <t>top online casinos that accept maestro</t>
  </si>
  <si>
    <t>starburst online casino</t>
  </si>
  <si>
    <t>online casino zahlungsmethoden</t>
  </si>
  <si>
    <t>ruby fortune casino online</t>
  </si>
  <si>
    <t>online casino with free signup bonus real money</t>
  </si>
  <si>
    <t>1xbet free online casino</t>
  </si>
  <si>
    <t>online casino österreich legal echtgeld</t>
  </si>
  <si>
    <t>bestes sweet alchemy online casino</t>
  </si>
  <si>
    <t>online casino uden dansk licens</t>
  </si>
  <si>
    <t>online casino per sms aufladen deutschland</t>
  </si>
  <si>
    <t>online casinos mit bonus ohne einzahlung</t>
  </si>
  <si>
    <t>canada’s best online casinos</t>
  </si>
  <si>
    <t>online casino platform</t>
  </si>
  <si>
    <t>online casino peru</t>
  </si>
  <si>
    <t>gratis casino spel online</t>
  </si>
  <si>
    <t>online casino with sign up bonus</t>
  </si>
  <si>
    <t>casino online nieuw</t>
  </si>
  <si>
    <t>live casino days</t>
  </si>
  <si>
    <t>online casino sg</t>
  </si>
  <si>
    <t>canadian online casino free spins</t>
  </si>
  <si>
    <t>gamble online casino</t>
  </si>
  <si>
    <t>popular online casino india 2022</t>
  </si>
  <si>
    <t>online casino offers no deposit</t>
  </si>
  <si>
    <t>casino online ro</t>
  </si>
  <si>
    <t>online casino chile</t>
  </si>
  <si>
    <t>online free gambling</t>
  </si>
  <si>
    <t>cabaretclub online casino</t>
  </si>
  <si>
    <t>online casino bitcoins</t>
  </si>
  <si>
    <t>best online casino california</t>
  </si>
  <si>
    <t>online gambling fl</t>
  </si>
  <si>
    <t>betmgm casino online</t>
  </si>
  <si>
    <t>online casino affiliate programs</t>
  </si>
  <si>
    <t>skycity online casino</t>
  </si>
  <si>
    <t>bandar judi casino ibcbet online</t>
  </si>
  <si>
    <t>online live casino in singapore</t>
  </si>
  <si>
    <t>new casinos online usa</t>
  </si>
  <si>
    <t>betcris casino online</t>
  </si>
  <si>
    <t>nj approved online casinos</t>
  </si>
  <si>
    <t>best online gambling sites in the uk</t>
  </si>
  <si>
    <t>el mejor casino online del mundo</t>
  </si>
  <si>
    <t>software casino online</t>
  </si>
  <si>
    <t>como ganar en el casino online</t>
  </si>
  <si>
    <t>sisal casino online</t>
  </si>
  <si>
    <t>best payout online casino uk</t>
  </si>
  <si>
    <t>online ufc gambling</t>
  </si>
  <si>
    <t>table games at casino</t>
  </si>
  <si>
    <t>arizona online gambling</t>
  </si>
  <si>
    <t>football online gambling</t>
  </si>
  <si>
    <t>casino table games online free</t>
  </si>
  <si>
    <t>types of casino poker games</t>
  </si>
  <si>
    <t>real money online casino new jersey</t>
  </si>
  <si>
    <t>casino games integration</t>
  </si>
  <si>
    <t>best payout percentage online casinos</t>
  </si>
  <si>
    <t>casino espana online</t>
  </si>
  <si>
    <t>agen judi casino live terbesar</t>
  </si>
  <si>
    <t>uk new online casino</t>
  </si>
  <si>
    <t>casino live dealers</t>
  </si>
  <si>
    <t>live casino 🇩🇪 echtgeldspiele.site</t>
  </si>
  <si>
    <t>jogar no casino online</t>
  </si>
  <si>
    <t>online casino spiele um echtes geld</t>
  </si>
  <si>
    <t>online casino mit paysafecard bonus</t>
  </si>
  <si>
    <t>www chancesgames com casino casino games</t>
  </si>
  <si>
    <t>casino games that win real money</t>
  </si>
  <si>
    <t>gamingclub casino online</t>
  </si>
  <si>
    <t>live monopoly casino</t>
  </si>
  <si>
    <t>american live casino</t>
  </si>
  <si>
    <t>online casino lv</t>
  </si>
  <si>
    <t>casino online en vivo</t>
  </si>
  <si>
    <t>synot tip online casino</t>
  </si>
  <si>
    <t>affiliate online casino</t>
  </si>
  <si>
    <t>agen betting casino bluebet33 online</t>
  </si>
  <si>
    <t>best online casinos in zambia</t>
  </si>
  <si>
    <t>william hill online gambling</t>
  </si>
  <si>
    <t>melhor casino online portugal</t>
  </si>
  <si>
    <t>legaal online casino</t>
  </si>
  <si>
    <t>casino site online</t>
  </si>
  <si>
    <t>online casino spiele casino online</t>
  </si>
  <si>
    <t>safer online gambling</t>
  </si>
  <si>
    <t>interac online casino</t>
  </si>
  <si>
    <t>lucky 777 online casino</t>
  </si>
  <si>
    <t>online casino stake</t>
  </si>
  <si>
    <t>online live roulette casino</t>
  </si>
  <si>
    <t>online casino wisconsin</t>
  </si>
  <si>
    <t>best online casino apps real money</t>
  </si>
  <si>
    <t>play casino free online</t>
  </si>
  <si>
    <t>new us online casino</t>
  </si>
  <si>
    <t>other great casino games will</t>
  </si>
  <si>
    <t>bet at home live casino</t>
  </si>
  <si>
    <t>best pariplay online casinos</t>
  </si>
  <si>
    <t>live casino online usa</t>
  </si>
  <si>
    <t>realistic games casino</t>
  </si>
  <si>
    <t>online casino mit handyrechnung bezahlen schweiz</t>
  </si>
  <si>
    <t>comeon online casino</t>
  </si>
  <si>
    <t>online casino 10 euro startguthaben</t>
  </si>
  <si>
    <t>live casino online indonesia</t>
  </si>
  <si>
    <t>online plinko gambling</t>
  </si>
  <si>
    <t>online casinos ohne dokumente</t>
  </si>
  <si>
    <t>online casino 10 euro einzahlen bonus</t>
  </si>
  <si>
    <t>zahlungsmittel online casinos</t>
  </si>
  <si>
    <t>punishment for online gambling</t>
  </si>
  <si>
    <t>$1 deposit online casino nz</t>
  </si>
  <si>
    <t>black hole online casino</t>
  </si>
  <si>
    <t>daftar situs casino online terpercaya</t>
  </si>
  <si>
    <t>casino games developer</t>
  </si>
  <si>
    <t>online casino österreich geld zurückfordern</t>
  </si>
  <si>
    <t>top online casinos nz</t>
  </si>
  <si>
    <t>online canadian casino instant play</t>
  </si>
  <si>
    <t>drückglück live casino</t>
  </si>
  <si>
    <t>malaysia live casino</t>
  </si>
  <si>
    <t>10 euro ohne einzahlung online casino</t>
  </si>
  <si>
    <t>kingmaker casino online</t>
  </si>
  <si>
    <t>instant withdrawal online casino singapore</t>
  </si>
  <si>
    <t>casino table games list</t>
  </si>
  <si>
    <t>agen judi live casino online</t>
  </si>
  <si>
    <t>online casino bankid</t>
  </si>
  <si>
    <t>best online casino for usa players</t>
  </si>
  <si>
    <t>online casino warrior</t>
  </si>
  <si>
    <t>casinia casino online</t>
  </si>
  <si>
    <t>eth casino online</t>
  </si>
  <si>
    <t>online casino auf rechnung</t>
  </si>
  <si>
    <t>casino online games for free</t>
  </si>
  <si>
    <t>online casinos free spins no deposit south africa</t>
  </si>
  <si>
    <t>online casino 1 euro einzahlung sofortüberweisung</t>
  </si>
  <si>
    <t>deutsch online casino</t>
  </si>
  <si>
    <t>palace of chance casino online</t>
  </si>
  <si>
    <t>new online casino nz</t>
  </si>
  <si>
    <t>best online casino with real money</t>
  </si>
  <si>
    <t>napoleon games casino middelkerke</t>
  </si>
  <si>
    <t>legal online casino usa</t>
  </si>
  <si>
    <t>bonos de casino online costa rica</t>
  </si>
  <si>
    <t>bestes ecopayz online casino</t>
  </si>
  <si>
    <t>nj online casino sites</t>
  </si>
  <si>
    <t>casino game free online</t>
  </si>
  <si>
    <t>online gambling business</t>
  </si>
  <si>
    <t>online casino 10 euro</t>
  </si>
  <si>
    <t>link judi casino live</t>
  </si>
  <si>
    <t>online casinos in malta</t>
  </si>
  <si>
    <t>neue online casinos in österreich</t>
  </si>
  <si>
    <t>best online gambling new zealand</t>
  </si>
  <si>
    <t>mummys gold juegos de casino online</t>
  </si>
  <si>
    <t>casino rocket online</t>
  </si>
  <si>
    <t>best online microgaming casino</t>
  </si>
  <si>
    <t>new casino games free download</t>
  </si>
  <si>
    <t>easy online gambling</t>
  </si>
  <si>
    <t>casino 777 online</t>
  </si>
  <si>
    <t>real money online casino paypal</t>
  </si>
  <si>
    <t>most trustworthy online casino</t>
  </si>
  <si>
    <t>seven online casino</t>
  </si>
  <si>
    <t>bedste live casino</t>
  </si>
  <si>
    <t>instant payout casinos online</t>
  </si>
  <si>
    <t>casino online maestro</t>
  </si>
  <si>
    <t>bank transfer online casinos</t>
  </si>
  <si>
    <t>new casino online uk</t>
  </si>
  <si>
    <t>soaring eagle online casino</t>
  </si>
  <si>
    <t>online casino software companies</t>
  </si>
  <si>
    <t>maestro online casinos</t>
  </si>
  <si>
    <t>casino online gambling</t>
  </si>
  <si>
    <t>online casino 25 free spins</t>
  </si>
  <si>
    <t>online casino wire transfer withdrawal</t>
  </si>
  <si>
    <t>cara main casino online m88 dari hp android</t>
  </si>
  <si>
    <t>online casino muchbetter</t>
  </si>
  <si>
    <t>gametwist slots online casino</t>
  </si>
  <si>
    <t>live casino with no deposit bonus</t>
  </si>
  <si>
    <t>online casino for real cash</t>
  </si>
  <si>
    <t>casino games cash</t>
  </si>
  <si>
    <t>bestes online casino mit hoher gewinnchance</t>
  </si>
  <si>
    <t>free slot casinos online</t>
  </si>
  <si>
    <t>top online casinos south africa</t>
  </si>
  <si>
    <t>watch online casino</t>
  </si>
  <si>
    <t>casinos online españa bono sin deposito</t>
  </si>
  <si>
    <t>online casino българия</t>
  </si>
  <si>
    <t>best online casinos liechtenstein</t>
  </si>
  <si>
    <t>free credit online casino malaysia</t>
  </si>
  <si>
    <t>melhores casinos online do mundo</t>
  </si>
  <si>
    <t>online casino ct</t>
  </si>
  <si>
    <t>legal online casino ontario</t>
  </si>
  <si>
    <t>best new online casinos ireland</t>
  </si>
  <si>
    <t>kansas online casino</t>
  </si>
  <si>
    <t>ontario online gambling</t>
  </si>
  <si>
    <t>online casino bonus codes 2024</t>
  </si>
  <si>
    <t>all online casinos</t>
  </si>
  <si>
    <t>top 10 casino online nl</t>
  </si>
  <si>
    <t>online casino schnellste auszahlung</t>
  </si>
  <si>
    <t>online casino krypto</t>
  </si>
  <si>
    <t>online casinos no download</t>
  </si>
  <si>
    <t>virgin casino online pa</t>
  </si>
  <si>
    <t>safe online casino games</t>
  </si>
  <si>
    <t>ikibu casino online casino</t>
  </si>
  <si>
    <t>spin casino live</t>
  </si>
  <si>
    <t>drake online casino</t>
  </si>
  <si>
    <t>best paypal online casino</t>
  </si>
  <si>
    <t>indian casino online</t>
  </si>
  <si>
    <t>mr bet casino online</t>
  </si>
  <si>
    <t>casino online gratis bonus senza registrazione</t>
  </si>
  <si>
    <t>online casino echtgeld gewinnen</t>
  </si>
  <si>
    <t>jack's casino online</t>
  </si>
  <si>
    <t>montana casino online</t>
  </si>
  <si>
    <t>online gambling sites that accept apple pay</t>
  </si>
  <si>
    <t>new online casinos australia 2024</t>
  </si>
  <si>
    <t>watch live casino roulette</t>
  </si>
  <si>
    <t>parimatch live casino</t>
  </si>
  <si>
    <t>free online casino games real money no deposit</t>
  </si>
  <si>
    <t>online casino bonus 400</t>
  </si>
  <si>
    <t>casino online ohne download</t>
  </si>
  <si>
    <t>betway online casino &amp; slots</t>
  </si>
  <si>
    <t>quickspin online casino</t>
  </si>
  <si>
    <t>polish online casino</t>
  </si>
  <si>
    <t>australia casino online</t>
  </si>
  <si>
    <t>casino online bono sin deposito españa</t>
  </si>
  <si>
    <t>bestes kreditkarten online casino</t>
  </si>
  <si>
    <t>vegas casino online no deposit</t>
  </si>
  <si>
    <t>online casino bonus ohne einzahlung freispiele</t>
  </si>
  <si>
    <t>borgata online casino promo codes</t>
  </si>
  <si>
    <t>best casino online usa</t>
  </si>
  <si>
    <t>online casino no deposit codes</t>
  </si>
  <si>
    <t>mfortune casino online</t>
  </si>
  <si>
    <t>mejores casinos online españa</t>
  </si>
  <si>
    <t>online casino websites</t>
  </si>
  <si>
    <t>beste online casino ohne oasis</t>
  </si>
  <si>
    <t>casinos online ecuador</t>
  </si>
  <si>
    <t>casino in uk online</t>
  </si>
  <si>
    <t>best payout casino games</t>
  </si>
  <si>
    <t>online casino ohne download</t>
  </si>
  <si>
    <t>slot online 230--casino(rajadewa138)</t>
  </si>
  <si>
    <t>no deposit bonuses online casino</t>
  </si>
  <si>
    <t>dansk casino online</t>
  </si>
  <si>
    <t>sichere online casino</t>
  </si>
  <si>
    <t>casino online vulcan</t>
  </si>
  <si>
    <t>online casino european</t>
  </si>
  <si>
    <t>highest rated online casino</t>
  </si>
  <si>
    <t>highest winning online casino</t>
  </si>
  <si>
    <t>online casino german</t>
  </si>
  <si>
    <t>casino for free online</t>
  </si>
  <si>
    <t>best big time gaming online casinos</t>
  </si>
  <si>
    <t>online casino kostenlos startguthaben</t>
  </si>
  <si>
    <t>online casino mit bonus ohne einzahlung 2018</t>
  </si>
  <si>
    <t>online casino seiten</t>
  </si>
  <si>
    <t>free online games casino</t>
  </si>
  <si>
    <t>online gambling laws</t>
  </si>
  <si>
    <t>online casinos in norway</t>
  </si>
  <si>
    <t>online casino made in germany</t>
  </si>
  <si>
    <t>online casino tubes</t>
  </si>
  <si>
    <t>best online gambling sites for uk players</t>
  </si>
  <si>
    <t>live online casinos canada</t>
  </si>
  <si>
    <t>casino online news</t>
  </si>
  <si>
    <t>rtg online casinos</t>
  </si>
  <si>
    <t>new online casino 2020</t>
  </si>
  <si>
    <t>new online casino no deposit bonus codes</t>
  </si>
  <si>
    <t>az online casino real money</t>
  </si>
  <si>
    <t>online casino eye of horus</t>
  </si>
  <si>
    <t>online casino that accepts neosurf</t>
  </si>
  <si>
    <t>colorado online casino</t>
  </si>
  <si>
    <t>online casino live stream</t>
  </si>
  <si>
    <t>neue online casino bonus ohne einzahlung</t>
  </si>
  <si>
    <t>top neosurf online casino</t>
  </si>
  <si>
    <t>online casino slovensko</t>
  </si>
  <si>
    <t>online casino s českou licenci</t>
  </si>
  <si>
    <t>online casino ideal 10 euro</t>
  </si>
  <si>
    <t>bandar judi casino baccarat online</t>
  </si>
  <si>
    <t>zimpler online casino sites</t>
  </si>
  <si>
    <t>casino online 🇵🇱 kasyno.blog</t>
  </si>
  <si>
    <t>nj online casino live dealer</t>
  </si>
  <si>
    <t>online casino api</t>
  </si>
  <si>
    <t>casinos online legais</t>
  </si>
  <si>
    <t>legit online casino nz</t>
  </si>
  <si>
    <t>betchan online casino</t>
  </si>
  <si>
    <t>best online casino for nz players</t>
  </si>
  <si>
    <t>novoline online casino deutschland</t>
  </si>
  <si>
    <t>online casino bonussen</t>
  </si>
  <si>
    <t>win real cash online casino</t>
  </si>
  <si>
    <t>best online casino game to win money</t>
  </si>
  <si>
    <t>sons of slots online casino</t>
  </si>
  <si>
    <t>casino demo slot games</t>
  </si>
  <si>
    <t>beste online casino norge</t>
  </si>
  <si>
    <t>nj online casino bonuses</t>
  </si>
  <si>
    <t>live blackjack online casino</t>
  </si>
  <si>
    <t>online casinos ohne einzahlung mit bonus</t>
  </si>
  <si>
    <t>bwin online casino app</t>
  </si>
  <si>
    <t>new casino online canada</t>
  </si>
  <si>
    <t>online casino mit cash to code</t>
  </si>
  <si>
    <t>canada online casino</t>
  </si>
  <si>
    <t>casino slots online play</t>
  </si>
  <si>
    <t>pa online casino real money</t>
  </si>
  <si>
    <t>best canada online casino</t>
  </si>
  <si>
    <t>dogecoin casino online</t>
  </si>
  <si>
    <t>nieuwe online casinos</t>
  </si>
  <si>
    <t>easy casino games</t>
  </si>
  <si>
    <t>casino games online free play slot</t>
  </si>
  <si>
    <t>online casino review 2019</t>
  </si>
  <si>
    <t>online casino with apple pay</t>
  </si>
  <si>
    <t>slot online 223--casino(rajadewa138)</t>
  </si>
  <si>
    <t>best live casino websites</t>
  </si>
  <si>
    <t>curacao online gambling license</t>
  </si>
  <si>
    <t>online casino not registered with gamstop</t>
  </si>
  <si>
    <t>online casino top rated</t>
  </si>
  <si>
    <t>live casino holdem</t>
  </si>
  <si>
    <t>independent online casino uk</t>
  </si>
  <si>
    <t>casinos online play n go</t>
  </si>
  <si>
    <t>play real casino games online</t>
  </si>
  <si>
    <t>casino online italiano</t>
  </si>
  <si>
    <t>american express online casinos</t>
  </si>
  <si>
    <t>live dealer casino accepting bitcoin</t>
  </si>
  <si>
    <t>betrivers online casino</t>
  </si>
  <si>
    <t>online casino in connecticut</t>
  </si>
  <si>
    <t>bellagio casino online</t>
  </si>
  <si>
    <t>online vegas casinos</t>
  </si>
  <si>
    <t>virgin casino free slots online</t>
  </si>
  <si>
    <t>gambling game online</t>
  </si>
  <si>
    <t>online gambling age ny</t>
  </si>
  <si>
    <t>casinos online 888</t>
  </si>
  <si>
    <t>visa online casinos</t>
  </si>
  <si>
    <t>online gambling not on gamstop</t>
  </si>
  <si>
    <t>online gambling scams</t>
  </si>
  <si>
    <t>newfoundland and labrador online casinos</t>
  </si>
  <si>
    <t>casino online mit bonus</t>
  </si>
  <si>
    <t>online casino 888</t>
  </si>
  <si>
    <t>online casino 5 euro einzahlung</t>
  </si>
  <si>
    <t>casino online utländska</t>
  </si>
  <si>
    <t>online casino mit drei bezahlen</t>
  </si>
  <si>
    <t>idebit online casinos</t>
  </si>
  <si>
    <t>fansbet online casino review</t>
  </si>
  <si>
    <t>safe australian online casino</t>
  </si>
  <si>
    <t>lucky dreams online casino</t>
  </si>
  <si>
    <t>best evolution gaming online casinos</t>
  </si>
  <si>
    <t>sloturi casino online</t>
  </si>
  <si>
    <t>multibanco casino online</t>
  </si>
  <si>
    <t>fortune online casino</t>
  </si>
  <si>
    <t>online casino games win real money</t>
  </si>
  <si>
    <t>free online bonus casino</t>
  </si>
  <si>
    <t>free online casino no download</t>
  </si>
  <si>
    <t>new mexico online casinos</t>
  </si>
  <si>
    <t>online casinos in california</t>
  </si>
  <si>
    <t>hard rock online casino new jersey</t>
  </si>
  <si>
    <t>besten online casino</t>
  </si>
  <si>
    <t>mejor casino online chile</t>
  </si>
  <si>
    <t>online casino novoline</t>
  </si>
  <si>
    <t>igt online casinos</t>
  </si>
  <si>
    <t>winner casino online</t>
  </si>
  <si>
    <t>daftar casino online malaysia</t>
  </si>
  <si>
    <t>australia online casino real money</t>
  </si>
  <si>
    <t>live casino android</t>
  </si>
  <si>
    <t>online gambling in pa</t>
  </si>
  <si>
    <t>top online casino real money</t>
  </si>
  <si>
    <t>online casino italia</t>
  </si>
  <si>
    <t>casino online belgie</t>
  </si>
  <si>
    <t>casino pl online</t>
  </si>
  <si>
    <t>top australian online casino</t>
  </si>
  <si>
    <t>online casino handy</t>
  </si>
  <si>
    <t>new jersey casino online</t>
  </si>
  <si>
    <t>bitstarz online casino</t>
  </si>
  <si>
    <t>online energy casino</t>
  </si>
  <si>
    <t>vincere ai casino online</t>
  </si>
  <si>
    <t>online casino ei rekisteröitymistä</t>
  </si>
  <si>
    <t>lex casino online</t>
  </si>
  <si>
    <t>online casino starburst</t>
  </si>
  <si>
    <t>free spin casino online</t>
  </si>
  <si>
    <t>best online gambling websites</t>
  </si>
  <si>
    <t>zeus casino online</t>
  </si>
  <si>
    <t>casino online spielen book of ra</t>
  </si>
  <si>
    <t>casino type games</t>
  </si>
  <si>
    <t>play casino table games</t>
  </si>
  <si>
    <t>online casinos for usa players</t>
  </si>
  <si>
    <t>evolution casino live</t>
  </si>
  <si>
    <t>online casino no id verification</t>
  </si>
  <si>
    <t>top 20 online casinos</t>
  </si>
  <si>
    <t>bonus code online casino deutschland</t>
  </si>
  <si>
    <t>casino online free credit</t>
  </si>
  <si>
    <t>cabaretclub online casino español</t>
  </si>
  <si>
    <t>spinit online casino</t>
  </si>
  <si>
    <t>online casino no deposit required</t>
  </si>
  <si>
    <t>casino live online termurah</t>
  </si>
  <si>
    <t>jersey casino online</t>
  </si>
  <si>
    <t>new mexico online gambling</t>
  </si>
  <si>
    <t>online casino mit handy guthaben einzahlen</t>
  </si>
  <si>
    <t>casino ao vivo online</t>
  </si>
  <si>
    <t>online gambling georgia</t>
  </si>
  <si>
    <t>online casino that accepts google pay</t>
  </si>
  <si>
    <t>melhores casinos online com bónus de registo</t>
  </si>
  <si>
    <t>online casino real cash payouts</t>
  </si>
  <si>
    <t>casino free games no deposit</t>
  </si>
  <si>
    <t>casinos online autorizados en colombia</t>
  </si>
  <si>
    <t>pay n play online casinos</t>
  </si>
  <si>
    <t>new new zealand online casino</t>
  </si>
  <si>
    <t>live draw dubai casino</t>
  </si>
  <si>
    <t>casino london online</t>
  </si>
  <si>
    <t>mobile online casino no deposit bonus</t>
  </si>
  <si>
    <t>vulkan online casino</t>
  </si>
  <si>
    <t>dream catcher live casino</t>
  </si>
  <si>
    <t>casino flash games</t>
  </si>
  <si>
    <t>online casino geld zurück vorlage</t>
  </si>
  <si>
    <t>online casino mit bonus bei einzahlung</t>
  </si>
  <si>
    <t>mi online casinos</t>
  </si>
  <si>
    <t>online casinos boku</t>
  </si>
  <si>
    <t>betmgm online casino nj</t>
  </si>
  <si>
    <t>welche online casino spiele zahlen am besten</t>
  </si>
  <si>
    <t>types of casino table games</t>
  </si>
  <si>
    <t>delaware casinos online</t>
  </si>
  <si>
    <t>promotions live casino</t>
  </si>
  <si>
    <t>besten online casino österreich</t>
  </si>
  <si>
    <t>mohegan sun online casino bonus code</t>
  </si>
  <si>
    <t>klasino online casino</t>
  </si>
  <si>
    <t>casinos online confiaveis</t>
  </si>
  <si>
    <t>online casino featuring themed slot games</t>
  </si>
  <si>
    <t>legit usa online casinos</t>
  </si>
  <si>
    <t>live casino 2022</t>
  </si>
  <si>
    <t>casino online com</t>
  </si>
  <si>
    <t>online casino without deposit</t>
  </si>
  <si>
    <t>club royale casino online</t>
  </si>
  <si>
    <t>online gambling software providers</t>
  </si>
  <si>
    <t>real money online casino 2023</t>
  </si>
  <si>
    <t>die besten online casinos der welt</t>
  </si>
  <si>
    <t>evolution live casino</t>
  </si>
  <si>
    <t>live casino med dansk licens</t>
  </si>
  <si>
    <t>hoogste welkomstbonus online casino</t>
  </si>
  <si>
    <t>online casino in nederland</t>
  </si>
  <si>
    <t>online casino sign-up bonuses</t>
  </si>
  <si>
    <t>best android casino games</t>
  </si>
  <si>
    <t>hollywood casino sports book online</t>
  </si>
  <si>
    <t>scr888 casino online</t>
  </si>
  <si>
    <t>elenco casino online</t>
  </si>
  <si>
    <t>online casino s ceskou licenci</t>
  </si>
  <si>
    <t>the best casino online uk</t>
  </si>
  <si>
    <t>safest online casinos for us players</t>
  </si>
  <si>
    <t>best nz casino online</t>
  </si>
  <si>
    <t>casino games belgie</t>
  </si>
  <si>
    <t>judi casino live bonus melimpah</t>
  </si>
  <si>
    <t>online casino freispiele ohne einzahlung 2020</t>
  </si>
  <si>
    <t>bandar taruhan casino live terpercaya</t>
  </si>
  <si>
    <t>gokken online casino</t>
  </si>
  <si>
    <t>live casino paysafecard</t>
  </si>
  <si>
    <t>best crypto online casino</t>
  </si>
  <si>
    <t>newest online casinos in michigan</t>
  </si>
  <si>
    <t>jogar casino online gratis</t>
  </si>
  <si>
    <t>online casino merkur</t>
  </si>
  <si>
    <t>casinos online free play</t>
  </si>
  <si>
    <t>casino online buitenland</t>
  </si>
  <si>
    <t>best isoftbet online casino</t>
  </si>
  <si>
    <t>dizzy win online casino</t>
  </si>
  <si>
    <t>online casino vklad paysafecard</t>
  </si>
  <si>
    <t>multibanco casinos online</t>
  </si>
  <si>
    <t>alberta online gambling</t>
  </si>
  <si>
    <t>online casino erfahrungen 2021</t>
  </si>
  <si>
    <t>best live casino india</t>
  </si>
  <si>
    <t>best online casinos 2020</t>
  </si>
  <si>
    <t>casino dealer games</t>
  </si>
  <si>
    <t>demo play casino games</t>
  </si>
  <si>
    <t>beste online casinos mit auszahlung</t>
  </si>
  <si>
    <t>kostenlose online casino</t>
  </si>
  <si>
    <t>bodog online casino</t>
  </si>
  <si>
    <t>roulette online casinos</t>
  </si>
  <si>
    <t>online casino spill</t>
  </si>
  <si>
    <t>casino online sk</t>
  </si>
  <si>
    <t>beste online casinos nederland</t>
  </si>
  <si>
    <t>online casino australia free play</t>
  </si>
  <si>
    <t>jokaroom online casino</t>
  </si>
  <si>
    <t>online canada casino</t>
  </si>
  <si>
    <t>online casino lottery</t>
  </si>
  <si>
    <t>online casino no registration</t>
  </si>
  <si>
    <t>gran madrid casino online</t>
  </si>
  <si>
    <t>live casino napoleon games</t>
  </si>
  <si>
    <t>jackpot city casino online nz</t>
  </si>
  <si>
    <t>newest online real money casinos</t>
  </si>
  <si>
    <t>novoline online casino</t>
  </si>
  <si>
    <t>online casino deutschland erfahrungen</t>
  </si>
  <si>
    <t>online cafe casino</t>
  </si>
  <si>
    <t>online casino ohne 5 sekunden</t>
  </si>
  <si>
    <t>casino roulette free online game</t>
  </si>
  <si>
    <t>online casino to win real money</t>
  </si>
  <si>
    <t>free no deposit bonus online casino</t>
  </si>
  <si>
    <t>online casino no deposit bonus new</t>
  </si>
  <si>
    <t>king neptunes no deposit flash online casino</t>
  </si>
  <si>
    <t>new online casino no deposit bonuses</t>
  </si>
  <si>
    <t>casino online ohne anmeldung</t>
  </si>
  <si>
    <t>betfred live casino</t>
  </si>
  <si>
    <t>online casino gratis</t>
  </si>
  <si>
    <t>online gambling in rhode island</t>
  </si>
  <si>
    <t>online casinos ohne einzahlungslimit</t>
  </si>
  <si>
    <t>casino games you can win</t>
  </si>
  <si>
    <t>all pa online casinos</t>
  </si>
  <si>
    <t>usa online casino real money</t>
  </si>
  <si>
    <t>pagamentos casinos online</t>
  </si>
  <si>
    <t>canada online casino license</t>
  </si>
  <si>
    <t>play online casino with paypal</t>
  </si>
  <si>
    <t>slot online 246--casino(rajadewa138)</t>
  </si>
  <si>
    <t>casino online senza documenti</t>
  </si>
  <si>
    <t>play casino games online free for real money</t>
  </si>
  <si>
    <t>casino joker123 online</t>
  </si>
  <si>
    <t>best online casino ever</t>
  </si>
  <si>
    <t>casinos online india</t>
  </si>
  <si>
    <t>agen taruhan sbc168 casino online</t>
  </si>
  <si>
    <t>online gambling 2023</t>
  </si>
  <si>
    <t>online casino gambling</t>
  </si>
  <si>
    <t>online casinos mastercard</t>
  </si>
  <si>
    <t>online casino norsk</t>
  </si>
  <si>
    <t>online ada gambling</t>
  </si>
  <si>
    <t>maxbet online casino</t>
  </si>
  <si>
    <t>snelst uitbetalende online casino</t>
  </si>
  <si>
    <t>casino online ao vivo</t>
  </si>
  <si>
    <t>betfair live casino review</t>
  </si>
  <si>
    <t>online casino 5 euro gratis</t>
  </si>
  <si>
    <t>best online casino for real money</t>
  </si>
  <si>
    <t>taruhan casino online deposit termurah</t>
  </si>
  <si>
    <t>beste online casino bonus</t>
  </si>
  <si>
    <t>legitimate online casino australia</t>
  </si>
  <si>
    <t>merkur online casinos</t>
  </si>
  <si>
    <t>casino.com online casino</t>
  </si>
  <si>
    <t>live dealer casino no deposit bonus</t>
  </si>
  <si>
    <t>nc online gambling</t>
  </si>
  <si>
    <t>casino online noi</t>
  </si>
  <si>
    <t>casino online españa</t>
  </si>
  <si>
    <t>michigan new online casino</t>
  </si>
  <si>
    <t>play online casino with real money</t>
  </si>
  <si>
    <t>top zimpler online casinos</t>
  </si>
  <si>
    <t>echtgeld online casino bonus ohne einzahlung</t>
  </si>
  <si>
    <t>online casino rückforderung</t>
  </si>
  <si>
    <t>playson online casinos</t>
  </si>
  <si>
    <t>online casino in österreich</t>
  </si>
  <si>
    <t>casino live online asia</t>
  </si>
  <si>
    <t>casino games buffalo</t>
  </si>
  <si>
    <t>play demo casino games</t>
  </si>
  <si>
    <t>online casino downloads</t>
  </si>
  <si>
    <t>alabama online casino</t>
  </si>
  <si>
    <t>online gambling in ontario</t>
  </si>
  <si>
    <t>canada online casino sign up bonus</t>
  </si>
  <si>
    <t>betrouwbare online casinos</t>
  </si>
  <si>
    <t>247 casino games</t>
  </si>
  <si>
    <t>big fish casino online</t>
  </si>
  <si>
    <t>tarjeta de crédito para apostar en casinos online</t>
  </si>
  <si>
    <t>melhor jogo de casino online</t>
  </si>
  <si>
    <t>online casinos mit hoher auszahlungsquote</t>
  </si>
  <si>
    <t>online casino in der schweiz erlaubt</t>
  </si>
  <si>
    <t>777 live casino</t>
  </si>
  <si>
    <t>online casino jackpot</t>
  </si>
  <si>
    <t>xrp online casino</t>
  </si>
  <si>
    <t>live casino online indaxis.com</t>
  </si>
  <si>
    <t>oranje casino live</t>
  </si>
  <si>
    <t>fastest payouts online casino</t>
  </si>
  <si>
    <t>casino online postepay</t>
  </si>
  <si>
    <t>online casino with minimum deposit of 5</t>
  </si>
  <si>
    <t>european online casino</t>
  </si>
  <si>
    <t>resorts online casino review</t>
  </si>
  <si>
    <t>casino online gratuito</t>
  </si>
  <si>
    <t>australian online casino no deposit bonus codes</t>
  </si>
  <si>
    <t>neue deutsche online casinos</t>
  </si>
  <si>
    <t>win casino online</t>
  </si>
  <si>
    <t>casino online uden nemid</t>
  </si>
  <si>
    <t>online casino that accepts prepaid mastercard</t>
  </si>
  <si>
    <t>legale online casinos deutschland</t>
  </si>
  <si>
    <t>online gambling sports</t>
  </si>
  <si>
    <t>online uk casino</t>
  </si>
  <si>
    <t>virgin games casino</t>
  </si>
  <si>
    <t>bandar betting cbet casino online</t>
  </si>
  <si>
    <t>free bonus without deposit online casino</t>
  </si>
  <si>
    <t>casino games roulette rules</t>
  </si>
  <si>
    <t>new online casino malaysia</t>
  </si>
  <si>
    <t>casino online affidabili</t>
  </si>
  <si>
    <t>best casino games for beginners</t>
  </si>
  <si>
    <t>online casinos with live dealers</t>
  </si>
  <si>
    <t>create online casino</t>
  </si>
  <si>
    <t>top online casinos that accept neteller</t>
  </si>
  <si>
    <t>casino lisboa online</t>
  </si>
  <si>
    <t>michigan online casino welcome bonus</t>
  </si>
  <si>
    <t>online real casinos</t>
  </si>
  <si>
    <t>bigbola casino online</t>
  </si>
  <si>
    <t>free slot machines casino online slots games</t>
  </si>
  <si>
    <t>online casino no money</t>
  </si>
  <si>
    <t>online casinos paysafe</t>
  </si>
  <si>
    <t>online casino sports betting</t>
  </si>
  <si>
    <t>casino live stream</t>
  </si>
  <si>
    <t>online michigan casino</t>
  </si>
  <si>
    <t>online casino azerbaijan</t>
  </si>
  <si>
    <t>pin up online casino</t>
  </si>
  <si>
    <t>crusino online casino</t>
  </si>
  <si>
    <t>credit card online casino</t>
  </si>
  <si>
    <t>online casino games online</t>
  </si>
  <si>
    <t>legit online casinos usa</t>
  </si>
  <si>
    <t>ladbrokes casino online</t>
  </si>
  <si>
    <t>casino online adm</t>
  </si>
  <si>
    <t>online gambling websites</t>
  </si>
  <si>
    <t>betfair online casino bonus code</t>
  </si>
  <si>
    <t>online casino apps</t>
  </si>
  <si>
    <t>online casino bonus ohne umsatzbedingungen</t>
  </si>
  <si>
    <t>online gambling sites no deposit</t>
  </si>
  <si>
    <t>jeton online casinos</t>
  </si>
  <si>
    <t>lukki online casino</t>
  </si>
  <si>
    <t>online casinos that accept credit cards</t>
  </si>
  <si>
    <t>dice casino online</t>
  </si>
  <si>
    <t>norwegian escape casino games</t>
  </si>
  <si>
    <t>latest online casino no deposit bonus codes</t>
  </si>
  <si>
    <t>online free casinos slots</t>
  </si>
  <si>
    <t>player casino online</t>
  </si>
  <si>
    <t>top online casino australia</t>
  </si>
  <si>
    <t>beste schweizer online casinos</t>
  </si>
  <si>
    <t>casino spiele online kostenlos</t>
  </si>
  <si>
    <t>online casino support</t>
  </si>
  <si>
    <t>high paying ontario casinos online</t>
  </si>
  <si>
    <t>caesars online gambling</t>
  </si>
  <si>
    <t>online casino ohne einschränkungen</t>
  </si>
  <si>
    <t>casino online 10€ gratis</t>
  </si>
  <si>
    <t>online casinos accepting paypal</t>
  </si>
  <si>
    <t>free no download casino games</t>
  </si>
  <si>
    <t>leo las vegas online casino</t>
  </si>
  <si>
    <t>nieuwe online casino ideal</t>
  </si>
  <si>
    <t>formas de pago para casinos online</t>
  </si>
  <si>
    <t>bandar casino bola88 online</t>
  </si>
  <si>
    <t>montreal online casinos</t>
  </si>
  <si>
    <t>online casino testbericht</t>
  </si>
  <si>
    <t>online football gambling</t>
  </si>
  <si>
    <t>online casino nz</t>
  </si>
  <si>
    <t>best online casino netherlands</t>
  </si>
  <si>
    <t>casino games free play</t>
  </si>
  <si>
    <t>online casino app real money</t>
  </si>
  <si>
    <t>online casino betting australia</t>
  </si>
  <si>
    <t>us online casinos with low deposit</t>
  </si>
  <si>
    <t>pa online casino bonus</t>
  </si>
  <si>
    <t>hippodrome online casino voucher code</t>
  </si>
  <si>
    <t>mobile casino games for real money</t>
  </si>
  <si>
    <t>casino atlantic online</t>
  </si>
  <si>
    <t>mejor casino online blackjack andorra</t>
  </si>
  <si>
    <t>on line free casino games</t>
  </si>
  <si>
    <t>free casino slot games no deposit</t>
  </si>
  <si>
    <t>slot online 225--casino(rajadewa138)</t>
  </si>
  <si>
    <t>online casino mit ec karte</t>
  </si>
  <si>
    <t>online gambling in hawaii</t>
  </si>
  <si>
    <t>best online casino deals</t>
  </si>
  <si>
    <t>leo vegas live casino bonus</t>
  </si>
  <si>
    <t>online casino ideal payment</t>
  </si>
  <si>
    <t>crash online gambling</t>
  </si>
  <si>
    <t>freispiele online casino ohne einzahlung</t>
  </si>
  <si>
    <t>crypto games casino</t>
  </si>
  <si>
    <t>casino online voglia di vincere</t>
  </si>
  <si>
    <t>online casino mit neosurf</t>
  </si>
  <si>
    <t>live casino free bonus</t>
  </si>
  <si>
    <t>mgm online casino pa</t>
  </si>
  <si>
    <t>norskelodd online casino</t>
  </si>
  <si>
    <t>real money online casino south carolina</t>
  </si>
  <si>
    <t>mejor casino online neteller</t>
  </si>
  <si>
    <t>best online us casino</t>
  </si>
  <si>
    <t>lightning storm casino live</t>
  </si>
  <si>
    <t>online casino roulette strategy</t>
  </si>
  <si>
    <t>best online casino michigan</t>
  </si>
  <si>
    <t>casino game online play</t>
  </si>
  <si>
    <t>juegos gratis casino online sin descargar</t>
  </si>
  <si>
    <t>cosmo casino online</t>
  </si>
  <si>
    <t>online free casino slots</t>
  </si>
  <si>
    <t>best google pay online casinos</t>
  </si>
  <si>
    <t>online casinos free money no deposit</t>
  </si>
  <si>
    <t>utopia of the seas casino games</t>
  </si>
  <si>
    <t>spela casino online i mobilen</t>
  </si>
  <si>
    <t>best rated online casinos reviews</t>
  </si>
  <si>
    <t>online casino frankreich</t>
  </si>
  <si>
    <t>casino share online casino</t>
  </si>
  <si>
    <t>mejores casinos online españa bitcoin</t>
  </si>
  <si>
    <t>best online casino sites australia</t>
  </si>
  <si>
    <t>online casino österreich erfahrungen</t>
  </si>
  <si>
    <t>casino craps online free</t>
  </si>
  <si>
    <t>free slots and casino games</t>
  </si>
  <si>
    <t>best online casino reviews usa</t>
  </si>
  <si>
    <t>casino online como ganar</t>
  </si>
  <si>
    <t>live casino free</t>
  </si>
  <si>
    <t>play online casino no deposit bonus</t>
  </si>
  <si>
    <t>migliori casino online stranieri</t>
  </si>
  <si>
    <t>online casinos that accept mastercard</t>
  </si>
  <si>
    <t>10 beste online casino</t>
  </si>
  <si>
    <t>ontario casinos online</t>
  </si>
  <si>
    <t>online casino ohne einzahlen bonus</t>
  </si>
  <si>
    <t>online casino um echtes geld spielen</t>
  </si>
  <si>
    <t>casinos online visa españa</t>
  </si>
  <si>
    <t>olg casino online</t>
  </si>
  <si>
    <t>live casino evolution gaming</t>
  </si>
  <si>
    <t>live casino danmark</t>
  </si>
  <si>
    <t>bandar taruhan casino sbc168 online</t>
  </si>
  <si>
    <t>new online casinos canada 2021</t>
  </si>
  <si>
    <t>casino online português</t>
  </si>
  <si>
    <t>online casino mindesteinzahlung</t>
  </si>
  <si>
    <t>bluebet33 casino online</t>
  </si>
  <si>
    <t>washington dc casino online</t>
  </si>
  <si>
    <t>europalace casino online</t>
  </si>
  <si>
    <t>best european casino online</t>
  </si>
  <si>
    <t>best usa online casino fast payout</t>
  </si>
  <si>
    <t>play free casino slot games</t>
  </si>
  <si>
    <t>real vegas online casino</t>
  </si>
  <si>
    <t>live casino usa www.indaxis.com</t>
  </si>
  <si>
    <t>jackpot city casino live chat</t>
  </si>
  <si>
    <t>casino pinco online</t>
  </si>
  <si>
    <t>temple nile online casino</t>
  </si>
  <si>
    <t>golden nugget nj online casino</t>
  </si>
  <si>
    <t>guide to online casino</t>
  </si>
  <si>
    <t>casino live suisse</t>
  </si>
  <si>
    <t>best live casino games</t>
  </si>
  <si>
    <t>best honest online casino nz</t>
  </si>
  <si>
    <t>best online casinos for usa</t>
  </si>
  <si>
    <t>best live casino sites</t>
  </si>
  <si>
    <t>casino online entropay españa</t>
  </si>
  <si>
    <t>apostas casino online</t>
  </si>
  <si>
    <t>online casino bank transfer</t>
  </si>
  <si>
    <t>casino online live dealers</t>
  </si>
  <si>
    <t>free social casino games</t>
  </si>
  <si>
    <t>best online casino malaysia 2021</t>
  </si>
  <si>
    <t>casino games/ free</t>
  </si>
  <si>
    <t>online casino gates of olympus</t>
  </si>
  <si>
    <t>new real money online casinos</t>
  </si>
  <si>
    <t>free casinos online</t>
  </si>
  <si>
    <t>free casino slot games for fun downloads</t>
  </si>
  <si>
    <t>pirateplay casino live casino</t>
  </si>
  <si>
    <t>online casino news</t>
  </si>
  <si>
    <t>tipos online casino</t>
  </si>
  <si>
    <t>online casino nova scotia</t>
  </si>
  <si>
    <t>paginas de casinos online</t>
  </si>
  <si>
    <t>bästa casino online flashback</t>
  </si>
  <si>
    <t>md live casino</t>
  </si>
  <si>
    <t>chances casino online</t>
  </si>
  <si>
    <t>casino card games</t>
  </si>
  <si>
    <t>online casino slovenija</t>
  </si>
  <si>
    <t>online casino roulette bonus</t>
  </si>
  <si>
    <t>massachusetts online gambling</t>
  </si>
  <si>
    <t>deutsche casino online spielen</t>
  </si>
  <si>
    <t>judi igkbet casino online</t>
  </si>
  <si>
    <t>beste nieuwe online casino</t>
  </si>
  <si>
    <t>gambling at online casinos</t>
  </si>
  <si>
    <t>royal vegas online casino mobile</t>
  </si>
  <si>
    <t>online casino nederland echt geld</t>
  </si>
  <si>
    <t>online casino nevada</t>
  </si>
  <si>
    <t>online casino czech</t>
  </si>
  <si>
    <t>online casino with bonus no deposit</t>
  </si>
  <si>
    <t>singapore online live casino</t>
  </si>
  <si>
    <t>the best uk online casinos</t>
  </si>
  <si>
    <t>ocean online casino</t>
  </si>
  <si>
    <t>neosurf online casino australia</t>
  </si>
  <si>
    <t>casino nederlands online</t>
  </si>
  <si>
    <t>nj online casino bonus codes 2020</t>
  </si>
  <si>
    <t>best online casino colorado</t>
  </si>
  <si>
    <t>mi online casino no deposit bonus</t>
  </si>
  <si>
    <t>multi casino demo slot games</t>
  </si>
  <si>
    <t>watch casino royale online</t>
  </si>
  <si>
    <t>real money online casino wyoming</t>
  </si>
  <si>
    <t>novo casino online portugal</t>
  </si>
  <si>
    <t>virgin online casino login</t>
  </si>
  <si>
    <t>casino australia online</t>
  </si>
  <si>
    <t>online gambling real money paypal</t>
  </si>
  <si>
    <t>online gambling thailand</t>
  </si>
  <si>
    <t>live casino table games</t>
  </si>
  <si>
    <t>casinos españoles online</t>
  </si>
  <si>
    <t>21 nova online casino</t>
  </si>
  <si>
    <t>top canadian casino online</t>
  </si>
  <si>
    <t>online casino with echeck</t>
  </si>
  <si>
    <t>wyoming online gambling</t>
  </si>
  <si>
    <t>online casino signup bonus</t>
  </si>
  <si>
    <t>online casino btc</t>
  </si>
  <si>
    <t>mississippi online casino bonus</t>
  </si>
  <si>
    <t>lobangking68 trusted online casino</t>
  </si>
  <si>
    <t>online casinos mit boku</t>
  </si>
  <si>
    <t>evoplay online casino games</t>
  </si>
  <si>
    <t>juego online de casino</t>
  </si>
  <si>
    <t>casinos online fiables en españa</t>
  </si>
  <si>
    <t>online casino listings</t>
  </si>
  <si>
    <t>approved online casinos</t>
  </si>
  <si>
    <t>online casino roulette real money</t>
  </si>
  <si>
    <t>mummysgold juegos de casino online</t>
  </si>
  <si>
    <t>online casino free spins ohne einzahlung</t>
  </si>
  <si>
    <t>online casino with easy withdrawal</t>
  </si>
  <si>
    <t>download free casino games</t>
  </si>
  <si>
    <t>online casinos that use interac</t>
  </si>
  <si>
    <t>play casino online no deposit</t>
  </si>
  <si>
    <t>top rated online casino</t>
  </si>
  <si>
    <t>online casino 2019 bonus ohne einzahlung</t>
  </si>
  <si>
    <t>spin city casino online</t>
  </si>
  <si>
    <t>klage gegen online casino</t>
  </si>
  <si>
    <t>casino online non aams</t>
  </si>
  <si>
    <t>online play casino</t>
  </si>
  <si>
    <t>betus online casino</t>
  </si>
  <si>
    <t>live casino online blackjack</t>
  </si>
  <si>
    <t>real money online casino virginia</t>
  </si>
  <si>
    <t>toto casino online</t>
  </si>
  <si>
    <t>online casinos that accept apple pay</t>
  </si>
  <si>
    <t>best craps online casino</t>
  </si>
  <si>
    <t>irish online casino site</t>
  </si>
  <si>
    <t>spinyoo casino online in malta</t>
  </si>
  <si>
    <t>online casino without wagering requirements</t>
  </si>
  <si>
    <t>online casino ohne handynummer</t>
  </si>
  <si>
    <t>casino online italiani aams</t>
  </si>
  <si>
    <t>baha mar casino games</t>
  </si>
  <si>
    <t>agen betting live casino deposit 50 ribu</t>
  </si>
  <si>
    <t>best online casinos el salvador</t>
  </si>
  <si>
    <t>top 10 online casinos uk</t>
  </si>
  <si>
    <t>professional online casino content</t>
  </si>
  <si>
    <t>agen betting live casino online</t>
  </si>
  <si>
    <t>agen judi casino bluebet33 online</t>
  </si>
  <si>
    <t>online casino nz honestly</t>
  </si>
  <si>
    <t>online casino for android phones</t>
  </si>
  <si>
    <t>casinoin online casino</t>
  </si>
  <si>
    <t>los mejores casinos online en argentina</t>
  </si>
  <si>
    <t>live casino online danmark</t>
  </si>
  <si>
    <t>online casino 10 minimum deposit</t>
  </si>
  <si>
    <t>nv casino online login</t>
  </si>
  <si>
    <t>online casino new uk</t>
  </si>
  <si>
    <t>online casino visa</t>
  </si>
  <si>
    <t>esc casino estoril online</t>
  </si>
  <si>
    <t>compare uk online casinos</t>
  </si>
  <si>
    <t>online casino per handy bezahlen</t>
  </si>
  <si>
    <t>online casino deals</t>
  </si>
  <si>
    <t>online casino real money canada,</t>
  </si>
  <si>
    <t>online casino lawyers</t>
  </si>
  <si>
    <t>online casino with paypal</t>
  </si>
  <si>
    <t>agen taruhan casino live terbesar</t>
  </si>
  <si>
    <t>borgata online pa casino</t>
  </si>
  <si>
    <t>online casinos online uk</t>
  </si>
  <si>
    <t>best casino online site</t>
  </si>
  <si>
    <t>casino online free slot</t>
  </si>
  <si>
    <t>ceasars online casino nj</t>
  </si>
  <si>
    <t>top 5 online casino</t>
  </si>
  <si>
    <t>casino litecoin online</t>
  </si>
  <si>
    <t>safest online casino</t>
  </si>
  <si>
    <t>neue online casino bonus mit einzahlung</t>
  </si>
  <si>
    <t>casino online sicuri svizzera</t>
  </si>
  <si>
    <t>online social casinos</t>
  </si>
  <si>
    <t>online casinos with echeck</t>
  </si>
  <si>
    <t>australia real money online casino</t>
  </si>
  <si>
    <t>winstar online casino</t>
  </si>
  <si>
    <t>beste online casino bonus deutschland</t>
  </si>
  <si>
    <t>online casino turnkey</t>
  </si>
  <si>
    <t>avantgarde online casino</t>
  </si>
  <si>
    <t>usa online casinos</t>
  </si>
  <si>
    <t>free online casino games 888</t>
  </si>
  <si>
    <t>casinos online confiables en perú</t>
  </si>
  <si>
    <t>747 live casino register login</t>
  </si>
  <si>
    <t>coral live casino</t>
  </si>
  <si>
    <t>casino dal vivo online</t>
  </si>
  <si>
    <t>online casino not on gamstop uk</t>
  </si>
  <si>
    <t>demo casino online</t>
  </si>
  <si>
    <t>jackpotcity online casino mobile</t>
  </si>
  <si>
    <t>banks that allow online gambling</t>
  </si>
  <si>
    <t>casinos online sites</t>
  </si>
  <si>
    <t>online casino with daily bonus</t>
  </si>
  <si>
    <t>live games casino</t>
  </si>
  <si>
    <t>top 10 online gambling sites</t>
  </si>
  <si>
    <t>casino games free bonus</t>
  </si>
  <si>
    <t>online gambling in louisiana</t>
  </si>
  <si>
    <t>real online casino australia</t>
  </si>
  <si>
    <t>best online casinos with free spins</t>
  </si>
  <si>
    <t>online casino china</t>
  </si>
  <si>
    <t>online gambling payment processing</t>
  </si>
  <si>
    <t>casino games that pay real money with no deposit</t>
  </si>
  <si>
    <t>casino slot free games</t>
  </si>
  <si>
    <t>casino 888 live</t>
  </si>
  <si>
    <t>legal online blackjack gambling</t>
  </si>
  <si>
    <t>bingobonga casino online</t>
  </si>
  <si>
    <t>svensk online casino</t>
  </si>
  <si>
    <t>online casino canada legal</t>
  </si>
  <si>
    <t>casinos online no deposit bonus</t>
  </si>
  <si>
    <t>online casino php script free download</t>
  </si>
  <si>
    <t>real online casino for real money</t>
  </si>
  <si>
    <t>casino online espana</t>
  </si>
  <si>
    <t>american express online gambling</t>
  </si>
  <si>
    <t>free online casino games</t>
  </si>
  <si>
    <t>nuevos casino online</t>
  </si>
  <si>
    <t>cash back online casino</t>
  </si>
  <si>
    <t>online gambling paraguay</t>
  </si>
  <si>
    <t>online casino бонус без депозита</t>
  </si>
  <si>
    <t>traditional casino games</t>
  </si>
  <si>
    <t>casino slots games free for fun</t>
  </si>
  <si>
    <t>mandarin palace online casino bonus codes</t>
  </si>
  <si>
    <t>online sweepstakes casinos</t>
  </si>
  <si>
    <t>internet casino online casino</t>
  </si>
  <si>
    <t>different casino games</t>
  </si>
  <si>
    <t>online casino toernooien</t>
  </si>
  <si>
    <t>casino live france</t>
  </si>
  <si>
    <t>texas online gambling</t>
  </si>
  <si>
    <t>clickandbuy online casinos</t>
  </si>
  <si>
    <t>mejores casinos online klarna españa</t>
  </si>
  <si>
    <t>best malaysia online casino</t>
  </si>
  <si>
    <t>live casino software solution</t>
  </si>
  <si>
    <t>best online casino payouts nj</t>
  </si>
  <si>
    <t>uk online casino games</t>
  </si>
  <si>
    <t>mohegan sun online casino pa</t>
  </si>
  <si>
    <t>best online casinos that payout usa</t>
  </si>
  <si>
    <t>online casino bonus 🇩🇪 casinod.casino</t>
  </si>
  <si>
    <t>aussie online casino</t>
  </si>
  <si>
    <t>online american casino</t>
  </si>
  <si>
    <t>online casino with interac</t>
  </si>
  <si>
    <t>live online casinos</t>
  </si>
  <si>
    <t>casino online sweden</t>
  </si>
  <si>
    <t>win big online casino</t>
  </si>
  <si>
    <t>online casino neosurf australia</t>
  </si>
  <si>
    <t>best games to play at a casino</t>
  </si>
  <si>
    <t>jackpot city flash casino online</t>
  </si>
  <si>
    <t>slot machine casino games</t>
  </si>
  <si>
    <t>casino classic online casino</t>
  </si>
  <si>
    <t>trusted uk online casino</t>
  </si>
  <si>
    <t>online casino ohne einzahlung startguthaben</t>
  </si>
  <si>
    <t>online gambling in nevada</t>
  </si>
  <si>
    <t>best online casino site</t>
  </si>
  <si>
    <t>legit online casino paypal</t>
  </si>
  <si>
    <t>online casinos in deutschland</t>
  </si>
  <si>
    <t>dansk online casino</t>
  </si>
  <si>
    <t>online casino 2019</t>
  </si>
  <si>
    <t>que casino online acepta paypal</t>
  </si>
  <si>
    <t>richard online casino</t>
  </si>
  <si>
    <t>bestes seriöses online casino</t>
  </si>
  <si>
    <t>online casino vegas</t>
  </si>
  <si>
    <t>poker casinos online</t>
  </si>
  <si>
    <t>cosmo casino online mega moolah</t>
  </si>
  <si>
    <t>bravado online gambling</t>
  </si>
  <si>
    <t>online casino free signup bonus</t>
  </si>
  <si>
    <t>casino online nuevo</t>
  </si>
  <si>
    <t>real money online casino north carolina</t>
  </si>
  <si>
    <t>live casino danske spil</t>
  </si>
  <si>
    <t>bestes okto wallet online casino</t>
  </si>
  <si>
    <t>casino games 2023</t>
  </si>
  <si>
    <t>mejores casinos ruleta online</t>
  </si>
  <si>
    <t>live casino bossier city</t>
  </si>
  <si>
    <t>online casino usacasinobonuses.club</t>
  </si>
  <si>
    <t>betrivers online casino mi</t>
  </si>
  <si>
    <t>casino games online with real money</t>
  </si>
  <si>
    <t>zahranicne online casino</t>
  </si>
  <si>
    <t>best casinos online uk</t>
  </si>
  <si>
    <t>online casino connecticut</t>
  </si>
  <si>
    <t>nieuw casino online</t>
  </si>
  <si>
    <t>plusz online casino</t>
  </si>
  <si>
    <t>casino online bonus 200</t>
  </si>
  <si>
    <t>same-day withdrawal online casinos australia</t>
  </si>
  <si>
    <t>free spin casino games</t>
  </si>
  <si>
    <t>best blackjack online casinos</t>
  </si>
  <si>
    <t>jackpotcity juegos de casino online</t>
  </si>
  <si>
    <t>online casino twint</t>
  </si>
  <si>
    <t>jogar casino online</t>
  </si>
  <si>
    <t>facebook casino games</t>
  </si>
  <si>
    <t>online casino echeck</t>
  </si>
  <si>
    <t>top aussie online casino</t>
  </si>
  <si>
    <t>online casino echtgeld merkur</t>
  </si>
  <si>
    <t>turnkey online casino software</t>
  </si>
  <si>
    <t>casino for real money online</t>
  </si>
  <si>
    <t>best online casino deposit bonus</t>
  </si>
  <si>
    <t>best gambling online sites</t>
  </si>
  <si>
    <t>neue online casinos no deposit bonus</t>
  </si>
  <si>
    <t>malaysia top online casino</t>
  </si>
  <si>
    <t>virgin casino nj online</t>
  </si>
  <si>
    <t>legal online casinos by state</t>
  </si>
  <si>
    <t>neues online casino ohne einzahlung</t>
  </si>
  <si>
    <t>online casino deposit with skrill</t>
  </si>
  <si>
    <t>online casino reload bonus</t>
  </si>
  <si>
    <t>turk online casino</t>
  </si>
  <si>
    <t>drueckglueck online casino</t>
  </si>
  <si>
    <t>best baccarat online casinos</t>
  </si>
  <si>
    <t>online casino 80 freispiele</t>
  </si>
  <si>
    <t>real live dealer casino</t>
  </si>
  <si>
    <t>list of online casinos in michigan</t>
  </si>
  <si>
    <t>10bet online casino</t>
  </si>
  <si>
    <t>gun lake casino online</t>
  </si>
  <si>
    <t>online casino ohne anmeldung kostenlos</t>
  </si>
  <si>
    <t>online casinos january 2023</t>
  </si>
  <si>
    <t>free download casino games</t>
  </si>
  <si>
    <t>online casino chf</t>
  </si>
  <si>
    <t>top online casinos australia</t>
  </si>
  <si>
    <t>online casino japan</t>
  </si>
  <si>
    <t>online casino украина</t>
  </si>
  <si>
    <t>british columbia online casinos</t>
  </si>
  <si>
    <t>casinos mexico online</t>
  </si>
  <si>
    <t>online casino app echtgeld</t>
  </si>
  <si>
    <t>online casinos with welcome bonus</t>
  </si>
  <si>
    <t>online casino uvitaci bonus</t>
  </si>
  <si>
    <t>casino live deposit 50 ribu</t>
  </si>
  <si>
    <t>online casino american express</t>
  </si>
  <si>
    <t>online casinos nigeria</t>
  </si>
  <si>
    <t>online casino hack app</t>
  </si>
  <si>
    <t>777 casino games</t>
  </si>
  <si>
    <t>nunavut online casino</t>
  </si>
  <si>
    <t>top 20 online casinos usa</t>
  </si>
  <si>
    <t>online casino illegal</t>
  </si>
  <si>
    <t>online casino no deposit bonus codes</t>
  </si>
  <si>
    <t>fast withdrawal online casino australia</t>
  </si>
  <si>
    <t>proveedores casino online</t>
  </si>
  <si>
    <t>online casinos germany</t>
  </si>
  <si>
    <t>no deposit casino games</t>
  </si>
  <si>
    <t>advantages of online gambling</t>
  </si>
  <si>
    <t>online casinos ohne verifizierung</t>
  </si>
  <si>
    <t>online casinos ohne einzahlung</t>
  </si>
  <si>
    <t>online casinos cape verde</t>
  </si>
  <si>
    <t>new mi online casino</t>
  </si>
  <si>
    <t>sbobet casino online deposit 50 ribu</t>
  </si>
  <si>
    <t>ruby fortune online casino español</t>
  </si>
  <si>
    <t>online casino real money kentucky</t>
  </si>
  <si>
    <t>online casino sites</t>
  </si>
  <si>
    <t>online casino bingo</t>
  </si>
  <si>
    <t>live online casino usa</t>
  </si>
  <si>
    <t>online casino nederland legaal</t>
  </si>
  <si>
    <t>juegos de casinos online</t>
  </si>
  <si>
    <t>first online casino</t>
  </si>
  <si>
    <t>online casino bonus ohne einzahlung ohne download</t>
  </si>
  <si>
    <t>lucky club casino online</t>
  </si>
  <si>
    <t>new hampshire online casinos</t>
  </si>
  <si>
    <t>online casino australia free bonus</t>
  </si>
  <si>
    <t>online gambling in california</t>
  </si>
  <si>
    <t>online casino games free no download</t>
  </si>
  <si>
    <t>mgm online casino login</t>
  </si>
  <si>
    <t>online gambling in usa</t>
  </si>
  <si>
    <t>online casinos in australia</t>
  </si>
  <si>
    <t>south africa online casinos</t>
  </si>
  <si>
    <t>top online casino usa</t>
  </si>
  <si>
    <t>best no deposit online casino</t>
  </si>
  <si>
    <t>casino free games slots machine</t>
  </si>
  <si>
    <t>best online no deposit bonus casino</t>
  </si>
  <si>
    <t>bet mgm online casino</t>
  </si>
  <si>
    <t>trustly online casinos</t>
  </si>
  <si>
    <t>online casino deposit with google pay</t>
  </si>
  <si>
    <t>1xbet live casino</t>
  </si>
  <si>
    <t>casino españa online</t>
  </si>
  <si>
    <t>online casino credit card</t>
  </si>
  <si>
    <t>online casinos 2026 usacasinobonuses.us 🇺🇸</t>
  </si>
  <si>
    <t>online casino terms and conditions</t>
  </si>
  <si>
    <t>online casino sms payment</t>
  </si>
  <si>
    <t>best online canadian casino</t>
  </si>
  <si>
    <t>slot online 376--casino(rajadewa138)</t>
  </si>
  <si>
    <t>au online casino</t>
  </si>
  <si>
    <t>vegas live casino</t>
  </si>
  <si>
    <t>online casino sin licencia</t>
  </si>
  <si>
    <t>beste online casino 2020</t>
  </si>
  <si>
    <t>real money online casino montana</t>
  </si>
  <si>
    <t>nevada online casinos</t>
  </si>
  <si>
    <t>games like huuuge casino</t>
  </si>
  <si>
    <t>casino online spielen 🇩🇪 echtgeldstar.site</t>
  </si>
  <si>
    <t>new pa online casino</t>
  </si>
  <si>
    <t>casino online bitcoin</t>
  </si>
  <si>
    <t>online gambling quebec</t>
  </si>
  <si>
    <t>fastest withdrawal online casino kenya</t>
  </si>
  <si>
    <t>online casino seine</t>
  </si>
  <si>
    <t>nieuwe online casino 2023</t>
  </si>
  <si>
    <t>online casino usa legal</t>
  </si>
  <si>
    <t>top online casino site</t>
  </si>
  <si>
    <t>super slots online casino</t>
  </si>
  <si>
    <t>play casino online for free</t>
  </si>
  <si>
    <t>canadian online casino zodiac</t>
  </si>
  <si>
    <t>online casino mit paysafecard bezahlen</t>
  </si>
  <si>
    <t>casino nederland online</t>
  </si>
  <si>
    <t>online roulette casino review</t>
  </si>
  <si>
    <t>pixel.bet live casino</t>
  </si>
  <si>
    <t>best online gambling offers</t>
  </si>
  <si>
    <t>casino games images</t>
  </si>
  <si>
    <t>svenska live casino</t>
  </si>
  <si>
    <t>casino online chile confiable</t>
  </si>
  <si>
    <t>free spins online casino real money</t>
  </si>
  <si>
    <t>sunnyplayer live casino</t>
  </si>
  <si>
    <t>casino games - 777 slots games</t>
  </si>
  <si>
    <t>888casino live casino</t>
  </si>
  <si>
    <t>free online casino games online</t>
  </si>
  <si>
    <t>discover card online casinos</t>
  </si>
  <si>
    <t>casino table games free play</t>
  </si>
  <si>
    <t>jak si vybrat online casino</t>
  </si>
  <si>
    <t>live casino 2020</t>
  </si>
  <si>
    <t>echtgeld online casinos österreich</t>
  </si>
  <si>
    <t>747 live casino</t>
  </si>
  <si>
    <t>online free casino games</t>
  </si>
  <si>
    <t>fastest online casino withdrawal</t>
  </si>
  <si>
    <t>best reviewed online casino</t>
  </si>
  <si>
    <t>casino live malaysia</t>
  </si>
  <si>
    <t>casinos online legales en espana</t>
  </si>
  <si>
    <t>888 casino online free</t>
  </si>
  <si>
    <t>online-casino sicher</t>
  </si>
  <si>
    <t>online casino zonder vergunning</t>
  </si>
  <si>
    <t>legale online casinos schweiz</t>
  </si>
  <si>
    <t>casino online bet365</t>
  </si>
  <si>
    <t>spinpalace online casino españa</t>
  </si>
  <si>
    <t>riverbelle online casino spanish</t>
  </si>
  <si>
    <t>casino online skrill</t>
  </si>
  <si>
    <t>online casino 한국</t>
  </si>
  <si>
    <t>sgd online casino</t>
  </si>
  <si>
    <t>brand new online casinos</t>
  </si>
  <si>
    <t>pa online gambling</t>
  </si>
  <si>
    <t>online casino erweitert</t>
  </si>
  <si>
    <t>bandar judi live casino</t>
  </si>
  <si>
    <t>online casino for sale</t>
  </si>
  <si>
    <t>mobile casino games</t>
  </si>
  <si>
    <t>live bet casino</t>
  </si>
  <si>
    <t>top 50 online casino</t>
  </si>
  <si>
    <t>online casino zonder registratie</t>
  </si>
  <si>
    <t>evo games casino</t>
  </si>
  <si>
    <t>online casino schweiz blackjack</t>
  </si>
  <si>
    <t>hotels near maryland live casino</t>
  </si>
  <si>
    <t>fruity casa online casino</t>
  </si>
  <si>
    <t>monopoly live casino</t>
  </si>
  <si>
    <t>royal casino games</t>
  </si>
  <si>
    <t>online casino freispiele ohne anmeldung</t>
  </si>
  <si>
    <t>online casino developer</t>
  </si>
  <si>
    <t>new jersey online casino websites</t>
  </si>
  <si>
    <t>playamo online casino</t>
  </si>
  <si>
    <t>cashpay online casino</t>
  </si>
  <si>
    <t>top genesis gaming online casino</t>
  </si>
  <si>
    <t>online casinos mi</t>
  </si>
  <si>
    <t>australian online gambling</t>
  </si>
  <si>
    <t>skycrown online casino</t>
  </si>
  <si>
    <t>casino games name</t>
  </si>
  <si>
    <t>slot online casino</t>
  </si>
  <si>
    <t>netent casino online</t>
  </si>
  <si>
    <t>free online casino games to play now</t>
  </si>
  <si>
    <t>online casino deutsch</t>
  </si>
  <si>
    <t>online casino bonus spins</t>
  </si>
  <si>
    <t>best usa online casinos</t>
  </si>
  <si>
    <t>online casinos site</t>
  </si>
  <si>
    <t>europe online casinos</t>
  </si>
  <si>
    <t>online games free casino</t>
  </si>
  <si>
    <t>online casino nederland met gratis startgeld</t>
  </si>
  <si>
    <t>real money online casino australia</t>
  </si>
  <si>
    <t>wv online gambling</t>
  </si>
  <si>
    <t>riverbelle online casino español</t>
  </si>
  <si>
    <t>nederlands live casino</t>
  </si>
  <si>
    <t>casino online echt geld</t>
  </si>
  <si>
    <t>best gambling sites online</t>
  </si>
  <si>
    <t>online casino win</t>
  </si>
  <si>
    <t>online casinos accepting paysafecard</t>
  </si>
  <si>
    <t>foxium online casino</t>
  </si>
  <si>
    <t>online casino book of ra echtgeld</t>
  </si>
  <si>
    <t>online casino promotions</t>
  </si>
  <si>
    <t>online casino fun</t>
  </si>
  <si>
    <t>utländska online casino</t>
  </si>
  <si>
    <t>neue online casinos 2019 ohne einzahlung</t>
  </si>
  <si>
    <t>online gambling license cost</t>
  </si>
  <si>
    <t>new brunswick online casino</t>
  </si>
  <si>
    <t>online casino paypal merkur</t>
  </si>
  <si>
    <t>online usa casinos</t>
  </si>
  <si>
    <t>play online casino games</t>
  </si>
  <si>
    <t>casino games with real money</t>
  </si>
  <si>
    <t>casino games online paypal</t>
  </si>
  <si>
    <t>casino william hill online</t>
  </si>
  <si>
    <t>live casino betting</t>
  </si>
  <si>
    <t>casino online with bonus no deposit</t>
  </si>
  <si>
    <t>online casinos top 10</t>
  </si>
  <si>
    <t>online casino mit visa einzahlung</t>
  </si>
  <si>
    <t>top online casino no deposit bonus</t>
  </si>
  <si>
    <t>online casino games in philippines</t>
  </si>
  <si>
    <t>best online live dealer casino</t>
  </si>
  <si>
    <t>games in the casino</t>
  </si>
  <si>
    <t>top paying online casino nz</t>
  </si>
  <si>
    <t>online casinos bonus ohne einzahlung</t>
  </si>
  <si>
    <t>casino online gratis bonus zonder storting</t>
  </si>
  <si>
    <t>casino games with cards</t>
  </si>
  <si>
    <t>online casino gratis spielen</t>
  </si>
  <si>
    <t>casino games keno</t>
  </si>
  <si>
    <t>hollywood online casino</t>
  </si>
  <si>
    <t>vegadream online casino</t>
  </si>
  <si>
    <t>online casinos accepting debit cards</t>
  </si>
  <si>
    <t>rubyfortune online casino español</t>
  </si>
  <si>
    <t>canadian online casino real money</t>
  </si>
  <si>
    <t>online casino geen registratie</t>
  </si>
  <si>
    <t>new casino online no deposit bonus</t>
  </si>
  <si>
    <t>asia casino online</t>
  </si>
  <si>
    <t>online casino test österreich</t>
  </si>
  <si>
    <t>online live casinos uk</t>
  </si>
  <si>
    <t>online casino auf deutsch</t>
  </si>
  <si>
    <t>gambling online slots</t>
  </si>
  <si>
    <t>pagcor online casino free 100</t>
  </si>
  <si>
    <t>no documents live casino</t>
  </si>
  <si>
    <t>best online gambling sites us</t>
  </si>
  <si>
    <t>best online casino australia fast payouts</t>
  </si>
  <si>
    <t>online casinos mit startguthaben ohne einzahlung</t>
  </si>
  <si>
    <t>online casino business for sale</t>
  </si>
  <si>
    <t>singapore online slot casino</t>
  </si>
  <si>
    <t>online casino paysafe</t>
  </si>
  <si>
    <t>online casino cash to code</t>
  </si>
  <si>
    <t>online casino canada real money</t>
  </si>
  <si>
    <t>australia top online casino</t>
  </si>
  <si>
    <t>online casino mit eu lizenz</t>
  </si>
  <si>
    <t>kenya online casino</t>
  </si>
  <si>
    <t>best online casino payout rates</t>
  </si>
  <si>
    <t>best ipad casino games free</t>
  </si>
  <si>
    <t>betfair online casino</t>
  </si>
  <si>
    <t>lucky 7 casino online</t>
  </si>
  <si>
    <t>online casino 15 euro gratis</t>
  </si>
  <si>
    <t>beste neue online casinos</t>
  </si>
  <si>
    <t>taruhan casino sbobet online deposit termurah</t>
  </si>
  <si>
    <t>quais os melhores casinos online</t>
  </si>
  <si>
    <t>wilds online casino</t>
  </si>
  <si>
    <t>michigan online gambling</t>
  </si>
  <si>
    <t>online casino for canadians</t>
  </si>
  <si>
    <t>online casino entropay</t>
  </si>
  <si>
    <t>most trusted online casinos for usa players</t>
  </si>
  <si>
    <t>casinos online legales españa</t>
  </si>
  <si>
    <t>casino online japan</t>
  </si>
  <si>
    <t>michigan online casinos no deposit bonus</t>
  </si>
  <si>
    <t>top pakistan online casino sites</t>
  </si>
  <si>
    <t>top ten online casino</t>
  </si>
  <si>
    <t>777 online casino erfahrungen</t>
  </si>
  <si>
    <t>magyar online casino</t>
  </si>
  <si>
    <t>online gambling sites new zealand</t>
  </si>
  <si>
    <t>online gambling in virginia</t>
  </si>
  <si>
    <t>casino new york online</t>
  </si>
  <si>
    <t>bwin casino live</t>
  </si>
  <si>
    <t>los mejores casinos online mexico</t>
  </si>
  <si>
    <t>uk online casinos no deposit bonus</t>
  </si>
  <si>
    <t>neue online casino bonus ohne einzahlung 2023</t>
  </si>
  <si>
    <t>daily free games casino</t>
  </si>
  <si>
    <t>bestes online casino 2022</t>
  </si>
  <si>
    <t>australian online casino sign up bonus</t>
  </si>
  <si>
    <t>online casino ohne 1€ limit</t>
  </si>
  <si>
    <t>online casino suisse</t>
  </si>
  <si>
    <t>sugarhouse casino online nj</t>
  </si>
  <si>
    <t>live casino websites</t>
  </si>
  <si>
    <t>online casino bonus utan insättning</t>
  </si>
  <si>
    <t>live casino pittsburgh</t>
  </si>
  <si>
    <t>bet mgm nj online casino</t>
  </si>
  <si>
    <t>online game casino</t>
  </si>
  <si>
    <t>parimatch online casino</t>
  </si>
  <si>
    <t>best igt online casinos</t>
  </si>
  <si>
    <t>online casino curacao</t>
  </si>
  <si>
    <t>aus casino online</t>
  </si>
  <si>
    <t>best games to play in a casino</t>
  </si>
  <si>
    <t>blackjack casino online</t>
  </si>
  <si>
    <t>casinos en chile online</t>
  </si>
  <si>
    <t>online casino with no minimum deposit</t>
  </si>
  <si>
    <t>online casino slot machines</t>
  </si>
  <si>
    <t>jackpot casino online</t>
  </si>
  <si>
    <t>new jersey online casino</t>
  </si>
  <si>
    <t>free casino roulette games</t>
  </si>
  <si>
    <t>free casino games australia</t>
  </si>
  <si>
    <t>bet365 online live casino</t>
  </si>
  <si>
    <t>casino room online review</t>
  </si>
  <si>
    <t>casino games free</t>
  </si>
  <si>
    <t>expekt live casino</t>
  </si>
  <si>
    <t>vegas casino online real money</t>
  </si>
  <si>
    <t>best casinos for us players online</t>
  </si>
  <si>
    <t>online casino ohne einzahlung freispiele</t>
  </si>
  <si>
    <t>jackpot city online casino slots</t>
  </si>
  <si>
    <t>österreichische online casinos</t>
  </si>
  <si>
    <t>best online craps casinos</t>
  </si>
  <si>
    <t>easy casino games to play at home</t>
  </si>
  <si>
    <t>online casino experten</t>
  </si>
  <si>
    <t>leovegas casino online</t>
  </si>
  <si>
    <t>push gaming online casinos</t>
  </si>
  <si>
    <t>best online casinos real money</t>
  </si>
  <si>
    <t>online gambling sites nz</t>
  </si>
  <si>
    <t>uk online slot casino</t>
  </si>
  <si>
    <t>kreditkarte online casinos</t>
  </si>
  <si>
    <t>sweepstakes casino online</t>
  </si>
  <si>
    <t>north carolina casino online</t>
  </si>
  <si>
    <t>the best online casino in the world</t>
  </si>
  <si>
    <t>play online casino games free</t>
  </si>
  <si>
    <t>karten zählen online live casino</t>
  </si>
  <si>
    <t>best online casino bonus in india</t>
  </si>
  <si>
    <t>casino online games free</t>
  </si>
  <si>
    <t>online casino uk top 10</t>
  </si>
  <si>
    <t>dogecoin online casino</t>
  </si>
  <si>
    <t>gute online casinos erfahrungsberichte</t>
  </si>
  <si>
    <t>admiralyes casino online</t>
  </si>
  <si>
    <t>métodos de pago para casinos online</t>
  </si>
  <si>
    <t>online casino reviews nz</t>
  </si>
  <si>
    <t>bitcoin casino online</t>
  </si>
  <si>
    <t>online casino promotions no deposit bonus</t>
  </si>
  <si>
    <t>bästa casino online</t>
  </si>
  <si>
    <t>blog casino online</t>
  </si>
  <si>
    <t>www.747.live casino login</t>
  </si>
  <si>
    <t>online gambling best sites</t>
  </si>
  <si>
    <t>jogos de casinos online gratis</t>
  </si>
  <si>
    <t>cambodia casino games</t>
  </si>
  <si>
    <t>online casino spain</t>
  </si>
  <si>
    <t>best online gambling canada</t>
  </si>
  <si>
    <t>play free casino games online</t>
  </si>
  <si>
    <t>ceske online casino 2023</t>
  </si>
  <si>
    <t>top microgaming online casino</t>
  </si>
  <si>
    <t>best rated australian online casino</t>
  </si>
  <si>
    <t>live casino without id</t>
  </si>
  <si>
    <t>gamble online casinos</t>
  </si>
  <si>
    <t>new online casinos real money 2022</t>
  </si>
  <si>
    <t>casino mania online</t>
  </si>
  <si>
    <t>betvictor online casino</t>
  </si>
  <si>
    <t>online gambling mi</t>
  </si>
  <si>
    <t>el royale casino online reviews</t>
  </si>
  <si>
    <t>online casinos sites</t>
  </si>
  <si>
    <t>$5 minimum deposit online casino</t>
  </si>
  <si>
    <t>lucky nugget online casino download</t>
  </si>
  <si>
    <t>eu online casino</t>
  </si>
  <si>
    <t>latvia online casino license</t>
  </si>
  <si>
    <t>america casinos online</t>
  </si>
  <si>
    <t>hungary online casino</t>
  </si>
  <si>
    <t>free casino slots games no downloads</t>
  </si>
  <si>
    <t>hard rock casino online real money</t>
  </si>
  <si>
    <t>casino machine online</t>
  </si>
  <si>
    <t>online gambling lithuania</t>
  </si>
  <si>
    <t>casino online no deposit bonus code</t>
  </si>
  <si>
    <t>is online gambling legal in canada</t>
  </si>
  <si>
    <t>live casino india</t>
  </si>
  <si>
    <t>las vegas casino online slots</t>
  </si>
  <si>
    <t>bandar betting casino ibcbet online</t>
  </si>
  <si>
    <t>casino online cambodia</t>
  </si>
  <si>
    <t>casino 888 online</t>
  </si>
  <si>
    <t>uk online casinos review</t>
  </si>
  <si>
    <t>online casino echtgeld deutschland</t>
  </si>
  <si>
    <t>legend casino online</t>
  </si>
  <si>
    <t>casinos online mexicanos</t>
  </si>
  <si>
    <t>live casino philadelphia</t>
  </si>
  <si>
    <t>dora mahjong online casino</t>
  </si>
  <si>
    <t>casino online with free bonus no deposit</t>
  </si>
  <si>
    <t>online casino pokies australia</t>
  </si>
  <si>
    <t>best online gambling site</t>
  </si>
  <si>
    <t>online casinos las vegas</t>
  </si>
  <si>
    <t>river belle juegos de casino online</t>
  </si>
  <si>
    <t>bästa online casino sverige</t>
  </si>
  <si>
    <t>casinos chile online</t>
  </si>
  <si>
    <t>online casino 100 freispiele ohne einzahlung</t>
  </si>
  <si>
    <t>online casino freispiele ohne einzahlung 2019</t>
  </si>
  <si>
    <t>online casino keno</t>
  </si>
  <si>
    <t>online casinos in spain</t>
  </si>
  <si>
    <t>roulette online casino live</t>
  </si>
  <si>
    <t>online casino sign up</t>
  </si>
  <si>
    <t>casino holandia online</t>
  </si>
  <si>
    <t>giochi casino online gratis</t>
  </si>
  <si>
    <t>vip program online casino</t>
  </si>
  <si>
    <t>online casino sunmaker</t>
  </si>
  <si>
    <t>casino games free slot</t>
  </si>
  <si>
    <t>casino online blik</t>
  </si>
  <si>
    <t>online casino for us players</t>
  </si>
  <si>
    <t>william hill live casino app android</t>
  </si>
  <si>
    <t>sky live casino</t>
  </si>
  <si>
    <t>most trusted casino online</t>
  </si>
  <si>
    <t>safest online casinos</t>
  </si>
  <si>
    <t>win real money casinos online</t>
  </si>
  <si>
    <t>eos casino online</t>
  </si>
  <si>
    <t>online casino accept skrill</t>
  </si>
  <si>
    <t>play roulette free online casino</t>
  </si>
  <si>
    <t>best online casino for craps</t>
  </si>
  <si>
    <t>top online casino south africa</t>
  </si>
  <si>
    <t>online gambling payment gateway</t>
  </si>
  <si>
    <t>meilleur live casino</t>
  </si>
  <si>
    <t>king online casino</t>
  </si>
  <si>
    <t>mejores casinos online apple pay</t>
  </si>
  <si>
    <t>online casino fast payouts</t>
  </si>
  <si>
    <t>casino online vietnam</t>
  </si>
  <si>
    <t>pin-up online casino</t>
  </si>
  <si>
    <t>new no deposit online casinos</t>
  </si>
  <si>
    <t>vt online casinos</t>
  </si>
  <si>
    <t>online gambling news</t>
  </si>
  <si>
    <t>online gambling that pays real money</t>
  </si>
  <si>
    <t>best of online casino</t>
  </si>
  <si>
    <t>neue online casinos 2021 ohne einzahlung</t>
  </si>
  <si>
    <t>casino bluebet33 online</t>
  </si>
  <si>
    <t>best online casino odds</t>
  </si>
  <si>
    <t>paysafecard online casino</t>
  </si>
  <si>
    <t>live casino utan konto</t>
  </si>
  <si>
    <t>casino casumo online uk</t>
  </si>
  <si>
    <t>quebec online casino</t>
  </si>
  <si>
    <t>south dakota online casino</t>
  </si>
  <si>
    <t>online casinos not on gamstop</t>
  </si>
  <si>
    <t>online casino per sms aufladen</t>
  </si>
  <si>
    <t>online casino in usa</t>
  </si>
  <si>
    <t>online casino no gamstop</t>
  </si>
  <si>
    <t>online casino bonuses in philippines</t>
  </si>
  <si>
    <t>online casino österreich schnelle auszahlung</t>
  </si>
  <si>
    <t>online casino österreich legal</t>
  </si>
  <si>
    <t>online casino bonus codes no deposit required</t>
  </si>
  <si>
    <t>online live casino uk</t>
  </si>
  <si>
    <t>online casinos ohne registrierung</t>
  </si>
  <si>
    <t>migliore casino online italiano</t>
  </si>
  <si>
    <t>shangri la casino online</t>
  </si>
  <si>
    <t>best online casino singapore</t>
  </si>
  <si>
    <t>casinos online seguros</t>
  </si>
  <si>
    <t>el mejor casino online mexico</t>
  </si>
  <si>
    <t>free spins casino games</t>
  </si>
  <si>
    <t>kryptowährung online casino</t>
  </si>
  <si>
    <t>online casino willkommensbonus</t>
  </si>
  <si>
    <t>das beste online casino der welt</t>
  </si>
  <si>
    <t>casino sbobet live</t>
  </si>
  <si>
    <t>sa online casinos</t>
  </si>
  <si>
    <t>phlove online casino login</t>
  </si>
  <si>
    <t>nuevos casinos online españa bono sin deposito</t>
  </si>
  <si>
    <t>mejor casino online usa</t>
  </si>
  <si>
    <t>welche online casinos sind in der schweiz erlaubt</t>
  </si>
  <si>
    <t>online casinos in usa</t>
  </si>
  <si>
    <t>bästa online casino utan svensk licens</t>
  </si>
  <si>
    <t>canadian casinos online</t>
  </si>
  <si>
    <t>online casino money</t>
  </si>
  <si>
    <t>top online casino review</t>
  </si>
  <si>
    <t>casino malaysia online</t>
  </si>
  <si>
    <t>kreditkarten online casinos</t>
  </si>
  <si>
    <t>melhores casinos online</t>
  </si>
  <si>
    <t>casino online norsk</t>
  </si>
  <si>
    <t>top dragonfish online casino</t>
  </si>
  <si>
    <t>lucky nugget casino games</t>
  </si>
  <si>
    <t>gambling for real money online</t>
  </si>
  <si>
    <t>online casino in deutschland</t>
  </si>
  <si>
    <t>rival online casino list</t>
  </si>
  <si>
    <t>best online casino 2024</t>
  </si>
  <si>
    <t>bandar judi casino live terpercaya</t>
  </si>
  <si>
    <t>wild joker casino online</t>
  </si>
  <si>
    <t>crash game online casino</t>
  </si>
  <si>
    <t>live casino belgie</t>
  </si>
  <si>
    <t>online casinos guide</t>
  </si>
  <si>
    <t>real money online casino michigan</t>
  </si>
  <si>
    <t>is there an online casino that pays real money</t>
  </si>
  <si>
    <t>online casino paypal australia</t>
  </si>
  <si>
    <t>online ontario casino</t>
  </si>
  <si>
    <t>safe online casinos nz</t>
  </si>
  <si>
    <t>play casino online pa</t>
  </si>
  <si>
    <t>spin palace online casino español</t>
  </si>
  <si>
    <t>online casinos australia</t>
  </si>
  <si>
    <t>online casino ladbrokes</t>
  </si>
  <si>
    <t>greek online casino</t>
  </si>
  <si>
    <t>wisconsin online gambling</t>
  </si>
  <si>
    <t>new online casino sites uk</t>
  </si>
  <si>
    <t>casino online free no deposit bonus</t>
  </si>
  <si>
    <t>online casino gibraltar</t>
  </si>
  <si>
    <t>online casino bonus usa</t>
  </si>
  <si>
    <t>best online casinos no deposit bonuses</t>
  </si>
  <si>
    <t>online casino vietnam</t>
  </si>
  <si>
    <t>online casino real money no deposit free spins</t>
  </si>
  <si>
    <t>online casino mit echtem geld</t>
  </si>
  <si>
    <t>online casino canada 2023</t>
  </si>
  <si>
    <t>vegas casino games</t>
  </si>
  <si>
    <t>online casino schweiz gesetz</t>
  </si>
  <si>
    <t>bandar betting maxbet casino online</t>
  </si>
  <si>
    <t>online wetten casino</t>
  </si>
  <si>
    <t>palms bet casino online</t>
  </si>
  <si>
    <t>william hill online casino app</t>
  </si>
  <si>
    <t>online casinos for canadians</t>
  </si>
  <si>
    <t>beliebteste online casino</t>
  </si>
  <si>
    <t>scr888 online casino</t>
  </si>
  <si>
    <t>the best online gambling sites</t>
  </si>
  <si>
    <t>slot machine online casino games</t>
  </si>
  <si>
    <t>litecoin casino online</t>
  </si>
  <si>
    <t>online casino in indian rupees</t>
  </si>
  <si>
    <t>new online casinos usa players</t>
  </si>
  <si>
    <t>best online casino design</t>
  </si>
  <si>
    <t>online casino canada</t>
  </si>
  <si>
    <t>online casino list 2022</t>
  </si>
  <si>
    <t>como jugar casino online</t>
  </si>
  <si>
    <t>bestes online-casino</t>
  </si>
  <si>
    <t>is online gambling rigged</t>
  </si>
  <si>
    <t>casino online bonus aams</t>
  </si>
  <si>
    <t>ruby fortune juegos de casino online</t>
  </si>
  <si>
    <t>simba games casino review</t>
  </si>
  <si>
    <t>online casino luxury</t>
  </si>
  <si>
    <t>swiss casino online echtgeld</t>
  </si>
  <si>
    <t>au casino online</t>
  </si>
  <si>
    <t>online casino beste auszahlung</t>
  </si>
  <si>
    <t>golden dragon casino online</t>
  </si>
  <si>
    <t>online hippodrome casino</t>
  </si>
  <si>
    <t>grosvenor casino online slots</t>
  </si>
  <si>
    <t>best payout online casino australia</t>
  </si>
  <si>
    <t>william hill online casino</t>
  </si>
  <si>
    <t>aristocrat online casinos</t>
  </si>
  <si>
    <t>nederland online casino</t>
  </si>
  <si>
    <t>casino online mendoza</t>
  </si>
  <si>
    <t>online casino live baccarat real money</t>
  </si>
  <si>
    <t>pennsylvania casino online</t>
  </si>
  <si>
    <t>free online casino win real money</t>
  </si>
  <si>
    <t>368bet casino online</t>
  </si>
  <si>
    <t>online casino michigan</t>
  </si>
  <si>
    <t>siti casino online svizzera</t>
  </si>
  <si>
    <t>best online casino that pays real money</t>
  </si>
  <si>
    <t>legit online gambling</t>
  </si>
  <si>
    <t>online casino for real money usa</t>
  </si>
  <si>
    <t>slot online 313--casino(rajadewa138)</t>
  </si>
  <si>
    <t>free online casinos slots</t>
  </si>
  <si>
    <t>online casino uk slots</t>
  </si>
  <si>
    <t>online casino mit gratis geld</t>
  </si>
  <si>
    <t>eu casino online</t>
  </si>
  <si>
    <t>netbet live casino</t>
  </si>
  <si>
    <t>beste online casino erfahrungen</t>
  </si>
  <si>
    <t>online casino instant play</t>
  </si>
  <si>
    <t>real online casino usa that pays out</t>
  </si>
  <si>
    <t>novoline online casino bonus ohne einzahlung</t>
  </si>
  <si>
    <t>casino online guru</t>
  </si>
  <si>
    <t>online casino new york</t>
  </si>
  <si>
    <t>online casino guthaben ohne einzahlung</t>
  </si>
  <si>
    <t>best online casino bonuses australia</t>
  </si>
  <si>
    <t>online casino free spins ohne einzahlung 2021</t>
  </si>
  <si>
    <t>no deposit bonus casino games</t>
  </si>
  <si>
    <t>online casino live</t>
  </si>
  <si>
    <t>best online casinos in the world</t>
  </si>
  <si>
    <t>online casinos florida</t>
  </si>
  <si>
    <t>trusted online casino malaysia</t>
  </si>
  <si>
    <t>online casino software provider</t>
  </si>
  <si>
    <t>dice games in casino</t>
  </si>
  <si>
    <t>best online bitcoin casinos</t>
  </si>
  <si>
    <t>online casinos that accept us players</t>
  </si>
  <si>
    <t>welches online casino ist zu empfehlen</t>
  </si>
  <si>
    <t>microgaming live casino</t>
  </si>
  <si>
    <t>gaming casino online</t>
  </si>
  <si>
    <t>popular casino card games</t>
  </si>
  <si>
    <t>south carolina online casino</t>
  </si>
  <si>
    <t>gaming online casino</t>
  </si>
  <si>
    <t>tu casino online</t>
  </si>
  <si>
    <t>caribbean stud poker online casino</t>
  </si>
  <si>
    <t>isle oplenty spielen online casinos</t>
  </si>
  <si>
    <t>nj online casino list</t>
  </si>
  <si>
    <t>best online casino for blackjack</t>
  </si>
  <si>
    <t>jugar casino online con dinero real</t>
  </si>
  <si>
    <t>bestes online casino niedersachsen</t>
  </si>
  <si>
    <t>online casino 🇩🇪💰 deutschecasino.site</t>
  </si>
  <si>
    <t>cashlib online casino</t>
  </si>
  <si>
    <t>online casino promo code</t>
  </si>
  <si>
    <t>online casinos free no deposit bonus</t>
  </si>
  <si>
    <t>ceasers online casino</t>
  </si>
  <si>
    <t>scam online casinos</t>
  </si>
  <si>
    <t>luckynugget online casino español</t>
  </si>
  <si>
    <t>captain cooks online casino</t>
  </si>
  <si>
    <t>online casino sk</t>
  </si>
  <si>
    <t>beste online casinos</t>
  </si>
  <si>
    <t>eurogrand casino online</t>
  </si>
  <si>
    <t>online casino sri lanka</t>
  </si>
  <si>
    <t>đăng ký live casino house</t>
  </si>
  <si>
    <t>casino slots online uk</t>
  </si>
  <si>
    <t>best video poker online casino sites</t>
  </si>
  <si>
    <t>online casino with best payout</t>
  </si>
  <si>
    <t>online gambling in florida</t>
  </si>
  <si>
    <t>online gambling website</t>
  </si>
  <si>
    <t>betway nj online casino</t>
  </si>
  <si>
    <t>philippine casino online</t>
  </si>
  <si>
    <t>neue online casinos mit bonus ohne einzahlung</t>
  </si>
  <si>
    <t>gambling online sites</t>
  </si>
  <si>
    <t>top high roller online casinos</t>
  </si>
  <si>
    <t>miami casino online</t>
  </si>
  <si>
    <t>online gambling in new zealand</t>
  </si>
  <si>
    <t>welches online casino</t>
  </si>
  <si>
    <t>nové české online casino</t>
  </si>
  <si>
    <t>online casino top bewertung</t>
  </si>
  <si>
    <t>harrahs online casino review</t>
  </si>
  <si>
    <t>prepaid cards that work with online casinos</t>
  </si>
  <si>
    <t>vip casino online</t>
  </si>
  <si>
    <t>betway ontario - casino games</t>
  </si>
  <si>
    <t>live casino sites uk www.indaxis.com</t>
  </si>
  <si>
    <t>premier live casino no deposit bonus</t>
  </si>
  <si>
    <t>caesars casino - free online slots machines games</t>
  </si>
  <si>
    <t>other casino games</t>
  </si>
  <si>
    <t>7reels casino online</t>
  </si>
  <si>
    <t>best online gambling sites reviews</t>
  </si>
  <si>
    <t>neu online casino</t>
  </si>
  <si>
    <t>best online casino games to win money</t>
  </si>
  <si>
    <t>best online casino reddit</t>
  </si>
  <si>
    <t>jetx pin up online casino</t>
  </si>
  <si>
    <t>real online casino nevada</t>
  </si>
  <si>
    <t>best new zealand dollar online casino</t>
  </si>
  <si>
    <t>online spielautomaten casino</t>
  </si>
  <si>
    <t>online casinos no deposit</t>
  </si>
  <si>
    <t>egt online casino</t>
  </si>
  <si>
    <t>beste online casino app echtgeld</t>
  </si>
  <si>
    <t>come vincere al casino online</t>
  </si>
  <si>
    <t>free online casino no deposit required</t>
  </si>
  <si>
    <t>alberta casinos online</t>
  </si>
  <si>
    <t>best ontario online casino</t>
  </si>
  <si>
    <t>neue online casinos gamomat</t>
  </si>
  <si>
    <t>best casino games to win</t>
  </si>
  <si>
    <t>online gambling market</t>
  </si>
  <si>
    <t>best legit online casino</t>
  </si>
  <si>
    <t>best online casino bonuses in finland</t>
  </si>
  <si>
    <t>best online casino game to play</t>
  </si>
  <si>
    <t>casinos online deutschland</t>
  </si>
  <si>
    <t>new york online casinos</t>
  </si>
  <si>
    <t>online casinos nevada</t>
  </si>
  <si>
    <t>deutsche casino online</t>
  </si>
  <si>
    <t>online casino auszahlung erfahrungen</t>
  </si>
  <si>
    <t>new jersey online casino bonuses</t>
  </si>
  <si>
    <t>casino dice games online</t>
  </si>
  <si>
    <t>nederlandse online casino ideal</t>
  </si>
  <si>
    <t>free casino games android</t>
  </si>
  <si>
    <t>pagina de casino online</t>
  </si>
  <si>
    <t>live online casino</t>
  </si>
  <si>
    <t>online casinos mit rubbellosen</t>
  </si>
  <si>
    <t>dreamz casino live casino</t>
  </si>
  <si>
    <t>big bola casino online</t>
  </si>
  <si>
    <t>beating online casinos</t>
  </si>
  <si>
    <t>welk online casino is betrouwbaar</t>
  </si>
  <si>
    <t>free casino games ohne anmeldung</t>
  </si>
  <si>
    <t>odds casino games</t>
  </si>
  <si>
    <t>online gambling statistics australia</t>
  </si>
  <si>
    <t>play casino online no download</t>
  </si>
  <si>
    <t>deutsches casino online</t>
  </si>
  <si>
    <t>online casino gewinne versteuern</t>
  </si>
  <si>
    <t>hyper casino online casino</t>
  </si>
  <si>
    <t>top hong kong online casino sites</t>
  </si>
  <si>
    <t>usa casinos online</t>
  </si>
  <si>
    <t>online casino minimum deposit 1</t>
  </si>
  <si>
    <t>casino movie online</t>
  </si>
  <si>
    <t>btc online casino</t>
  </si>
  <si>
    <t>indiana online gambling</t>
  </si>
  <si>
    <t>online casino bonus ohne einzahlung 2018</t>
  </si>
  <si>
    <t>jackpotcity online casino canada</t>
  </si>
  <si>
    <t>online casino promotion bonus</t>
  </si>
  <si>
    <t>dream jackpot online casino</t>
  </si>
  <si>
    <t>slots magic online casino</t>
  </si>
  <si>
    <t>deutsche online casino</t>
  </si>
  <si>
    <t>play alberta online casino</t>
  </si>
  <si>
    <t>online gambling in alabama</t>
  </si>
  <si>
    <t>online gambling nz</t>
  </si>
  <si>
    <t>new online casino ideal</t>
  </si>
  <si>
    <t>florida online casino</t>
  </si>
  <si>
    <t>seriöse online casinos echtgeld</t>
  </si>
  <si>
    <t>royal vegas casino online</t>
  </si>
  <si>
    <t>legal online gambling real money</t>
  </si>
  <si>
    <t>online casino bonus ohne mindestumsatz</t>
  </si>
  <si>
    <t>best online gambling for real money</t>
  </si>
  <si>
    <t>online real money casino canada</t>
  </si>
  <si>
    <t>bet365 online casino</t>
  </si>
  <si>
    <t>casino table games for home</t>
  </si>
  <si>
    <t>deutsche online casinos mit bonus ohne einzahlung</t>
  </si>
  <si>
    <t>mobile live casino</t>
  </si>
  <si>
    <t>casino online con bono de bienvenida sin deposito</t>
  </si>
  <si>
    <t>legit us online casinos</t>
  </si>
  <si>
    <t>list of michigan online casinos</t>
  </si>
  <si>
    <t>casino online che danno bonus senza deposito</t>
  </si>
  <si>
    <t>mgm casino online nj</t>
  </si>
  <si>
    <t>bónus de casino online</t>
  </si>
  <si>
    <t>nj online gambling sports</t>
  </si>
  <si>
    <t>casino online santa fe</t>
  </si>
  <si>
    <t>casino games to play</t>
  </si>
  <si>
    <t>free downloadable casino slot games</t>
  </si>
  <si>
    <t>best bitcoin online casinos</t>
  </si>
  <si>
    <t>jackpot city online casinos games</t>
  </si>
  <si>
    <t>best usa online casino no deposit bonus</t>
  </si>
  <si>
    <t>payment methods for online gambling</t>
  </si>
  <si>
    <t>online casino south africa mobile</t>
  </si>
  <si>
    <t>best casino online game</t>
  </si>
  <si>
    <t>online casino game free</t>
  </si>
  <si>
    <t>online casino mit paypal einzahlung 2022</t>
  </si>
  <si>
    <t>55bmw online casino login</t>
  </si>
  <si>
    <t>online casino schweiz</t>
  </si>
  <si>
    <t>bnb online gambling</t>
  </si>
  <si>
    <t>casino belgium online</t>
  </si>
  <si>
    <t>online casino danmark</t>
  </si>
  <si>
    <t>play casino games for real money</t>
  </si>
  <si>
    <t>online gokken holland casino</t>
  </si>
  <si>
    <t>top apple pay online casinos</t>
  </si>
  <si>
    <t>online casino nz no deposit bonus</t>
  </si>
  <si>
    <t>aristocrat online casino</t>
  </si>
  <si>
    <t>online nfl gambling</t>
  </si>
  <si>
    <t>fansbet online casino</t>
  </si>
  <si>
    <t>best casino slot games</t>
  </si>
  <si>
    <t>casino games to play free</t>
  </si>
  <si>
    <t>virginia online gambling</t>
  </si>
  <si>
    <t>live casino game shows</t>
  </si>
  <si>
    <t>online casino live games best uk</t>
  </si>
  <si>
    <t>online casino zodiac</t>
  </si>
  <si>
    <t>online casino scratch cards</t>
  </si>
  <si>
    <t>online casinos that accept google pay</t>
  </si>
  <si>
    <t>quick hit casino games free casino slots games</t>
  </si>
  <si>
    <t>best online casino nz</t>
  </si>
  <si>
    <t>online casino gratis guthaben</t>
  </si>
  <si>
    <t>new casinos online</t>
  </si>
  <si>
    <t>best online casinos slovenia</t>
  </si>
  <si>
    <t>casino online ruleta en vivo</t>
  </si>
  <si>
    <t>online casino best sign up bonus</t>
  </si>
  <si>
    <t>casino online 🎲 cazinou.vip</t>
  </si>
  <si>
    <t>casino games with highest house edge</t>
  </si>
  <si>
    <t>casino online que acepta paypal</t>
  </si>
  <si>
    <t>casinos online peruanos soles</t>
  </si>
  <si>
    <t>online casino met gratis startgeld</t>
  </si>
  <si>
    <t>malta online casino license</t>
  </si>
  <si>
    <t>online casino hoogste winkans</t>
  </si>
  <si>
    <t>maryland online casino signup bonus</t>
  </si>
  <si>
    <t>new casinos online uk</t>
  </si>
  <si>
    <t>live online gambling</t>
  </si>
  <si>
    <t>south african casinos online</t>
  </si>
  <si>
    <t>mohegan sun online casino promo code</t>
  </si>
  <si>
    <t>download 32red online casino</t>
  </si>
  <si>
    <t>online casino ohne geld</t>
  </si>
  <si>
    <t>casino napoleon games</t>
  </si>
  <si>
    <t>online casino gratis geld ohne einzahlung</t>
  </si>
  <si>
    <t>online casino ohne einzahlung 2017</t>
  </si>
  <si>
    <t>biggest online gambling sites</t>
  </si>
  <si>
    <t>coral online casino</t>
  </si>
  <si>
    <t>zamba casino online</t>
  </si>
  <si>
    <t>australian online casino no deposit</t>
  </si>
  <si>
    <t>mystery joker online casino</t>
  </si>
  <si>
    <t>new canadian online casinos</t>
  </si>
  <si>
    <t>best online casinos in pennsylvania</t>
  </si>
  <si>
    <t>online gambling table games</t>
  </si>
  <si>
    <t>online gambling sites new jersey</t>
  </si>
  <si>
    <t>online casino uden om rofus</t>
  </si>
  <si>
    <t>agen judi slot dan casino online</t>
  </si>
  <si>
    <t>casino joker123 online deposit 50 ribu</t>
  </si>
  <si>
    <t>gambling online for money</t>
  </si>
  <si>
    <t>safe online gambling casinos</t>
  </si>
  <si>
    <t>free on line casino games</t>
  </si>
  <si>
    <t>online casino united kingdom</t>
  </si>
  <si>
    <t>online casino safer</t>
  </si>
  <si>
    <t>best online gambling sites nz</t>
  </si>
  <si>
    <t>online poker og casino spil</t>
  </si>
  <si>
    <t>casino online real cash</t>
  </si>
  <si>
    <t>online casino über 1 euro einsatz</t>
  </si>
  <si>
    <t>gambling online casinos</t>
  </si>
  <si>
    <t>karamba online casino app</t>
  </si>
  <si>
    <t>beste nederlandse casino online</t>
  </si>
  <si>
    <t>casino online slot 💰 deutschecasino.site</t>
  </si>
  <si>
    <t>online casino bookie</t>
  </si>
  <si>
    <t>luxury online casino</t>
  </si>
  <si>
    <t>casino slots online real money</t>
  </si>
  <si>
    <t>free casino games no downloads</t>
  </si>
  <si>
    <t>best slot casino online</t>
  </si>
  <si>
    <t>casino ver online</t>
  </si>
  <si>
    <t>online casino cambodia</t>
  </si>
  <si>
    <t>online casino uden nemid</t>
  </si>
  <si>
    <t>kostenlos online casino</t>
  </si>
  <si>
    <t>aus online casino</t>
  </si>
  <si>
    <t>nyt online casino</t>
  </si>
  <si>
    <t>online casino software for sale</t>
  </si>
  <si>
    <t>indian online casinos</t>
  </si>
  <si>
    <t>casino online españoles</t>
  </si>
  <si>
    <t>fastest paying online casino australia</t>
  </si>
  <si>
    <t>casino online che accettano american express</t>
  </si>
  <si>
    <t>casino online paraguay</t>
  </si>
  <si>
    <t>online gambling age</t>
  </si>
  <si>
    <t>euro palace online casino download</t>
  </si>
  <si>
    <t>online casino bonus ohne einzahlung 2021 neu</t>
  </si>
  <si>
    <t>online independent casino</t>
  </si>
  <si>
    <t>free online casino slot games with bonuses</t>
  </si>
  <si>
    <t>best casino games to play</t>
  </si>
  <si>
    <t>online casino roulett</t>
  </si>
  <si>
    <t>tropicana online nj casino</t>
  </si>
  <si>
    <t>online casino games free bonus no deposit</t>
  </si>
  <si>
    <t>online casino mit lizenz</t>
  </si>
  <si>
    <t>casino games odds</t>
  </si>
  <si>
    <t>slot online 358--casino(rajadewa138)</t>
  </si>
  <si>
    <t>online casino deposit with phone bill</t>
  </si>
  <si>
    <t>vegas gambling online</t>
  </si>
  <si>
    <t>online casino ohne einzahlen</t>
  </si>
  <si>
    <t>wynn online casino promo code</t>
  </si>
  <si>
    <t>online casino game real money</t>
  </si>
  <si>
    <t>free online casino bonuses</t>
  </si>
  <si>
    <t>malaysia online casino e- wallet</t>
  </si>
  <si>
    <t>birthday bonus online casino singapore</t>
  </si>
  <si>
    <t>casino online not on gamstop</t>
  </si>
  <si>
    <t>online casino real money nj</t>
  </si>
  <si>
    <t>casino online pay by phone</t>
  </si>
  <si>
    <t>casino online in italia</t>
  </si>
  <si>
    <t>online casino hack apk</t>
  </si>
  <si>
    <t>mastercard online casino</t>
  </si>
  <si>
    <t>online casino gaming club</t>
  </si>
  <si>
    <t>beste auszahlung online casino</t>
  </si>
  <si>
    <t>online casino mit bonus</t>
  </si>
  <si>
    <t>best vegas online casino</t>
  </si>
  <si>
    <t>casino mobile games</t>
  </si>
  <si>
    <t>online gambling malaysia</t>
  </si>
  <si>
    <t>usa online casinos 2020</t>
  </si>
  <si>
    <t>ahti games online casino</t>
  </si>
  <si>
    <t>online casino software crypto</t>
  </si>
  <si>
    <t>casino online con dinero real</t>
  </si>
  <si>
    <t>draftkings online casino states</t>
  </si>
  <si>
    <t>revolut online casinos</t>
  </si>
  <si>
    <t>online bonus casino</t>
  </si>
  <si>
    <t>best games to win at casino</t>
  </si>
  <si>
    <t>bonus no deposit online casino</t>
  </si>
  <si>
    <t>online casino ontario</t>
  </si>
  <si>
    <t>casino online paypal</t>
  </si>
  <si>
    <t>online casino paypal deposit australia</t>
  </si>
  <si>
    <t>online dealer casino</t>
  </si>
  <si>
    <t>book of ra online casino bonus</t>
  </si>
  <si>
    <t>best online casino free signup bonus</t>
  </si>
  <si>
    <t>casino baccarat games</t>
  </si>
  <si>
    <t>best us online casino real money</t>
  </si>
  <si>
    <t>the best casino games</t>
  </si>
  <si>
    <t>make money gambling online free</t>
  </si>
  <si>
    <t>new mexico online casino</t>
  </si>
  <si>
    <t>betfred online casino</t>
  </si>
  <si>
    <t>casino slots free online</t>
  </si>
  <si>
    <t>lowest minimum deposit online casino</t>
  </si>
  <si>
    <t>hoogste bonus online casino</t>
  </si>
  <si>
    <t>casino online neu</t>
  </si>
  <si>
    <t>ca online casino</t>
  </si>
  <si>
    <t>reseñas de casino online</t>
  </si>
  <si>
    <t>mohegan sun casino online nj</t>
  </si>
  <si>
    <t>olg online casino app</t>
  </si>
  <si>
    <t>online casino new</t>
  </si>
  <si>
    <t>best casino game online</t>
  </si>
  <si>
    <t>best online casino european roulette</t>
  </si>
  <si>
    <t>best online casinos 2024</t>
  </si>
  <si>
    <t>online wv casinos</t>
  </si>
  <si>
    <t>fair go online casino</t>
  </si>
  <si>
    <t>neue online casinos</t>
  </si>
  <si>
    <t>amsterdam online casino</t>
  </si>
  <si>
    <t>casino games with best odds</t>
  </si>
  <si>
    <t>oshi online casino</t>
  </si>
  <si>
    <t>agen taruhan casino maxbet online</t>
  </si>
  <si>
    <t>best online casino real money no deposit</t>
  </si>
  <si>
    <t>wind creek casino online</t>
  </si>
  <si>
    <t>online casino welkomstbonus</t>
  </si>
  <si>
    <t>lucky creek live casino</t>
  </si>
  <si>
    <t>free casino games uk</t>
  </si>
  <si>
    <t>bandar betting casino baccarat online</t>
  </si>
  <si>
    <t>ruby fortune online casino argentina</t>
  </si>
  <si>
    <t>casino playing online</t>
  </si>
  <si>
    <t>best games to win money at casino</t>
  </si>
  <si>
    <t>online casino canada no deposit</t>
  </si>
  <si>
    <t>leo vegas online casino reviews</t>
  </si>
  <si>
    <t>best online casino reviews</t>
  </si>
  <si>
    <t>online casino ph</t>
  </si>
  <si>
    <t>baccarat online casino games</t>
  </si>
  <si>
    <t>uk online casino free spins no deposit</t>
  </si>
  <si>
    <t>online casinos booming games</t>
  </si>
  <si>
    <t>online casinos free money</t>
  </si>
  <si>
    <t>888 online casino customer service</t>
  </si>
  <si>
    <t>tangiers casino online</t>
  </si>
  <si>
    <t>jackpot city casino online spielen</t>
  </si>
  <si>
    <t>betfair online casino promo code</t>
  </si>
  <si>
    <t>live casino hotel reviews</t>
  </si>
  <si>
    <t>casino jack online</t>
  </si>
  <si>
    <t>slots heaven online casino review</t>
  </si>
  <si>
    <t>casinos online gratis sin depósito</t>
  </si>
  <si>
    <t>online casino ohne mindestumsatz</t>
  </si>
  <si>
    <t>casinos online portugueses</t>
  </si>
  <si>
    <t>mejor casino online que acepta visa</t>
  </si>
  <si>
    <t>australia online gambling</t>
  </si>
  <si>
    <t>como ganhar dinheiro no casino online</t>
  </si>
  <si>
    <t>mgm casino online</t>
  </si>
  <si>
    <t>bónus casino online</t>
  </si>
  <si>
    <t>casino table games</t>
  </si>
  <si>
    <t>online casino india real money</t>
  </si>
  <si>
    <t>tether online casino</t>
  </si>
  <si>
    <t>new casino games 2023</t>
  </si>
  <si>
    <t>casino games play</t>
  </si>
  <si>
    <t>canada online gambling laws</t>
  </si>
  <si>
    <t>does scotiabank allow online gambling</t>
  </si>
  <si>
    <t>revolut online casino</t>
  </si>
  <si>
    <t>online casinos 10 dollar minimum deposit</t>
  </si>
  <si>
    <t>casino slots online free play</t>
  </si>
  <si>
    <t>online casino eesti</t>
  </si>
  <si>
    <t>beste online casinos echtgeld</t>
  </si>
  <si>
    <t>list of pa online casinos</t>
  </si>
  <si>
    <t>alaska online casinos</t>
  </si>
  <si>
    <t>top 10 online casino sites uk</t>
  </si>
  <si>
    <t>beste online casinos österreich</t>
  </si>
  <si>
    <t>online casino slots developer</t>
  </si>
  <si>
    <t>wunderino online casino</t>
  </si>
  <si>
    <t>play casino games free</t>
  </si>
  <si>
    <t>top 10 uk casinos online</t>
  </si>
  <si>
    <t>best online gambling rhode island</t>
  </si>
  <si>
    <t>free promo codes for online casinos</t>
  </si>
  <si>
    <t>online casino referral bonus</t>
  </si>
  <si>
    <t>online casino россия</t>
  </si>
  <si>
    <t>bitcoin casino game online</t>
  </si>
  <si>
    <t>casino free slots games bonus</t>
  </si>
  <si>
    <t>best online mobile casinos</t>
  </si>
  <si>
    <t>mejor casino online ruleta peru</t>
  </si>
  <si>
    <t>online mobile casino australia</t>
  </si>
  <si>
    <t>games 777 casino</t>
  </si>
  <si>
    <t>real money online casino idaho</t>
  </si>
  <si>
    <t>como ganar en los casinos online</t>
  </si>
  <si>
    <t>online casino with book of ra</t>
  </si>
  <si>
    <t>payid online casino australia</t>
  </si>
  <si>
    <t>casino gamble online</t>
  </si>
  <si>
    <t>online casino that pay</t>
  </si>
  <si>
    <t>bitcoin gambling online</t>
  </si>
  <si>
    <t>mi online casino</t>
  </si>
  <si>
    <t>crear un casino online argentina</t>
  </si>
  <si>
    <t>online casino pay by phone bill</t>
  </si>
  <si>
    <t>casino americani online</t>
  </si>
  <si>
    <t>casinos online pensilvania</t>
  </si>
  <si>
    <t>ideal casino online</t>
  </si>
  <si>
    <t>online casino for cyprus</t>
  </si>
  <si>
    <t>frumzi online casino</t>
  </si>
  <si>
    <t>migliori bonus casino live</t>
  </si>
  <si>
    <t>palace of chance online casino</t>
  </si>
  <si>
    <t>online casinos malaysia</t>
  </si>
  <si>
    <t>da vinci diamonds online casinos</t>
  </si>
  <si>
    <t>royal ace casino online gambling</t>
  </si>
  <si>
    <t>games casino free</t>
  </si>
  <si>
    <t>apple pay online casinos</t>
  </si>
  <si>
    <t>online casino philippines no deposit bonus</t>
  </si>
  <si>
    <t>casino slot machines online</t>
  </si>
  <si>
    <t>online casinos that accept payforit</t>
  </si>
  <si>
    <t>ahti games casino kolikkopelit</t>
  </si>
  <si>
    <t>best new online casino</t>
  </si>
  <si>
    <t>online casino mit paysafecard einzahlung</t>
  </si>
  <si>
    <t>top pay by mobile online casinos</t>
  </si>
  <si>
    <t>online gambling regulation</t>
  </si>
  <si>
    <t>online casino bonus 2018</t>
  </si>
  <si>
    <t>online casinos that accept muchbetter deposits</t>
  </si>
  <si>
    <t>casino games free to play</t>
  </si>
  <si>
    <t>rizk online casino</t>
  </si>
  <si>
    <t>new online casino no deposit</t>
  </si>
  <si>
    <t>best real money online casino</t>
  </si>
  <si>
    <t>the most trusted online casino</t>
  </si>
  <si>
    <t>casino online gratis ganhar dinheiro</t>
  </si>
  <si>
    <t>online casinos that accept muchbetter</t>
  </si>
  <si>
    <t>online casino free spins no deposit</t>
  </si>
  <si>
    <t>united states casinos online</t>
  </si>
  <si>
    <t>online casino cz</t>
  </si>
  <si>
    <t>online casino for canada</t>
  </si>
  <si>
    <t>best usa online casino real money</t>
  </si>
  <si>
    <t>22bet online casino</t>
  </si>
  <si>
    <t>juegos casinos online</t>
  </si>
  <si>
    <t>spintime casino online</t>
  </si>
  <si>
    <t>platinum play casino online</t>
  </si>
  <si>
    <t>online casino bahrain</t>
  </si>
  <si>
    <t>best international online casino</t>
  </si>
  <si>
    <t>online gambling sites south africa</t>
  </si>
  <si>
    <t>trusted online casino sites</t>
  </si>
  <si>
    <t>wisconsin casino online</t>
  </si>
  <si>
    <t>casino online paysafecard</t>
  </si>
  <si>
    <t>deal or no deal live casino</t>
  </si>
  <si>
    <t>online casino echtgeld auszahlung</t>
  </si>
  <si>
    <t>casino portugal online</t>
  </si>
  <si>
    <t>online casino kostenlos</t>
  </si>
  <si>
    <t>online casino ausland</t>
  </si>
  <si>
    <t>casino live dealer</t>
  </si>
  <si>
    <t>new online casinos usa</t>
  </si>
  <si>
    <t>online casino 10 minimum deposit usa</t>
  </si>
  <si>
    <t>casino online 2024</t>
  </si>
  <si>
    <t>online casino best payouts</t>
  </si>
  <si>
    <t>free online casino with no deposit</t>
  </si>
  <si>
    <t>online casino idin</t>
  </si>
  <si>
    <t>las vegas online casino login</t>
  </si>
  <si>
    <t>nuevo casino online españa</t>
  </si>
  <si>
    <t>online casino no document needed</t>
  </si>
  <si>
    <t>online gambling self exclusion</t>
  </si>
  <si>
    <t>kentucky online casinos</t>
  </si>
  <si>
    <t>online casinos ohne steuer</t>
  </si>
  <si>
    <t>casinos online con bonos gratis sin deposito</t>
  </si>
  <si>
    <t>online casino with paysafecard</t>
  </si>
  <si>
    <t>best free online casino games</t>
  </si>
  <si>
    <t>uk casino games</t>
  </si>
  <si>
    <t>top online casino that accepts jeton deposits</t>
  </si>
  <si>
    <t>online casino paypal österreich</t>
  </si>
  <si>
    <t>online video poker casino</t>
  </si>
  <si>
    <t>best online casino 2023</t>
  </si>
  <si>
    <t>online gambling education</t>
  </si>
  <si>
    <t>watch casino online</t>
  </si>
  <si>
    <t>online casino delaware</t>
  </si>
  <si>
    <t>online casino with good payouts</t>
  </si>
  <si>
    <t>miglior sito casino online</t>
  </si>
  <si>
    <t>live casino usa</t>
  </si>
  <si>
    <t>top online casino nicaragua</t>
  </si>
  <si>
    <t>best online casino craps</t>
  </si>
  <si>
    <t>online gambling texas</t>
  </si>
  <si>
    <t>common casino games</t>
  </si>
  <si>
    <t>top 10 online casinos canada</t>
  </si>
  <si>
    <t>best rated casino online</t>
  </si>
  <si>
    <t>best free android casino games</t>
  </si>
  <si>
    <t>betcity online casino</t>
  </si>
  <si>
    <t>national casino online</t>
  </si>
  <si>
    <t>online casino guru spielen</t>
  </si>
  <si>
    <t>top casino sites online</t>
  </si>
  <si>
    <t>online casino nederlands</t>
  </si>
  <si>
    <t>verde casino online</t>
  </si>
  <si>
    <t>casino online dinero real usa</t>
  </si>
  <si>
    <t>best roulette strategy for online casino</t>
  </si>
  <si>
    <t>legjobb online casino velemenyek</t>
  </si>
  <si>
    <t>beste paydirekt online casinos</t>
  </si>
  <si>
    <t>online casinos new zealand</t>
  </si>
  <si>
    <t>live dealer casino games</t>
  </si>
  <si>
    <t>casino online winga</t>
  </si>
  <si>
    <t>fruits casino games online</t>
  </si>
  <si>
    <t>casino joker123 online termurah</t>
  </si>
  <si>
    <t>jocuri casino online</t>
  </si>
  <si>
    <t>el royale online casino</t>
  </si>
  <si>
    <t>online casino and sportsbook</t>
  </si>
  <si>
    <t>wa online casino</t>
  </si>
  <si>
    <t>en güvenilir online casino</t>
  </si>
  <si>
    <t>top nj online casinos</t>
  </si>
  <si>
    <t>betclic casino live</t>
  </si>
  <si>
    <t>bet365 live casino</t>
  </si>
  <si>
    <t>best online casinos new zealand</t>
  </si>
  <si>
    <t>the best online casino real money</t>
  </si>
  <si>
    <t>online casinos that accept payid</t>
  </si>
  <si>
    <t>betmgm online casino reviews</t>
  </si>
  <si>
    <t>casino online md</t>
  </si>
  <si>
    <t>jugar casino online dinero real</t>
  </si>
  <si>
    <t>gokken in online casino</t>
  </si>
  <si>
    <t>agen betting sbc168 casino online</t>
  </si>
  <si>
    <t>online casino australia no deposit</t>
  </si>
  <si>
    <t>bandar judi casino dragon tiger online</t>
  </si>
  <si>
    <t>new online casino australia 2024</t>
  </si>
  <si>
    <t>online casino beginnen</t>
  </si>
  <si>
    <t>casinos online with no deposit bonus</t>
  </si>
  <si>
    <t>bonos casino online 2023</t>
  </si>
  <si>
    <t>casino live crazy time</t>
  </si>
  <si>
    <t>jackpotcity online casino</t>
  </si>
  <si>
    <t>arab casino online</t>
  </si>
  <si>
    <t>casino online portugal</t>
  </si>
  <si>
    <t>online casino $20 min deposit</t>
  </si>
  <si>
    <t>i migliori casino online</t>
  </si>
  <si>
    <t>philippines online casino using gcash</t>
  </si>
  <si>
    <t>online casino games guide</t>
  </si>
  <si>
    <t>gute online casino</t>
  </si>
  <si>
    <t>games with best odds in casino</t>
  </si>
  <si>
    <t>geld terug online casino</t>
  </si>
  <si>
    <t>1 deposit online casino</t>
  </si>
  <si>
    <t>real money online casinos that accept apple pay</t>
  </si>
  <si>
    <t>online casino legal in usa</t>
  </si>
  <si>
    <t>australian best online casino</t>
  </si>
  <si>
    <t>nieuwe online casino belgië</t>
  </si>
  <si>
    <t>online casino real money no deposit australia</t>
  </si>
  <si>
    <t>nya online casino</t>
  </si>
  <si>
    <t>online casino 100 welcome bonus</t>
  </si>
  <si>
    <t>online casino no deposit free spin</t>
  </si>
  <si>
    <t>online gambling legal states</t>
  </si>
  <si>
    <t>best irish online casino</t>
  </si>
  <si>
    <t>gold deluxe live casino</t>
  </si>
  <si>
    <t>ny casino online</t>
  </si>
  <si>
    <t>casa casino online</t>
  </si>
  <si>
    <t>switzerland online gambling</t>
  </si>
  <si>
    <t>super cherry online casino</t>
  </si>
  <si>
    <t>taruhan ion casino online</t>
  </si>
  <si>
    <t>best online casinos canada</t>
  </si>
  <si>
    <t>casino free slots online</t>
  </si>
  <si>
    <t>online casino roulette royal</t>
  </si>
  <si>
    <t>best online casinos japan</t>
  </si>
  <si>
    <t>casino en live avec croupier</t>
  </si>
  <si>
    <t>online casinos nl</t>
  </si>
  <si>
    <t>online casino ohne beschränkung</t>
  </si>
  <si>
    <t>online casino us players</t>
  </si>
  <si>
    <t>michigan online casino no deposit bonus codes</t>
  </si>
  <si>
    <t>online golden nugget casino</t>
  </si>
  <si>
    <t>cryptocurrency online casino solutions</t>
  </si>
  <si>
    <t>new jersey casinos online</t>
  </si>
  <si>
    <t>cabaretclub online casino argentina</t>
  </si>
  <si>
    <t>irish online casinos</t>
  </si>
  <si>
    <t>online casino no bonus</t>
  </si>
  <si>
    <t>casinova online casino</t>
  </si>
  <si>
    <t>top live casino</t>
  </si>
  <si>
    <t>best live dealer online casinos</t>
  </si>
  <si>
    <t>best games at casino</t>
  </si>
  <si>
    <t>casinos online suisse</t>
  </si>
  <si>
    <t>online casino australia real money</t>
  </si>
  <si>
    <t>roulette live casino indaxis.com</t>
  </si>
  <si>
    <t>casinos online new</t>
  </si>
  <si>
    <t>online casinos that take paypal</t>
  </si>
  <si>
    <t>online casino bonus ohne einzahlung sofort</t>
  </si>
  <si>
    <t>alabama online casinos</t>
  </si>
  <si>
    <t>red spins online casino review</t>
  </si>
  <si>
    <t>harrahs casino nj online</t>
  </si>
  <si>
    <t>casino online us</t>
  </si>
  <si>
    <t>stake casino online</t>
  </si>
  <si>
    <t>nebraska casino online</t>
  </si>
  <si>
    <t>slots casino free games</t>
  </si>
  <si>
    <t>online casinos real money usa</t>
  </si>
  <si>
    <t>qbet casino online</t>
  </si>
  <si>
    <t>casino video games</t>
  </si>
  <si>
    <t>best online casino bonuses in japan</t>
  </si>
  <si>
    <t>taruhan oriental casino online deposit 50 ribu</t>
  </si>
  <si>
    <t>online casinos in nj</t>
  </si>
  <si>
    <t>casino 365 online</t>
  </si>
  <si>
    <t>online casino with minimum deposit</t>
  </si>
  <si>
    <t>sky bet live casino</t>
  </si>
  <si>
    <t>online casino konzession</t>
  </si>
  <si>
    <t>10bet live casino</t>
  </si>
  <si>
    <t>free online casino spins</t>
  </si>
  <si>
    <t>best online bingo casinos</t>
  </si>
  <si>
    <t>online gambling in massachusetts</t>
  </si>
  <si>
    <t>casino online asia</t>
  </si>
  <si>
    <t>skrill online gambling</t>
  </si>
  <si>
    <t>migliori casino italiani online</t>
  </si>
  <si>
    <t>casino malta online</t>
  </si>
  <si>
    <t>online casino mit sofort auszahlung</t>
  </si>
  <si>
    <t>new online casino canada 2023</t>
  </si>
  <si>
    <t>best uk online casino sites</t>
  </si>
  <si>
    <t>baccarat live casino</t>
  </si>
  <si>
    <t>slot casino free games</t>
  </si>
  <si>
    <t>mejor casino online neosurf</t>
  </si>
  <si>
    <t>slot online 241--casino(rajadewa138)</t>
  </si>
  <si>
    <t>snai casino online</t>
  </si>
  <si>
    <t>casino games singapore</t>
  </si>
  <si>
    <t>online casinos gambling</t>
  </si>
  <si>
    <t>online casino armenia</t>
  </si>
  <si>
    <t>best online casinos that payout instantly</t>
  </si>
  <si>
    <t>newest online casino games</t>
  </si>
  <si>
    <t>online casinos and bonuses</t>
  </si>
  <si>
    <t>neue online casino</t>
  </si>
  <si>
    <t>online casino minimum deposit 5</t>
  </si>
  <si>
    <t>arizona online casino</t>
  </si>
  <si>
    <t>poker online casino</t>
  </si>
  <si>
    <t>riverbelle online casino download</t>
  </si>
  <si>
    <t>casino club online</t>
  </si>
  <si>
    <t>top free casino games</t>
  </si>
  <si>
    <t>online casino postfinance</t>
  </si>
  <si>
    <t>online casino betrivers ontario</t>
  </si>
  <si>
    <t>online casinos new york</t>
  </si>
  <si>
    <t>online casinos that accept crypto</t>
  </si>
  <si>
    <t>legit online casino canada</t>
  </si>
  <si>
    <t>the online casino review</t>
  </si>
  <si>
    <t>online free spin casino</t>
  </si>
  <si>
    <t>50 freispiele online casino</t>
  </si>
  <si>
    <t>safe online casino real money</t>
  </si>
  <si>
    <t>best egt online casino</t>
  </si>
  <si>
    <t>casino online con bonus</t>
  </si>
  <si>
    <t>deutsche online casinos paypal</t>
  </si>
  <si>
    <t>casinos online blackjack en vivo</t>
  </si>
  <si>
    <t>online casino compare</t>
  </si>
  <si>
    <t>casino online bankid</t>
  </si>
  <si>
    <t>online casino oyunları</t>
  </si>
  <si>
    <t>live mobile casino</t>
  </si>
  <si>
    <t>canadian casino online paypal</t>
  </si>
  <si>
    <t>online casino with no deposit</t>
  </si>
  <si>
    <t>top 10 online casino games</t>
  </si>
  <si>
    <t>casino online ohne einzahlung</t>
  </si>
  <si>
    <t>online casino new zealand real money</t>
  </si>
  <si>
    <t>free online casino demo games</t>
  </si>
  <si>
    <t>crown casino online</t>
  </si>
  <si>
    <t>casino juegos online</t>
  </si>
  <si>
    <t>casino gran madrid online</t>
  </si>
  <si>
    <t>free casino games to play now</t>
  </si>
  <si>
    <t>no deposit bonus casinos online</t>
  </si>
  <si>
    <t>best online casino toronto</t>
  </si>
  <si>
    <t>best online casino ireland</t>
  </si>
  <si>
    <t>online casino vergleich test</t>
  </si>
  <si>
    <t>online casinos offering free slot tournaments</t>
  </si>
  <si>
    <t>crazy time online casino</t>
  </si>
  <si>
    <t>casino games for free roulette</t>
  </si>
  <si>
    <t>best online casino match bonus</t>
  </si>
  <si>
    <t>wild online casino</t>
  </si>
  <si>
    <t>online casinos mit echtgeld</t>
  </si>
  <si>
    <t>chances casino online login</t>
  </si>
  <si>
    <t>yukon casino online</t>
  </si>
  <si>
    <t>online casinos liechtenstein</t>
  </si>
  <si>
    <t>best online casino 2021</t>
  </si>
  <si>
    <t>online casino quick payout</t>
  </si>
  <si>
    <t>#1 online casino</t>
  </si>
  <si>
    <t>real money online casino no deposit</t>
  </si>
  <si>
    <t>casino live blackjack</t>
  </si>
  <si>
    <t>mejor casino online argentina</t>
  </si>
  <si>
    <t>casino rewards online</t>
  </si>
  <si>
    <t>olg online casino news</t>
  </si>
  <si>
    <t>ak online casinos</t>
  </si>
  <si>
    <t>real money online casino in australia</t>
  </si>
  <si>
    <t>casino danmark online</t>
  </si>
  <si>
    <t>online casino curacao legal</t>
  </si>
  <si>
    <t>casinos online mobile</t>
  </si>
  <si>
    <t>no deposit bonus online casinos</t>
  </si>
  <si>
    <t>real online casino slots</t>
  </si>
  <si>
    <t>mejor casino online que acepta mastercard</t>
  </si>
  <si>
    <t>online gambling growth</t>
  </si>
  <si>
    <t>online casino top10</t>
  </si>
  <si>
    <t>new online real money casino</t>
  </si>
  <si>
    <t>online blackjack gambling</t>
  </si>
  <si>
    <t>m777 online casino</t>
  </si>
  <si>
    <t>quick hit casino slots - free slot machines games</t>
  </si>
  <si>
    <t>play n go online casino</t>
  </si>
  <si>
    <t>live casino not on gamstop</t>
  </si>
  <si>
    <t>best paying casino games</t>
  </si>
  <si>
    <t>casinos online blackjack andorra</t>
  </si>
  <si>
    <t>free spins casino online</t>
  </si>
  <si>
    <t>top habanero online casino</t>
  </si>
  <si>
    <t>slots of vegas online casino instant play</t>
  </si>
  <si>
    <t>online cz casino</t>
  </si>
  <si>
    <t>topx online casino official site</t>
  </si>
  <si>
    <t>missouri online gambling</t>
  </si>
  <si>
    <t>casinos online legales en chile</t>
  </si>
  <si>
    <t>neue online casinos 2017 bonus ohne einzahlung</t>
  </si>
  <si>
    <t>casino online gratis sin descargar sin deposito</t>
  </si>
  <si>
    <t>casinos online con mastercard</t>
  </si>
  <si>
    <t>welches online casino ist das beste</t>
  </si>
  <si>
    <t>hollywood pa online casino</t>
  </si>
  <si>
    <t>online casinos free bonus no deposit</t>
  </si>
  <si>
    <t>missouri casino online</t>
  </si>
  <si>
    <t>south carolina online gambling</t>
  </si>
  <si>
    <t>online casino internet casino</t>
  </si>
  <si>
    <t>online casino in pennsylvania</t>
  </si>
  <si>
    <t>pragmatic play live casino</t>
  </si>
  <si>
    <t>best online slot casino</t>
  </si>
  <si>
    <t>casinos online de 2022</t>
  </si>
  <si>
    <t>johnny kash online casino</t>
  </si>
  <si>
    <t>quick hit casino online slots</t>
  </si>
  <si>
    <t>canadian online casinos that accept skrill</t>
  </si>
  <si>
    <t>online casino tipos</t>
  </si>
  <si>
    <t>online casino gamomat</t>
  </si>
  <si>
    <t>bestes quickspin online casino</t>
  </si>
  <si>
    <t>swiss casino online</t>
  </si>
  <si>
    <t>online casino ideal</t>
  </si>
  <si>
    <t>sc online gambling</t>
  </si>
  <si>
    <t>no deposit casinos online</t>
  </si>
  <si>
    <t>king casino online</t>
  </si>
  <si>
    <t>online vip casinos</t>
  </si>
  <si>
    <t>online casino ruby fortune</t>
  </si>
  <si>
    <t>online casino 🇩🇪 deutshespiele.blog</t>
  </si>
  <si>
    <t>online gambling nz real money</t>
  </si>
  <si>
    <t>aussie online casinos</t>
  </si>
  <si>
    <t>online casino buitenland</t>
  </si>
  <si>
    <t>slot free casino games</t>
  </si>
  <si>
    <t>online casino with debit card</t>
  </si>
  <si>
    <t>paston casino online</t>
  </si>
  <si>
    <t>casino canada online</t>
  </si>
  <si>
    <t>online crypto casino games</t>
  </si>
  <si>
    <t>betrivers casino online</t>
  </si>
  <si>
    <t>online casino echtgeld ohne einzahlung</t>
  </si>
  <si>
    <t>mastercard en casinos online</t>
  </si>
  <si>
    <t>online casino softwareentwickler</t>
  </si>
  <si>
    <t>promociones casino online</t>
  </si>
  <si>
    <t>online casino virgin</t>
  </si>
  <si>
    <t>online casino magyar</t>
  </si>
  <si>
    <t>casinos online en peru</t>
  </si>
  <si>
    <t>free casino games slots</t>
  </si>
  <si>
    <t>online casino bitcoin</t>
  </si>
  <si>
    <t>casino real online</t>
  </si>
  <si>
    <t>online casino games list</t>
  </si>
  <si>
    <t>casino de madrid online</t>
  </si>
  <si>
    <t>casino live app</t>
  </si>
  <si>
    <t>captain jack online casino</t>
  </si>
  <si>
    <t>jokers cap online casino</t>
  </si>
  <si>
    <t>best safe online casinos</t>
  </si>
  <si>
    <t>joy casino online</t>
  </si>
  <si>
    <t>live casino 888</t>
  </si>
  <si>
    <t>beste merkur online casino</t>
  </si>
  <si>
    <t>the online casino promo code</t>
  </si>
  <si>
    <t>casino online non aams bonus senza deposito</t>
  </si>
  <si>
    <t>best neteller online casino</t>
  </si>
  <si>
    <t>online casino guides</t>
  </si>
  <si>
    <t>highest payout online casino usa</t>
  </si>
  <si>
    <t>n1 casino online</t>
  </si>
  <si>
    <t>casino slots real money online</t>
  </si>
  <si>
    <t>paradise online casino</t>
  </si>
  <si>
    <t>top online usa casinos</t>
  </si>
  <si>
    <t>crash online casino</t>
  </si>
  <si>
    <t>online gambling maryland</t>
  </si>
  <si>
    <t>best online casino android app</t>
  </si>
  <si>
    <t>casino real money online</t>
  </si>
  <si>
    <t>type of casino games</t>
  </si>
  <si>
    <t>online casino nederland zonder registratie</t>
  </si>
  <si>
    <t>casino online com bonus sem deposito</t>
  </si>
  <si>
    <t>new online casino nederland</t>
  </si>
  <si>
    <t>keno gambling online</t>
  </si>
  <si>
    <t>online casino bonus list</t>
  </si>
  <si>
    <t>888 poker online casino</t>
  </si>
  <si>
    <t>casino live play</t>
  </si>
  <si>
    <t>online casino razor shark</t>
  </si>
  <si>
    <t>online gambling live dealers</t>
  </si>
  <si>
    <t>casino sbobet88 online</t>
  </si>
  <si>
    <t>sizzling hot online casino</t>
  </si>
  <si>
    <t>online casinos new jersey</t>
  </si>
  <si>
    <t>rhode island online gambling</t>
  </si>
  <si>
    <t>sofort online casino</t>
  </si>
  <si>
    <t>online casino promoties</t>
  </si>
  <si>
    <t>synot casino online</t>
  </si>
  <si>
    <t>pennsylvania online casino bonus</t>
  </si>
  <si>
    <t>casino rocket play online</t>
  </si>
  <si>
    <t>new online casinos australia</t>
  </si>
  <si>
    <t>united states online gambling</t>
  </si>
  <si>
    <t>ethereum online casino</t>
  </si>
  <si>
    <t>casinos online bizum</t>
  </si>
  <si>
    <t>online casino bonus 400 prozent</t>
  </si>
  <si>
    <t>mejores casinos online que aceptan paypal</t>
  </si>
  <si>
    <t>online casino canada instant withdrawal</t>
  </si>
  <si>
    <t>high 5 casino games</t>
  </si>
  <si>
    <t>new online casinos 2023</t>
  </si>
  <si>
    <t>best casino sites online</t>
  </si>
  <si>
    <t>start casino online</t>
  </si>
  <si>
    <t>casino india online</t>
  </si>
  <si>
    <t>casino online bono bienvenida sin deposito</t>
  </si>
  <si>
    <t>online casino greenland</t>
  </si>
  <si>
    <t>free online casino slot games to play for fun</t>
  </si>
  <si>
    <t>casino online romania</t>
  </si>
  <si>
    <t>casino saint vincent online</t>
  </si>
  <si>
    <t>online gambling seo</t>
  </si>
  <si>
    <t>online casinos free bonuses</t>
  </si>
  <si>
    <t>νομιμα online casino στην ελλαδα</t>
  </si>
  <si>
    <t>agen judi oriental casino online</t>
  </si>
  <si>
    <t>best online casinos in new jersey</t>
  </si>
  <si>
    <t>play casino online free</t>
  </si>
  <si>
    <t>online casino malaysia</t>
  </si>
  <si>
    <t>genting online casino</t>
  </si>
  <si>
    <t>different casino table games</t>
  </si>
  <si>
    <t>bästa online casino bonus</t>
  </si>
  <si>
    <t>online casino games for real cash</t>
  </si>
  <si>
    <t>listado casinos online</t>
  </si>
  <si>
    <t>top online casinos greenland</t>
  </si>
  <si>
    <t>romanian online casinos</t>
  </si>
  <si>
    <t>euromania online casino</t>
  </si>
  <si>
    <t>online casino ohne mindesteinzahlung</t>
  </si>
  <si>
    <t>best online casino first deposit bonus</t>
  </si>
  <si>
    <t>fun casino games to play at home</t>
  </si>
  <si>
    <t>casino online que acepta bitcoin</t>
  </si>
  <si>
    <t>star games casino kostenlos</t>
  </si>
  <si>
    <t>online casino ohne lugas</t>
  </si>
  <si>
    <t>malaysia trusted live casino</t>
  </si>
  <si>
    <t>no verification live casino</t>
  </si>
  <si>
    <t>online casinos south africa</t>
  </si>
  <si>
    <t>australian online casino real money</t>
  </si>
  <si>
    <t>golden palace online casino</t>
  </si>
  <si>
    <t>best canadian casinos for online baccarat</t>
  </si>
  <si>
    <t>online casino fast withdrawal</t>
  </si>
  <si>
    <t>online casino bonus za registraciu</t>
  </si>
  <si>
    <t>new mexico casino online</t>
  </si>
  <si>
    <t>best online casino casino.us</t>
  </si>
  <si>
    <t>best online casino offers no deposit</t>
  </si>
  <si>
    <t>instant withdraw online casino</t>
  </si>
  <si>
    <t>casinos online england</t>
  </si>
  <si>
    <t>money casino games</t>
  </si>
  <si>
    <t>online casino betreiben</t>
  </si>
  <si>
    <t>online casino bonus ohne bedingungen</t>
  </si>
  <si>
    <t>casino jackpot online</t>
  </si>
  <si>
    <t>safe casinos online</t>
  </si>
  <si>
    <t>online casino beste auszahlungsquote</t>
  </si>
  <si>
    <t>online casino neukundenbonus</t>
  </si>
  <si>
    <t>best australian casinos online</t>
  </si>
  <si>
    <t>casinos online no deposit bonus codes</t>
  </si>
  <si>
    <t>mummys gold casino online</t>
  </si>
  <si>
    <t>pakistani online casino site</t>
  </si>
  <si>
    <t>online casino affiliate marketing</t>
  </si>
  <si>
    <t>online casino cheat software</t>
  </si>
  <si>
    <t>online casino mit sms bezahlen</t>
  </si>
  <si>
    <t>evolution casino games</t>
  </si>
  <si>
    <t>no deposit bonus online casino australia</t>
  </si>
  <si>
    <t>casino roulette online free</t>
  </si>
  <si>
    <t>welche online casinos sind in österreich legal</t>
  </si>
  <si>
    <t>casino games online that pay real money</t>
  </si>
  <si>
    <t>vanilla visa online casino</t>
  </si>
  <si>
    <t>schweizer online casino super cherry</t>
  </si>
  <si>
    <t>casino games and slots by heart of vegas</t>
  </si>
  <si>
    <t>caesars casino online</t>
  </si>
  <si>
    <t>casino online games for real money</t>
  </si>
  <si>
    <t>online casinos in the uk</t>
  </si>
  <si>
    <t>casino games for android phone</t>
  </si>
  <si>
    <t>online casino with highest payout rate</t>
  </si>
  <si>
    <t>online casino bonus 50 euro</t>
  </si>
  <si>
    <t>online casino spielautomaten</t>
  </si>
  <si>
    <t>casino games jackpot</t>
  </si>
  <si>
    <t>online gambling in russia</t>
  </si>
  <si>
    <t>nejlepsi casino online</t>
  </si>
  <si>
    <t>online casino slots for free</t>
  </si>
  <si>
    <t>online casinos bitcoin</t>
  </si>
  <si>
    <t>deutsches online casino bonus ohne einzahlung</t>
  </si>
  <si>
    <t>ohio casino online</t>
  </si>
  <si>
    <t>live online casino real money</t>
  </si>
  <si>
    <t>online casino phone bill deposit</t>
  </si>
  <si>
    <t>serbian online casino</t>
  </si>
  <si>
    <t>casino online no brasil</t>
  </si>
  <si>
    <t>svenska casino online</t>
  </si>
  <si>
    <t>gtb77 online casino</t>
  </si>
  <si>
    <t>online casino code</t>
  </si>
  <si>
    <t>best online social casino</t>
  </si>
  <si>
    <t>web casino games</t>
  </si>
  <si>
    <t>mr bit casino online</t>
  </si>
  <si>
    <t>no deposit online gambling</t>
  </si>
  <si>
    <t>nederland casino online</t>
  </si>
  <si>
    <t>bwin casino online</t>
  </si>
  <si>
    <t>software de casinos online</t>
  </si>
  <si>
    <t>online casino table games for real money</t>
  </si>
  <si>
    <t>new online social casinos</t>
  </si>
  <si>
    <t>online casino mit amazon pay</t>
  </si>
  <si>
    <t>svenska spel online casino</t>
  </si>
  <si>
    <t>minnesota online casinos</t>
  </si>
  <si>
    <t>nederlands online casino ideal</t>
  </si>
  <si>
    <t>best aussie online casino</t>
  </si>
  <si>
    <t>online gambling software</t>
  </si>
  <si>
    <t>slot online free casino games</t>
  </si>
  <si>
    <t>métodos de pago para casinos online populares</t>
  </si>
  <si>
    <t>casinos online legales</t>
  </si>
  <si>
    <t>online casino no deposit bonus codes 2020</t>
  </si>
  <si>
    <t>mejores casinos online apple pay españa</t>
  </si>
  <si>
    <t>real casino games</t>
  </si>
  <si>
    <t>casino online melhores</t>
  </si>
  <si>
    <t>casino online bonus benvenuto</t>
  </si>
  <si>
    <t>online casino games developers</t>
  </si>
  <si>
    <t>volatility in casino games</t>
  </si>
  <si>
    <t>kansas online gambling</t>
  </si>
  <si>
    <t>online casino olg</t>
  </si>
  <si>
    <t>princess casino online</t>
  </si>
  <si>
    <t>online casino abzocke</t>
  </si>
  <si>
    <t>ελληνικα online casino</t>
  </si>
  <si>
    <t>casino games australia</t>
  </si>
  <si>
    <t>free spins online casino</t>
  </si>
  <si>
    <t>online gambling with sign up bonus</t>
  </si>
  <si>
    <t>top online gambling site</t>
  </si>
  <si>
    <t>americke online casino</t>
  </si>
  <si>
    <t>fanduel online casino pa</t>
  </si>
  <si>
    <t>games like cashman casino</t>
  </si>
  <si>
    <t>beste skrill online casinos</t>
  </si>
  <si>
    <t>online casinos that take visa</t>
  </si>
  <si>
    <t>online casino hacks</t>
  </si>
  <si>
    <t>free casino online</t>
  </si>
  <si>
    <t>safe online casinos canada</t>
  </si>
  <si>
    <t>jocuri online casino gratis</t>
  </si>
  <si>
    <t>spassino online casino</t>
  </si>
  <si>
    <t>casino online bingo</t>
  </si>
  <si>
    <t>agen ibcbet casino online</t>
  </si>
  <si>
    <t>online casino australia free spins</t>
  </si>
  <si>
    <t>online casino erfahrungen auszahlung</t>
  </si>
  <si>
    <t>jackpot city online casino app</t>
  </si>
  <si>
    <t>bch online casino</t>
  </si>
  <si>
    <t>mejores casinos online paypal</t>
  </si>
  <si>
    <t>bovada online casino</t>
  </si>
  <si>
    <t>best casino online canada</t>
  </si>
  <si>
    <t>online casino uk fast withdrawal</t>
  </si>
  <si>
    <t>stake online casino</t>
  </si>
  <si>
    <t>gambling casinos online</t>
  </si>
  <si>
    <t>best online live roulette casino</t>
  </si>
  <si>
    <t>online casinos that pay real cash</t>
  </si>
  <si>
    <t>casino en direct live</t>
  </si>
  <si>
    <t>online casino usa real money no deposit bonus</t>
  </si>
  <si>
    <t>online casino spielen echtgeld</t>
  </si>
  <si>
    <t>casinos uk online</t>
  </si>
  <si>
    <t>live casino solutions</t>
  </si>
  <si>
    <t>agen betting casino sbobet online</t>
  </si>
  <si>
    <t>bestes online casino test</t>
  </si>
  <si>
    <t>online grosvenor casino</t>
  </si>
  <si>
    <t>alle online casinos</t>
  </si>
  <si>
    <t>go wild casino online</t>
  </si>
  <si>
    <t>deutsche online casinos bonus ohne einzahlung</t>
  </si>
  <si>
    <t>applepay online casino</t>
  </si>
  <si>
    <t>american online casino real money</t>
  </si>
  <si>
    <t>halloween casino games</t>
  </si>
  <si>
    <t>deposit bonus online casinos</t>
  </si>
  <si>
    <t>top visa online casinos</t>
  </si>
  <si>
    <t>deutsche online casino 🇩🇪 deutshespiele.blog</t>
  </si>
  <si>
    <t>$10 minimum deposit online casino australia</t>
  </si>
  <si>
    <t>online casino europa</t>
  </si>
  <si>
    <t>best online casino in singapore</t>
  </si>
  <si>
    <t>juegos casino online chile</t>
  </si>
  <si>
    <t>popular online casino sites</t>
  </si>
  <si>
    <t>casino .com online casino</t>
  </si>
  <si>
    <t>casino online no deposit bonus codes</t>
  </si>
  <si>
    <t>online casinos for australian players</t>
  </si>
  <si>
    <t>parx casino online promo code</t>
  </si>
  <si>
    <t>best live casino site</t>
  </si>
  <si>
    <t>online casino roulette kostenlos</t>
  </si>
  <si>
    <t>online gambling ca</t>
  </si>
  <si>
    <t>new online casinos accepting us players</t>
  </si>
  <si>
    <t>online roulette casino game</t>
  </si>
  <si>
    <t>online casino visa gift card</t>
  </si>
  <si>
    <t>fastest withdrawal online casino nz</t>
  </si>
  <si>
    <t>wheel of fortune casino games</t>
  </si>
  <si>
    <t>online gambling west virginia</t>
  </si>
  <si>
    <t>the best online casino in canada</t>
  </si>
  <si>
    <t>best rated online casino uk</t>
  </si>
  <si>
    <t>online casino befizetés nélküli bónusz</t>
  </si>
  <si>
    <t>bandar judi oriental casino online</t>
  </si>
  <si>
    <t>wazamba online casino</t>
  </si>
  <si>
    <t>beste apple pay online casinos</t>
  </si>
  <si>
    <t>best online casino india 2020</t>
  </si>
  <si>
    <t>reelplay online casino</t>
  </si>
  <si>
    <t>cabaret club juegos de casino online</t>
  </si>
  <si>
    <t>real money online casino canada,</t>
  </si>
  <si>
    <t>casino online craps</t>
  </si>
  <si>
    <t>live baccarat casino</t>
  </si>
  <si>
    <t>online gambling fraud</t>
  </si>
  <si>
    <t>casino austria online spielen</t>
  </si>
  <si>
    <t>best online casino usa real money</t>
  </si>
  <si>
    <t>online gambling club</t>
  </si>
  <si>
    <t>free casino games without adobe flash player</t>
  </si>
  <si>
    <t>games casino</t>
  </si>
  <si>
    <t>best online gambling sites</t>
  </si>
  <si>
    <t>play free demo casino games</t>
  </si>
  <si>
    <t>online casino with free play</t>
  </si>
  <si>
    <t>online casino review sites</t>
  </si>
  <si>
    <t>online casino geld verdienen</t>
  </si>
  <si>
    <t>real casino slots online</t>
  </si>
  <si>
    <t>online casino go wild</t>
  </si>
  <si>
    <t>vavada online casino</t>
  </si>
  <si>
    <t>casino online in usa</t>
  </si>
  <si>
    <t>online microgaming casino bonuses</t>
  </si>
  <si>
    <t>immortal romance casino online</t>
  </si>
  <si>
    <t>juego de dados casino online</t>
  </si>
  <si>
    <t>casino online automaty</t>
  </si>
  <si>
    <t>online casinos accepting neteller</t>
  </si>
  <si>
    <t>rival online casinos</t>
  </si>
  <si>
    <t>new casinos online 2023</t>
  </si>
  <si>
    <t>leovegas online casino login</t>
  </si>
  <si>
    <t>online casino legal states</t>
  </si>
  <si>
    <t>online gambling addiction</t>
  </si>
  <si>
    <t>live casino apps</t>
  </si>
  <si>
    <t>online casino pay by mobile phone</t>
  </si>
  <si>
    <t>casino table games app</t>
  </si>
  <si>
    <t>platinum casino games</t>
  </si>
  <si>
    <t>mejores casinos online espana</t>
  </si>
  <si>
    <t>online casino game malaysia</t>
  </si>
  <si>
    <t>online casino ervaringen</t>
  </si>
  <si>
    <t>online casino that accepts checks</t>
  </si>
  <si>
    <t>online live casino usa</t>
  </si>
  <si>
    <t>online casino partnerprogramm</t>
  </si>
  <si>
    <t>caliente online casino</t>
  </si>
  <si>
    <t>casinos online que aceptan entropay</t>
  </si>
  <si>
    <t>highest payout casino games</t>
  </si>
  <si>
    <t>888 casino online support</t>
  </si>
  <si>
    <t>online casino 5 pound deposit</t>
  </si>
  <si>
    <t>casino games echtgeld</t>
  </si>
  <si>
    <t>online-casino</t>
  </si>
  <si>
    <t>bandar taruhan casino joker123 online</t>
  </si>
  <si>
    <t>online casinos with paysafecard</t>
  </si>
  <si>
    <t>instant payout online casinos australia</t>
  </si>
  <si>
    <t>luckyland casino online</t>
  </si>
  <si>
    <t>zar casinos online</t>
  </si>
  <si>
    <t>online casino paysafecard einzahlung</t>
  </si>
  <si>
    <t>riversweeps online casino</t>
  </si>
  <si>
    <t>best casino online sites</t>
  </si>
  <si>
    <t>best deposit bonuses at online casinos</t>
  </si>
  <si>
    <t>beste online casino sites</t>
  </si>
  <si>
    <t>real casino games for money</t>
  </si>
  <si>
    <t>online casino mit handy aufladen</t>
  </si>
  <si>
    <t>casino cyprus online</t>
  </si>
  <si>
    <t>nova scotia online casino</t>
  </si>
  <si>
    <t>88 fortunes casino slot games</t>
  </si>
  <si>
    <t>bg online casino</t>
  </si>
  <si>
    <t>australian online casino no deposit sign up bonus</t>
  </si>
  <si>
    <t>spiele online casino</t>
  </si>
  <si>
    <t>download free online casino games</t>
  </si>
  <si>
    <t>make money online casino free</t>
  </si>
  <si>
    <t>us casino online</t>
  </si>
  <si>
    <t>neues online casino</t>
  </si>
  <si>
    <t>pin up online casino review</t>
  </si>
  <si>
    <t>real money online casino delaware</t>
  </si>
  <si>
    <t>casino estoril online esc</t>
  </si>
  <si>
    <t>best online casino canada</t>
  </si>
  <si>
    <t>casino solitaire online</t>
  </si>
  <si>
    <t>cool cat casino online</t>
  </si>
  <si>
    <t>on line casino games</t>
  </si>
  <si>
    <t>free slot casino games online</t>
  </si>
  <si>
    <t>online casino sites uk</t>
  </si>
  <si>
    <t>cabaret club online casino español</t>
  </si>
  <si>
    <t>zone online casino vegas world</t>
  </si>
  <si>
    <t>online casinos in new zealand</t>
  </si>
  <si>
    <t>no deposit welcome bonus online casino</t>
  </si>
  <si>
    <t>online casinos in west virginia</t>
  </si>
  <si>
    <t>new online casinos nz</t>
  </si>
  <si>
    <t>casino online spielen kostenlos ohne anmeldung</t>
  </si>
  <si>
    <t>online casino games live games best uk</t>
  </si>
  <si>
    <t>casino real money games</t>
  </si>
  <si>
    <t>best online casinos for payouts</t>
  </si>
  <si>
    <t>online casino freeplay</t>
  </si>
  <si>
    <t>casino online free credit no deposit</t>
  </si>
  <si>
    <t>casino online real</t>
  </si>
  <si>
    <t>novibet live casino</t>
  </si>
  <si>
    <t>michigan online casino promo</t>
  </si>
  <si>
    <t>top 10 online casino malaysia</t>
  </si>
  <si>
    <t>online casino sicher gewinnen</t>
  </si>
  <si>
    <t>online casino game development companies</t>
  </si>
  <si>
    <t>highest paying online casino nz</t>
  </si>
  <si>
    <t>monopoly slots - casino games</t>
  </si>
  <si>
    <t>credit card online casinos</t>
  </si>
  <si>
    <t>golden riviera online casino</t>
  </si>
  <si>
    <t>spielhalle online casino</t>
  </si>
  <si>
    <t>lucky nugget online casino español</t>
  </si>
  <si>
    <t>casino free games no download</t>
  </si>
  <si>
    <t>promozioni casino online</t>
  </si>
  <si>
    <t>online casino norge</t>
  </si>
  <si>
    <t>top online casino that accepts debit card</t>
  </si>
  <si>
    <t>best mastercard online casino</t>
  </si>
  <si>
    <t>new australian online casino no deposit bonus</t>
  </si>
  <si>
    <t>casinos seguros online</t>
  </si>
  <si>
    <t>play casino slot games</t>
  </si>
  <si>
    <t>online casino astropay</t>
  </si>
  <si>
    <t>online casino poland</t>
  </si>
  <si>
    <t>online casinos ecopayz</t>
  </si>
  <si>
    <t>online casino paypal deutschland</t>
  </si>
  <si>
    <t>online casino live roulette wheel</t>
  </si>
  <si>
    <t>free casino games no deposit required</t>
  </si>
  <si>
    <t>echeque online casino sites</t>
  </si>
  <si>
    <t>hacked casino games</t>
  </si>
  <si>
    <t>best free casino games</t>
  </si>
  <si>
    <t>online casino mit giropay</t>
  </si>
  <si>
    <t>danske spil live casino</t>
  </si>
  <si>
    <t>binance coin online casino</t>
  </si>
  <si>
    <t>sgd live casino</t>
  </si>
  <si>
    <t>doge online gambling</t>
  </si>
  <si>
    <t>welcome bonus casino online</t>
  </si>
  <si>
    <t>online gambling trends</t>
  </si>
  <si>
    <t>siti casino online sicuri</t>
  </si>
  <si>
    <t>the vic online casino</t>
  </si>
  <si>
    <t>online casino free play no deposit</t>
  </si>
  <si>
    <t>best casino odds table games</t>
  </si>
  <si>
    <t>online casino banner</t>
  </si>
  <si>
    <t>best new free chips bonuses usa online casino</t>
  </si>
  <si>
    <t>best live casino singapore</t>
  </si>
  <si>
    <t>cabaretclub casino online</t>
  </si>
  <si>
    <t>casino online bonus senza deposito immediato</t>
  </si>
  <si>
    <t>beste online live casino</t>
  </si>
  <si>
    <t>online casinos in maryland</t>
  </si>
  <si>
    <t>online casino 5 minimum deposit</t>
  </si>
  <si>
    <t>bestes schweizer online casino</t>
  </si>
  <si>
    <t>free no deposit bonus online casino south africa</t>
  </si>
  <si>
    <t>nz online gambling</t>
  </si>
  <si>
    <t>online casino games no deposit bonus codes</t>
  </si>
  <si>
    <t>online casino gute bewertung</t>
  </si>
  <si>
    <t>bitcoin online casinos</t>
  </si>
  <si>
    <t>captain cooks casino online</t>
  </si>
  <si>
    <t>global casino online</t>
  </si>
  <si>
    <t>rückforderung online casino</t>
  </si>
  <si>
    <t>casino online nederland</t>
  </si>
  <si>
    <t>live casino poker</t>
  </si>
  <si>
    <t>live casino en ligne</t>
  </si>
  <si>
    <t>nove ceske online casino</t>
  </si>
  <si>
    <t>best online casino latvia</t>
  </si>
  <si>
    <t>arizona online casino no deposit bonus</t>
  </si>
  <si>
    <t>ainsworth casino games</t>
  </si>
  <si>
    <t>pragmatic play online casino</t>
  </si>
  <si>
    <t>bonus online casino no deposit</t>
  </si>
  <si>
    <t>wild casino online gambling</t>
  </si>
  <si>
    <t>online roulette casinos</t>
  </si>
  <si>
    <t>online casinos jackpots</t>
  </si>
  <si>
    <t>online casino reviews usa players</t>
  </si>
  <si>
    <t>ideal online casinos</t>
  </si>
  <si>
    <t>online casino easy verification</t>
  </si>
  <si>
    <t>online casino mit trustly verifizierung</t>
  </si>
  <si>
    <t>best new online casino uk</t>
  </si>
  <si>
    <t>ontario online casino sites</t>
  </si>
  <si>
    <t>rizk online casino erfahrungen</t>
  </si>
  <si>
    <t>casimba online casino review</t>
  </si>
  <si>
    <t>mr green online casino review</t>
  </si>
  <si>
    <t>online gambling solomon islands</t>
  </si>
  <si>
    <t>casino bets online</t>
  </si>
  <si>
    <t>cbet casino online deposit 50 ribu</t>
  </si>
  <si>
    <t>mi online gambling</t>
  </si>
  <si>
    <t>live dealer casino holdem</t>
  </si>
  <si>
    <t>thai casino online</t>
  </si>
  <si>
    <t>skrill online casino</t>
  </si>
  <si>
    <t>brango casino online</t>
  </si>
  <si>
    <t>casino online gratis slot</t>
  </si>
  <si>
    <t>canada live casino</t>
  </si>
  <si>
    <t>online casino gambling site</t>
  </si>
  <si>
    <t>newest us online casinos</t>
  </si>
  <si>
    <t>online casinos california</t>
  </si>
  <si>
    <t>real online casino apps for iphone</t>
  </si>
  <si>
    <t>online litecoin casino</t>
  </si>
  <si>
    <t>bovegas online casino</t>
  </si>
  <si>
    <t>play online gambling real money</t>
  </si>
  <si>
    <t>online casino crypto</t>
  </si>
  <si>
    <t>the best online casino uk</t>
  </si>
  <si>
    <t>live casino promo code</t>
  </si>
  <si>
    <t>play casino online canada</t>
  </si>
  <si>
    <t>casino online fiable</t>
  </si>
  <si>
    <t>hard rock casino online</t>
  </si>
  <si>
    <t>online gambling qatar</t>
  </si>
  <si>
    <t>casino games not on gamstop</t>
  </si>
  <si>
    <t>safe online casino with generous welcome bonuses</t>
  </si>
  <si>
    <t>live casino bonus codes</t>
  </si>
  <si>
    <t>online casino real money sign up bonus</t>
  </si>
  <si>
    <t>jackpotcity casino games</t>
  </si>
  <si>
    <t>online casino alberta</t>
  </si>
  <si>
    <t>best casino games on bet365</t>
  </si>
  <si>
    <t>best payout online casino canada</t>
  </si>
  <si>
    <t>real online casinos with free play</t>
  </si>
  <si>
    <t>online casino seo</t>
  </si>
  <si>
    <t>royal casino vegas online</t>
  </si>
  <si>
    <t>online-casinos</t>
  </si>
  <si>
    <t>rubyfortune casino online</t>
  </si>
  <si>
    <t>ny online casino</t>
  </si>
  <si>
    <t>list online casino</t>
  </si>
  <si>
    <t>casino online deposit bonus</t>
  </si>
  <si>
    <t>bitcoin online casino gaming</t>
  </si>
  <si>
    <t>best new online casinos</t>
  </si>
  <si>
    <t>slotexo casino online</t>
  </si>
  <si>
    <t>cashback casino online</t>
  </si>
  <si>
    <t>online casino bonus ohne einzahlung sofort 2020</t>
  </si>
  <si>
    <t>leo vegas online casino</t>
  </si>
  <si>
    <t>online casinos in new jersey</t>
  </si>
  <si>
    <t>online casinos like liberty slots</t>
  </si>
  <si>
    <t>bc casinos online</t>
  </si>
  <si>
    <t>casino online españa bono sin depósito</t>
  </si>
  <si>
    <t>casino games download</t>
  </si>
  <si>
    <t>best online casino nz 2021</t>
  </si>
  <si>
    <t>cel mai bun casino online</t>
  </si>
  <si>
    <t>top scientific games online casinos</t>
  </si>
  <si>
    <t>online-casino spiele</t>
  </si>
  <si>
    <t>casino cbet online</t>
  </si>
  <si>
    <t>online gambling in tennessee</t>
  </si>
  <si>
    <t>casinos online español</t>
  </si>
  <si>
    <t>best online canadian casinos</t>
  </si>
  <si>
    <t>betrouwbaar online casino</t>
  </si>
  <si>
    <t>online casinos free spins ohne einzahlung</t>
  </si>
  <si>
    <t>bonus codes for online casinos no deposit</t>
  </si>
  <si>
    <t>online casino sicher</t>
  </si>
  <si>
    <t>juegos de casino gratis online</t>
  </si>
  <si>
    <t>online casino ausland schweiz</t>
  </si>
  <si>
    <t>party casino online</t>
  </si>
  <si>
    <t>online casino.</t>
  </si>
  <si>
    <t>online casino u srbiji</t>
  </si>
  <si>
    <t>22win casino online philippines</t>
  </si>
  <si>
    <t>online casino bonus paysafe</t>
  </si>
  <si>
    <t>casinos online en mexico</t>
  </si>
  <si>
    <t>casino online quebec</t>
  </si>
  <si>
    <t>real money casino online</t>
  </si>
  <si>
    <t>online casino australia paypal</t>
  </si>
  <si>
    <t>free gambling online</t>
  </si>
  <si>
    <t>online casino mit boku</t>
  </si>
  <si>
    <t>fun casino games</t>
  </si>
  <si>
    <t>zone online casino</t>
  </si>
  <si>
    <t>casino blackjack online free</t>
  </si>
  <si>
    <t>online casinos spain</t>
  </si>
  <si>
    <t>ocean online casino nj</t>
  </si>
  <si>
    <t>kingneptunes online casino</t>
  </si>
  <si>
    <t>online casino österreich test</t>
  </si>
  <si>
    <t>online gambling in kentucky</t>
  </si>
  <si>
    <t>betrivers online casino review</t>
  </si>
  <si>
    <t>malaysia online casinos</t>
  </si>
  <si>
    <t>new online casinos australia 2021</t>
  </si>
  <si>
    <t>online kajot casino</t>
  </si>
  <si>
    <t>smart live casino</t>
  </si>
  <si>
    <t>agen judi casino dragon tiger online</t>
  </si>
  <si>
    <t>online casino play for fun</t>
  </si>
  <si>
    <t>www casino online</t>
  </si>
  <si>
    <t>casino jackpot games</t>
  </si>
  <si>
    <t>best online gambling in india</t>
  </si>
  <si>
    <t>casino x online</t>
  </si>
  <si>
    <t>geld verdienen in online casino</t>
  </si>
  <si>
    <t>bk8 online casino</t>
  </si>
  <si>
    <t>most trusted online casino australia</t>
  </si>
  <si>
    <t>online casinos mit paysafecard</t>
  </si>
  <si>
    <t>voodoodreams online casino</t>
  </si>
  <si>
    <t>play live casino games online</t>
  </si>
  <si>
    <t>online sweepstakes casino</t>
  </si>
  <si>
    <t>demo casino live</t>
  </si>
  <si>
    <t>nieuwe online casino nederland</t>
  </si>
  <si>
    <t>agen taruhan casino live online</t>
  </si>
  <si>
    <t>maria casino online</t>
  </si>
  <si>
    <t>nj online casino</t>
  </si>
  <si>
    <t>us gambling online</t>
  </si>
  <si>
    <t>casino de barcelona online</t>
  </si>
  <si>
    <t>top 10 online casino slots</t>
  </si>
  <si>
    <t>online casinos muchbetter</t>
  </si>
  <si>
    <t>online casino that accept credit cards</t>
  </si>
  <si>
    <t>beste ecopayz online casinos</t>
  </si>
  <si>
    <t>casino online kostenlos ohne anmeldung</t>
  </si>
  <si>
    <t>casinos real money online</t>
  </si>
  <si>
    <t>1xbet online casino free</t>
  </si>
  <si>
    <t>golden crown casino online</t>
  </si>
  <si>
    <t>casinos online fiables</t>
  </si>
  <si>
    <t>instadebit online casinos</t>
  </si>
  <si>
    <t>casino online indonesia terpercaya</t>
  </si>
  <si>
    <t>online casino free bonus</t>
  </si>
  <si>
    <t>newest nj online casino</t>
  </si>
  <si>
    <t>n1 online casino</t>
  </si>
  <si>
    <t>bandar judi casino live terbesar</t>
  </si>
  <si>
    <t>online nl casino</t>
  </si>
  <si>
    <t>online casino freispiele ohne einzahlung sofort</t>
  </si>
  <si>
    <t>jack's casino online spelen</t>
  </si>
  <si>
    <t>slovenske online casino</t>
  </si>
  <si>
    <t>online casino mit gewinngarantie</t>
  </si>
  <si>
    <t>free online gambling</t>
  </si>
  <si>
    <t>online casinos canada reviews</t>
  </si>
  <si>
    <t>neue online casino 🇩🇪 deutshespiele.blog</t>
  </si>
  <si>
    <t>best fast payout online casino</t>
  </si>
  <si>
    <t>online casino singapore legal</t>
  </si>
  <si>
    <t>ethereum live casino usa</t>
  </si>
  <si>
    <t>online live casino canada</t>
  </si>
  <si>
    <t>biggest online casino bonuses</t>
  </si>
  <si>
    <t>efbet casino online</t>
  </si>
  <si>
    <t>new online casino uk no deposit bonus</t>
  </si>
  <si>
    <t>online casino australian</t>
  </si>
  <si>
    <t>online internet casino</t>
  </si>
  <si>
    <t>online casino google pay</t>
  </si>
  <si>
    <t>casino online pokerstars</t>
  </si>
  <si>
    <t>online casino marketing strategy</t>
  </si>
  <si>
    <t>easiest online casino to withdraw from</t>
  </si>
  <si>
    <t>holland casino live</t>
  </si>
  <si>
    <t>online casino willkommensbonus gratis</t>
  </si>
  <si>
    <t>online casino codes</t>
  </si>
  <si>
    <t>casino games development companies</t>
  </si>
  <si>
    <t>play online casinos for free</t>
  </si>
  <si>
    <t>online casino bonus ohne einzahlung 2025 neu</t>
  </si>
  <si>
    <t>bet online casino reviews</t>
  </si>
  <si>
    <t>nye danske online casino</t>
  </si>
  <si>
    <t>online casino 50 euro bonus ohne einzahlung</t>
  </si>
  <si>
    <t>casino belgie online</t>
  </si>
  <si>
    <t>name of casino games</t>
  </si>
  <si>
    <t>bestes book of moorhuhn online casino</t>
  </si>
  <si>
    <t>live casino ethereum</t>
  </si>
  <si>
    <t>best free casino games for iphone</t>
  </si>
  <si>
    <t>mgm new jersey online casino</t>
  </si>
  <si>
    <t>casinos online com licença em portugal</t>
  </si>
  <si>
    <t>online casino i norge</t>
  </si>
  <si>
    <t>online casino withdrawals</t>
  </si>
  <si>
    <t>credit cards that allow online gambling</t>
  </si>
  <si>
    <t>roulette casinos online</t>
  </si>
  <si>
    <t>online gambling in the us</t>
  </si>
  <si>
    <t>pala online casino</t>
  </si>
  <si>
    <t>situs casino online terbaik</t>
  </si>
  <si>
    <t>bester casino online</t>
  </si>
  <si>
    <t>spin palace flash casino online</t>
  </si>
  <si>
    <t>big casino casino live</t>
  </si>
  <si>
    <t>luckynugget casino online</t>
  </si>
  <si>
    <t>mastercard casinos online</t>
  </si>
  <si>
    <t>holland online casino</t>
  </si>
  <si>
    <t>all uk online casinos</t>
  </si>
  <si>
    <t>online gambling va</t>
  </si>
  <si>
    <t>online casino freispiele ohne einzahlung neu</t>
  </si>
  <si>
    <t>vermont online casino</t>
  </si>
  <si>
    <t>real money casino games</t>
  </si>
  <si>
    <t>casinonic live casino</t>
  </si>
  <si>
    <t>free spins no deposit - top online casinos</t>
  </si>
  <si>
    <t>casino migliori online</t>
  </si>
  <si>
    <t>live online casino reviews</t>
  </si>
  <si>
    <t>wind creek online casino real money</t>
  </si>
  <si>
    <t>partypoker casino live</t>
  </si>
  <si>
    <t>bitcoin cash online casino</t>
  </si>
  <si>
    <t>wunderino casino online</t>
  </si>
  <si>
    <t>dealer casino online</t>
  </si>
  <si>
    <t>online malaysia casino</t>
  </si>
  <si>
    <t>best online casinos with no deposit bonus</t>
  </si>
  <si>
    <t>mt airy online casino</t>
  </si>
  <si>
    <t>casino online ontario</t>
  </si>
  <si>
    <t>instant payout online casinos</t>
  </si>
  <si>
    <t>download casino games free</t>
  </si>
  <si>
    <t>7 sultans casino online</t>
  </si>
  <si>
    <t>online casino magyarorszag</t>
  </si>
  <si>
    <t>casino games free bonus no deposit</t>
  </si>
  <si>
    <t>online casinos that accept paypal deposits</t>
  </si>
  <si>
    <t>casino online mercado pago</t>
  </si>
  <si>
    <t>nz online casino sign up bonus</t>
  </si>
  <si>
    <t>golden tiger online casino</t>
  </si>
  <si>
    <t>jack's online casino</t>
  </si>
  <si>
    <t>best online casino promotions</t>
  </si>
  <si>
    <t>online casino franchise reviews</t>
  </si>
  <si>
    <t>online gambling wisconsin</t>
  </si>
  <si>
    <t>best bitcoin wallet for online gambling</t>
  </si>
  <si>
    <t>online casino gamble</t>
  </si>
  <si>
    <t>online casinos america</t>
  </si>
  <si>
    <t>slot online 237--casino(rajadewa138)</t>
  </si>
  <si>
    <t>north dakota casino online</t>
  </si>
  <si>
    <t>casino review online</t>
  </si>
  <si>
    <t>real money casinos online</t>
  </si>
  <si>
    <t>online casino slots mit hoher gewinnchance</t>
  </si>
  <si>
    <t>online casino real money slots</t>
  </si>
  <si>
    <t>online casino korean gambling sites seo</t>
  </si>
  <si>
    <t>online gambling usa</t>
  </si>
  <si>
    <t>slingo games casino</t>
  </si>
  <si>
    <t>bluechip online casino</t>
  </si>
  <si>
    <t>casino games guide</t>
  </si>
  <si>
    <t>free casino games for pc</t>
  </si>
  <si>
    <t>online casino malaysia wallet</t>
  </si>
  <si>
    <t>online gambling sites usa</t>
  </si>
  <si>
    <t>wv casinos online</t>
  </si>
  <si>
    <t>safe online casino uk</t>
  </si>
  <si>
    <t>casino online truffa.net</t>
  </si>
  <si>
    <t>888 online casino canada</t>
  </si>
  <si>
    <t>mt online gambling</t>
  </si>
  <si>
    <t>casino slot gratis online</t>
  </si>
  <si>
    <t>best online casino paraguay</t>
  </si>
  <si>
    <t>best online internet casino</t>
  </si>
  <si>
    <t>situs casino online</t>
  </si>
  <si>
    <t>best online casinos for us players</t>
  </si>
  <si>
    <t>barstool online casino</t>
  </si>
  <si>
    <t>casino casino online games</t>
  </si>
  <si>
    <t>casino slot online english</t>
  </si>
  <si>
    <t>best casinos uk online</t>
  </si>
  <si>
    <t>online casino registrierungsbonus</t>
  </si>
  <si>
    <t>jackpot city com online casino</t>
  </si>
  <si>
    <t>online casino monopoly live</t>
  </si>
  <si>
    <t>luckland online casino</t>
  </si>
  <si>
    <t>best online casino gaming sites</t>
  </si>
  <si>
    <t>best australian online casino payid</t>
  </si>
  <si>
    <t>mummys gold casino online casino</t>
  </si>
  <si>
    <t>isoftbet casino games</t>
  </si>
  <si>
    <t>caesars online casino pa promo code</t>
  </si>
  <si>
    <t>mejores casinos online halcash españa</t>
  </si>
  <si>
    <t>sbobet live casino mobile</t>
  </si>
  <si>
    <t>casino suisse online</t>
  </si>
  <si>
    <t>merkur online casino echtgeld paypal</t>
  </si>
  <si>
    <t>playing online casino games</t>
  </si>
  <si>
    <t>legal online gambling sites</t>
  </si>
  <si>
    <t>nuevo casino online</t>
  </si>
  <si>
    <t>test online casinos</t>
  </si>
  <si>
    <t>solana casino online</t>
  </si>
  <si>
    <t>online casino slots tricks</t>
  </si>
  <si>
    <t>ec karte online casino</t>
  </si>
  <si>
    <t>live casino border cambodia</t>
  </si>
  <si>
    <t>ολα τα online casino</t>
  </si>
  <si>
    <t>casinos online mastercard</t>
  </si>
  <si>
    <t>bally s online casino nj</t>
  </si>
  <si>
    <t>nowe casino online polska</t>
  </si>
  <si>
    <t>online casinos finland</t>
  </si>
  <si>
    <t>playuzu casino online en españa</t>
  </si>
  <si>
    <t>are casino card games rigged</t>
  </si>
  <si>
    <t>free slots games casino</t>
  </si>
  <si>
    <t>mobile casino games you can pay by phone bill</t>
  </si>
  <si>
    <t>casino buenos aires online</t>
  </si>
  <si>
    <t>manitoba online casino</t>
  </si>
  <si>
    <t>costa rica online gambling</t>
  </si>
  <si>
    <t>casino online play real money</t>
  </si>
  <si>
    <t>best online casinos in the us</t>
  </si>
  <si>
    <t>agen casino online indonesia</t>
  </si>
  <si>
    <t>online casino in las vegas</t>
  </si>
  <si>
    <t>beste casino online</t>
  </si>
  <si>
    <t>caesar casino online</t>
  </si>
  <si>
    <t>das beste online casino deutschlands</t>
  </si>
  <si>
    <t>register casino online</t>
  </si>
  <si>
    <t>lucky 247 online casino</t>
  </si>
  <si>
    <t>online casino washington state</t>
  </si>
  <si>
    <t>online slot casino games</t>
  </si>
  <si>
    <t>best online casinos new york</t>
  </si>
  <si>
    <t>best online blackjack casino canada</t>
  </si>
  <si>
    <t>online casino in malaysia</t>
  </si>
  <si>
    <t>online casino revolut</t>
  </si>
  <si>
    <t>online casino sveriges bästa nätcasino</t>
  </si>
  <si>
    <t>no deposit sign up bonus online casino</t>
  </si>
  <si>
    <t>casino planet online casino</t>
  </si>
  <si>
    <t>sisal casino live</t>
  </si>
  <si>
    <t>casino online 🇩🇪 casinod.casino</t>
  </si>
  <si>
    <t>32 online casino</t>
  </si>
  <si>
    <t>horse racing online gambling</t>
  </si>
  <si>
    <t>casino online fara depunere</t>
  </si>
  <si>
    <t>free ballys casino games</t>
  </si>
  <si>
    <t>list of online casinos uk</t>
  </si>
  <si>
    <t>irish casinos online</t>
  </si>
  <si>
    <t>online casino rankings</t>
  </si>
  <si>
    <t>$1 minimum deposit online casino</t>
  </si>
  <si>
    <t>canadian online casinos list</t>
  </si>
  <si>
    <t>new online casino usa 2023</t>
  </si>
  <si>
    <t>win british online casino review</t>
  </si>
  <si>
    <t>star games casino</t>
  </si>
  <si>
    <t>casino online español</t>
  </si>
  <si>
    <t>bwin online casino review</t>
  </si>
  <si>
    <t>casino slot games free download</t>
  </si>
  <si>
    <t>free sgd credit online casino</t>
  </si>
  <si>
    <t>online casinos deutschland</t>
  </si>
  <si>
    <t>nya svenska online casino</t>
  </si>
  <si>
    <t>arizona online casino apps</t>
  </si>
  <si>
    <t>online casino offering cashback on losses</t>
  </si>
  <si>
    <t>bedste online casino uden om rofus</t>
  </si>
  <si>
    <t>online gambling stocks</t>
  </si>
  <si>
    <t>online casino with low minimum deposit</t>
  </si>
  <si>
    <t>best online gambling payouts</t>
  </si>
  <si>
    <t>most legit online casino</t>
  </si>
  <si>
    <t>ruleta casino online</t>
  </si>
  <si>
    <t>top 100 online casinos uk</t>
  </si>
  <si>
    <t>top 10 online casino nederland</t>
  </si>
  <si>
    <t>online casino mit hohen gewinnchancen</t>
  </si>
  <si>
    <t>beste online casino seiten</t>
  </si>
  <si>
    <t>online gambling pokies</t>
  </si>
  <si>
    <t>casino games φρουτακια free</t>
  </si>
  <si>
    <t>free slot casino games</t>
  </si>
  <si>
    <t>free online casino roulette games play</t>
  </si>
  <si>
    <t>unbekannten online casinos</t>
  </si>
  <si>
    <t>casinos online in australia</t>
  </si>
  <si>
    <t>us online casinos no deposit bonus</t>
  </si>
  <si>
    <t>new online casino australia</t>
  </si>
  <si>
    <t>paginas de casino online</t>
  </si>
  <si>
    <t>online casino canada real money free spins</t>
  </si>
  <si>
    <t>best casino game to win money online</t>
  </si>
  <si>
    <t>australian online casinos no deposit bonus</t>
  </si>
  <si>
    <t>juegos de casinos online gratis</t>
  </si>
  <si>
    <t>unibet online casino</t>
  </si>
  <si>
    <t>jokers casino online spielen</t>
  </si>
  <si>
    <t>bob casino online</t>
  </si>
  <si>
    <t>brandneue online casinos bonus ohne einzahlung</t>
  </si>
  <si>
    <t>casino online uy tin</t>
  </si>
  <si>
    <t>jogo de roleta casino online gratis</t>
  </si>
  <si>
    <t>online casino site</t>
  </si>
  <si>
    <t>boku online casino</t>
  </si>
  <si>
    <t>neue online casino freispiele ohne einzahlung</t>
  </si>
  <si>
    <t>online casino live dealers</t>
  </si>
  <si>
    <t>eerlijkste online casino</t>
  </si>
  <si>
    <t>$10 deposit online casino</t>
  </si>
  <si>
    <t>indonesia online gambling</t>
  </si>
  <si>
    <t>novoline casino online 2018</t>
  </si>
  <si>
    <t>free online casino real money</t>
  </si>
  <si>
    <t>online casino spielen ohne einzahlung</t>
  </si>
  <si>
    <t>best games at casino to make money</t>
  </si>
  <si>
    <t>casino demo online</t>
  </si>
  <si>
    <t>bestes online casinos</t>
  </si>
  <si>
    <t>online gambling advertising</t>
  </si>
  <si>
    <t>online gambling alaska</t>
  </si>
  <si>
    <t>jeux de live casino</t>
  </si>
  <si>
    <t>online real casino games</t>
  </si>
  <si>
    <t>online casino slot games</t>
  </si>
  <si>
    <t>online microgaming casino</t>
  </si>
  <si>
    <t>online casino nl ideal</t>
  </si>
  <si>
    <t>top online gambling sites uk</t>
  </si>
  <si>
    <t>trusted casino online</t>
  </si>
  <si>
    <t>casino online bonus senza deposito</t>
  </si>
  <si>
    <t>online casino vergleichen</t>
  </si>
  <si>
    <t>casino solverde online</t>
  </si>
  <si>
    <t>live-casino</t>
  </si>
  <si>
    <t>jackpot city free online casino</t>
  </si>
  <si>
    <t>new online casinos real money</t>
  </si>
  <si>
    <t>online casino with fast payouts</t>
  </si>
  <si>
    <t>uae online casino</t>
  </si>
  <si>
    <t>instant withdrawal online casino nz</t>
  </si>
  <si>
    <t>casino game online</t>
  </si>
  <si>
    <t>nj casinos online gambling</t>
  </si>
  <si>
    <t>fastest payout online casino usa</t>
  </si>
  <si>
    <t>online casino black jack</t>
  </si>
  <si>
    <t>cash app casino games</t>
  </si>
  <si>
    <t>non uk online casinos</t>
  </si>
  <si>
    <t>casino admiral online play</t>
  </si>
  <si>
    <t>real money online casino west virginia</t>
  </si>
  <si>
    <t>legitmate online casino for canadian players</t>
  </si>
  <si>
    <t>online casino 100 bonus</t>
  </si>
  <si>
    <t>roulette online casino games</t>
  </si>
  <si>
    <t>best online bitcoin casino</t>
  </si>
  <si>
    <t>online casino for tablet</t>
  </si>
  <si>
    <t>free casino games demo</t>
  </si>
  <si>
    <t>online casino big bonus</t>
  </si>
  <si>
    <t>mobile casinos online</t>
  </si>
  <si>
    <t>casino online espa&amp;ntilde;a</t>
  </si>
  <si>
    <t>best canadian online gambling</t>
  </si>
  <si>
    <t>live casino william hill</t>
  </si>
  <si>
    <t>casinos online en vivo</t>
  </si>
  <si>
    <t>casino baden online spielen</t>
  </si>
  <si>
    <t>michigan mgm online casino</t>
  </si>
  <si>
    <t>wat is de beste online casino</t>
  </si>
  <si>
    <t>online casino einzahlung apple pay</t>
  </si>
  <si>
    <t>does rbc allow online gambling</t>
  </si>
  <si>
    <t>online gambling singapore</t>
  </si>
  <si>
    <t>casino austria online casino</t>
  </si>
  <si>
    <t>gamingclub online casino argentina</t>
  </si>
  <si>
    <t>popular online casino games</t>
  </si>
  <si>
    <t>los mejores casinos online de españa</t>
  </si>
  <si>
    <t>no wagering online casinos canada</t>
  </si>
  <si>
    <t>online casino no deposit bonus australia</t>
  </si>
  <si>
    <t>online casino internet banking nz</t>
  </si>
  <si>
    <t>casino en vivo online</t>
  </si>
  <si>
    <t>this is vegas online casino</t>
  </si>
  <si>
    <t>best online casino real money</t>
  </si>
  <si>
    <t>best casinos online australia</t>
  </si>
  <si>
    <t>online casino mit paysafe einzahlen</t>
  </si>
  <si>
    <t>most popular online gambling games</t>
  </si>
  <si>
    <t>casino online malaysia free credit</t>
  </si>
  <si>
    <t>best paying casino slot games</t>
  </si>
  <si>
    <t>best casino to play online</t>
  </si>
  <si>
    <t>new online casinos pa</t>
  </si>
  <si>
    <t>bester einzahlungsbonus online casino</t>
  </si>
  <si>
    <t>online casino latvija</t>
  </si>
  <si>
    <t>live casino bitcoin</t>
  </si>
  <si>
    <t>best mobile casinos online</t>
  </si>
  <si>
    <t>online gambling fake money</t>
  </si>
  <si>
    <t>best nz online casinos</t>
  </si>
  <si>
    <t>best online casino for live dealer blackjack</t>
  </si>
  <si>
    <t>newest online casinos</t>
  </si>
  <si>
    <t>online casino hrvatska</t>
  </si>
  <si>
    <t>new online us casinos</t>
  </si>
  <si>
    <t>slot online 232--casino(rajadewa138)</t>
  </si>
  <si>
    <t>online casino ohne paysafecard konto</t>
  </si>
  <si>
    <t>spinago online casino australia</t>
  </si>
  <si>
    <t>casino online suisse legal</t>
  </si>
  <si>
    <t>online gambling sites free bets</t>
  </si>
  <si>
    <t>online casino mit chf</t>
  </si>
  <si>
    <t>casino online website</t>
  </si>
  <si>
    <t>free casino games online no download</t>
  </si>
  <si>
    <t>free deposit online casino</t>
  </si>
  <si>
    <t>casino dealer course online</t>
  </si>
  <si>
    <t>casino games online</t>
  </si>
  <si>
    <t>casino online perú</t>
  </si>
  <si>
    <t>top 10 uk online casino</t>
  </si>
  <si>
    <t>casino online como funciona</t>
  </si>
  <si>
    <t>casino online gratis pengar utan insättning</t>
  </si>
  <si>
    <t>online casino business</t>
  </si>
  <si>
    <t>casino slot games online free</t>
  </si>
  <si>
    <t>top 10 online casino australia</t>
  </si>
  <si>
    <t>practice casino games</t>
  </si>
  <si>
    <t>online casino no deposit welcome bonus</t>
  </si>
  <si>
    <t>new online casinos for australia</t>
  </si>
  <si>
    <t>free online casino bonuses no deposit</t>
  </si>
  <si>
    <t>casino games at wedding</t>
  </si>
  <si>
    <t>vpn online casino</t>
  </si>
  <si>
    <t>online gambling business model</t>
  </si>
  <si>
    <t>usa online casinos that accept paypal</t>
  </si>
  <si>
    <t>best online roulette gambling sites usa</t>
  </si>
  <si>
    <t>roleta casino online free</t>
  </si>
  <si>
    <t>casino free games slots</t>
  </si>
  <si>
    <t>kostenloses online casino</t>
  </si>
  <si>
    <t>juegos de casino online</t>
  </si>
  <si>
    <t>online casino canada visa debit</t>
  </si>
  <si>
    <t>beste online casino willkommensbonus</t>
  </si>
  <si>
    <t>live dealer casino michigan</t>
  </si>
  <si>
    <t>top online casino online</t>
  </si>
  <si>
    <t>free casino games bonuses</t>
  </si>
  <si>
    <t>online casino guru</t>
  </si>
  <si>
    <t>online casino erfahrungen 2020</t>
  </si>
  <si>
    <t>online casino pay with paypal</t>
  </si>
  <si>
    <t>online bonus casino no deposit</t>
  </si>
  <si>
    <t>casino poland online</t>
  </si>
  <si>
    <t>online casinos denmark</t>
  </si>
  <si>
    <t>online casino london</t>
  </si>
  <si>
    <t>casino online mit echtgeld</t>
  </si>
  <si>
    <t>online casino in the uk</t>
  </si>
  <si>
    <t>best online casinos nj</t>
  </si>
  <si>
    <t>malta online casino</t>
  </si>
  <si>
    <t>winpalace online casino</t>
  </si>
  <si>
    <t>casino 21 online</t>
  </si>
  <si>
    <t>online casino game strategy</t>
  </si>
  <si>
    <t>online games casino games</t>
  </si>
  <si>
    <t>best online casino bonuses canada</t>
  </si>
  <si>
    <t>free bonus no deposit online casino</t>
  </si>
  <si>
    <t>casino online free</t>
  </si>
  <si>
    <t>no deposit free spins online casinos</t>
  </si>
  <si>
    <t>cafe casino online</t>
  </si>
  <si>
    <t>online casino bonus ohne ersteinzahlung</t>
  </si>
  <si>
    <t>casino online seguro andorra</t>
  </si>
  <si>
    <t>safe online casinos</t>
  </si>
  <si>
    <t>gambling australia online</t>
  </si>
  <si>
    <t>gute online casino spiele</t>
  </si>
  <si>
    <t>live casino met ideal</t>
  </si>
  <si>
    <t>online casino awareness</t>
  </si>
  <si>
    <t>best payout online casino sites kenya</t>
  </si>
  <si>
    <t>seriöse online casinos stiftung warentest</t>
  </si>
  <si>
    <t>casumo live casino</t>
  </si>
  <si>
    <t>new jersey online gambling sites</t>
  </si>
  <si>
    <t>best online casino australia 2020</t>
  </si>
  <si>
    <t>win cash online casino</t>
  </si>
  <si>
    <t>best nz online casino no deposit bonus</t>
  </si>
  <si>
    <t>platinum casino online</t>
  </si>
  <si>
    <t>bewertung online casinos</t>
  </si>
  <si>
    <t>online casino spelletjes</t>
  </si>
  <si>
    <t>play casino games online</t>
  </si>
  <si>
    <t>north dakota online gambling</t>
  </si>
  <si>
    <t>louisiana online casino</t>
  </si>
  <si>
    <t>north carolina online casinos</t>
  </si>
  <si>
    <t>mejores casino online</t>
  </si>
  <si>
    <t>free online casino no deposit</t>
  </si>
  <si>
    <t>freeplay online casino</t>
  </si>
  <si>
    <t>free casino games for android</t>
  </si>
  <si>
    <t>play casino table games online</t>
  </si>
  <si>
    <t>michigan online casino apps</t>
  </si>
  <si>
    <t>online casino dansk licens</t>
  </si>
  <si>
    <t>lucky star casino online real money</t>
  </si>
  <si>
    <t>gamingclub online casino chile</t>
  </si>
  <si>
    <t>10 top online casinos</t>
  </si>
  <si>
    <t>online game gambling casino</t>
  </si>
  <si>
    <t>gambling online</t>
  </si>
  <si>
    <t>the best online casinos</t>
  </si>
  <si>
    <t>casino online astropay</t>
  </si>
  <si>
    <t>online casino ohne anmeldung</t>
  </si>
  <si>
    <t>prezzy card online casino</t>
  </si>
  <si>
    <t>casino slot machines games</t>
  </si>
  <si>
    <t>casino online gratis spielen</t>
  </si>
  <si>
    <t>monopoly casino online</t>
  </si>
  <si>
    <t>online casino mit google pay bezahlen</t>
  </si>
  <si>
    <t>casinos online con paypal</t>
  </si>
  <si>
    <t>kahnawake online casinos</t>
  </si>
  <si>
    <t>online casino bally wulff</t>
  </si>
  <si>
    <t>nieuwste online casino nederland</t>
  </si>
  <si>
    <t>online casino switzerland</t>
  </si>
  <si>
    <t>casino tables games</t>
  </si>
  <si>
    <t>online casinos 2026 www.usacasinobonuses.io 🇺🇸</t>
  </si>
  <si>
    <t>casinos game online</t>
  </si>
  <si>
    <t>illinois online casino</t>
  </si>
  <si>
    <t>free cash casino games no deposit</t>
  </si>
  <si>
    <t>casino online denmark</t>
  </si>
  <si>
    <t>pin up casino games</t>
  </si>
  <si>
    <t>android casino games</t>
  </si>
  <si>
    <t>new casinos online no deposit bonus</t>
  </si>
  <si>
    <t>asia gaming live casino</t>
  </si>
  <si>
    <t>new online casinos australia no deposit bonus</t>
  </si>
  <si>
    <t>online casino visa card</t>
  </si>
  <si>
    <t>online gambling sites co</t>
  </si>
  <si>
    <t>online casino texas</t>
  </si>
  <si>
    <t>no deposit online casino real money</t>
  </si>
  <si>
    <t>casino online spielen</t>
  </si>
  <si>
    <t>casino game play online</t>
  </si>
  <si>
    <t>mobile online casino malaysia</t>
  </si>
  <si>
    <t>best online casino blackjack</t>
  </si>
  <si>
    <t>best online casinos for canadians</t>
  </si>
  <si>
    <t>nz online casinos list</t>
  </si>
  <si>
    <t>top gluck games casino</t>
  </si>
  <si>
    <t>bonus codes online casino</t>
  </si>
  <si>
    <t>new-zealand online casino</t>
  </si>
  <si>
    <t>top online casino sites that accept diners club</t>
  </si>
  <si>
    <t>live casino ohne limit</t>
  </si>
  <si>
    <t>sa online casinos no deposit bonus</t>
  </si>
  <si>
    <t>online casino mit sofort</t>
  </si>
  <si>
    <t>online top casino</t>
  </si>
  <si>
    <t>online casino not gamstop</t>
  </si>
  <si>
    <t>golden dragon online casino</t>
  </si>
  <si>
    <t>die besten online casinos mit startguthaben</t>
  </si>
  <si>
    <t>online casino nieuws</t>
  </si>
  <si>
    <t>online casino blacklist</t>
  </si>
  <si>
    <t>lowest deposit online casino</t>
  </si>
  <si>
    <t>super online casino</t>
  </si>
  <si>
    <t>juegos casino online gratis</t>
  </si>
  <si>
    <t>mejores casinos online trustly</t>
  </si>
  <si>
    <t>mobile online casinos</t>
  </si>
  <si>
    <t>online casinos accepting</t>
  </si>
  <si>
    <t>willkommensbonus online casino</t>
  </si>
  <si>
    <t>playfrank online casino</t>
  </si>
  <si>
    <t>online casino no deposit bonus no playthrough</t>
  </si>
  <si>
    <t>online real money casinos canada</t>
  </si>
  <si>
    <t>online online casino</t>
  </si>
  <si>
    <t>new online casinos 2020 usa</t>
  </si>
  <si>
    <t>australia best online casino</t>
  </si>
  <si>
    <t>online casino gratis startguthaben</t>
  </si>
  <si>
    <t>best online casinos in south africa</t>
  </si>
  <si>
    <t>bet online casino</t>
  </si>
  <si>
    <t>online casino baccarat games</t>
  </si>
  <si>
    <t>betrivers online casino promo code</t>
  </si>
  <si>
    <t>casino live</t>
  </si>
  <si>
    <t>starvegas casino live</t>
  </si>
  <si>
    <t>online casinos free play</t>
  </si>
  <si>
    <t>best online real money casino</t>
  </si>
  <si>
    <t>new casino slot games</t>
  </si>
  <si>
    <t>online casino geld bonus ohne einzahlung</t>
  </si>
  <si>
    <t>fanduel online casino</t>
  </si>
  <si>
    <t>casino online bono gratis</t>
  </si>
  <si>
    <t>manitoba online gambling</t>
  </si>
  <si>
    <t>nft888 online casino</t>
  </si>
  <si>
    <t>live william hill casino</t>
  </si>
  <si>
    <t>casino table card games</t>
  </si>
  <si>
    <t>casinos europeos online</t>
  </si>
  <si>
    <t>resorts online casino bonus code</t>
  </si>
  <si>
    <t>states with legal online gambling</t>
  </si>
  <si>
    <t>casinos online live</t>
  </si>
  <si>
    <t>chumba online casino</t>
  </si>
  <si>
    <t>malaysia online slot casino</t>
  </si>
  <si>
    <t>mejor casino online ruleta colombia</t>
  </si>
  <si>
    <t>online casinos games</t>
  </si>
  <si>
    <t>live casino nederland</t>
  </si>
  <si>
    <t>pa online casinos</t>
  </si>
  <si>
    <t>top online casino sites that accept jeton</t>
  </si>
  <si>
    <t>casino online baccarat</t>
  </si>
  <si>
    <t>win real money online casino</t>
  </si>
  <si>
    <t>online casino 1 deposit</t>
  </si>
  <si>
    <t>casino games play free slots</t>
  </si>
  <si>
    <t>online roulette casino</t>
  </si>
  <si>
    <t>live roulette casino sites</t>
  </si>
  <si>
    <t>australian live casino</t>
  </si>
  <si>
    <t>lucky nugget free online casino</t>
  </si>
  <si>
    <t>online casino games real money paypal</t>
  </si>
  <si>
    <t>casinos online paysafecard</t>
  </si>
  <si>
    <t>best new online casino australia</t>
  </si>
  <si>
    <t>bandar maxbet casino online</t>
  </si>
  <si>
    <t>muchbetter online casino sites</t>
  </si>
  <si>
    <t>online casino snabba uttag</t>
  </si>
  <si>
    <t>online casino 1 euro einzahlung</t>
  </si>
  <si>
    <t>english online casino writer</t>
  </si>
  <si>
    <t>casino online tanpa deposit</t>
  </si>
  <si>
    <t>dc online casinos</t>
  </si>
  <si>
    <t>superbet casino online</t>
  </si>
  <si>
    <t>casino online dinero real sin deposito</t>
  </si>
  <si>
    <t>online casino not on gamestop</t>
  </si>
  <si>
    <t>holland casino poker online</t>
  </si>
  <si>
    <t>casino royal online</t>
  </si>
  <si>
    <t>motor city online casino</t>
  </si>
  <si>
    <t>top stakelogic online casinos</t>
  </si>
  <si>
    <t>new online casinos in mi</t>
  </si>
  <si>
    <t>online crown casino</t>
  </si>
  <si>
    <t>best online casino bonus no deposit</t>
  </si>
  <si>
    <t>slot casino games free</t>
  </si>
  <si>
    <t>dream catcher online casino</t>
  </si>
  <si>
    <t>fanduel casino online</t>
  </si>
  <si>
    <t>volt casino online casino</t>
  </si>
  <si>
    <t>mini games casino</t>
  </si>
  <si>
    <t>jackpot capital online casino</t>
  </si>
  <si>
    <t>rocketplay online casino</t>
  </si>
  <si>
    <t>best odds on casino games</t>
  </si>
  <si>
    <t>mohegan sun casino nj online</t>
  </si>
  <si>
    <t>sepa lastschrift online casino</t>
  </si>
  <si>
    <t>free casino video poker games</t>
  </si>
  <si>
    <t>bandar judi maxbet casino online</t>
  </si>
  <si>
    <t>no wagering online casino</t>
  </si>
  <si>
    <t>casino online with no deposit bonus</t>
  </si>
  <si>
    <t>casumo online casino review</t>
  </si>
  <si>
    <t>the best online casino games</t>
  </si>
  <si>
    <t>slots online casino free</t>
  </si>
  <si>
    <t>888 online casino new jersey review</t>
  </si>
  <si>
    <t>online casino mit gratis startguthaben</t>
  </si>
  <si>
    <t>casino online free game</t>
  </si>
  <si>
    <t>best online craps casino</t>
  </si>
  <si>
    <t>online crypto casino</t>
  </si>
  <si>
    <t>uk online casino no deposit bonus</t>
  </si>
  <si>
    <t>jackpot city casino games</t>
  </si>
  <si>
    <t>las vegas casinos online gambling</t>
  </si>
  <si>
    <t>online casinos cad</t>
  </si>
  <si>
    <t>taruhan casino baccarat online deposit 50 ribu</t>
  </si>
  <si>
    <t>casino online slots real money</t>
  </si>
  <si>
    <t>no verification online casino</t>
  </si>
  <si>
    <t>best online casino welcome bonus</t>
  </si>
  <si>
    <t>ontario best online casino</t>
  </si>
  <si>
    <t>online casino über handy bezahlen</t>
  </si>
  <si>
    <t>top 10 irish online casinos</t>
  </si>
  <si>
    <t>austria online casino</t>
  </si>
  <si>
    <t>online casino ohne anmeldung paysafe</t>
  </si>
  <si>
    <t>online casinos ohne einzahlung mit startguthaben</t>
  </si>
  <si>
    <t>uitbetalen online casino</t>
  </si>
  <si>
    <t>king billy online casino</t>
  </si>
  <si>
    <t>live casino craps</t>
  </si>
  <si>
    <t>online casino flexepin</t>
  </si>
  <si>
    <t>online casino no deposit bonuses</t>
  </si>
  <si>
    <t>casino online jogo</t>
  </si>
  <si>
    <t>casinos online confiables argentina</t>
  </si>
  <si>
    <t>new online uk casinos</t>
  </si>
  <si>
    <t>vegas online casino real money</t>
  </si>
  <si>
    <t>bally wulff online casinos</t>
  </si>
  <si>
    <t>no deposit required online casino</t>
  </si>
  <si>
    <t>online casino gewinnen</t>
  </si>
  <si>
    <t>free online game casino</t>
  </si>
  <si>
    <t>best casino online ontario</t>
  </si>
  <si>
    <t>online free casino spins</t>
  </si>
  <si>
    <t>casino live craps</t>
  </si>
  <si>
    <t>jackpot city live casino</t>
  </si>
  <si>
    <t>push gaming casino games</t>
  </si>
  <si>
    <t>online casino ohne einzahlung mit startguthaben</t>
  </si>
  <si>
    <t>online casino cheats</t>
  </si>
  <si>
    <t>casino online redcompra</t>
  </si>
  <si>
    <t>super seven online casino</t>
  </si>
  <si>
    <t>fastest withdrawal online casinos ghana</t>
  </si>
  <si>
    <t>online casino mit überweisung</t>
  </si>
  <si>
    <t>mgm grand online casino</t>
  </si>
  <si>
    <t>online gambling blog</t>
  </si>
  <si>
    <t>betway online casino malaysia</t>
  </si>
  <si>
    <t>casino online for free games</t>
  </si>
  <si>
    <t>online casino pay by mobile</t>
  </si>
  <si>
    <t>best browser for online casinos</t>
  </si>
  <si>
    <t>atlantic city casino games online</t>
  </si>
  <si>
    <t>22bet casino online</t>
  </si>
  <si>
    <t>gaming club casino online</t>
  </si>
  <si>
    <t>best bonus on online casino</t>
  </si>
  <si>
    <t>casino online olanda</t>
  </si>
  <si>
    <t>n1casino online casino</t>
  </si>
  <si>
    <t>casino việt nam online</t>
  </si>
  <si>
    <t>online casino hoher einsatz</t>
  </si>
  <si>
    <t>ausländische online casinos schweiz</t>
  </si>
  <si>
    <t>australian online casinos legal</t>
  </si>
  <si>
    <t>texas online gambling laws</t>
  </si>
  <si>
    <t>best online casinos michigan</t>
  </si>
  <si>
    <t>resorts casino online nj</t>
  </si>
  <si>
    <t>top rated online casinos usa</t>
  </si>
  <si>
    <t>sweet bonanza online casino</t>
  </si>
  <si>
    <t>caesars online casino pa</t>
  </si>
  <si>
    <t>cresus online casino</t>
  </si>
  <si>
    <t>news casino online</t>
  </si>
  <si>
    <t>online casinos vegas</t>
  </si>
  <si>
    <t>il online casino</t>
  </si>
  <si>
    <t>borgata online gambling</t>
  </si>
  <si>
    <t>casino online indonesia terbaik</t>
  </si>
  <si>
    <t>online casino im test</t>
  </si>
  <si>
    <t>yabby casino online</t>
  </si>
  <si>
    <t>cz casino online</t>
  </si>
  <si>
    <t>online casinos uk no deposit bonus</t>
  </si>
  <si>
    <t>online casinos mit neteller</t>
  </si>
  <si>
    <t>best casino online payouts</t>
  </si>
  <si>
    <t>online gambling bovada</t>
  </si>
  <si>
    <t>legends casino online</t>
  </si>
  <si>
    <t>casino live gratis</t>
  </si>
  <si>
    <t>bästa online casino flashback</t>
  </si>
  <si>
    <t>paradise casino games</t>
  </si>
  <si>
    <t>best online casinos 2023</t>
  </si>
  <si>
    <t>slot wolf online casino</t>
  </si>
  <si>
    <t>best online casino in europe</t>
  </si>
  <si>
    <t>online gambling in illinois</t>
  </si>
  <si>
    <t>wild jack online casino</t>
  </si>
  <si>
    <t>real live casino</t>
  </si>
  <si>
    <t>best michigan online casinos</t>
  </si>
  <si>
    <t>online gambling casino malaysia</t>
  </si>
  <si>
    <t>online casino free spins uk</t>
  </si>
  <si>
    <t>casino online utomlands</t>
  </si>
  <si>
    <t>casino mit online überweisung</t>
  </si>
  <si>
    <t>is online casino rigged</t>
  </si>
  <si>
    <t>betfair casino games</t>
  </si>
  <si>
    <t>casino management certification program online</t>
  </si>
  <si>
    <t>best ios casino games</t>
  </si>
  <si>
    <t>casino para jugar online</t>
  </si>
  <si>
    <t>free casinos slots online</t>
  </si>
  <si>
    <t>online casino no deposit bonus 2025</t>
  </si>
  <si>
    <t>online casino win real money usa</t>
  </si>
  <si>
    <t>create an online casino</t>
  </si>
  <si>
    <t>uk casino games online</t>
  </si>
  <si>
    <t>crypto casino games</t>
  </si>
  <si>
    <t>bandar betting casino roulette online</t>
  </si>
  <si>
    <t>online casino direct uitbetalen</t>
  </si>
  <si>
    <t>100 best online casinos</t>
  </si>
  <si>
    <t>grosvenor casinos online</t>
  </si>
  <si>
    <t>neue online casinos 2021 bonus ohne einzahlung</t>
  </si>
  <si>
    <t>nz top online casino</t>
  </si>
  <si>
    <t>best online casino games real money</t>
  </si>
  <si>
    <t>new aussie online casino</t>
  </si>
  <si>
    <t>3d casino games</t>
  </si>
  <si>
    <t>casino party games</t>
  </si>
  <si>
    <t>most popular online casino games</t>
  </si>
  <si>
    <t>online casino that pays real money</t>
  </si>
  <si>
    <t>mummy's gold online casino</t>
  </si>
  <si>
    <t>neue casino online echtgeld</t>
  </si>
  <si>
    <t>quality online casino</t>
  </si>
  <si>
    <t>online casino deutschland 2023</t>
  </si>
  <si>
    <t>free mobile casino games download</t>
  </si>
  <si>
    <t>philly live casino</t>
  </si>
  <si>
    <t>casino live games</t>
  </si>
  <si>
    <t>online casinos in uk</t>
  </si>
  <si>
    <t>newest mi online casinos</t>
  </si>
  <si>
    <t>online casino mit mastercard</t>
  </si>
  <si>
    <t>live dealer online casino australia</t>
  </si>
  <si>
    <t>uk new online casinos</t>
  </si>
  <si>
    <t>online casino auszahlungen</t>
  </si>
  <si>
    <t>online casinos lebanon</t>
  </si>
  <si>
    <t>casino games for free</t>
  </si>
  <si>
    <t>play casino games free online</t>
  </si>
  <si>
    <t>nya online casino 2020</t>
  </si>
  <si>
    <t>bacarat casino games</t>
  </si>
  <si>
    <t>mason slots online casino</t>
  </si>
  <si>
    <t>live casino games</t>
  </si>
  <si>
    <t>online gambling age co</t>
  </si>
  <si>
    <t>best online casino 2018</t>
  </si>
  <si>
    <t>idaho online casinos</t>
  </si>
  <si>
    <t>online casino providers</t>
  </si>
  <si>
    <t>most popular online gambling sites</t>
  </si>
  <si>
    <t>hopa casino online casino</t>
  </si>
  <si>
    <t>casinos online de argentina</t>
  </si>
  <si>
    <t>reputable casino online</t>
  </si>
  <si>
    <t>casino luck online</t>
  </si>
  <si>
    <t>play real casino online</t>
  </si>
  <si>
    <t>best online casinos in michigan</t>
  </si>
  <si>
    <t>free online casino slots games</t>
  </si>
  <si>
    <t>online casino bonus ohne einzahlung schweiz</t>
  </si>
  <si>
    <t>online gambling in texas</t>
  </si>
  <si>
    <t>champion casino online</t>
  </si>
  <si>
    <t>casino online netbet</t>
  </si>
  <si>
    <t>best free online casinos</t>
  </si>
  <si>
    <t>live casino online asia</t>
  </si>
  <si>
    <t>bandar judi live casino deposit termurah</t>
  </si>
  <si>
    <t>uk online casino sites</t>
  </si>
  <si>
    <t>casino online free games</t>
  </si>
  <si>
    <t>online casino dash</t>
  </si>
  <si>
    <t>starting online casino</t>
  </si>
  <si>
    <t>online casino malaysia slot cq9</t>
  </si>
  <si>
    <t>casinos online ruleta</t>
  </si>
  <si>
    <t>online casinos philippines</t>
  </si>
  <si>
    <t>online gambling pennsylvania</t>
  </si>
  <si>
    <t>online casino that takes amex</t>
  </si>
  <si>
    <t>mybet online casino</t>
  </si>
  <si>
    <t>nuovi casino online italia</t>
  </si>
  <si>
    <t>open casino online</t>
  </si>
  <si>
    <t>solana casino games</t>
  </si>
  <si>
    <t>online casino paysafecard 10 euro</t>
  </si>
  <si>
    <t>home casino games</t>
  </si>
  <si>
    <t>online gambling in oklahoma</t>
  </si>
  <si>
    <t>online casinos for australians</t>
  </si>
  <si>
    <t>online casino zadarmo bonus</t>
  </si>
  <si>
    <t>top online casinos 2023</t>
  </si>
  <si>
    <t>online casino south africa</t>
  </si>
  <si>
    <t>pennsylvania online casino bonuses</t>
  </si>
  <si>
    <t>free casino games no download</t>
  </si>
  <si>
    <t>highest payout online casino uk</t>
  </si>
  <si>
    <t>paymaya online casino</t>
  </si>
  <si>
    <t>vincere al casino online</t>
  </si>
  <si>
    <t>starzino online casino</t>
  </si>
  <si>
    <t>slot casino games</t>
  </si>
  <si>
    <t>live casino online bonus</t>
  </si>
  <si>
    <t>vegas casino online review</t>
  </si>
  <si>
    <t>types of casino games</t>
  </si>
  <si>
    <t>top casino card games</t>
  </si>
  <si>
    <t>338a casino online</t>
  </si>
  <si>
    <t>casinos legales online</t>
  </si>
  <si>
    <t>online backgammon gambling</t>
  </si>
  <si>
    <t>best uk casino online</t>
  </si>
  <si>
    <t>best online casino bonuses ireland</t>
  </si>
  <si>
    <t>online casino games slot machine</t>
  </si>
  <si>
    <t>spela casino online gratis</t>
  </si>
  <si>
    <t>nl online casino</t>
  </si>
  <si>
    <t>what's the best online casino uk</t>
  </si>
  <si>
    <t>online real money casinos</t>
  </si>
  <si>
    <t>777 casino online</t>
  </si>
  <si>
    <t>chargeback online casino</t>
  </si>
  <si>
    <t>non uk based online casino</t>
  </si>
  <si>
    <t>novajackpot casino online</t>
  </si>
  <si>
    <t>online gambling montana</t>
  </si>
  <si>
    <t>online casino vegas slots</t>
  </si>
  <si>
    <t>gday online casino</t>
  </si>
  <si>
    <t>online casino bez nutnosti vkladu</t>
  </si>
  <si>
    <t>casino online que acepta apple pay españa</t>
  </si>
  <si>
    <t>bandar oriental casino online deposit termurah</t>
  </si>
  <si>
    <t>casino game live</t>
  </si>
  <si>
    <t>online sports gambling reviews</t>
  </si>
  <si>
    <t>easy withdrawal online casino</t>
  </si>
  <si>
    <t>montana online casinos</t>
  </si>
  <si>
    <t>online casino bonus uk</t>
  </si>
  <si>
    <t>live casino entertainment</t>
  </si>
  <si>
    <t>deutsche casinos online</t>
  </si>
  <si>
    <t>online casino $1 deposit bonus</t>
  </si>
  <si>
    <t>best casino games app with free spins</t>
  </si>
  <si>
    <t>wms online casino</t>
  </si>
  <si>
    <t>norske online casino</t>
  </si>
  <si>
    <t>free online casino no deposit bonuses</t>
  </si>
  <si>
    <t>casino online sin deposito inicial</t>
  </si>
  <si>
    <t>casino roulette games</t>
  </si>
  <si>
    <t>captain cooks casino games</t>
  </si>
  <si>
    <t>mejores casinos online que aceptan hipay</t>
  </si>
  <si>
    <t>best online casino in india</t>
  </si>
  <si>
    <t>top rated uk online casinos</t>
  </si>
  <si>
    <t>online casino test</t>
  </si>
  <si>
    <t>online casino reviews uk</t>
  </si>
  <si>
    <t>caesar casino games</t>
  </si>
  <si>
    <t>washington online casinos</t>
  </si>
  <si>
    <t>beste online casino 🇩🇪 casinod.casino 🎁</t>
  </si>
  <si>
    <t>online casino mega moolah</t>
  </si>
  <si>
    <t>uk online gambling sites</t>
  </si>
  <si>
    <t>live casino utan registrering</t>
  </si>
  <si>
    <t>sbobet casino online</t>
  </si>
  <si>
    <t>popular casino table games</t>
  </si>
  <si>
    <t>top online casinos bahamas</t>
  </si>
  <si>
    <t>worldwide online casino</t>
  </si>
  <si>
    <t>baccarat online casino</t>
  </si>
  <si>
    <t>bonus senza deposito casino live</t>
  </si>
  <si>
    <t>kostenlos casino online spielen</t>
  </si>
  <si>
    <t>online casino ideal betrouwbaar</t>
  </si>
  <si>
    <t>online casino apple pay auszahlung</t>
  </si>
  <si>
    <t>online casino nederland ideal</t>
  </si>
  <si>
    <t>germany online casinos</t>
  </si>
  <si>
    <t>casino online nl</t>
  </si>
  <si>
    <t>west virginia online casinos</t>
  </si>
  <si>
    <t>online casino photos</t>
  </si>
  <si>
    <t>casino online ireland</t>
  </si>
  <si>
    <t>live game casino</t>
  </si>
  <si>
    <t>online casinos microgaming</t>
  </si>
  <si>
    <t>joo casino online</t>
  </si>
  <si>
    <t>new online casino australia real money</t>
  </si>
  <si>
    <t>casino online movil</t>
  </si>
  <si>
    <t>guts online casino login</t>
  </si>
  <si>
    <t>denmark online casino</t>
  </si>
  <si>
    <t>casino online aams</t>
  </si>
  <si>
    <t>sveriges bästa casino online</t>
  </si>
  <si>
    <t>online casino 2021</t>
  </si>
  <si>
    <t>caesar online casino</t>
  </si>
  <si>
    <t>australian online gambling laws</t>
  </si>
  <si>
    <t>mejor casino online que acepta klarna</t>
  </si>
  <si>
    <t>monero online casinos</t>
  </si>
  <si>
    <t>island casino online</t>
  </si>
  <si>
    <t>bandar betting casino 368bet online</t>
  </si>
  <si>
    <t>betsafe casino online</t>
  </si>
  <si>
    <t>online casino merkur echtgeld</t>
  </si>
  <si>
    <t>online casino with real cash</t>
  </si>
  <si>
    <t>tarjeta de crédito en casino online</t>
  </si>
  <si>
    <t>τα καλυτερα ξενα online casino</t>
  </si>
  <si>
    <t>usa online casino no deposit bonus codes 2020</t>
  </si>
  <si>
    <t>maxbet casino online</t>
  </si>
  <si>
    <t>the best online casino no deposit bonus</t>
  </si>
  <si>
    <t>top muchbetter online casinos</t>
  </si>
  <si>
    <t>top malaysia online casino</t>
  </si>
  <si>
    <t>casino online in uk</t>
  </si>
  <si>
    <t>belgium online casino</t>
  </si>
  <si>
    <t>newest uk online casino</t>
  </si>
  <si>
    <t>online casino infinity</t>
  </si>
  <si>
    <t>casino online freespins</t>
  </si>
  <si>
    <t>hard rock online casino bonus codes</t>
  </si>
  <si>
    <t>malaysia online casino bonus</t>
  </si>
  <si>
    <t>online gambling low deposit</t>
  </si>
  <si>
    <t>esc online casino</t>
  </si>
  <si>
    <t>ae live casino</t>
  </si>
  <si>
    <t>harrahs casino online</t>
  </si>
  <si>
    <t>kostenlos online casino spielen</t>
  </si>
  <si>
    <t>live casino spel</t>
  </si>
  <si>
    <t>esc online casino estoril</t>
  </si>
  <si>
    <t>drueck glueck online casino</t>
  </si>
  <si>
    <t>casino games names with images</t>
  </si>
  <si>
    <t>casinos online españa nuevos</t>
  </si>
  <si>
    <t>casino bitcoin live</t>
  </si>
  <si>
    <t>best games to win in casino</t>
  </si>
  <si>
    <t>frank casino online</t>
  </si>
  <si>
    <t>is online gambling legal in alabama</t>
  </si>
  <si>
    <t>online casino live games</t>
  </si>
  <si>
    <t>pulsz online casino</t>
  </si>
  <si>
    <t>no deposit bonus online casino 2017</t>
  </si>
  <si>
    <t>casino games online free</t>
  </si>
  <si>
    <t>online casino unibet</t>
  </si>
  <si>
    <t>online blackjack casinos philippines</t>
  </si>
  <si>
    <t>online casino rating</t>
  </si>
  <si>
    <t>free casino slot games buffalo</t>
  </si>
  <si>
    <t>casino online blackjack live</t>
  </si>
  <si>
    <t>saudi arabia online casinos</t>
  </si>
  <si>
    <t>casino online 2019</t>
  </si>
  <si>
    <t>casinos online confiables</t>
  </si>
  <si>
    <t>caesars online casino games</t>
  </si>
  <si>
    <t>online casino free bet</t>
  </si>
  <si>
    <t>new online casino providers</t>
  </si>
  <si>
    <t>best online casino slots for real money</t>
  </si>
  <si>
    <t>online casino scams</t>
  </si>
  <si>
    <t>play casino games online for real money</t>
  </si>
  <si>
    <t>online casino spiele kostenlos</t>
  </si>
  <si>
    <t>best online casino bonus offers in pakistan</t>
  </si>
  <si>
    <t>download casino online</t>
  </si>
  <si>
    <t>mejor casino online espana</t>
  </si>
  <si>
    <t>online casinos accepting bitcoin</t>
  </si>
  <si>
    <t>casino online spielen kostenlos</t>
  </si>
  <si>
    <t>casino live pokerstars</t>
  </si>
  <si>
    <t>casino online pin up</t>
  </si>
  <si>
    <t>tragaperras online casino</t>
  </si>
  <si>
    <t>card games at the casino</t>
  </si>
  <si>
    <t>online slots gambling</t>
  </si>
  <si>
    <t>top online casino italy</t>
  </si>
  <si>
    <t>list of best online casinos</t>
  </si>
  <si>
    <t>casino slot games uk</t>
  </si>
  <si>
    <t>cryptocurrency online casino</t>
  </si>
  <si>
    <t>top 50 online casinos</t>
  </si>
  <si>
    <t>mgm online casino</t>
  </si>
  <si>
    <t>baccarat casinos online</t>
  </si>
  <si>
    <t>unibet casino games</t>
  </si>
  <si>
    <t>best online casino aus</t>
  </si>
  <si>
    <t>die besten deutschen online casinos</t>
  </si>
  <si>
    <t>beste buitenlandse online casino</t>
  </si>
  <si>
    <t>online casinos in nebraska</t>
  </si>
  <si>
    <t>best co online casino sites</t>
  </si>
  <si>
    <t>grand mondial casino online</t>
  </si>
  <si>
    <t>joocasino online casino</t>
  </si>
  <si>
    <t>online casino logo</t>
  </si>
  <si>
    <t>online casino bonus ohne einzahlung deutsch</t>
  </si>
  <si>
    <t>casinos online bono sin deposito</t>
  </si>
  <si>
    <t>los mejores casinos online chile</t>
  </si>
  <si>
    <t>vanilla prepaid mastercard online gambling</t>
  </si>
  <si>
    <t>hawaii casino online</t>
  </si>
  <si>
    <t>draftkings online casino promo code</t>
  </si>
  <si>
    <t>juegos casino online</t>
  </si>
  <si>
    <t>best casino online in canada</t>
  </si>
  <si>
    <t>biggest online casino welcome bonus&amp;#39</t>
  </si>
  <si>
    <t>online casino játékok</t>
  </si>
  <si>
    <t>casino chile online</t>
  </si>
  <si>
    <t>free no deposit bonus online casinos</t>
  </si>
  <si>
    <t>νομιμα online casino</t>
  </si>
  <si>
    <t>marina casino online</t>
  </si>
  <si>
    <t>free casino games with real prizes</t>
  </si>
  <si>
    <t>new jersey online casinos</t>
  </si>
  <si>
    <t>mohegan sun online casino review</t>
  </si>
  <si>
    <t>best online casinos philippines</t>
  </si>
  <si>
    <t>international online casino games</t>
  </si>
  <si>
    <t>live casino online canada</t>
  </si>
  <si>
    <t>beste online casino s</t>
  </si>
  <si>
    <t>novos casinos online portugal</t>
  </si>
  <si>
    <t>el royale online casino reviews</t>
  </si>
  <si>
    <t>best live casino sites uk</t>
  </si>
  <si>
    <t>casino games canada</t>
  </si>
  <si>
    <t>casinos online bonus gratis</t>
  </si>
  <si>
    <t>online casinos not on gamestop</t>
  </si>
  <si>
    <t>fish table gambling game online real money</t>
  </si>
  <si>
    <t>live casino roulette malaysia</t>
  </si>
  <si>
    <t>casino epoca online casino español</t>
  </si>
  <si>
    <t>fast paying online casinos</t>
  </si>
  <si>
    <t>echtgeld online casino</t>
  </si>
  <si>
    <t>new online casino south africa</t>
  </si>
  <si>
    <t>online casinos in las vegas</t>
  </si>
  <si>
    <t>legales online casino österreich</t>
  </si>
  <si>
    <t>best connecticut online casinos</t>
  </si>
  <si>
    <t>online casino welcome bonus no deposit</t>
  </si>
  <si>
    <t>online casinos ios</t>
  </si>
  <si>
    <t>online casinos gibraltar</t>
  </si>
  <si>
    <t>best vpn for online gambling</t>
  </si>
  <si>
    <t>kahnawake casino online</t>
  </si>
  <si>
    <t>judi sbc168 casino online</t>
  </si>
  <si>
    <t>online gambling win real money</t>
  </si>
  <si>
    <t>types of casino games list</t>
  </si>
  <si>
    <t>anonymous online casinos</t>
  </si>
  <si>
    <t>nieuwste online casino</t>
  </si>
  <si>
    <t>casino online ch</t>
  </si>
  <si>
    <t>besplatne casino igre online</t>
  </si>
  <si>
    <t>japan online casino</t>
  </si>
  <si>
    <t>casinos online europeos</t>
  </si>
  <si>
    <t>casino online cyprus</t>
  </si>
  <si>
    <t>online gambling in china</t>
  </si>
  <si>
    <t>online casino forum</t>
  </si>
  <si>
    <t>diamond casino online</t>
  </si>
  <si>
    <t>online casino roulette games</t>
  </si>
  <si>
    <t>united states online casino</t>
  </si>
  <si>
    <t>online casinos real money no deposit bonus</t>
  </si>
  <si>
    <t>casino games explained</t>
  </si>
  <si>
    <t>online casino slot game</t>
  </si>
  <si>
    <t>interac online casino canada</t>
  </si>
  <si>
    <t>nj online casino promos</t>
  </si>
  <si>
    <t>online casinos in united kingdom</t>
  </si>
  <si>
    <t>casiplay online casino</t>
  </si>
  <si>
    <t>888 casino online</t>
  </si>
  <si>
    <t>gratis online casino spiele</t>
  </si>
  <si>
    <t>nzd online casino</t>
  </si>
  <si>
    <t>casino night games</t>
  </si>
  <si>
    <t>real casino games app</t>
  </si>
  <si>
    <t>online casino bet</t>
  </si>
  <si>
    <t>new online casino list</t>
  </si>
  <si>
    <t>best free online casino slot games</t>
  </si>
  <si>
    <t>online casino spelen</t>
  </si>
  <si>
    <t>online casinos with free welcome bonus</t>
  </si>
  <si>
    <t>online casino bonus bez depozita</t>
  </si>
  <si>
    <t>cara daftar live casino</t>
  </si>
  <si>
    <t>is online gambling legal in virginia</t>
  </si>
  <si>
    <t>slot online 235--casino(rajadewa138)</t>
  </si>
  <si>
    <t>ruleta de casino online</t>
  </si>
  <si>
    <t>legális online casino</t>
  </si>
  <si>
    <t>zodiac casino online slots</t>
  </si>
  <si>
    <t>doxxbet casino online</t>
  </si>
  <si>
    <t>baccarat casino games</t>
  </si>
  <si>
    <t>beste online casinos 2021</t>
  </si>
  <si>
    <t>top online casinos in the uk</t>
  </si>
  <si>
    <t>porn casino games</t>
  </si>
  <si>
    <t>sweepstakes casino games</t>
  </si>
  <si>
    <t>online casino android</t>
  </si>
  <si>
    <t>fair play casino online</t>
  </si>
  <si>
    <t>blacklisted online casinos</t>
  </si>
  <si>
    <t>casino online legal españa</t>
  </si>
  <si>
    <t>play spin palace casino online</t>
  </si>
  <si>
    <t>online casinos that accept visa</t>
  </si>
  <si>
    <t>wink slots online casino</t>
  </si>
  <si>
    <t>las vegas online casino</t>
  </si>
  <si>
    <t>online casino no playthrough bonus</t>
  </si>
  <si>
    <t>slot online 239--casino(rajadewa138)</t>
  </si>
  <si>
    <t>highest paying online casino</t>
  </si>
  <si>
    <t>deutsche online casinos</t>
  </si>
  <si>
    <t>dutch online casino</t>
  </si>
  <si>
    <t>online casinos using skrill</t>
  </si>
  <si>
    <t>online united states casinos</t>
  </si>
  <si>
    <t>caesar online casino pa</t>
  </si>
  <si>
    <t>best live casino in india</t>
  </si>
  <si>
    <t>lotto online casino</t>
  </si>
  <si>
    <t>california online gambling</t>
  </si>
  <si>
    <t>online casinos isoftbet</t>
  </si>
  <si>
    <t>online casino india no deposit bonus</t>
  </si>
  <si>
    <t>online gambling missouri</t>
  </si>
  <si>
    <t>fastest paying casinos online</t>
  </si>
  <si>
    <t>online casino owners</t>
  </si>
  <si>
    <t>real money casino games online</t>
  </si>
  <si>
    <t>symphony of the seas casino table games</t>
  </si>
  <si>
    <t>online casino willkommensbonus ohne einzahlung</t>
  </si>
  <si>
    <t>online gambling in arkansas</t>
  </si>
  <si>
    <t>crash casino games</t>
  </si>
  <si>
    <t>lucky games casino</t>
  </si>
  <si>
    <t>online casino anmeldelser casin...</t>
  </si>
  <si>
    <t>free internet casino games</t>
  </si>
  <si>
    <t>online casino gratis bonus zonder storting</t>
  </si>
  <si>
    <t>gamingclub online casino</t>
  </si>
  <si>
    <t>online casino bonus 2020</t>
  </si>
  <si>
    <t>indonesia online casino</t>
  </si>
  <si>
    <t>casino games for mobile</t>
  </si>
  <si>
    <t>casino online 888</t>
  </si>
  <si>
    <t>casinos online que aceptan pesos</t>
  </si>
  <si>
    <t>moon games casino</t>
  </si>
  <si>
    <t>online casino 20 euro startguthaben</t>
  </si>
  <si>
    <t>free online casinos australia</t>
  </si>
  <si>
    <t>gala casino online</t>
  </si>
  <si>
    <t>casino online terpercaya pandora188</t>
  </si>
  <si>
    <t>newest online casino canada</t>
  </si>
  <si>
    <t>online casino bezahlen mit handy</t>
  </si>
  <si>
    <t>top pariplay online casinos</t>
  </si>
  <si>
    <t>online games casinos</t>
  </si>
  <si>
    <t>caliente casino online</t>
  </si>
  <si>
    <t>playing casino online</t>
  </si>
  <si>
    <t>same day withdrawal online casinos usa</t>
  </si>
  <si>
    <t>wynnbet online casino</t>
  </si>
  <si>
    <t>best casino odds games</t>
  </si>
  <si>
    <t>online casino schweiz paysafe</t>
  </si>
  <si>
    <t>new online casino bonuses</t>
  </si>
  <si>
    <t>real casino games for real money</t>
  </si>
  <si>
    <t>online casino utan svensk licens trustly</t>
  </si>
  <si>
    <t>casinos online reviews</t>
  </si>
  <si>
    <t>747.live casino crazy time login</t>
  </si>
  <si>
    <t>online casino iceland</t>
  </si>
  <si>
    <t>online casino betsson</t>
  </si>
  <si>
    <t>online casino aviator</t>
  </si>
  <si>
    <t>slotmagie online casino</t>
  </si>
  <si>
    <t>online gambling switzerland</t>
  </si>
  <si>
    <t>riverbelle casino online</t>
  </si>
  <si>
    <t>top online casinos nicaragua</t>
  </si>
  <si>
    <t>online casino australia legal real money</t>
  </si>
  <si>
    <t>casino online suisse</t>
  </si>
  <si>
    <t>gambling online india</t>
  </si>
  <si>
    <t>casinos online chilenos</t>
  </si>
  <si>
    <t>online mobile gambling</t>
  </si>
  <si>
    <t>online casino $5 deposit</t>
  </si>
  <si>
    <t>michigan online casinos</t>
  </si>
  <si>
    <t>bandar judi ibcbet casino online</t>
  </si>
  <si>
    <t>judi online casino</t>
  </si>
  <si>
    <t>online live casino roulette</t>
  </si>
  <si>
    <t>new online casinos for usa</t>
  </si>
  <si>
    <t>online trusted casino</t>
  </si>
  <si>
    <t>best online casino sites reviews</t>
  </si>
  <si>
    <t>licensed online casino with 24/7 customer support</t>
  </si>
  <si>
    <t>online casino ideal betalen</t>
  </si>
  <si>
    <t>online casino bih</t>
  </si>
  <si>
    <t>online gambling uk</t>
  </si>
  <si>
    <t>casino deutschland online</t>
  </si>
  <si>
    <t>best dragonfish online casino</t>
  </si>
  <si>
    <t>best online casinos real money usa</t>
  </si>
  <si>
    <t>online casino adventskalender</t>
  </si>
  <si>
    <t>free vegas casino slot machine games</t>
  </si>
  <si>
    <t>top online casinos in canada</t>
  </si>
  <si>
    <t>online casinos canada real money,</t>
  </si>
  <si>
    <t>free daily games casino</t>
  </si>
  <si>
    <t>genting online casino malaysia</t>
  </si>
  <si>
    <t>seriöse online casino echtgeld</t>
  </si>
  <si>
    <t>casinos online que aceptan astropay</t>
  </si>
  <si>
    <t>casino slovenija online</t>
  </si>
  <si>
    <t>casino games win real money</t>
  </si>
  <si>
    <t>live online roulette casino</t>
  </si>
  <si>
    <t>codici bonus casino online</t>
  </si>
  <si>
    <t>online casino with vip loyalty program benefits</t>
  </si>
  <si>
    <t>mostbet live casino</t>
  </si>
  <si>
    <t>nieuwe online casino 2020</t>
  </si>
  <si>
    <t>casino ibcbet online deposit 50 ribu</t>
  </si>
  <si>
    <t>indian casino games</t>
  </si>
  <si>
    <t>novoline casino online spielen kostenlos</t>
  </si>
  <si>
    <t>online casino mit instant banking</t>
  </si>
  <si>
    <t>online casino mit paypal einzahlung</t>
  </si>
  <si>
    <t>chinese casino games</t>
  </si>
  <si>
    <t>online casino de</t>
  </si>
  <si>
    <t>online indian casinos</t>
  </si>
  <si>
    <t>top online casino software providers</t>
  </si>
  <si>
    <t>best online casino in usa</t>
  </si>
  <si>
    <t>online casino mit schneller auszahlung</t>
  </si>
  <si>
    <t>casino us online</t>
  </si>
  <si>
    <t>singapore online gambling sites</t>
  </si>
  <si>
    <t>spille online casino</t>
  </si>
  <si>
    <t>best online casino signup bonus</t>
  </si>
  <si>
    <t>casino games gratis</t>
  </si>
  <si>
    <t>casinos online con dinero real</t>
  </si>
  <si>
    <t>best online casino promotions michigan</t>
  </si>
  <si>
    <t>royal panda online casino review</t>
  </si>
  <si>
    <t>ice online casino</t>
  </si>
  <si>
    <t>online casino holdem</t>
  </si>
  <si>
    <t>luckyme slots online casino</t>
  </si>
  <si>
    <t>william hill games casino</t>
  </si>
  <si>
    <t>slottica casino online</t>
  </si>
  <si>
    <t>online casino jobs</t>
  </si>
  <si>
    <t>all jackpots online casino</t>
  </si>
  <si>
    <t>online gambling italy</t>
  </si>
  <si>
    <t>new online casinos 2019</t>
  </si>
  <si>
    <t>wyoming online casino</t>
  </si>
  <si>
    <t>nj online casinos</t>
  </si>
  <si>
    <t>online casino offers</t>
  </si>
  <si>
    <t>casino games accept interac</t>
  </si>
  <si>
    <t>is online gambling illegal</t>
  </si>
  <si>
    <t>online casino utan insättningskrav</t>
  </si>
  <si>
    <t>online casino leovegas</t>
  </si>
  <si>
    <t>uk best casinos online</t>
  </si>
  <si>
    <t>luxembourg online casinos</t>
  </si>
  <si>
    <t>online casino low minimum deposit</t>
  </si>
  <si>
    <t>alle online casinos liste</t>
  </si>
  <si>
    <t>top 10 casinos online</t>
  </si>
  <si>
    <t>alle schweizer online casinos</t>
  </si>
  <si>
    <t>hustler casino live results</t>
  </si>
  <si>
    <t>online casino sites in india</t>
  </si>
  <si>
    <t>most reliable online casino</t>
  </si>
  <si>
    <t>online casino spieler</t>
  </si>
  <si>
    <t>online casino canada reviews</t>
  </si>
  <si>
    <t>poker star casino online</t>
  </si>
  <si>
    <t>bestes blackjack online casino</t>
  </si>
  <si>
    <t>slots gambling online</t>
  </si>
  <si>
    <t>idaho online gambling</t>
  </si>
  <si>
    <t>casino spiele online spielen</t>
  </si>
  <si>
    <t>river belle casino online</t>
  </si>
  <si>
    <t>online casino ohne verifizierung</t>
  </si>
  <si>
    <t>online casino zonder account</t>
  </si>
  <si>
    <t>best casino online uk</t>
  </si>
  <si>
    <t>best indian online casinos</t>
  </si>
  <si>
    <t>caesars online casino pa bonus code</t>
  </si>
  <si>
    <t>buy online casino turnkey</t>
  </si>
  <si>
    <t>free casino games with 4 screens</t>
  </si>
  <si>
    <t>best online casino pa</t>
  </si>
  <si>
    <t>online casino bonus ohne einzahlung 2019</t>
  </si>
  <si>
    <t>ecopayz accepted online casinos</t>
  </si>
  <si>
    <t>online australian casinos</t>
  </si>
  <si>
    <t>online slots casinos</t>
  </si>
  <si>
    <t>best casino card games</t>
  </si>
  <si>
    <t>easy eft online casinos</t>
  </si>
  <si>
    <t>free casino games online</t>
  </si>
  <si>
    <t>michigan online casino free play</t>
  </si>
  <si>
    <t>casino online con paypal</t>
  </si>
  <si>
    <t>nhl online gambling sites</t>
  </si>
  <si>
    <t>using bitcoin for online gambling</t>
  </si>
  <si>
    <t>casinos online en estados unidos</t>
  </si>
  <si>
    <t>online gambling for free</t>
  </si>
  <si>
    <t>captain casino online</t>
  </si>
  <si>
    <t>new jersey online casino sites</t>
  </si>
  <si>
    <t>online casino payment options</t>
  </si>
  <si>
    <t>casino chan online casino</t>
  </si>
  <si>
    <t>best payout online casino usa</t>
  </si>
  <si>
    <t>casino online real money no deposit</t>
  </si>
  <si>
    <t>free casino buffalo games</t>
  </si>
  <si>
    <t>no deposit online casino bonus michigan</t>
  </si>
  <si>
    <t>online casino lastschrift</t>
  </si>
  <si>
    <t>online casino qatar</t>
  </si>
  <si>
    <t>miami casino online login</t>
  </si>
  <si>
    <t>free online casino spiele</t>
  </si>
  <si>
    <t>online casinos that take american express</t>
  </si>
  <si>
    <t>utah online casinos</t>
  </si>
  <si>
    <t>holland casino online</t>
  </si>
  <si>
    <t>ocean resort online casino</t>
  </si>
  <si>
    <t>paydirekt online casino</t>
  </si>
  <si>
    <t>ladbrokes online casino games</t>
  </si>
  <si>
    <t>live casino software providers</t>
  </si>
  <si>
    <t>learn casino games</t>
  </si>
  <si>
    <t>social casino games</t>
  </si>
  <si>
    <t>casino online bonus registo</t>
  </si>
  <si>
    <t>fastpay online casino</t>
  </si>
  <si>
    <t>casinos schweiz online</t>
  </si>
  <si>
    <t>online bitcoin casino software</t>
  </si>
  <si>
    <t>live casino address</t>
  </si>
  <si>
    <t>free bets casino online</t>
  </si>
  <si>
    <t>best vegas online casinos</t>
  </si>
  <si>
    <t>casino games for money</t>
  </si>
  <si>
    <t>american online gambling</t>
  </si>
  <si>
    <t>casino games for free slots</t>
  </si>
  <si>
    <t>best online casinos in canada</t>
  </si>
  <si>
    <t>netent online casino</t>
  </si>
  <si>
    <t>online casino manitoba</t>
  </si>
  <si>
    <t>online casinos mit kreditkarten</t>
  </si>
  <si>
    <t>online casino free bonus no deposit required</t>
  </si>
  <si>
    <t>nv online casino</t>
  </si>
  <si>
    <t>download free casino slot games play offline</t>
  </si>
  <si>
    <t>play casino games real money</t>
  </si>
  <si>
    <t>online casino payout</t>
  </si>
  <si>
    <t>australian online casino quick payout</t>
  </si>
  <si>
    <t>online gambling risks and statistics</t>
  </si>
  <si>
    <t>safest online casino australia</t>
  </si>
  <si>
    <t>online casino fortuna</t>
  </si>
  <si>
    <t>online casino spin city</t>
  </si>
  <si>
    <t>online casino deutschland legal 2022</t>
  </si>
  <si>
    <t>online casino sperren lassen</t>
  </si>
  <si>
    <t>online casino bonus sverige</t>
  </si>
  <si>
    <t>online casino for usa players</t>
  </si>
  <si>
    <t>promo code for online casino</t>
  </si>
  <si>
    <t>fast payout casinos online</t>
  </si>
  <si>
    <t>cele mai bune casino online</t>
  </si>
  <si>
    <t>online casino mit handy bezahlen deutschland</t>
  </si>
  <si>
    <t>online casino dollar</t>
  </si>
  <si>
    <t>sports betting online casino</t>
  </si>
  <si>
    <t>book of ra online casino echtgeld</t>
  </si>
  <si>
    <t>online gambling japan</t>
  </si>
  <si>
    <t>popular online casino</t>
  </si>
  <si>
    <t>slot online 226--casino(rajadewa138)</t>
  </si>
  <si>
    <t>play online free casino games</t>
  </si>
  <si>
    <t>online casino gokken</t>
  </si>
  <si>
    <t>massachusetts casino online</t>
  </si>
  <si>
    <t>meilleur casino live</t>
  </si>
  <si>
    <t>online casino bonus ohne einzahlen</t>
  </si>
  <si>
    <t>live casino online south africa</t>
  </si>
  <si>
    <t>texas holdem online gambling</t>
  </si>
  <si>
    <t>aus online casinos</t>
  </si>
  <si>
    <t>best online casino provider</t>
  </si>
  <si>
    <t>casino games new</t>
  </si>
  <si>
    <t>uk online casino</t>
  </si>
  <si>
    <t>bestes online casino echtgeld</t>
  </si>
  <si>
    <t>casino online casumo</t>
  </si>
  <si>
    <t>www jackpot city online casino</t>
  </si>
  <si>
    <t>mississippi online gambling</t>
  </si>
  <si>
    <t>card games casino</t>
  </si>
  <si>
    <t>live casino ohne lizenz</t>
  </si>
  <si>
    <t>real cash casino games</t>
  </si>
  <si>
    <t>gambling online in pa</t>
  </si>
  <si>
    <t>william hill live casino</t>
  </si>
  <si>
    <t>beste live casino online</t>
  </si>
  <si>
    <t>online casino top 5</t>
  </si>
  <si>
    <t>are online casinos safe</t>
  </si>
  <si>
    <t>2022 online casino</t>
  </si>
  <si>
    <t>astropay en casinos online</t>
  </si>
  <si>
    <t>online real cash casino</t>
  </si>
  <si>
    <t>9 fun casino party games</t>
  </si>
  <si>
    <t>online paypal casinos</t>
  </si>
  <si>
    <t>estoril casinos online</t>
  </si>
  <si>
    <t>gambling online casino real money</t>
  </si>
  <si>
    <t>casinos online free spins</t>
  </si>
  <si>
    <t>is online trading gambling</t>
  </si>
  <si>
    <t>brandneue online casinos</t>
  </si>
  <si>
    <t>online casino live dealer</t>
  </si>
  <si>
    <t>missouri online casino</t>
  </si>
  <si>
    <t>online gambling marketing strategy</t>
  </si>
  <si>
    <t>best neteller online casino sites</t>
  </si>
  <si>
    <t>casinos online disponiveis em portugal</t>
  </si>
  <si>
    <t>casino online nuevos</t>
  </si>
  <si>
    <t>best online casino that accepts muchbetter</t>
  </si>
  <si>
    <t>casinos online recomendados</t>
  </si>
  <si>
    <t>online casino australia</t>
  </si>
  <si>
    <t>king neptunes online casino</t>
  </si>
  <si>
    <t>casinos de las vegas online</t>
  </si>
  <si>
    <t>best online casino in new zealand</t>
  </si>
  <si>
    <t>gaming online casinos</t>
  </si>
  <si>
    <t>free vpn for online gambling</t>
  </si>
  <si>
    <t>top online casinos usa</t>
  </si>
  <si>
    <t>fastest payout usa online casino</t>
  </si>
  <si>
    <t>jackpot city online casino review</t>
  </si>
  <si>
    <t>baccarat online live casino</t>
  </si>
  <si>
    <t>best online casino gibraltar</t>
  </si>
  <si>
    <t>bandar casino ibcbet online</t>
  </si>
  <si>
    <t>ruby online casino</t>
  </si>
  <si>
    <t>casino online poker</t>
  </si>
  <si>
    <t>top 20 online casinos uk</t>
  </si>
  <si>
    <t>best gluck games online casino sites</t>
  </si>
  <si>
    <t>online casino that accepts upaycard deposits</t>
  </si>
  <si>
    <t>casino online españa sin deposito</t>
  </si>
  <si>
    <t>best crypto casino online</t>
  </si>
  <si>
    <t>online casinos singapore</t>
  </si>
  <si>
    <t>melhor casino online</t>
  </si>
  <si>
    <t>online casinos with instant withdrawal</t>
  </si>
  <si>
    <t>online casino mit 1€ einzahlung</t>
  </si>
  <si>
    <t>casino online gratis bonus</t>
  </si>
  <si>
    <t>california online casino</t>
  </si>
  <si>
    <t>mejores casinos online vivepay españa</t>
  </si>
  <si>
    <t>best bitcoin casino online</t>
  </si>
  <si>
    <t>top online casino california</t>
  </si>
  <si>
    <t>casinos online visa</t>
  </si>
  <si>
    <t>online casino 2024</t>
  </si>
  <si>
    <t>fruit games casino</t>
  </si>
  <si>
    <t>best online casino hong kong</t>
  </si>
  <si>
    <t>online gambling utah</t>
  </si>
  <si>
    <t>top uk casinos online</t>
  </si>
  <si>
    <t>free casino games win real money</t>
  </si>
  <si>
    <t>the best casino games online</t>
  </si>
  <si>
    <t>free bonus online casino games</t>
  </si>
  <si>
    <t>online casino louisiana</t>
  </si>
  <si>
    <t>online casino aggregator</t>
  </si>
  <si>
    <t>online casino belgië</t>
  </si>
  <si>
    <t>online gambling help</t>
  </si>
  <si>
    <t>online casino erfahrung</t>
  </si>
  <si>
    <t>online casino keywords</t>
  </si>
  <si>
    <t>top casinos online con retirada instantanea</t>
  </si>
  <si>
    <t>online casinos in sweden</t>
  </si>
  <si>
    <t>online echtgeld casino bonus ohne einzahlung</t>
  </si>
  <si>
    <t>bonanza online casino</t>
  </si>
  <si>
    <t>best online casinos for craps</t>
  </si>
  <si>
    <t>online casino mit 1 euro einzahlung</t>
  </si>
  <si>
    <t>norske casino online</t>
  </si>
  <si>
    <t>online casino u.s</t>
  </si>
  <si>
    <t>online casino accepting bitcoin</t>
  </si>
  <si>
    <t>parx online casino</t>
  </si>
  <si>
    <t>fun casino online</t>
  </si>
  <si>
    <t>online casino in uk</t>
  </si>
  <si>
    <t>casino online malta</t>
  </si>
  <si>
    <t>live casino list</t>
  </si>
  <si>
    <t>gute online casino echtgeld</t>
  </si>
  <si>
    <t>casino online january 2023</t>
  </si>
  <si>
    <t>online las vegas casino</t>
  </si>
  <si>
    <t>us casinos online</t>
  </si>
  <si>
    <t>online gambling translation services</t>
  </si>
  <si>
    <t>unique casino online</t>
  </si>
  <si>
    <t>casinos online gratuitos</t>
  </si>
  <si>
    <t>mobile online casino real money</t>
  </si>
  <si>
    <t>aristocrat online casino games</t>
  </si>
  <si>
    <t>best online us casinos</t>
  </si>
  <si>
    <t>free slot online casino games</t>
  </si>
  <si>
    <t>new australian online casino 2021</t>
  </si>
  <si>
    <t>live social casino</t>
  </si>
  <si>
    <t>casino club live</t>
  </si>
  <si>
    <t>online casino deposit options</t>
  </si>
  <si>
    <t>colombian online casinos</t>
  </si>
  <si>
    <t>canada online casinos</t>
  </si>
  <si>
    <t>online casino croatia</t>
  </si>
  <si>
    <t>online casinos in nevada</t>
  </si>
  <si>
    <t>gambling casino games</t>
  </si>
  <si>
    <t>skrill casino online</t>
  </si>
  <si>
    <t>live online casino singapore</t>
  </si>
  <si>
    <t>online real money casino</t>
  </si>
  <si>
    <t>online gambling nevada</t>
  </si>
  <si>
    <t>ob live casino</t>
  </si>
  <si>
    <t>online casino malaysia sportsbook</t>
  </si>
  <si>
    <t>indian casino games online</t>
  </si>
  <si>
    <t>online crypto gambling</t>
  </si>
  <si>
    <t>online casinos accepting visa</t>
  </si>
  <si>
    <t>casino tropez online casino</t>
  </si>
  <si>
    <t>online casino verifizierung</t>
  </si>
  <si>
    <t>las vegas casino games online</t>
  </si>
  <si>
    <t>gratis speelgeld online casino</t>
  </si>
  <si>
    <t>como crear un casino online</t>
  </si>
  <si>
    <t>dover downs online casino review</t>
  </si>
  <si>
    <t>vegas 7 online casino</t>
  </si>
  <si>
    <t>best online casinos that accept giropay deposits</t>
  </si>
  <si>
    <t>casinos online que pagam</t>
  </si>
  <si>
    <t>admiral casino online</t>
  </si>
  <si>
    <t>european casino online</t>
  </si>
  <si>
    <t>online casino 5 dollar minimum deposit</t>
  </si>
  <si>
    <t>online casino lijst</t>
  </si>
  <si>
    <t>circus casino online nederland</t>
  </si>
  <si>
    <t>best games in casino</t>
  </si>
  <si>
    <t>judi casino blackjack online</t>
  </si>
  <si>
    <t>chances of winning online casino</t>
  </si>
  <si>
    <t>new casino online</t>
  </si>
  <si>
    <t>online casinos best bonuses</t>
  </si>
  <si>
    <t>online gambling tips</t>
  </si>
  <si>
    <t>free casino games no downloads or registration</t>
  </si>
  <si>
    <t>casino online zimpler</t>
  </si>
  <si>
    <t>neuen online casinos</t>
  </si>
  <si>
    <t>crown casino games</t>
  </si>
  <si>
    <t>online casino debit card</t>
  </si>
  <si>
    <t>casino colombia online</t>
  </si>
  <si>
    <t>online gambling blackjack real money</t>
  </si>
  <si>
    <t>brazil online casino</t>
  </si>
  <si>
    <t>online casino paysafecard bezahlen</t>
  </si>
  <si>
    <t>software para casinos online</t>
  </si>
  <si>
    <t>casino dinero real online</t>
  </si>
  <si>
    <t>top thunderkick online casino</t>
  </si>
  <si>
    <t>jackpot city online casino nz</t>
  </si>
  <si>
    <t>online casinos for real money</t>
  </si>
  <si>
    <t>online slot casino malaysia</t>
  </si>
  <si>
    <t>guru casino online</t>
  </si>
  <si>
    <t>turnkey online casino business</t>
  </si>
  <si>
    <t>popular online casino slots</t>
  </si>
  <si>
    <t>online casino auszahlung ohne ausweis</t>
  </si>
  <si>
    <t>ballys casino games</t>
  </si>
  <si>
    <t>free casino games slot machines download</t>
  </si>
  <si>
    <t>legal online casinos</t>
  </si>
  <si>
    <t>magic red online casino</t>
  </si>
  <si>
    <t>game online casino malaysia</t>
  </si>
  <si>
    <t>casino live snai</t>
  </si>
  <si>
    <t>best rated online casinos</t>
  </si>
  <si>
    <t>casinos online uruguay</t>
  </si>
  <si>
    <t>new online casinos no deposit bonus</t>
  </si>
  <si>
    <t>cash casino online</t>
  </si>
  <si>
    <t>new us online casinos</t>
  </si>
  <si>
    <t>riverbelle online casino</t>
  </si>
  <si>
    <t>free online gambling for real money</t>
  </si>
  <si>
    <t>online casinos accepting amex</t>
  </si>
  <si>
    <t>casino en ligne roulette live</t>
  </si>
  <si>
    <t>online gambling usa paypal</t>
  </si>
  <si>
    <t>tropicana online casino review</t>
  </si>
  <si>
    <t>casino online free slots</t>
  </si>
  <si>
    <t>resorts online casino nj</t>
  </si>
  <si>
    <t>bet365 casino live</t>
  </si>
  <si>
    <t>top casino online canada</t>
  </si>
  <si>
    <t>agen judi casino sbc168 online</t>
  </si>
  <si>
    <t>beste online casino 2022</t>
  </si>
  <si>
    <t>online gambling with free bonus</t>
  </si>
  <si>
    <t>online casinos list</t>
  </si>
  <si>
    <t>ojo online casino</t>
  </si>
  <si>
    <t>online casino with 10 minimum deposit</t>
  </si>
  <si>
    <t>online casinos europe</t>
  </si>
  <si>
    <t>casinos online bono sin depósito</t>
  </si>
  <si>
    <t>live roulette casino deutschland</t>
  </si>
  <si>
    <t>asia live casino</t>
  </si>
  <si>
    <t>casino online casino</t>
  </si>
  <si>
    <t>maryland online casinos</t>
  </si>
  <si>
    <t>live casino casumo</t>
  </si>
  <si>
    <t>backgammon gambling online</t>
  </si>
  <si>
    <t>uk top online casinos</t>
  </si>
  <si>
    <t>borgata pennsylvania casino online</t>
  </si>
  <si>
    <t>new online casinos pennsylvania</t>
  </si>
  <si>
    <t>best real money online casino app</t>
  </si>
  <si>
    <t>south africa casino online</t>
  </si>
  <si>
    <t>sugarhouse casino pa online</t>
  </si>
  <si>
    <t>casinos online 2023</t>
  </si>
  <si>
    <t>bonuscode online casino</t>
  </si>
  <si>
    <t>casino online gratis spins</t>
  </si>
  <si>
    <t>casino online no deposit bonus 2024</t>
  </si>
  <si>
    <t>legales trustly online casino</t>
  </si>
  <si>
    <t>real money online casino colorado</t>
  </si>
  <si>
    <t>online casino management courses</t>
  </si>
  <si>
    <t>online casino same name as stake</t>
  </si>
  <si>
    <t>online casinos 2021</t>
  </si>
  <si>
    <t>online casino best deal</t>
  </si>
  <si>
    <t>casino midas online casino</t>
  </si>
  <si>
    <t>zodiac online casino</t>
  </si>
  <si>
    <t>free casino games download play offline</t>
  </si>
  <si>
    <t>best casino slot online</t>
  </si>
  <si>
    <t>free slots casino games for fun</t>
  </si>
  <si>
    <t>online casino betting</t>
  </si>
  <si>
    <t>best online casinos review</t>
  </si>
  <si>
    <t>online casinos with free money</t>
  </si>
  <si>
    <t>online casino colorado</t>
  </si>
  <si>
    <t>top flexepin online casino</t>
  </si>
  <si>
    <t>oregon online casino</t>
  </si>
  <si>
    <t>online casinos kansas</t>
  </si>
  <si>
    <t>casino italia online</t>
  </si>
  <si>
    <t>best online casinos that accept jeton deposits</t>
  </si>
  <si>
    <t>online casinos au</t>
  </si>
  <si>
    <t>casino slot online free</t>
  </si>
  <si>
    <t>luckyones online casino</t>
  </si>
  <si>
    <t>online casino lapalingo</t>
  </si>
  <si>
    <t>indiana online casino apps</t>
  </si>
  <si>
    <t>casino live en ligne</t>
  </si>
  <si>
    <t>australian casino online real money</t>
  </si>
  <si>
    <t>europa casino live roulette</t>
  </si>
  <si>
    <t>twin casino online</t>
  </si>
  <si>
    <t>probability of winning casino games</t>
  </si>
  <si>
    <t>best michigan online casino bonus</t>
  </si>
  <si>
    <t>lucky chances casino online</t>
  </si>
  <si>
    <t>free no download online casino games</t>
  </si>
  <si>
    <t>online casino endorphina</t>
  </si>
  <si>
    <t>online casino bonusar</t>
  </si>
  <si>
    <t>bet mgm casino online</t>
  </si>
  <si>
    <t>betmgm casino pa online</t>
  </si>
  <si>
    <t>casino simulator online</t>
  </si>
  <si>
    <t>is el royale online casino legit</t>
  </si>
  <si>
    <t>top australian casino online</t>
  </si>
  <si>
    <t>online casino pelit</t>
  </si>
  <si>
    <t>casino online spelautomater</t>
  </si>
  <si>
    <t>best online casino bonus offers in new jersey</t>
  </si>
  <si>
    <t>netent casino games</t>
  </si>
  <si>
    <t>online casinos that accept debit cards</t>
  </si>
  <si>
    <t>free bonus online casinos</t>
  </si>
  <si>
    <t>online casino real money pennsylvania</t>
  </si>
  <si>
    <t>is gambling online legal</t>
  </si>
  <si>
    <t>real online casino arizona</t>
  </si>
  <si>
    <t>casino online internet casino</t>
  </si>
  <si>
    <t>ver casino online español</t>
  </si>
  <si>
    <t>start your own online casino free</t>
  </si>
  <si>
    <t>online australian casino</t>
  </si>
  <si>
    <t>online gambling arkansas</t>
  </si>
  <si>
    <t>online casino singapore and malaysia</t>
  </si>
  <si>
    <t>brand new usa online casinos 2020</t>
  </si>
  <si>
    <t>book of dead online casino</t>
  </si>
  <si>
    <t>casinos online que aceptan pagoefectivo</t>
  </si>
  <si>
    <t>mississippi online casino</t>
  </si>
  <si>
    <t>online casino promo codes no deposit</t>
  </si>
  <si>
    <t>casino skill games</t>
  </si>
  <si>
    <t>online casino dealer</t>
  </si>
  <si>
    <t>online casinos bonus no deposit</t>
  </si>
  <si>
    <t>online casino legal schweiz</t>
  </si>
  <si>
    <t>online casino kreditkarte</t>
  </si>
  <si>
    <t>live casino blackjack free</t>
  </si>
  <si>
    <t>best pa online casino</t>
  </si>
  <si>
    <t>new online casino no deposit bonus uk</t>
  </si>
  <si>
    <t>online casinos 2019 echtgeld</t>
  </si>
  <si>
    <t>melhores casinos online para jogar roleta</t>
  </si>
  <si>
    <t>top 10 online casino uk</t>
  </si>
  <si>
    <t>online casino keno games</t>
  </si>
  <si>
    <t>the best online casinos for usa players</t>
  </si>
  <si>
    <t>casino internet games</t>
  </si>
  <si>
    <t>toto casino live</t>
  </si>
  <si>
    <t>latest online casinos</t>
  </si>
  <si>
    <t>sweden online casinos</t>
  </si>
  <si>
    <t>casino bet online</t>
  </si>
  <si>
    <t>virgin games casino bonuses</t>
  </si>
  <si>
    <t>best arab online casino</t>
  </si>
  <si>
    <t>sbobet casino live</t>
  </si>
  <si>
    <t>doubledown casino code share online</t>
  </si>
  <si>
    <t>online casino play n go</t>
  </si>
  <si>
    <t>bonos sin deposito en casinos online</t>
  </si>
  <si>
    <t>online casino malta</t>
  </si>
  <si>
    <t>slots online gambling</t>
  </si>
  <si>
    <t>free fun casino games online</t>
  </si>
  <si>
    <t>casino online regala 20 euros gratis</t>
  </si>
  <si>
    <t>online casino book of ra paypal</t>
  </si>
  <si>
    <t>bitcoin casino live casino</t>
  </si>
  <si>
    <t>online casinos ohne 1 euro limit</t>
  </si>
  <si>
    <t>casino games ontario</t>
  </si>
  <si>
    <t>free money casino online</t>
  </si>
  <si>
    <t>live casino casino</t>
  </si>
  <si>
    <t>fastest payout online casino nz</t>
  </si>
  <si>
    <t>beste live casino</t>
  </si>
  <si>
    <t>online casino no deposit bonus 2023</t>
  </si>
  <si>
    <t>playzilla online casino</t>
  </si>
  <si>
    <t>golden tiger casino online</t>
  </si>
  <si>
    <t>888 casino live baccarat</t>
  </si>
  <si>
    <t>casino bola88 online</t>
  </si>
  <si>
    <t>online casino blog</t>
  </si>
  <si>
    <t>coushatta casino online</t>
  </si>
  <si>
    <t>online casino velkomstbonus</t>
  </si>
  <si>
    <t>casinos online argentina</t>
  </si>
  <si>
    <t>kansas online casinos</t>
  </si>
  <si>
    <t>daftar casino online</t>
  </si>
  <si>
    <t>online gambling with real money</t>
  </si>
  <si>
    <t>casino software online</t>
  </si>
  <si>
    <t>online casino ethereum</t>
  </si>
  <si>
    <t>skycity online casino withdrawal</t>
  </si>
  <si>
    <t>online casino betway</t>
  </si>
  <si>
    <t>giocare online casino</t>
  </si>
  <si>
    <t>saskatchewan online casino</t>
  </si>
  <si>
    <t>beste online casino seite</t>
  </si>
  <si>
    <t>nuovi casino online</t>
  </si>
  <si>
    <t>neu online casinos</t>
  </si>
  <si>
    <t>casino online peru gratis</t>
  </si>
  <si>
    <t>casinos online bonus ohne einzahlung</t>
  </si>
  <si>
    <t>bet365 live casino bonus</t>
  </si>
  <si>
    <t>online gambling with crypto</t>
  </si>
  <si>
    <t>online casino no verification withdrawal canada</t>
  </si>
  <si>
    <t>top jeton online casinos</t>
  </si>
  <si>
    <t>online casino anmeldebonus</t>
  </si>
  <si>
    <t>easiest online casino games to win</t>
  </si>
  <si>
    <t>casino games bitcoin</t>
  </si>
  <si>
    <t>online casino circus</t>
  </si>
  <si>
    <t>top casino bonuses online</t>
  </si>
  <si>
    <t>casino online spielen bonus ohne einzahlung</t>
  </si>
  <si>
    <t>casinos gratis online</t>
  </si>
  <si>
    <t>tropicana casino online promo code</t>
  </si>
  <si>
    <t>platipus online casino</t>
  </si>
  <si>
    <t>razor shark online casino</t>
  </si>
  <si>
    <t>tennessee casino online</t>
  </si>
  <si>
    <t>online casino ideal nl</t>
  </si>
  <si>
    <t>best online casinos that accept neteller</t>
  </si>
  <si>
    <t>online gambling platforms</t>
  </si>
  <si>
    <t>flexepin online casino</t>
  </si>
  <si>
    <t>free spins online casinos</t>
  </si>
  <si>
    <t>fake casino games online</t>
  </si>
  <si>
    <t>singapore online casino website</t>
  </si>
  <si>
    <t>casino online pt</t>
  </si>
  <si>
    <t>online casino seriös</t>
  </si>
  <si>
    <t>best online casinos in nj</t>
  </si>
  <si>
    <t>online gambling plinko</t>
  </si>
  <si>
    <t>real money online casinos</t>
  </si>
  <si>
    <t>online dogecoin gambling</t>
  </si>
  <si>
    <t>casino online lottomatica</t>
  </si>
  <si>
    <t>promo codes for online casinos</t>
  </si>
  <si>
    <t>pa online casino free spins</t>
  </si>
  <si>
    <t>best new york online casinos</t>
  </si>
  <si>
    <t>online casino las vegas usa</t>
  </si>
  <si>
    <t>best odds for casino games</t>
  </si>
  <si>
    <t>svenska casino online nya svenska online casino</t>
  </si>
  <si>
    <t>casino online dk</t>
  </si>
  <si>
    <t>euro online casino</t>
  </si>
  <si>
    <t>casinos online michigan</t>
  </si>
  <si>
    <t>casino money games</t>
  </si>
  <si>
    <t>list of uk online casinos</t>
  </si>
  <si>
    <t>spela casino online</t>
  </si>
  <si>
    <t>caesars casino online review</t>
  </si>
  <si>
    <t>free slots casino games online</t>
  </si>
  <si>
    <t>sun international online casino</t>
  </si>
  <si>
    <t>best online casinos pa</t>
  </si>
  <si>
    <t>grand ivy online casino review</t>
  </si>
  <si>
    <t>bandar taruhan casino live online</t>
  </si>
  <si>
    <t>bingo casino games free</t>
  </si>
  <si>
    <t>live casino utan svensk licens</t>
  </si>
  <si>
    <t>top uk online casinos</t>
  </si>
  <si>
    <t>top 10 online casino software providers</t>
  </si>
  <si>
    <t>online casino zürich</t>
  </si>
  <si>
    <t>online casino 10 euro ideal</t>
  </si>
  <si>
    <t>online casino mit 20 euro mindesteinzahlung</t>
  </si>
  <si>
    <t>live casino news</t>
  </si>
  <si>
    <t>online money gambling</t>
  </si>
  <si>
    <t>online casino michigan promotions</t>
  </si>
  <si>
    <t>casino leovegas online</t>
  </si>
  <si>
    <t>carnival casino games</t>
  </si>
  <si>
    <t>online casino europa bonus code ohne einzahlung</t>
  </si>
  <si>
    <t>slot vegas casino online</t>
  </si>
  <si>
    <t>casino live sisal</t>
  </si>
  <si>
    <t>casino online international</t>
  </si>
  <si>
    <t>online casino usa no deposit</t>
  </si>
  <si>
    <t>best online casinos that accept trustly</t>
  </si>
  <si>
    <t>red lion casino online</t>
  </si>
  <si>
    <t>hollywood casino online betting</t>
  </si>
  <si>
    <t>casino live baccarat</t>
  </si>
  <si>
    <t>sands casino online</t>
  </si>
  <si>
    <t>german casino online</t>
  </si>
  <si>
    <t>casino with table games near me</t>
  </si>
  <si>
    <t>nike online casino</t>
  </si>
  <si>
    <t>best online gambling real money</t>
  </si>
  <si>
    <t>borgata online casino review</t>
  </si>
  <si>
    <t>spin palace online casino</t>
  </si>
  <si>
    <t>online casinos for south african players</t>
  </si>
  <si>
    <t>bono casino online</t>
  </si>
  <si>
    <t>giochi online casino slot</t>
  </si>
  <si>
    <t>gambling online indonesia</t>
  </si>
  <si>
    <t>free games casino slot</t>
  </si>
  <si>
    <t>casino online download</t>
  </si>
  <si>
    <t>belgische casino online</t>
  </si>
  <si>
    <t>gambling online usa</t>
  </si>
  <si>
    <t>online casinos skrill</t>
  </si>
  <si>
    <t>online casino sign up bonus no deposit mobile</t>
  </si>
  <si>
    <t>infinity online casino</t>
  </si>
  <si>
    <t>agen taruhan live casino terbaik</t>
  </si>
  <si>
    <t>online gambling poker</t>
  </si>
  <si>
    <t>play casino online for money</t>
  </si>
  <si>
    <t>online casinos netherlands</t>
  </si>
  <si>
    <t>list of online casino uk</t>
  </si>
  <si>
    <t>play real money casino online</t>
  </si>
  <si>
    <t>zimpler online casinos</t>
  </si>
  <si>
    <t>online casino ireland no deposit</t>
  </si>
  <si>
    <t>best online casinos in new zealand</t>
  </si>
  <si>
    <t>ukash online casino sites</t>
  </si>
  <si>
    <t>online casino s českou licencí</t>
  </si>
  <si>
    <t>mohegan sun casino online bonus code</t>
  </si>
  <si>
    <t>top online casinos finland</t>
  </si>
  <si>
    <t>live casino bet</t>
  </si>
  <si>
    <t>online casino puerto rico</t>
  </si>
  <si>
    <t>online gambling pakistan</t>
  </si>
  <si>
    <t>sky crown online casino</t>
  </si>
  <si>
    <t>mejores juegos de casino online</t>
  </si>
  <si>
    <t>online casino per sms bezahlen</t>
  </si>
  <si>
    <t>klasino online casino review</t>
  </si>
  <si>
    <t>platinum online casino</t>
  </si>
  <si>
    <t>prive casino online</t>
  </si>
  <si>
    <t>trusted casino online malaysia</t>
  </si>
  <si>
    <t>online gambling in minnesota</t>
  </si>
  <si>
    <t>nové online casino</t>
  </si>
  <si>
    <t>casino online real money usa</t>
  </si>
  <si>
    <t>energy casino online</t>
  </si>
  <si>
    <t>bestes online casino</t>
  </si>
  <si>
    <t>jackpot city online casino free</t>
  </si>
  <si>
    <t>best online casino 2019</t>
  </si>
  <si>
    <t>free demo casino slot games</t>
  </si>
  <si>
    <t>casino online klarna</t>
  </si>
  <si>
    <t>top 10 online casino</t>
  </si>
  <si>
    <t>casinos online in canada</t>
  </si>
  <si>
    <t>casino online no download</t>
  </si>
  <si>
    <t>online casino slots schweiz</t>
  </si>
  <si>
    <t>high roller online casino</t>
  </si>
  <si>
    <t>casino online for money</t>
  </si>
  <si>
    <t>casino online que acepta visa</t>
  </si>
  <si>
    <t>australia casino online real money</t>
  </si>
  <si>
    <t>skill on net online casino</t>
  </si>
  <si>
    <t>najlepsie slovenske online casino</t>
  </si>
  <si>
    <t>best online casinos that accept echeque deposits</t>
  </si>
  <si>
    <t>online casino poker</t>
  </si>
  <si>
    <t>online free casino game</t>
  </si>
  <si>
    <t>evolution online casino</t>
  </si>
  <si>
    <t>online casino 20 euro einzahlung</t>
  </si>
  <si>
    <t>live casino tips</t>
  </si>
  <si>
    <t>exclusive online casino bonuses</t>
  </si>
  <si>
    <t>play for fun online casino</t>
  </si>
  <si>
    <t>online casinos zonder licentie</t>
  </si>
  <si>
    <t>mejores casinos online que aceptan bitcoin</t>
  </si>
  <si>
    <t>online casino slots provider</t>
  </si>
  <si>
    <t>ladbrokes live casino bonus code</t>
  </si>
  <si>
    <t>serioese online casinos</t>
  </si>
  <si>
    <t>casino online payment methods</t>
  </si>
  <si>
    <t>casino online cu bani reali</t>
  </si>
  <si>
    <t>free online las vegas casino slot games</t>
  </si>
  <si>
    <t>online casino czech republic</t>
  </si>
  <si>
    <t>best online roulette casinos norway</t>
  </si>
  <si>
    <t>guts casino online chat</t>
  </si>
  <si>
    <t>jogos casino online gratis</t>
  </si>
  <si>
    <t>glory casino online game</t>
  </si>
  <si>
    <t>casino live terpercaya</t>
  </si>
  <si>
    <t>online gambling bitcoin</t>
  </si>
  <si>
    <t>best visa electron online casinos</t>
  </si>
  <si>
    <t>online spiele casino kostenlos</t>
  </si>
  <si>
    <t>online singapore casino</t>
  </si>
  <si>
    <t>best live roulette casino</t>
  </si>
  <si>
    <t>online gambling costa rica</t>
  </si>
  <si>
    <t>best online casinos cook islands</t>
  </si>
  <si>
    <t>novibet online casino review</t>
  </si>
  <si>
    <t>online casinos ca</t>
  </si>
  <si>
    <t>gratis online casino ohne anmeldung</t>
  </si>
  <si>
    <t>games at a casino</t>
  </si>
  <si>
    <t>tropicana online casino pa</t>
  </si>
  <si>
    <t>tropicana online casino promo code</t>
  </si>
  <si>
    <t>australian online casino free spins</t>
  </si>
  <si>
    <t>online casino norway</t>
  </si>
  <si>
    <t>online casino spanish</t>
  </si>
  <si>
    <t>online casinos test</t>
  </si>
  <si>
    <t>online casino sites australia</t>
  </si>
  <si>
    <t>top reel time gaming online casino</t>
  </si>
  <si>
    <t>online sa casino</t>
  </si>
  <si>
    <t>online casino 777</t>
  </si>
  <si>
    <t>free no deposit online casino</t>
  </si>
  <si>
    <t>buy bonus casino games</t>
  </si>
  <si>
    <t>top casinos online honduras</t>
  </si>
  <si>
    <t>online casino skrill deposit</t>
  </si>
  <si>
    <t>licensed online casinos</t>
  </si>
  <si>
    <t>real money online casino india</t>
  </si>
  <si>
    <t>live casino snabba uttag</t>
  </si>
  <si>
    <t>online genting casino</t>
  </si>
  <si>
    <t>cash casino games</t>
  </si>
  <si>
    <t>btc casino online</t>
  </si>
  <si>
    <t>online casino 🇩🇪 echtgeldspiele.site</t>
  </si>
  <si>
    <t>casinos online peru</t>
  </si>
  <si>
    <t>online casino uk no deposit bonus</t>
  </si>
  <si>
    <t>new online casino ontario</t>
  </si>
  <si>
    <t>online casino hack</t>
  </si>
  <si>
    <t>online casinos free spins no deposit</t>
  </si>
  <si>
    <t>new online real money casinos</t>
  </si>
  <si>
    <t>casino online neteller</t>
  </si>
  <si>
    <t>live casino på nätet</t>
  </si>
  <si>
    <t>cabaretclub juegos de casino online</t>
  </si>
  <si>
    <t>the best online casino for roulette</t>
  </si>
  <si>
    <t>best online casino finland</t>
  </si>
  <si>
    <t>all games in casino</t>
  </si>
  <si>
    <t>casino online big time gaming</t>
  </si>
  <si>
    <t>live online casinos uk</t>
  </si>
  <si>
    <t>online casino betalen met telefoonrekening</t>
  </si>
  <si>
    <t>jogos online casino gratis slots</t>
  </si>
  <si>
    <t>online casino echtgeld test</t>
  </si>
  <si>
    <t>the best online casinos uk</t>
  </si>
  <si>
    <t>swiss online casinos</t>
  </si>
  <si>
    <t>best online casino reviews uk</t>
  </si>
  <si>
    <t>online casino igazi penz</t>
  </si>
  <si>
    <t>casinos online estrangeiros</t>
  </si>
  <si>
    <t>online casinos accepting neosurf</t>
  </si>
  <si>
    <t>better casino live</t>
  </si>
  <si>
    <t>casino games chances of winning</t>
  </si>
  <si>
    <t>real money online casino new hampshire</t>
  </si>
  <si>
    <t>online casino courses</t>
  </si>
  <si>
    <t>online gambling real money blackjack</t>
  </si>
  <si>
    <t>payment solution provider for online casinos</t>
  </si>
  <si>
    <t>online casinos poker</t>
  </si>
  <si>
    <t>skycity online casino no deposit bonus</t>
  </si>
  <si>
    <t>online casino no deposit sign up bonus</t>
  </si>
  <si>
    <t>good casino online</t>
  </si>
  <si>
    <t>casinos de confianza online</t>
  </si>
  <si>
    <t>top 10 online casino nz</t>
  </si>
  <si>
    <t>guts online casino</t>
  </si>
  <si>
    <t>vegas casino online eu</t>
  </si>
  <si>
    <t>online gambling with credit card</t>
  </si>
  <si>
    <t>ice casino online</t>
  </si>
  <si>
    <t>real online gambling for real money</t>
  </si>
  <si>
    <t>horse gambling online</t>
  </si>
  <si>
    <t>new york online casino reviews</t>
  </si>
  <si>
    <t>big win casino online</t>
  </si>
  <si>
    <t>online live casino games</t>
  </si>
  <si>
    <t>live dealer casino</t>
  </si>
  <si>
    <t>dragon tiger live casino</t>
  </si>
  <si>
    <t>online casino free spins sign up nz</t>
  </si>
  <si>
    <t>does online gambling affect credit score</t>
  </si>
  <si>
    <t>online casino leitfaden</t>
  </si>
  <si>
    <t>roulettes casino online</t>
  </si>
  <si>
    <t>online gambling sites not on gamstop</t>
  </si>
  <si>
    <t>online casinos that accept paysafe</t>
  </si>
  <si>
    <t>free spin online casino</t>
  </si>
  <si>
    <t>online gambling illinois</t>
  </si>
  <si>
    <t>pc casino games</t>
  </si>
  <si>
    <t>opiniones de casinos online</t>
  </si>
  <si>
    <t>uk top online casino bonus</t>
  </si>
  <si>
    <t>casino 368bet online termurah</t>
  </si>
  <si>
    <t>online casino auszahlung</t>
  </si>
  <si>
    <t>legit online casino australia</t>
  </si>
  <si>
    <t>online casino indonesia</t>
  </si>
  <si>
    <t>fastest payout online casino uk</t>
  </si>
  <si>
    <t>online casino in india for real money</t>
  </si>
  <si>
    <t>online casino best offers</t>
  </si>
  <si>
    <t>online casino free money no deposit no download</t>
  </si>
  <si>
    <t>casino new zealand online</t>
  </si>
  <si>
    <t>casino online españa bono sin deposito</t>
  </si>
  <si>
    <t>bet casino online</t>
  </si>
  <si>
    <t>online casino test computer bild</t>
  </si>
  <si>
    <t>online casino slots machine</t>
  </si>
  <si>
    <t>casino redkings online casino</t>
  </si>
  <si>
    <t>online casino anmeldebonus ohne einzahlung</t>
  </si>
  <si>
    <t>las vegas casino games free online</t>
  </si>
  <si>
    <t>online casino payment</t>
  </si>
  <si>
    <t>bingo cafe online casino</t>
  </si>
  <si>
    <t>online casino freispiele kaufen</t>
  </si>
  <si>
    <t>flash casino games</t>
  </si>
  <si>
    <t>betchan casino mobile games</t>
  </si>
  <si>
    <t>casino games api</t>
  </si>
  <si>
    <t>real cash casino games online</t>
  </si>
  <si>
    <t>usa real money online casino</t>
  </si>
  <si>
    <t>online no deposit casino codes</t>
  </si>
  <si>
    <t>online gambling sportsbook</t>
  </si>
  <si>
    <t>casino vulkan online</t>
  </si>
  <si>
    <t>casino online canada</t>
  </si>
  <si>
    <t>lucky star online casino</t>
  </si>
  <si>
    <t>bandar sbobet casino online</t>
  </si>
  <si>
    <t>online casinos sweden</t>
  </si>
  <si>
    <t>win unique casino online</t>
  </si>
  <si>
    <t>live casino slot games</t>
  </si>
  <si>
    <t>slot online 338--casino(rajadewa138)</t>
  </si>
  <si>
    <t>real casino slots online real money</t>
  </si>
  <si>
    <t>free casino slot games no download</t>
  </si>
  <si>
    <t>online casino no deposit bonus codes usa players</t>
  </si>
  <si>
    <t>uk online casino no deposit</t>
  </si>
  <si>
    <t>hippodrome online casino bonus codes</t>
  </si>
  <si>
    <t>dansk777 live casino</t>
  </si>
  <si>
    <t>mejor casino online thunderkick</t>
  </si>
  <si>
    <t>die beste casino online</t>
  </si>
  <si>
    <t>best online casinos nicaragua</t>
  </si>
  <si>
    <t>casino night games at home</t>
  </si>
  <si>
    <t>andar bahar online casino</t>
  </si>
  <si>
    <t>casino epoca casino online</t>
  </si>
  <si>
    <t>napoleon games casino knokke</t>
  </si>
  <si>
    <t>kings casino online</t>
  </si>
  <si>
    <t>william hill live casino cashback</t>
  </si>
  <si>
    <t>casino online play</t>
  </si>
  <si>
    <t>online casino slots real money australia</t>
  </si>
  <si>
    <t>new online casinos with no deposit bonus</t>
  </si>
  <si>
    <t>casino online nl ideal</t>
  </si>
  <si>
    <t>top online casinos 2022</t>
  </si>
  <si>
    <t>play demo casino games online</t>
  </si>
  <si>
    <t>connecticut online gambling</t>
  </si>
  <si>
    <t>fortuna casino online</t>
  </si>
  <si>
    <t>online casino e transfer</t>
  </si>
  <si>
    <t>table games casino</t>
  </si>
  <si>
    <t>online gambling washington state</t>
  </si>
  <si>
    <t>online casino 10€ bonus ohne einzahlung</t>
  </si>
  <si>
    <t>melbet casino online</t>
  </si>
  <si>
    <t>best online casinos in europe</t>
  </si>
  <si>
    <t>pa online casino app</t>
  </si>
  <si>
    <t>best paying online casino australia</t>
  </si>
  <si>
    <t>safe online casino usa</t>
  </si>
  <si>
    <t>wynn michigan online casino</t>
  </si>
  <si>
    <t>live poker casino</t>
  </si>
  <si>
    <t>online casino spiele mit hoher gewinnchance</t>
  </si>
  <si>
    <t>casino online nuovi</t>
  </si>
  <si>
    <t>casinos online slots</t>
  </si>
  <si>
    <t>bet on casino games</t>
  </si>
  <si>
    <t>online casino telefonisch opwaarderen</t>
  </si>
  <si>
    <t>best casino slot games to win money</t>
  </si>
  <si>
    <t>live casino game</t>
  </si>
  <si>
    <t>online casino big win</t>
  </si>
  <si>
    <t>grosvenor live casino</t>
  </si>
  <si>
    <t>pin-up casino online</t>
  </si>
  <si>
    <t>welche online casinos sind seriös</t>
  </si>
  <si>
    <t>como funcionan los casinos online</t>
  </si>
  <si>
    <t>best online casino bonuses in the uk</t>
  </si>
  <si>
    <t>playfina online casino</t>
  </si>
  <si>
    <t>online casinos for real cash</t>
  </si>
  <si>
    <t>best online casinos that accept neteller deposits</t>
  </si>
  <si>
    <t>the online casinos</t>
  </si>
  <si>
    <t>online casino geburtstagsgeschenk</t>
  </si>
  <si>
    <t>wv online casinos</t>
  </si>
  <si>
    <t>juega al casino online</t>
  </si>
  <si>
    <t>online casino paypal withdrawal</t>
  </si>
  <si>
    <t>slotsmillion online casino</t>
  </si>
  <si>
    <t>online casino nzd</t>
  </si>
  <si>
    <t>online casino chat</t>
  </si>
  <si>
    <t>code share online double down casino</t>
  </si>
  <si>
    <t>play casino games with bitcoin</t>
  </si>
  <si>
    <t>agen judi casino osg777 online</t>
  </si>
  <si>
    <t>top ecopayz online casinos</t>
  </si>
  <si>
    <t>british online casinos</t>
  </si>
  <si>
    <t>seven casino online</t>
  </si>
  <si>
    <t>superseven online casino</t>
  </si>
  <si>
    <t>online casino slots mobile</t>
  </si>
  <si>
    <t>online gambling site india</t>
  </si>
  <si>
    <t>casino online bono sin depósito</t>
  </si>
  <si>
    <t>las atlantis casino online</t>
  </si>
  <si>
    <t>rogue online casinos</t>
  </si>
  <si>
    <t>aams casino online</t>
  </si>
  <si>
    <t>il miglior casino online</t>
  </si>
  <si>
    <t>online casino blackjack usa</t>
  </si>
  <si>
    <t>online gambling real money usa</t>
  </si>
  <si>
    <t>los mejores casinos online 2022</t>
  </si>
  <si>
    <t>10 dollar deposit online casino</t>
  </si>
  <si>
    <t>bandar casino cbet online</t>
  </si>
  <si>
    <t>real money online casino georgia</t>
  </si>
  <si>
    <t>sg live casino</t>
  </si>
  <si>
    <t>secure online gambling sites</t>
  </si>
  <si>
    <t>online casino 25 euro gratis</t>
  </si>
  <si>
    <t>betway real money casino games</t>
  </si>
  <si>
    <t>play mobile casino games</t>
  </si>
  <si>
    <t>gambling sites online</t>
  </si>
  <si>
    <t>online casino real money paypal usa</t>
  </si>
  <si>
    <t>casino online igre</t>
  </si>
  <si>
    <t>most popular casino games in vegas</t>
  </si>
  <si>
    <t>free casino games slots games</t>
  </si>
  <si>
    <t>casino streaming online</t>
  </si>
  <si>
    <t>resort casino online</t>
  </si>
  <si>
    <t>beste online casino ohne verifizierung</t>
  </si>
  <si>
    <t>netbet casino live</t>
  </si>
  <si>
    <t>online casino wagering</t>
  </si>
  <si>
    <t>roulette online spielen betway casino bonus</t>
  </si>
  <si>
    <t>best boku online casinos</t>
  </si>
  <si>
    <t>nové casino online</t>
  </si>
  <si>
    <t>play live casino games</t>
  </si>
  <si>
    <t>best casino online slots</t>
  </si>
  <si>
    <t>cozino online casino review</t>
  </si>
  <si>
    <t>buy an online casino</t>
  </si>
  <si>
    <t>kostenlos online casino mit startguthaben</t>
  </si>
  <si>
    <t>online casino besplatne vrtnje</t>
  </si>
  <si>
    <t>new curacao online casino</t>
  </si>
  <si>
    <t>luckyland online casino bonus code</t>
  </si>
  <si>
    <t>casino online con bitcoin</t>
  </si>
  <si>
    <t>live casino portugal</t>
  </si>
  <si>
    <t>casino esc online</t>
  </si>
  <si>
    <t>new casino games free online</t>
  </si>
  <si>
    <t>virgin casino online new jersey</t>
  </si>
  <si>
    <t>sinspins online casino</t>
  </si>
  <si>
    <t>online casino deutschland gesetz</t>
  </si>
  <si>
    <t>pariplay online casinos</t>
  </si>
  <si>
    <t>agen casino sbobet online</t>
  </si>
  <si>
    <t>free video casino games</t>
  </si>
  <si>
    <t>365 online casino</t>
  </si>
  <si>
    <t>casino bonuses online</t>
  </si>
  <si>
    <t>best uk casinos online</t>
  </si>
  <si>
    <t>online casino safety</t>
  </si>
  <si>
    <t>online casino real money nz</t>
  </si>
  <si>
    <t>malaysia online casino slot</t>
  </si>
  <si>
    <t>situs judi live casino</t>
  </si>
  <si>
    <t>online casino free money</t>
  </si>
  <si>
    <t>hippodrome casino online review</t>
  </si>
  <si>
    <t>app casino online</t>
  </si>
  <si>
    <t>new nz online casino</t>
  </si>
  <si>
    <t>top new online casinos</t>
  </si>
  <si>
    <t>no deposit online casino usa</t>
  </si>
  <si>
    <t>online casino playtech</t>
  </si>
  <si>
    <t>rwandan online casino</t>
  </si>
  <si>
    <t>betway's casino online</t>
  </si>
  <si>
    <t>online casino deutschland legal</t>
  </si>
  <si>
    <t>hollywood online casino promo pa</t>
  </si>
  <si>
    <t>online casino free bonus no deposit canada</t>
  </si>
  <si>
    <t>casinos online sin deposito inicial</t>
  </si>
  <si>
    <t>online gambling in us</t>
  </si>
  <si>
    <t>tablet online casino</t>
  </si>
  <si>
    <t>bonus online casino ohne einzahlung</t>
  </si>
  <si>
    <t>online casino canada review</t>
  </si>
  <si>
    <t>name casino games</t>
  </si>
  <si>
    <t>purchase online casino</t>
  </si>
  <si>
    <t>online casino paypal einzahlung</t>
  </si>
  <si>
    <t>online casino toronto</t>
  </si>
  <si>
    <t>online casino using ecopayz</t>
  </si>
  <si>
    <t>borgata online casino promo code</t>
  </si>
  <si>
    <t>mansion online casino review</t>
  </si>
  <si>
    <t>nj gambling online</t>
  </si>
  <si>
    <t>bestes felt online casino</t>
  </si>
  <si>
    <t>online gambling ohio</t>
  </si>
  <si>
    <t>agen judi live casino bonus melimpah</t>
  </si>
  <si>
    <t>online casino bg</t>
  </si>
  <si>
    <t>casino online kostenlos ohne anmeldung spielen</t>
  </si>
  <si>
    <t>casino speltillverkare online</t>
  </si>
  <si>
    <t>beste online casino zonder cruks</t>
  </si>
  <si>
    <t>live crypto casino</t>
  </si>
  <si>
    <t>canadian online casinos</t>
  </si>
  <si>
    <t>download jackpot city online casino</t>
  </si>
  <si>
    <t>wisconsin online casinos</t>
  </si>
  <si>
    <t>casinos online red rake</t>
  </si>
  <si>
    <t>online casino mit echtgeld</t>
  </si>
  <si>
    <t>casinos usa online</t>
  </si>
  <si>
    <t>casinos online en españa</t>
  </si>
  <si>
    <t>ecopayz casino online</t>
  </si>
  <si>
    <t>agen ion casino online</t>
  </si>
  <si>
    <t>best online casinos sites</t>
  </si>
  <si>
    <t>best and safest online gambling sites</t>
  </si>
  <si>
    <t>bästa live casino</t>
  </si>
  <si>
    <t>vegas slots online casino</t>
  </si>
  <si>
    <t>casino online estonia</t>
  </si>
  <si>
    <t>online casinos in uae</t>
  </si>
  <si>
    <t>neue online casinos bonus ohne einzahlung</t>
  </si>
  <si>
    <t>az online casinos</t>
  </si>
  <si>
    <t>tipico online casino</t>
  </si>
  <si>
    <t>new zealand casino games</t>
  </si>
  <si>
    <t>online casino illinois</t>
  </si>
  <si>
    <t>best online casino slot games</t>
  </si>
  <si>
    <t>best online casinos in usa</t>
  </si>
  <si>
    <t>bästa online casino utan omsättningskrav</t>
  </si>
  <si>
    <t>online casino big bamboo</t>
  </si>
  <si>
    <t>curacao online casino license</t>
  </si>
  <si>
    <t>top 100 best online casinos</t>
  </si>
  <si>
    <t>colorado online gambling</t>
  </si>
  <si>
    <t>online casino not with gamstop</t>
  </si>
  <si>
    <t>topx online casino</t>
  </si>
  <si>
    <t>casino games rules</t>
  </si>
  <si>
    <t>casino games casino</t>
  </si>
  <si>
    <t>chance hill online casino</t>
  </si>
  <si>
    <t>highest payout online casino canada</t>
  </si>
  <si>
    <t>online cash casino games</t>
  </si>
  <si>
    <t>gratis online casino bonus ohne einzahlung</t>
  </si>
  <si>
    <t>honest online casino reviews</t>
  </si>
  <si>
    <t>uk best online casino</t>
  </si>
  <si>
    <t>online casino mit handy bezahlen</t>
  </si>
  <si>
    <t>internet casino gambling online</t>
  </si>
  <si>
    <t>seriös online casino</t>
  </si>
  <si>
    <t>hippodrome casino online</t>
  </si>
  <si>
    <t>casino online venezuela</t>
  </si>
  <si>
    <t>casino online con bono de bienvenida</t>
  </si>
  <si>
    <t>online casino mit echtgeld startguthaben</t>
  </si>
  <si>
    <t>1 euro casino online</t>
  </si>
  <si>
    <t>casino games mobile free</t>
  </si>
  <si>
    <t>new zealand online casino no deposit</t>
  </si>
  <si>
    <t>online casino gutschein ohne einzahlung</t>
  </si>
  <si>
    <t>online gambling for real cash</t>
  </si>
  <si>
    <t>uk casino online</t>
  </si>
  <si>
    <t>real money online casino rhode island</t>
  </si>
  <si>
    <t>true blue online casino</t>
  </si>
  <si>
    <t>jocuri casino online gratis</t>
  </si>
  <si>
    <t>bestes online casino blackjack</t>
  </si>
  <si>
    <t>casino moons online</t>
  </si>
  <si>
    <t>slot online 409--casino(rajadewa138)</t>
  </si>
  <si>
    <t>999 casino online</t>
  </si>
  <si>
    <t>online casino ontario canada</t>
  </si>
  <si>
    <t>online casino new zealand</t>
  </si>
  <si>
    <t>beste deutsche online casino</t>
  </si>
  <si>
    <t>online casino bonus ohne</t>
  </si>
  <si>
    <t>sport casino online</t>
  </si>
  <si>
    <t>bandar casino roulette online</t>
  </si>
  <si>
    <t>netbet online casino</t>
  </si>
  <si>
    <t>que casino online me recomiendan</t>
  </si>
  <si>
    <t>popular casino games</t>
  </si>
  <si>
    <t>online casino utan omsättningskrav</t>
  </si>
  <si>
    <t>rivers online casino pa</t>
  </si>
  <si>
    <t>online uk casinos</t>
  </si>
  <si>
    <t>pa online casino no deposit bonus 2022</t>
  </si>
  <si>
    <t>online casino takes prepaid cards</t>
  </si>
  <si>
    <t>top paying online casino</t>
  </si>
  <si>
    <t>lucky247 online casino</t>
  </si>
  <si>
    <t>crypto casino games new zealand</t>
  </si>
  <si>
    <t>tropicana online casino bonus code</t>
  </si>
  <si>
    <t>scatters online casino</t>
  </si>
  <si>
    <t>top online casinos for us players</t>
  </si>
  <si>
    <t>casinos online españoles</t>
  </si>
  <si>
    <t>online casino pay n play</t>
  </si>
  <si>
    <t>καλυτερα online casino</t>
  </si>
  <si>
    <t>online casino bez vkladu</t>
  </si>
  <si>
    <t>sisal live casino</t>
  </si>
  <si>
    <t>online casino deutsche lizenz</t>
  </si>
  <si>
    <t>best bonus online casinos</t>
  </si>
  <si>
    <t>fruit shop online casino</t>
  </si>
  <si>
    <t>pai gow poker online casinos</t>
  </si>
  <si>
    <t>migliore casino online</t>
  </si>
  <si>
    <t>online casino new jersey</t>
  </si>
  <si>
    <t>online casino zimpler</t>
  </si>
  <si>
    <t>casino fantasia live casino</t>
  </si>
  <si>
    <t>casino online bonus senza documenti</t>
  </si>
  <si>
    <t>online casino using paypal</t>
  </si>
  <si>
    <t>immersive roulette live casino</t>
  </si>
  <si>
    <t>free online casino bonus no deposit</t>
  </si>
  <si>
    <t>agen betting casino joker123 online</t>
  </si>
  <si>
    <t>new online casino 2022</t>
  </si>
  <si>
    <t>online casino auszahlung ohne verifizierung</t>
  </si>
  <si>
    <t>online casino argentina</t>
  </si>
  <si>
    <t>maryland live casino jobs</t>
  </si>
  <si>
    <t>online casino ideal betaling</t>
  </si>
  <si>
    <t>play casino online for real money</t>
  </si>
  <si>
    <t>new hampshire casino online</t>
  </si>
  <si>
    <t>free casino game online</t>
  </si>
  <si>
    <t>online casinos with free spins</t>
  </si>
  <si>
    <t>bally's online casino</t>
  </si>
  <si>
    <t>best online casino canada zodiac</t>
  </si>
  <si>
    <t>online casino 5 euro einzahlen</t>
  </si>
  <si>
    <t>casino online fuera de españa</t>
  </si>
  <si>
    <t>new casinos online australia 2021</t>
  </si>
  <si>
    <t>low deposit casino online</t>
  </si>
  <si>
    <t>heyspin online casino</t>
  </si>
  <si>
    <t>online casino calgary</t>
  </si>
  <si>
    <t>mejores casinos online peru</t>
  </si>
  <si>
    <t>royal online casino</t>
  </si>
  <si>
    <t>indiana casino online</t>
  </si>
  <si>
    <t>online casino bankeinzug</t>
  </si>
  <si>
    <t>online gambling germany</t>
  </si>
  <si>
    <t>online casino neu 2021</t>
  </si>
  <si>
    <t>400 bonus online casino</t>
  </si>
  <si>
    <t>bandar betting osg777 casino online</t>
  </si>
  <si>
    <t>casino games real cash</t>
  </si>
  <si>
    <t>casino online indonesia</t>
  </si>
  <si>
    <t>bitcoin online casino usa</t>
  </si>
  <si>
    <t>live casino games online singapore</t>
  </si>
  <si>
    <t>best maryland online casino sites</t>
  </si>
  <si>
    <t>bandar casino sic bo online</t>
  </si>
  <si>
    <t>casinos online brazil</t>
  </si>
  <si>
    <t>bandar casino maxbet online</t>
  </si>
  <si>
    <t>bluechip casino online</t>
  </si>
  <si>
    <t>gambling games online fake money</t>
  </si>
  <si>
    <t>welches ist das beste online casino</t>
  </si>
  <si>
    <t>online casino deutschland bonus</t>
  </si>
  <si>
    <t>online casino betting singapore</t>
  </si>
  <si>
    <t>nejlepší online casino</t>
  </si>
  <si>
    <t>beliebtesten online casinos</t>
  </si>
  <si>
    <t>kentucky online gambling</t>
  </si>
  <si>
    <t>canadian online casinos best first deposit</t>
  </si>
  <si>
    <t>711 casino online</t>
  </si>
  <si>
    <t>casino games without deposit</t>
  </si>
  <si>
    <t>twinspires casino online</t>
  </si>
  <si>
    <t>online casino bonus no</t>
  </si>
  <si>
    <t>nowe casino online</t>
  </si>
  <si>
    <t>pa gambling online</t>
  </si>
  <si>
    <t>top uk casino online</t>
  </si>
  <si>
    <t>casino online malaysia download</t>
  </si>
  <si>
    <t>casino online fortuna</t>
  </si>
  <si>
    <t>online casino canada real money jackpot city</t>
  </si>
  <si>
    <t>nejlepší české online casino</t>
  </si>
  <si>
    <t>online casino trustly</t>
  </si>
  <si>
    <t>australian online casino</t>
  </si>
  <si>
    <t>rtp percentage of the casino slot games</t>
  </si>
  <si>
    <t>online casino software providers</t>
  </si>
  <si>
    <t>online casino slots real money usa</t>
  </si>
  <si>
    <t>online mobile casino games</t>
  </si>
  <si>
    <t>casino games that are free</t>
  </si>
  <si>
    <t>free casino slots games</t>
  </si>
  <si>
    <t>fun online casino games</t>
  </si>
  <si>
    <t>los mejores casinos del mundo online</t>
  </si>
  <si>
    <t>all slots online casino</t>
  </si>
  <si>
    <t>unibet casino live</t>
  </si>
  <si>
    <t>list of casino card games</t>
  </si>
  <si>
    <t>betfair online casino review</t>
  </si>
  <si>
    <t>no deposit bonus codes online casino</t>
  </si>
  <si>
    <t>online casino batavia</t>
  </si>
  <si>
    <t>online casino mit astropay</t>
  </si>
  <si>
    <t>missouri online casinos</t>
  </si>
  <si>
    <t>stars casino online michigan</t>
  </si>
  <si>
    <t>mobile online casino</t>
  </si>
  <si>
    <t>alle casino online</t>
  </si>
  <si>
    <t>play litecoin casino games</t>
  </si>
  <si>
    <t>casino free slot games</t>
  </si>
  <si>
    <t>pagcor list of online casino</t>
  </si>
  <si>
    <t>free casino online no deposit</t>
  </si>
  <si>
    <t>list of usa accepted online casinos</t>
  </si>
  <si>
    <t>online casino hungary</t>
  </si>
  <si>
    <t>casino live chat</t>
  </si>
  <si>
    <t>malaysian online casino</t>
  </si>
  <si>
    <t>nuevos casinos españoles online</t>
  </si>
  <si>
    <t>mejor casino online españa</t>
  </si>
  <si>
    <t>habanero online casinos</t>
  </si>
  <si>
    <t>lucky pharao online casino</t>
  </si>
  <si>
    <t>sugarhouse online casino nj</t>
  </si>
  <si>
    <t>nzd online casino.</t>
  </si>
  <si>
    <t>great online casinos</t>
  </si>
  <si>
    <t>vegas casino online casino</t>
  </si>
  <si>
    <t>casino online free bonus no deposit</t>
  </si>
  <si>
    <t>poker live casino</t>
  </si>
  <si>
    <t>online casino mit startguthaben ohne einzahlung</t>
  </si>
  <si>
    <t>phdream online casino login</t>
  </si>
  <si>
    <t>luckyland online casino</t>
  </si>
  <si>
    <t>wheelz online casino</t>
  </si>
  <si>
    <t>best malaysia live casino</t>
  </si>
  <si>
    <t>online casino coupon codes</t>
  </si>
  <si>
    <t>live casino house review</t>
  </si>
  <si>
    <t>top neteller online casino</t>
  </si>
  <si>
    <t>online casino small deposits</t>
  </si>
  <si>
    <t>real money online casinos no deposit bonus codes</t>
  </si>
  <si>
    <t>legit online casinos canada</t>
  </si>
  <si>
    <t>top 10 trusted online casino malaysia</t>
  </si>
  <si>
    <t>new online casino 2025</t>
  </si>
  <si>
    <t>best u.s. online casinos</t>
  </si>
  <si>
    <t>online casino bank id</t>
  </si>
  <si>
    <t>online casino sky</t>
  </si>
  <si>
    <t>online casino accepts prepaid mastercard</t>
  </si>
  <si>
    <t>monopoly slots free slot machines &amp; casino games</t>
  </si>
  <si>
    <t>neue online casinos bonus ohne einzahlung 2021</t>
  </si>
  <si>
    <t>free casino games no registration no download</t>
  </si>
  <si>
    <t>casino online philippines</t>
  </si>
  <si>
    <t>best online roulette casinos</t>
  </si>
  <si>
    <t>games casino online</t>
  </si>
  <si>
    <t>novos casinos online</t>
  </si>
  <si>
    <t>casinos online en colombia</t>
  </si>
  <si>
    <t>betmgm online casino bonus code</t>
  </si>
  <si>
    <t>spin away casino games</t>
  </si>
  <si>
    <t>list of online casino</t>
  </si>
  <si>
    <t>usa online casinos legal</t>
  </si>
  <si>
    <t>mastercard casino online</t>
  </si>
  <si>
    <t>online casino sofort bonus ohne einzahlung</t>
  </si>
  <si>
    <t>sugarhouse casino online</t>
  </si>
  <si>
    <t>casino kingdom online casino</t>
  </si>
  <si>
    <t>lotto casino games</t>
  </si>
  <si>
    <t>10 top online casino</t>
  </si>
  <si>
    <t>sugarhouse casino nj online</t>
  </si>
  <si>
    <t>wild card city casino online</t>
  </si>
  <si>
    <t>erfahrungen online casino</t>
  </si>
  <si>
    <t>mohegan sun online casino</t>
  </si>
  <si>
    <t>kajot online casino</t>
  </si>
  <si>
    <t>top online casinos find the best</t>
  </si>
  <si>
    <t>cabarete online casino</t>
  </si>
  <si>
    <t>online casino alles spitze</t>
  </si>
  <si>
    <t>casinos online offers</t>
  </si>
  <si>
    <t>casino online argentina transferencia bancaria</t>
  </si>
  <si>
    <t>new online casinos in canada</t>
  </si>
  <si>
    <t>caesars online casino</t>
  </si>
  <si>
    <t>online casino mexico</t>
  </si>
  <si>
    <t>free casino slot games</t>
  </si>
  <si>
    <t>online casino freispiele ohne einzahlung 2023</t>
  </si>
  <si>
    <t>casinos online isoftbet</t>
  </si>
  <si>
    <t>casino games for android</t>
  </si>
  <si>
    <t>online casino list top 10 online casinos</t>
  </si>
  <si>
    <t>new casino games free</t>
  </si>
  <si>
    <t>top best online casinos</t>
  </si>
  <si>
    <t>online gambling crypto</t>
  </si>
  <si>
    <t>real casino slot games</t>
  </si>
  <si>
    <t>us friendly online casinos</t>
  </si>
  <si>
    <t>online casino brazil</t>
  </si>
  <si>
    <t>saudi arabia online casino</t>
  </si>
  <si>
    <t>casino games minecraft</t>
  </si>
  <si>
    <t>nederlands casino online</t>
  </si>
  <si>
    <t>alberta online casinos</t>
  </si>
  <si>
    <t>world online casino</t>
  </si>
  <si>
    <t>parx online casino pa</t>
  </si>
  <si>
    <t>neosurf online casinos</t>
  </si>
  <si>
    <t>online casino bonus zonder storten</t>
  </si>
  <si>
    <t>casino argentina online</t>
  </si>
  <si>
    <t>top zimpler online casino</t>
  </si>
  <si>
    <t>casino venezia online</t>
  </si>
  <si>
    <t>best online casino games for real money</t>
  </si>
  <si>
    <t>löwen play online casino</t>
  </si>
  <si>
    <t>opening an online casino</t>
  </si>
  <si>
    <t>casino online albania</t>
  </si>
  <si>
    <t>slots casino games free</t>
  </si>
  <si>
    <t>reload bonus online casino</t>
  </si>
  <si>
    <t>online eos casino</t>
  </si>
  <si>
    <t>ct online gambling</t>
  </si>
  <si>
    <t>casino arcade games</t>
  </si>
  <si>
    <t>online casino that accepts visa gift cards</t>
  </si>
  <si>
    <t>mga online casino</t>
  </si>
  <si>
    <t>casino online bonos sin deposito</t>
  </si>
  <si>
    <t>online casino spielen kostenlos</t>
  </si>
  <si>
    <t>skycity casino online nz</t>
  </si>
  <si>
    <t>online ltc gambling</t>
  </si>
  <si>
    <t>free casino slot machine games</t>
  </si>
  <si>
    <t>paddypower casino online</t>
  </si>
  <si>
    <t>best online real money casinos usa</t>
  </si>
  <si>
    <t>online casino dealer jobs</t>
  </si>
  <si>
    <t>west virginia online gambling sites</t>
  </si>
  <si>
    <t>casino epoca online casino</t>
  </si>
  <si>
    <t>crypto live casino games</t>
  </si>
  <si>
    <t>multilotto live casino</t>
  </si>
  <si>
    <t>best gambling site online</t>
  </si>
  <si>
    <t>play online casinos for real money</t>
  </si>
  <si>
    <t>filipino online casino real money</t>
  </si>
  <si>
    <t>casinos online gratis 888</t>
  </si>
  <si>
    <t>online casino no deposit bonus no download</t>
  </si>
  <si>
    <t>ltc online gambling</t>
  </si>
  <si>
    <t>casimba online casino</t>
  </si>
  <si>
    <t>melbet online casino</t>
  </si>
  <si>
    <t>online roulette live casino</t>
  </si>
  <si>
    <t>montana online gambling</t>
  </si>
  <si>
    <t>jonny jackpot online casino</t>
  </si>
  <si>
    <t>top mastercard online casino</t>
  </si>
  <si>
    <t>online gambling states</t>
  </si>
  <si>
    <t>singapore casino online</t>
  </si>
  <si>
    <t>best live casino apps</t>
  </si>
  <si>
    <t>beste norske online casino</t>
  </si>
  <si>
    <t>online casino paypal withdrawal no deposit</t>
  </si>
  <si>
    <t>mejor casino online transferencia bancaria</t>
  </si>
  <si>
    <t>best online casino sign up bonus</t>
  </si>
  <si>
    <t>mgm casino online gambling</t>
  </si>
  <si>
    <t>online gambling kazakhstan</t>
  </si>
  <si>
    <t>pa online casino promo codes for existing users</t>
  </si>
  <si>
    <t>neue online casinos österreich</t>
  </si>
  <si>
    <t>us online casino</t>
  </si>
  <si>
    <t>play live casino</t>
  </si>
  <si>
    <t>best wv online casino sites</t>
  </si>
  <si>
    <t>online casino mit handy guthaben</t>
  </si>
  <si>
    <t>no download online casinos</t>
  </si>
  <si>
    <t>online casino wv</t>
  </si>
  <si>
    <t>casinos online pt</t>
  </si>
  <si>
    <t>online casino net worth</t>
  </si>
  <si>
    <t>ideal online casino</t>
  </si>
  <si>
    <t>jackpot party casino online</t>
  </si>
  <si>
    <t>best welcome bonus online casino</t>
  </si>
  <si>
    <t>online casinos mit book of ra</t>
  </si>
  <si>
    <t>casino online pagamento paysafecard</t>
  </si>
  <si>
    <t>online casinos internet casino</t>
  </si>
  <si>
    <t>betfair casino online</t>
  </si>
  <si>
    <t>best online casino live roulette</t>
  </si>
  <si>
    <t>conquer casino online casino review</t>
  </si>
  <si>
    <t>caesars casino online promo code</t>
  </si>
  <si>
    <t>online casino uk new</t>
  </si>
  <si>
    <t>deutsche online casino 🇩🇪 casinod.casino</t>
  </si>
  <si>
    <t>massachusetts online casinos</t>
  </si>
  <si>
    <t>proveedores de casino online</t>
  </si>
  <si>
    <t>1 online casino</t>
  </si>
  <si>
    <t>gambling websites online</t>
  </si>
  <si>
    <t>new nj online casino</t>
  </si>
  <si>
    <t>online casino mit höchster auszahlungsquote</t>
  </si>
  <si>
    <t>online casino switzerland concession</t>
  </si>
  <si>
    <t>online casino no</t>
  </si>
  <si>
    <t>como ganar dinero en casinos online</t>
  </si>
  <si>
    <t>international online casinos</t>
  </si>
  <si>
    <t>golden nugget online casino review</t>
  </si>
  <si>
    <t>new indian online casinos</t>
  </si>
  <si>
    <t>iowa casino online</t>
  </si>
  <si>
    <t>best live casino sites ireland</t>
  </si>
  <si>
    <t>napoleon casino online</t>
  </si>
  <si>
    <t>bandar casino igkbet online</t>
  </si>
  <si>
    <t>casino svenska online</t>
  </si>
  <si>
    <t>online casino per telefonrechnung bezahlen</t>
  </si>
  <si>
    <t>casino gambling online</t>
  </si>
  <si>
    <t>online casino 400 bonus</t>
  </si>
  <si>
    <t>best online casino greece</t>
  </si>
  <si>
    <t>casino online legal portugal</t>
  </si>
  <si>
    <t>agent casino online</t>
  </si>
  <si>
    <t>online casino promotion codes</t>
  </si>
  <si>
    <t>tropicana casino online nj</t>
  </si>
  <si>
    <t>malta casino online</t>
  </si>
  <si>
    <t>no deposit promo codes for online casino</t>
  </si>
  <si>
    <t>online casinos not registered with gamstop</t>
  </si>
  <si>
    <t>online casino belasting</t>
  </si>
  <si>
    <t>mobile casino online</t>
  </si>
  <si>
    <t>super casino online casino</t>
  </si>
  <si>
    <t>casino online uruguay</t>
  </si>
  <si>
    <t>casino live unibet</t>
  </si>
  <si>
    <t>good online casino sites</t>
  </si>
  <si>
    <t>casino online sicuri aams</t>
  </si>
  <si>
    <t>online casinos that accept paypal deposits usa</t>
  </si>
  <si>
    <t>cashmo online casino</t>
  </si>
  <si>
    <t>online casino türkiye</t>
  </si>
  <si>
    <t>parx online casino pa app</t>
  </si>
  <si>
    <t>online casino mindesteinzahlung 1 euro</t>
  </si>
  <si>
    <t>spinpalace online casino</t>
  </si>
  <si>
    <t>los proveedores de software para casinos online</t>
  </si>
  <si>
    <t>gambling online australia</t>
  </si>
  <si>
    <t>come funzionano i casino online</t>
  </si>
  <si>
    <t>live casino crypto</t>
  </si>
  <si>
    <t>online gambling bingo</t>
  </si>
  <si>
    <t>online novoline casino</t>
  </si>
  <si>
    <t>best online casinos ireland</t>
  </si>
  <si>
    <t>online casino solutions</t>
  </si>
  <si>
    <t>casinos online con bonos de bienvenida</t>
  </si>
  <si>
    <t>best new online casino usa</t>
  </si>
  <si>
    <t>link casino online</t>
  </si>
  <si>
    <t>playtech casino online</t>
  </si>
  <si>
    <t>vietnam online casino</t>
  </si>
  <si>
    <t>online casino with best bonus</t>
  </si>
  <si>
    <t>online gambling affiliate marketing</t>
  </si>
  <si>
    <t>casino online free money no deposit</t>
  </si>
  <si>
    <t>top online casino in bangladesh</t>
  </si>
  <si>
    <t>agen betting live casino</t>
  </si>
  <si>
    <t>top online neteller casino ca</t>
  </si>
  <si>
    <t>holland casino online poker</t>
  </si>
  <si>
    <t>888 online casino login</t>
  </si>
  <si>
    <t>casinoeuro online casino real money</t>
  </si>
  <si>
    <t>online casino met licentie</t>
  </si>
  <si>
    <t>casino online españa dinero real</t>
  </si>
  <si>
    <t>wildz online casino</t>
  </si>
  <si>
    <t>casino do estoril online</t>
  </si>
  <si>
    <t>judi casino live deposit termurah</t>
  </si>
  <si>
    <t>online casino bez depozita</t>
  </si>
  <si>
    <t>online gambling apps real money</t>
  </si>
  <si>
    <t>free spins online casino no deposit</t>
  </si>
  <si>
    <t>best online casino in australia</t>
  </si>
  <si>
    <t>trusted online casino in thailand</t>
  </si>
  <si>
    <t>online casino turkey</t>
  </si>
  <si>
    <t>online casino city</t>
  </si>
  <si>
    <t>online gambling in vermont</t>
  </si>
  <si>
    <t>casino online bono de bienvenida</t>
  </si>
  <si>
    <t>vinyl casino casino online</t>
  </si>
  <si>
    <t>credit card casino online</t>
  </si>
  <si>
    <t>online casino utan konto</t>
  </si>
  <si>
    <t>online casino games no deposit free spins</t>
  </si>
  <si>
    <t>silversands online casino no deposit bonus</t>
  </si>
  <si>
    <t>real money online casino slots</t>
  </si>
  <si>
    <t>top online casinos uk</t>
  </si>
  <si>
    <t>mobile online casino gratis bonus ohne einzahlung</t>
  </si>
  <si>
    <t>fast payout online casino nz</t>
  </si>
  <si>
    <t>blackjack 21 online casino</t>
  </si>
  <si>
    <t>online casino mit kreditkarte bezahlen</t>
  </si>
  <si>
    <t>play online casino slots for real money</t>
  </si>
  <si>
    <t>best irish casinos online</t>
  </si>
  <si>
    <t>online gambling indiana</t>
  </si>
  <si>
    <t>william hill casino online</t>
  </si>
  <si>
    <t>mejores casinos online con tarjeta de crédito</t>
  </si>
  <si>
    <t>bonus casino online senza deposito</t>
  </si>
  <si>
    <t>online casino mit paysafe einzahlung</t>
  </si>
  <si>
    <t>top online casinos italy</t>
  </si>
  <si>
    <t>fast payout online casino</t>
  </si>
  <si>
    <t>www.free casino games</t>
  </si>
  <si>
    <t>online casino echtgeld erfahrungen</t>
  </si>
  <si>
    <t>south africa online casino</t>
  </si>
  <si>
    <t>casino online nz</t>
  </si>
  <si>
    <t>schleswig holstein online casino</t>
  </si>
  <si>
    <t>iowa online gambling</t>
  </si>
  <si>
    <t>online gambling is illegal</t>
  </si>
  <si>
    <t>best real money online casino australia</t>
  </si>
  <si>
    <t>online casino real money paypal</t>
  </si>
  <si>
    <t>casino games that pay real money</t>
  </si>
  <si>
    <t>online casino with welcome bonus</t>
  </si>
  <si>
    <t>online casino free bet no deposit</t>
  </si>
  <si>
    <t>crypto online casino</t>
  </si>
  <si>
    <t>online casinos software</t>
  </si>
  <si>
    <t>best visa online casinos</t>
  </si>
  <si>
    <t>ethereum online casinos</t>
  </si>
  <si>
    <t>slotnite casino online</t>
  </si>
  <si>
    <t>live lounge casino</t>
  </si>
  <si>
    <t>online casino worldwide</t>
  </si>
  <si>
    <t>online casino rapid transfer</t>
  </si>
  <si>
    <t>connecticut casino online</t>
  </si>
  <si>
    <t>games played in casino</t>
  </si>
  <si>
    <t>backgammon online casinos</t>
  </si>
  <si>
    <t>casino online uy tín</t>
  </si>
  <si>
    <t>welche online casinos sind die besten</t>
  </si>
  <si>
    <t>new online casino real money</t>
  </si>
  <si>
    <t>new pa online casinos</t>
  </si>
  <si>
    <t>casino online no deposit free bonus</t>
  </si>
  <si>
    <t>betway live casino</t>
  </si>
  <si>
    <t>free play casino games</t>
  </si>
  <si>
    <t>white label online casino software</t>
  </si>
  <si>
    <t>online casino real money arizona</t>
  </si>
  <si>
    <t>bandar betting live casino bonus melimpah</t>
  </si>
  <si>
    <t>cashed online casino</t>
  </si>
  <si>
    <t>choi casino online</t>
  </si>
  <si>
    <t>casino bonus games</t>
  </si>
  <si>
    <t>mejor casino online apple pay</t>
  </si>
  <si>
    <t>casino online site</t>
  </si>
  <si>
    <t>best nz online casino</t>
  </si>
  <si>
    <t>online casino that accepts paypal</t>
  </si>
  <si>
    <t>foros casinos online</t>
  </si>
  <si>
    <t>novomatic online casino</t>
  </si>
  <si>
    <t>vermont online gambling</t>
  </si>
  <si>
    <t>online casinos österreich legal</t>
  </si>
  <si>
    <t>online gambling in arizona</t>
  </si>
  <si>
    <t>play online casino australia</t>
  </si>
  <si>
    <t>new indian online casino</t>
  </si>
  <si>
    <t>online gambling writer</t>
  </si>
  <si>
    <t>kids casino games</t>
  </si>
  <si>
    <t>real money online casino washington dc</t>
  </si>
  <si>
    <t>online free slots casino games</t>
  </si>
  <si>
    <t>legit online casino philippines</t>
  </si>
  <si>
    <t>live casino no deposit bonuses</t>
  </si>
  <si>
    <t>online casino bonus ohne einzahlung 2022 neu</t>
  </si>
  <si>
    <t>new zealand online casinos</t>
  </si>
  <si>
    <t>casino online iphone</t>
  </si>
  <si>
    <t>trusted online casinos australia</t>
  </si>
  <si>
    <t>live casino online roulette</t>
  </si>
  <si>
    <t>online gambling credit card</t>
  </si>
  <si>
    <t>casino casino online</t>
  </si>
  <si>
    <t>fastest withdrawal online casinos</t>
  </si>
  <si>
    <t>casinos online for real money</t>
  </si>
  <si>
    <t>germany online casino</t>
  </si>
  <si>
    <t>online casinos australia real money</t>
  </si>
  <si>
    <t>casinos internacionales online</t>
  </si>
  <si>
    <t>alaska casino online</t>
  </si>
  <si>
    <t>casino online terpercaya</t>
  </si>
  <si>
    <t>casino nft games development solution</t>
  </si>
  <si>
    <t>play casino online games</t>
  </si>
  <si>
    <t>new jersey online casino promo code</t>
  </si>
  <si>
    <t>real money online casino mississippi</t>
  </si>
  <si>
    <t>online casino ewallet</t>
  </si>
  <si>
    <t>online casinos yandex money</t>
  </si>
  <si>
    <t>online british casinos</t>
  </si>
  <si>
    <t>hard rock cafe online casino</t>
  </si>
  <si>
    <t>online casino no deposit uk</t>
  </si>
  <si>
    <t>casinos online schweiz</t>
  </si>
  <si>
    <t>sic bo online casinos</t>
  </si>
  <si>
    <t>casino online uk real money</t>
  </si>
  <si>
    <t>novoline online casino kostenlos</t>
  </si>
  <si>
    <t>online casino real money free</t>
  </si>
  <si>
    <t>online casino reviews australia</t>
  </si>
  <si>
    <t>online gambling sites real money</t>
  </si>
  <si>
    <t>online casino romania</t>
  </si>
  <si>
    <t>spin samurai online casino</t>
  </si>
  <si>
    <t>top netent online casino</t>
  </si>
  <si>
    <t>sex and the city free online casino games</t>
  </si>
  <si>
    <t>casino types of games</t>
  </si>
  <si>
    <t>nuovi casino online senza deposito</t>
  </si>
  <si>
    <t>online casino chances of winning</t>
  </si>
  <si>
    <t>mohegan sun online casino bonus</t>
  </si>
  <si>
    <t>chances games and casino locations nassau bahamas</t>
  </si>
  <si>
    <t>Informational,Branded,Local</t>
  </si>
  <si>
    <t>the best online casino in europe</t>
  </si>
  <si>
    <t>online casino gewinn</t>
  </si>
  <si>
    <t>online casino in germany</t>
  </si>
  <si>
    <t>online crypto casino no deposit bonus</t>
  </si>
  <si>
    <t>best games to play at casino</t>
  </si>
  <si>
    <t>nieuwe online casino</t>
  </si>
  <si>
    <t>play casino games free win money</t>
  </si>
  <si>
    <t>binance online casino</t>
  </si>
  <si>
    <t>wv online casino bonus</t>
  </si>
  <si>
    <t>online gambling seychelles</t>
  </si>
  <si>
    <t>grosvenor online casino review</t>
  </si>
  <si>
    <t>slotv online casino</t>
  </si>
  <si>
    <t>casinos online que mas pagan</t>
  </si>
  <si>
    <t>casino online opiniones</t>
  </si>
  <si>
    <t>belgische online casinos</t>
  </si>
  <si>
    <t>kostenlose online casino spiele</t>
  </si>
  <si>
    <t>best online gambling sites canada</t>
  </si>
  <si>
    <t>beste online casino casinod.casino 🇩🇪</t>
  </si>
  <si>
    <t>easiest casino games to learn</t>
  </si>
  <si>
    <t>online live casino australia</t>
  </si>
  <si>
    <t>roulette computer online casino</t>
  </si>
  <si>
    <t>online casino cashback</t>
  </si>
  <si>
    <t>craps online gambling</t>
  </si>
  <si>
    <t>new jersey online casino review</t>
  </si>
  <si>
    <t>online casino netherlands</t>
  </si>
  <si>
    <t>online aus casino</t>
  </si>
  <si>
    <t>casino online spiele casinos</t>
  </si>
  <si>
    <t>casino blackjack online</t>
  </si>
  <si>
    <t>big win online casino</t>
  </si>
  <si>
    <t>real money online casino louisiana</t>
  </si>
  <si>
    <t>betway online casinos</t>
  </si>
  <si>
    <t>all slots casino free games</t>
  </si>
  <si>
    <t>social casino online</t>
  </si>
  <si>
    <t>online live casino reviews</t>
  </si>
  <si>
    <t>online casino saskatchewan</t>
  </si>
  <si>
    <t>casino theme party games for adults</t>
  </si>
  <si>
    <t>sicbo online casino</t>
  </si>
  <si>
    <t>online casino regulation</t>
  </si>
  <si>
    <t>1xbet casino online</t>
  </si>
  <si>
    <t>paypal online casino</t>
  </si>
  <si>
    <t>online casino fake money</t>
  </si>
  <si>
    <t>best games on stake casino</t>
  </si>
  <si>
    <t>puerto rico online casinos</t>
  </si>
  <si>
    <t>black lotus casino online</t>
  </si>
  <si>
    <t>mega casino online</t>
  </si>
  <si>
    <t>online casino without id</t>
  </si>
  <si>
    <t>safe casino online</t>
  </si>
  <si>
    <t>casino online no aams</t>
  </si>
  <si>
    <t>regulated online casino</t>
  </si>
  <si>
    <t>intercasino live casino</t>
  </si>
  <si>
    <t>migliori casino online 2021</t>
  </si>
  <si>
    <t>uk live casino</t>
  </si>
  <si>
    <t>real live casino slots</t>
  </si>
  <si>
    <t>live casino software</t>
  </si>
  <si>
    <t>poli online casino</t>
  </si>
  <si>
    <t>bandar casino live</t>
  </si>
  <si>
    <t>online casinos klarna</t>
  </si>
  <si>
    <t>online casino slots canada</t>
  </si>
  <si>
    <t>världens största casino online</t>
  </si>
  <si>
    <t>hollywood online casino pennsylvania</t>
  </si>
  <si>
    <t>muchbetter online casinos</t>
  </si>
  <si>
    <t>bet casino live</t>
  </si>
  <si>
    <t>indian casinos online</t>
  </si>
  <si>
    <t>casinos online gratis sin deposito</t>
  </si>
  <si>
    <t>planet 7 online casino</t>
  </si>
  <si>
    <t>best online casinos europe</t>
  </si>
  <si>
    <t>quickspin casino games</t>
  </si>
  <si>
    <t>nye online casino</t>
  </si>
  <si>
    <t>bonus casino live</t>
  </si>
  <si>
    <t>visa casino online</t>
  </si>
  <si>
    <t>online casino 5 euro ohne einzahlung</t>
  </si>
  <si>
    <t>top bitcoin online casinos</t>
  </si>
  <si>
    <t>responsible online gambling</t>
  </si>
  <si>
    <t>online casino not in uk</t>
  </si>
  <si>
    <t>best online casino sites in the uk</t>
  </si>
  <si>
    <t>vip online casinos</t>
  </si>
  <si>
    <t>bandar casino online</t>
  </si>
  <si>
    <t>live casino bonusar</t>
  </si>
  <si>
    <t>vietnamese online casino</t>
  </si>
  <si>
    <t>pai gow poker online casino games</t>
  </si>
  <si>
    <t>new zealand online gambling sites</t>
  </si>
  <si>
    <t>lucky nuggets casino online</t>
  </si>
  <si>
    <t>online casino platipus</t>
  </si>
  <si>
    <t>blueprint gaming online casino</t>
  </si>
  <si>
    <t>free games casino download</t>
  </si>
  <si>
    <t>no deposit casino online bonus</t>
  </si>
  <si>
    <t>colorado online casinos</t>
  </si>
  <si>
    <t>new online casino in india</t>
  </si>
  <si>
    <t>casino games uk</t>
  </si>
  <si>
    <t>greatwin online casino</t>
  </si>
  <si>
    <t>online casinos bulgaria</t>
  </si>
  <si>
    <t>vanilla visa online gambling</t>
  </si>
  <si>
    <t>popular casino games in australia</t>
  </si>
  <si>
    <t>vegas casino online $100 no deposit bonus</t>
  </si>
  <si>
    <t>online casino in the usa</t>
  </si>
  <si>
    <t>online casino club</t>
  </si>
  <si>
    <t>virgin online casino nj</t>
  </si>
  <si>
    <t>online casino best payout</t>
  </si>
  <si>
    <t>live casinos online</t>
  </si>
  <si>
    <t>sbobet online casino</t>
  </si>
  <si>
    <t>casino games with lowest house edge</t>
  </si>
  <si>
    <t>online banking casino</t>
  </si>
  <si>
    <t>is online gambling legal in nj</t>
  </si>
  <si>
    <t>casino royale online free</t>
  </si>
  <si>
    <t>real money online casino usa</t>
  </si>
  <si>
    <t>play free online casino slots for fun no reg</t>
  </si>
  <si>
    <t>online slot casino</t>
  </si>
  <si>
    <t>best online casinos 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</si>
</sst>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color rgb="FF222222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3" fontId="4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riverbellecasino.com/online-casi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6" t="str">
        <f>IFERROR(__xludf.DUMMYFUNCTION("IMPORTRANGE(""https://docs.google.com/spreadsheets/d/1LduFx7JK4t-GmGIaBexReDj5uh95VZrwzy2h8Fs4wwk/edit?usp=sharing"", ""'Bracket 3 - Online Casino'!M3:M"")"),"online casino bahamas")</f>
        <v>online casino bahamas</v>
      </c>
      <c r="C2" s="7"/>
      <c r="N2" s="9"/>
    </row>
    <row r="3">
      <c r="B3" s="6" t="str">
        <f>IFERROR(__xludf.DUMMYFUNCTION("""COMPUTED_VALUE"""),"casino online bahamas")</f>
        <v>casino online bahamas</v>
      </c>
      <c r="N3" s="9"/>
    </row>
    <row r="4">
      <c r="B4" s="6" t="str">
        <f>IFERROR(__xludf.DUMMYFUNCTION("""COMPUTED_VALUE"""),"online casinos bahamas")</f>
        <v>online casinos bahamas</v>
      </c>
      <c r="N4" s="9"/>
    </row>
    <row r="5">
      <c r="B5" s="6" t="str">
        <f>IFERROR(__xludf.DUMMYFUNCTION("""COMPUTED_VALUE"""),"casino games bahamas")</f>
        <v>casino games bahamas</v>
      </c>
      <c r="N5" s="9"/>
    </row>
    <row r="6">
      <c r="B6" s="6" t="str">
        <f>IFERROR(__xludf.DUMMYFUNCTION("""COMPUTED_VALUE"""),"online casino games bahamas")</f>
        <v>online casino games bahamas</v>
      </c>
    </row>
    <row r="7">
      <c r="B7" s="6" t="str">
        <f>IFERROR(__xludf.DUMMYFUNCTION("""COMPUTED_VALUE"""),"casino app bahamas")</f>
        <v>casino app bahamas</v>
      </c>
    </row>
    <row r="8">
      <c r="B8" s="6" t="str">
        <f>IFERROR(__xludf.DUMMYFUNCTION("""COMPUTED_VALUE"""),"gambling site bahamas")</f>
        <v>gambling site bahamas</v>
      </c>
    </row>
    <row r="9">
      <c r="B9" s="6" t="str">
        <f>IFERROR(__xludf.DUMMYFUNCTION("""COMPUTED_VALUE"""),"online gambling bahamas")</f>
        <v>online gambling bahamas</v>
      </c>
    </row>
    <row r="10">
      <c r="B10" s="6" t="str">
        <f>IFERROR(__xludf.DUMMYFUNCTION("""COMPUTED_VALUE"""),"live casino bahamas")</f>
        <v>live casino bahamas</v>
      </c>
    </row>
    <row r="11">
      <c r="B11" s="6" t="str">
        <f>IFERROR(__xludf.DUMMYFUNCTION("""COMPUTED_VALUE"""),"real money casino bahamas")</f>
        <v>real money casino bahamas</v>
      </c>
    </row>
    <row r="12">
      <c r="B12" s="6" t="str">
        <f>IFERROR(__xludf.DUMMYFUNCTION("""COMPUTED_VALUE"""),"online casino bahamas online")</f>
        <v>online casino bahamas online</v>
      </c>
    </row>
    <row r="13">
      <c r="B13" s="6" t="str">
        <f>IFERROR(__xludf.DUMMYFUNCTION("""COMPUTED_VALUE"""),"casino online bahamas online")</f>
        <v>casino online bahamas online</v>
      </c>
    </row>
    <row r="14">
      <c r="B14" s="6" t="str">
        <f>IFERROR(__xludf.DUMMYFUNCTION("""COMPUTED_VALUE"""),"online casinos bahamas online")</f>
        <v>online casinos bahamas online</v>
      </c>
    </row>
    <row r="15">
      <c r="B15" s="6" t="str">
        <f>IFERROR(__xludf.DUMMYFUNCTION("""COMPUTED_VALUE"""),"casino games bahamas online")</f>
        <v>casino games bahamas online</v>
      </c>
    </row>
    <row r="16">
      <c r="B16" s="6" t="str">
        <f>IFERROR(__xludf.DUMMYFUNCTION("""COMPUTED_VALUE"""),"online casino games bahamas online")</f>
        <v>online casino games bahamas online</v>
      </c>
    </row>
    <row r="17">
      <c r="B17" s="6" t="str">
        <f>IFERROR(__xludf.DUMMYFUNCTION("""COMPUTED_VALUE"""),"casino app bahamas online")</f>
        <v>casino app bahamas online</v>
      </c>
    </row>
    <row r="18">
      <c r="B18" s="6" t="str">
        <f>IFERROR(__xludf.DUMMYFUNCTION("""COMPUTED_VALUE"""),"gambling site bahamas online")</f>
        <v>gambling site bahamas online</v>
      </c>
    </row>
    <row r="19">
      <c r="B19" s="6" t="str">
        <f>IFERROR(__xludf.DUMMYFUNCTION("""COMPUTED_VALUE"""),"online gambling bahamas online")</f>
        <v>online gambling bahamas online</v>
      </c>
    </row>
    <row r="20">
      <c r="B20" s="6" t="str">
        <f>IFERROR(__xludf.DUMMYFUNCTION("""COMPUTED_VALUE"""),"live casino bahamas online")</f>
        <v>live casino bahamas online</v>
      </c>
    </row>
    <row r="21">
      <c r="B21" s="6" t="str">
        <f>IFERROR(__xludf.DUMMYFUNCTION("""COMPUTED_VALUE"""),"real money casino bahamas online")</f>
        <v>real money casino bahamas online</v>
      </c>
    </row>
    <row r="22">
      <c r="B22" s="6" t="str">
        <f>IFERROR(__xludf.DUMMYFUNCTION("""COMPUTED_VALUE"""),"online casino caribbean")</f>
        <v>online casino caribbean</v>
      </c>
    </row>
    <row r="23">
      <c r="B23" s="6" t="str">
        <f>IFERROR(__xludf.DUMMYFUNCTION("""COMPUTED_VALUE"""),"casino online caribbean")</f>
        <v>casino online caribbean</v>
      </c>
    </row>
    <row r="24">
      <c r="B24" s="6" t="str">
        <f>IFERROR(__xludf.DUMMYFUNCTION("""COMPUTED_VALUE"""),"online casinos caribbean")</f>
        <v>online casinos caribbean</v>
      </c>
    </row>
    <row r="25">
      <c r="B25" s="6" t="str">
        <f>IFERROR(__xludf.DUMMYFUNCTION("""COMPUTED_VALUE"""),"casino games caribbean")</f>
        <v>casino games caribbean</v>
      </c>
    </row>
    <row r="26">
      <c r="B26" s="6" t="str">
        <f>IFERROR(__xludf.DUMMYFUNCTION("""COMPUTED_VALUE"""),"online casino games caribbean")</f>
        <v>online casino games caribbean</v>
      </c>
    </row>
    <row r="27">
      <c r="B27" s="6" t="str">
        <f>IFERROR(__xludf.DUMMYFUNCTION("""COMPUTED_VALUE"""),"casino app caribbean")</f>
        <v>casino app caribbean</v>
      </c>
    </row>
    <row r="28">
      <c r="B28" s="6" t="str">
        <f>IFERROR(__xludf.DUMMYFUNCTION("""COMPUTED_VALUE"""),"gambling site caribbean")</f>
        <v>gambling site caribbean</v>
      </c>
    </row>
    <row r="29">
      <c r="B29" s="6" t="str">
        <f>IFERROR(__xludf.DUMMYFUNCTION("""COMPUTED_VALUE"""),"online gambling caribbean")</f>
        <v>online gambling caribbean</v>
      </c>
    </row>
    <row r="30">
      <c r="B30" s="6" t="str">
        <f>IFERROR(__xludf.DUMMYFUNCTION("""COMPUTED_VALUE"""),"live casino caribbean")</f>
        <v>live casino caribbean</v>
      </c>
    </row>
    <row r="31">
      <c r="B31" s="6" t="str">
        <f>IFERROR(__xludf.DUMMYFUNCTION("""COMPUTED_VALUE"""),"real money casino caribbean")</f>
        <v>real money casino caribbean</v>
      </c>
    </row>
    <row r="32">
      <c r="B32" s="6" t="str">
        <f>IFERROR(__xludf.DUMMYFUNCTION("""COMPUTED_VALUE"""),"online casino real money")</f>
        <v>online casino real money</v>
      </c>
    </row>
    <row r="33">
      <c r="B33" s="6" t="str">
        <f>IFERROR(__xludf.DUMMYFUNCTION("""COMPUTED_VALUE"""),"casino online real money")</f>
        <v>casino online real money</v>
      </c>
    </row>
    <row r="34">
      <c r="B34" s="6" t="str">
        <f>IFERROR(__xludf.DUMMYFUNCTION("""COMPUTED_VALUE"""),"online casinos real money")</f>
        <v>online casinos real money</v>
      </c>
    </row>
    <row r="35">
      <c r="B35" s="6" t="str">
        <f>IFERROR(__xludf.DUMMYFUNCTION("""COMPUTED_VALUE"""),"casino games real money")</f>
        <v>casino games real money</v>
      </c>
    </row>
    <row r="36">
      <c r="B36" s="6" t="str">
        <f>IFERROR(__xludf.DUMMYFUNCTION("""COMPUTED_VALUE"""),"online casino games real money")</f>
        <v>online casino games real money</v>
      </c>
    </row>
    <row r="37">
      <c r="B37" s="6" t="str">
        <f>IFERROR(__xludf.DUMMYFUNCTION("""COMPUTED_VALUE"""),"casino app real money")</f>
        <v>casino app real money</v>
      </c>
    </row>
    <row r="38">
      <c r="B38" s="6" t="str">
        <f>IFERROR(__xludf.DUMMYFUNCTION("""COMPUTED_VALUE"""),"gambling site real money")</f>
        <v>gambling site real money</v>
      </c>
    </row>
    <row r="39">
      <c r="B39" s="6" t="str">
        <f>IFERROR(__xludf.DUMMYFUNCTION("""COMPUTED_VALUE"""),"online gambling real money")</f>
        <v>online gambling real money</v>
      </c>
    </row>
    <row r="40">
      <c r="B40" s="6" t="str">
        <f>IFERROR(__xludf.DUMMYFUNCTION("""COMPUTED_VALUE"""),"live casino real money")</f>
        <v>live casino real money</v>
      </c>
    </row>
    <row r="41">
      <c r="B41" s="6" t="str">
        <f>IFERROR(__xludf.DUMMYFUNCTION("""COMPUTED_VALUE"""),"real money casino")</f>
        <v>real money casino</v>
      </c>
    </row>
    <row r="42">
      <c r="B42" s="6" t="str">
        <f>IFERROR(__xludf.DUMMYFUNCTION("""COMPUTED_VALUE"""),"online casino best")</f>
        <v>online casino best</v>
      </c>
    </row>
    <row r="43">
      <c r="B43" s="6" t="str">
        <f>IFERROR(__xludf.DUMMYFUNCTION("""COMPUTED_VALUE"""),"casino online best")</f>
        <v>casino online best</v>
      </c>
    </row>
    <row r="44">
      <c r="B44" s="6" t="str">
        <f>IFERROR(__xludf.DUMMYFUNCTION("""COMPUTED_VALUE"""),"online casinos best")</f>
        <v>online casinos best</v>
      </c>
    </row>
    <row r="45">
      <c r="B45" s="6" t="str">
        <f>IFERROR(__xludf.DUMMYFUNCTION("""COMPUTED_VALUE"""),"casino games best")</f>
        <v>casino games best</v>
      </c>
    </row>
    <row r="46">
      <c r="B46" s="6" t="str">
        <f>IFERROR(__xludf.DUMMYFUNCTION("""COMPUTED_VALUE"""),"online casino games best")</f>
        <v>online casino games best</v>
      </c>
    </row>
    <row r="47">
      <c r="B47" s="6" t="str">
        <f>IFERROR(__xludf.DUMMYFUNCTION("""COMPUTED_VALUE"""),"casino app best")</f>
        <v>casino app best</v>
      </c>
    </row>
    <row r="48">
      <c r="B48" s="6" t="str">
        <f>IFERROR(__xludf.DUMMYFUNCTION("""COMPUTED_VALUE"""),"gambling site best")</f>
        <v>gambling site best</v>
      </c>
    </row>
    <row r="49">
      <c r="B49" s="6" t="str">
        <f>IFERROR(__xludf.DUMMYFUNCTION("""COMPUTED_VALUE"""),"online gambling best")</f>
        <v>online gambling best</v>
      </c>
    </row>
    <row r="50">
      <c r="B50" s="6" t="str">
        <f>IFERROR(__xludf.DUMMYFUNCTION("""COMPUTED_VALUE"""),"live casino best")</f>
        <v>live casino best</v>
      </c>
    </row>
    <row r="51">
      <c r="B51" s="6" t="str">
        <f>IFERROR(__xludf.DUMMYFUNCTION("""COMPUTED_VALUE"""),"real money casino best")</f>
        <v>real money casino best</v>
      </c>
    </row>
    <row r="52">
      <c r="B52" s="6" t="str">
        <f>IFERROR(__xludf.DUMMYFUNCTION("""COMPUTED_VALUE"""),"online casino top")</f>
        <v>online casino top</v>
      </c>
    </row>
    <row r="53">
      <c r="B53" s="6" t="str">
        <f>IFERROR(__xludf.DUMMYFUNCTION("""COMPUTED_VALUE"""),"casino online top")</f>
        <v>casino online top</v>
      </c>
    </row>
    <row r="54">
      <c r="B54" s="6" t="str">
        <f>IFERROR(__xludf.DUMMYFUNCTION("""COMPUTED_VALUE"""),"online casinos top")</f>
        <v>online casinos top</v>
      </c>
    </row>
    <row r="55">
      <c r="B55" s="6" t="str">
        <f>IFERROR(__xludf.DUMMYFUNCTION("""COMPUTED_VALUE"""),"casino games top")</f>
        <v>casino games top</v>
      </c>
    </row>
    <row r="56">
      <c r="B56" s="6" t="str">
        <f>IFERROR(__xludf.DUMMYFUNCTION("""COMPUTED_VALUE"""),"online casino games top")</f>
        <v>online casino games top</v>
      </c>
    </row>
    <row r="57">
      <c r="B57" s="6" t="str">
        <f>IFERROR(__xludf.DUMMYFUNCTION("""COMPUTED_VALUE"""),"casino app top")</f>
        <v>casino app top</v>
      </c>
    </row>
    <row r="58">
      <c r="B58" s="6" t="str">
        <f>IFERROR(__xludf.DUMMYFUNCTION("""COMPUTED_VALUE"""),"gambling site top")</f>
        <v>gambling site top</v>
      </c>
    </row>
    <row r="59">
      <c r="B59" s="6" t="str">
        <f>IFERROR(__xludf.DUMMYFUNCTION("""COMPUTED_VALUE"""),"online gambling top")</f>
        <v>online gambling top</v>
      </c>
    </row>
    <row r="60">
      <c r="B60" s="6" t="str">
        <f>IFERROR(__xludf.DUMMYFUNCTION("""COMPUTED_VALUE"""),"live casino top")</f>
        <v>live casino top</v>
      </c>
    </row>
    <row r="61">
      <c r="B61" s="6" t="str">
        <f>IFERROR(__xludf.DUMMYFUNCTION("""COMPUTED_VALUE"""),"real money casino top")</f>
        <v>real money casino top</v>
      </c>
    </row>
    <row r="62">
      <c r="B62" s="6" t="str">
        <f>IFERROR(__xludf.DUMMYFUNCTION("""COMPUTED_VALUE"""),"online casino trusted")</f>
        <v>online casino trusted</v>
      </c>
    </row>
    <row r="63">
      <c r="B63" s="6" t="str">
        <f>IFERROR(__xludf.DUMMYFUNCTION("""COMPUTED_VALUE"""),"casino online trusted")</f>
        <v>casino online trusted</v>
      </c>
    </row>
    <row r="64">
      <c r="B64" s="6" t="str">
        <f>IFERROR(__xludf.DUMMYFUNCTION("""COMPUTED_VALUE"""),"online casinos trusted")</f>
        <v>online casinos trusted</v>
      </c>
    </row>
    <row r="65">
      <c r="B65" s="6" t="str">
        <f>IFERROR(__xludf.DUMMYFUNCTION("""COMPUTED_VALUE"""),"casino games trusted")</f>
        <v>casino games trusted</v>
      </c>
    </row>
    <row r="66">
      <c r="B66" s="6" t="str">
        <f>IFERROR(__xludf.DUMMYFUNCTION("""COMPUTED_VALUE"""),"online casino games trusted")</f>
        <v>online casino games trusted</v>
      </c>
    </row>
    <row r="67">
      <c r="B67" s="6" t="str">
        <f>IFERROR(__xludf.DUMMYFUNCTION("""COMPUTED_VALUE"""),"casino app trusted")</f>
        <v>casino app trusted</v>
      </c>
    </row>
    <row r="68">
      <c r="B68" s="6" t="str">
        <f>IFERROR(__xludf.DUMMYFUNCTION("""COMPUTED_VALUE"""),"gambling site trusted")</f>
        <v>gambling site trusted</v>
      </c>
    </row>
    <row r="69">
      <c r="B69" s="6" t="str">
        <f>IFERROR(__xludf.DUMMYFUNCTION("""COMPUTED_VALUE"""),"online gambling trusted")</f>
        <v>online gambling trusted</v>
      </c>
    </row>
    <row r="70">
      <c r="B70" s="6" t="str">
        <f>IFERROR(__xludf.DUMMYFUNCTION("""COMPUTED_VALUE"""),"live casino trusted")</f>
        <v>live casino trusted</v>
      </c>
    </row>
    <row r="71">
      <c r="B71" s="6" t="str">
        <f>IFERROR(__xludf.DUMMYFUNCTION("""COMPUTED_VALUE"""),"real money casino trusted")</f>
        <v>real money casino trusted</v>
      </c>
    </row>
    <row r="72">
      <c r="B72" s="6" t="str">
        <f>IFERROR(__xludf.DUMMYFUNCTION("""COMPUTED_VALUE"""),"online casino safe")</f>
        <v>online casino safe</v>
      </c>
    </row>
    <row r="73">
      <c r="B73" s="6" t="str">
        <f>IFERROR(__xludf.DUMMYFUNCTION("""COMPUTED_VALUE"""),"casino online safe")</f>
        <v>casino online safe</v>
      </c>
    </row>
    <row r="74">
      <c r="B74" s="6" t="str">
        <f>IFERROR(__xludf.DUMMYFUNCTION("""COMPUTED_VALUE"""),"online casinos safe")</f>
        <v>online casinos safe</v>
      </c>
    </row>
    <row r="75">
      <c r="B75" s="6" t="str">
        <f>IFERROR(__xludf.DUMMYFUNCTION("""COMPUTED_VALUE"""),"casino games safe")</f>
        <v>casino games safe</v>
      </c>
    </row>
    <row r="76">
      <c r="B76" s="6" t="str">
        <f>IFERROR(__xludf.DUMMYFUNCTION("""COMPUTED_VALUE"""),"online casino games safe")</f>
        <v>online casino games safe</v>
      </c>
    </row>
    <row r="77">
      <c r="B77" s="6" t="str">
        <f>IFERROR(__xludf.DUMMYFUNCTION("""COMPUTED_VALUE"""),"casino app safe")</f>
        <v>casino app safe</v>
      </c>
    </row>
    <row r="78">
      <c r="B78" s="6" t="str">
        <f>IFERROR(__xludf.DUMMYFUNCTION("""COMPUTED_VALUE"""),"gambling site safe")</f>
        <v>gambling site safe</v>
      </c>
    </row>
    <row r="79">
      <c r="B79" s="6" t="str">
        <f>IFERROR(__xludf.DUMMYFUNCTION("""COMPUTED_VALUE"""),"online gambling safe")</f>
        <v>online gambling safe</v>
      </c>
    </row>
    <row r="80">
      <c r="B80" s="6" t="str">
        <f>IFERROR(__xludf.DUMMYFUNCTION("""COMPUTED_VALUE"""),"live casino safe")</f>
        <v>live casino safe</v>
      </c>
    </row>
    <row r="81">
      <c r="B81" s="6" t="str">
        <f>IFERROR(__xludf.DUMMYFUNCTION("""COMPUTED_VALUE"""),"real money casino safe")</f>
        <v>real money casino safe</v>
      </c>
    </row>
    <row r="82">
      <c r="B82" s="6" t="str">
        <f>IFERROR(__xludf.DUMMYFUNCTION("""COMPUTED_VALUE"""),"online casino licensed")</f>
        <v>online casino licensed</v>
      </c>
    </row>
    <row r="83">
      <c r="B83" s="6" t="str">
        <f>IFERROR(__xludf.DUMMYFUNCTION("""COMPUTED_VALUE"""),"casino online licensed")</f>
        <v>casino online licensed</v>
      </c>
    </row>
    <row r="84">
      <c r="B84" s="6" t="str">
        <f>IFERROR(__xludf.DUMMYFUNCTION("""COMPUTED_VALUE"""),"online casinos licensed")</f>
        <v>online casinos licensed</v>
      </c>
    </row>
    <row r="85">
      <c r="B85" s="6" t="str">
        <f>IFERROR(__xludf.DUMMYFUNCTION("""COMPUTED_VALUE"""),"casino games licensed")</f>
        <v>casino games licensed</v>
      </c>
    </row>
    <row r="86">
      <c r="B86" s="6" t="str">
        <f>IFERROR(__xludf.DUMMYFUNCTION("""COMPUTED_VALUE"""),"online casino games licensed")</f>
        <v>online casino games licensed</v>
      </c>
    </row>
    <row r="87">
      <c r="B87" s="6" t="str">
        <f>IFERROR(__xludf.DUMMYFUNCTION("""COMPUTED_VALUE"""),"casino app licensed")</f>
        <v>casino app licensed</v>
      </c>
    </row>
    <row r="88">
      <c r="B88" s="6" t="str">
        <f>IFERROR(__xludf.DUMMYFUNCTION("""COMPUTED_VALUE"""),"gambling site licensed")</f>
        <v>gambling site licensed</v>
      </c>
    </row>
    <row r="89">
      <c r="B89" s="6" t="str">
        <f>IFERROR(__xludf.DUMMYFUNCTION("""COMPUTED_VALUE"""),"online gambling licensed")</f>
        <v>online gambling licensed</v>
      </c>
    </row>
    <row r="90">
      <c r="B90" s="6" t="str">
        <f>IFERROR(__xludf.DUMMYFUNCTION("""COMPUTED_VALUE"""),"live casino licensed")</f>
        <v>live casino licensed</v>
      </c>
    </row>
    <row r="91">
      <c r="B91" s="6" t="str">
        <f>IFERROR(__xludf.DUMMYFUNCTION("""COMPUTED_VALUE"""),"real money casino licensed")</f>
        <v>real money casino licensed</v>
      </c>
    </row>
    <row r="92">
      <c r="B92" s="6" t="str">
        <f>IFERROR(__xludf.DUMMYFUNCTION("""COMPUTED_VALUE"""),"online casino mobile")</f>
        <v>online casino mobile</v>
      </c>
    </row>
    <row r="93">
      <c r="B93" s="6" t="str">
        <f>IFERROR(__xludf.DUMMYFUNCTION("""COMPUTED_VALUE"""),"casino online mobile")</f>
        <v>casino online mobile</v>
      </c>
    </row>
    <row r="94">
      <c r="B94" s="6" t="str">
        <f>IFERROR(__xludf.DUMMYFUNCTION("""COMPUTED_VALUE"""),"online casinos mobile")</f>
        <v>online casinos mobile</v>
      </c>
    </row>
    <row r="95">
      <c r="B95" s="6" t="str">
        <f>IFERROR(__xludf.DUMMYFUNCTION("""COMPUTED_VALUE"""),"casino games mobile")</f>
        <v>casino games mobile</v>
      </c>
    </row>
    <row r="96">
      <c r="B96" s="6" t="str">
        <f>IFERROR(__xludf.DUMMYFUNCTION("""COMPUTED_VALUE"""),"online casino games mobile")</f>
        <v>online casino games mobile</v>
      </c>
    </row>
    <row r="97">
      <c r="B97" s="6" t="str">
        <f>IFERROR(__xludf.DUMMYFUNCTION("""COMPUTED_VALUE"""),"casino app mobile")</f>
        <v>casino app mobile</v>
      </c>
    </row>
    <row r="98">
      <c r="B98" s="6" t="str">
        <f>IFERROR(__xludf.DUMMYFUNCTION("""COMPUTED_VALUE"""),"gambling site mobile")</f>
        <v>gambling site mobile</v>
      </c>
    </row>
    <row r="99">
      <c r="B99" s="6" t="str">
        <f>IFERROR(__xludf.DUMMYFUNCTION("""COMPUTED_VALUE"""),"online gambling mobile")</f>
        <v>online gambling mobile</v>
      </c>
    </row>
    <row r="100">
      <c r="B100" s="6" t="str">
        <f>IFERROR(__xludf.DUMMYFUNCTION("""COMPUTED_VALUE"""),"live casino mobile")</f>
        <v>live casino mobile</v>
      </c>
    </row>
    <row r="101">
      <c r="B101" s="6" t="str">
        <f>IFERROR(__xludf.DUMMYFUNCTION("""COMPUTED_VALUE"""),"real money casino mobile")</f>
        <v>real money casino mobile</v>
      </c>
    </row>
    <row r="102">
      <c r="B102" s="6" t="str">
        <f>IFERROR(__xludf.DUMMYFUNCTION("""COMPUTED_VALUE"""),"online casino app")</f>
        <v>online casino app</v>
      </c>
    </row>
    <row r="103">
      <c r="B103" s="6" t="str">
        <f>IFERROR(__xludf.DUMMYFUNCTION("""COMPUTED_VALUE"""),"casino online app")</f>
        <v>casino online app</v>
      </c>
    </row>
    <row r="104">
      <c r="B104" s="6" t="str">
        <f>IFERROR(__xludf.DUMMYFUNCTION("""COMPUTED_VALUE"""),"online casinos app")</f>
        <v>online casinos app</v>
      </c>
    </row>
    <row r="105">
      <c r="B105" s="6" t="str">
        <f>IFERROR(__xludf.DUMMYFUNCTION("""COMPUTED_VALUE"""),"casino games app")</f>
        <v>casino games app</v>
      </c>
    </row>
    <row r="106">
      <c r="B106" s="6" t="str">
        <f>IFERROR(__xludf.DUMMYFUNCTION("""COMPUTED_VALUE"""),"online casino games app")</f>
        <v>online casino games app</v>
      </c>
    </row>
    <row r="107">
      <c r="B107" s="6" t="str">
        <f>IFERROR(__xludf.DUMMYFUNCTION("""COMPUTED_VALUE"""),"casino app")</f>
        <v>casino app</v>
      </c>
    </row>
    <row r="108">
      <c r="B108" s="6" t="str">
        <f>IFERROR(__xludf.DUMMYFUNCTION("""COMPUTED_VALUE"""),"gambling site app")</f>
        <v>gambling site app</v>
      </c>
    </row>
    <row r="109">
      <c r="B109" s="6" t="str">
        <f>IFERROR(__xludf.DUMMYFUNCTION("""COMPUTED_VALUE"""),"online gambling app")</f>
        <v>online gambling app</v>
      </c>
    </row>
    <row r="110">
      <c r="B110" s="6" t="str">
        <f>IFERROR(__xludf.DUMMYFUNCTION("""COMPUTED_VALUE"""),"live casino app")</f>
        <v>live casino app</v>
      </c>
    </row>
    <row r="111">
      <c r="B111" s="6" t="str">
        <f>IFERROR(__xludf.DUMMYFUNCTION("""COMPUTED_VALUE"""),"real money casino app")</f>
        <v>real money casino app</v>
      </c>
    </row>
    <row r="112">
      <c r="B112" s="6" t="str">
        <f>IFERROR(__xludf.DUMMYFUNCTION("""COMPUTED_VALUE"""),"online casino play online")</f>
        <v>online casino play online</v>
      </c>
    </row>
    <row r="113">
      <c r="B113" s="6" t="str">
        <f>IFERROR(__xludf.DUMMYFUNCTION("""COMPUTED_VALUE"""),"casino online play online")</f>
        <v>casino online play online</v>
      </c>
    </row>
    <row r="114">
      <c r="B114" s="6" t="str">
        <f>IFERROR(__xludf.DUMMYFUNCTION("""COMPUTED_VALUE"""),"online casinos play online")</f>
        <v>online casinos play online</v>
      </c>
    </row>
    <row r="115">
      <c r="B115" s="6" t="str">
        <f>IFERROR(__xludf.DUMMYFUNCTION("""COMPUTED_VALUE"""),"casino games play online")</f>
        <v>casino games play online</v>
      </c>
    </row>
    <row r="116">
      <c r="B116" s="6" t="str">
        <f>IFERROR(__xludf.DUMMYFUNCTION("""COMPUTED_VALUE"""),"online casino games play online")</f>
        <v>online casino games play online</v>
      </c>
    </row>
    <row r="117">
      <c r="B117" s="6" t="str">
        <f>IFERROR(__xludf.DUMMYFUNCTION("""COMPUTED_VALUE"""),"casino app play online")</f>
        <v>casino app play online</v>
      </c>
    </row>
    <row r="118">
      <c r="B118" s="6" t="str">
        <f>IFERROR(__xludf.DUMMYFUNCTION("""COMPUTED_VALUE"""),"gambling site play online")</f>
        <v>gambling site play online</v>
      </c>
    </row>
    <row r="119">
      <c r="B119" s="6" t="str">
        <f>IFERROR(__xludf.DUMMYFUNCTION("""COMPUTED_VALUE"""),"online gambling play online")</f>
        <v>online gambling play online</v>
      </c>
    </row>
    <row r="120">
      <c r="B120" s="6" t="str">
        <f>IFERROR(__xludf.DUMMYFUNCTION("""COMPUTED_VALUE"""),"live casino play online")</f>
        <v>live casino play online</v>
      </c>
    </row>
    <row r="121">
      <c r="B121" s="6" t="str">
        <f>IFERROR(__xludf.DUMMYFUNCTION("""COMPUTED_VALUE"""),"real money casino play online")</f>
        <v>real money casino play online</v>
      </c>
    </row>
    <row r="122">
      <c r="B122" s="6" t="str">
        <f>IFERROR(__xludf.DUMMYFUNCTION("""COMPUTED_VALUE"""),"online casino free demo")</f>
        <v>online casino free demo</v>
      </c>
    </row>
    <row r="123">
      <c r="B123" s="6" t="str">
        <f>IFERROR(__xludf.DUMMYFUNCTION("""COMPUTED_VALUE"""),"casino online free demo")</f>
        <v>casino online free demo</v>
      </c>
    </row>
    <row r="124">
      <c r="B124" s="6" t="str">
        <f>IFERROR(__xludf.DUMMYFUNCTION("""COMPUTED_VALUE"""),"online casinos free demo")</f>
        <v>online casinos free demo</v>
      </c>
    </row>
    <row r="125">
      <c r="B125" s="6" t="str">
        <f>IFERROR(__xludf.DUMMYFUNCTION("""COMPUTED_VALUE"""),"casino games free demo")</f>
        <v>casino games free demo</v>
      </c>
    </row>
    <row r="126">
      <c r="B126" s="6" t="str">
        <f>IFERROR(__xludf.DUMMYFUNCTION("""COMPUTED_VALUE"""),"online casino games free demo")</f>
        <v>online casino games free demo</v>
      </c>
    </row>
    <row r="127">
      <c r="B127" s="6" t="str">
        <f>IFERROR(__xludf.DUMMYFUNCTION("""COMPUTED_VALUE"""),"casino app free demo")</f>
        <v>casino app free demo</v>
      </c>
    </row>
    <row r="128">
      <c r="B128" s="6" t="str">
        <f>IFERROR(__xludf.DUMMYFUNCTION("""COMPUTED_VALUE"""),"gambling site free demo")</f>
        <v>gambling site free demo</v>
      </c>
    </row>
    <row r="129">
      <c r="B129" s="6" t="str">
        <f>IFERROR(__xludf.DUMMYFUNCTION("""COMPUTED_VALUE"""),"online gambling free demo")</f>
        <v>online gambling free demo</v>
      </c>
    </row>
    <row r="130">
      <c r="B130" s="6" t="str">
        <f>IFERROR(__xludf.DUMMYFUNCTION("""COMPUTED_VALUE"""),"live casino free demo")</f>
        <v>live casino free demo</v>
      </c>
    </row>
    <row r="131">
      <c r="B131" s="6" t="str">
        <f>IFERROR(__xludf.DUMMYFUNCTION("""COMPUTED_VALUE"""),"real money casino free demo")</f>
        <v>real money casino free demo</v>
      </c>
    </row>
    <row r="132">
      <c r="B132" s="6" t="str">
        <f>IFERROR(__xludf.DUMMYFUNCTION("""COMPUTED_VALUE"""),"online casino demo")</f>
        <v>online casino demo</v>
      </c>
    </row>
    <row r="133">
      <c r="B133" s="6" t="str">
        <f>IFERROR(__xludf.DUMMYFUNCTION("""COMPUTED_VALUE"""),"casino online demo")</f>
        <v>casino online demo</v>
      </c>
    </row>
    <row r="134">
      <c r="B134" s="6" t="str">
        <f>IFERROR(__xludf.DUMMYFUNCTION("""COMPUTED_VALUE"""),"online casinos demo")</f>
        <v>online casinos demo</v>
      </c>
    </row>
    <row r="135">
      <c r="B135" s="6" t="str">
        <f>IFERROR(__xludf.DUMMYFUNCTION("""COMPUTED_VALUE"""),"casino games demo")</f>
        <v>casino games demo</v>
      </c>
    </row>
    <row r="136">
      <c r="B136" s="6" t="str">
        <f>IFERROR(__xludf.DUMMYFUNCTION("""COMPUTED_VALUE"""),"online casino games demo")</f>
        <v>online casino games demo</v>
      </c>
    </row>
    <row r="137">
      <c r="B137" s="6" t="str">
        <f>IFERROR(__xludf.DUMMYFUNCTION("""COMPUTED_VALUE"""),"casino app demo")</f>
        <v>casino app demo</v>
      </c>
    </row>
    <row r="138">
      <c r="B138" s="6" t="str">
        <f>IFERROR(__xludf.DUMMYFUNCTION("""COMPUTED_VALUE"""),"gambling site demo")</f>
        <v>gambling site demo</v>
      </c>
    </row>
    <row r="139">
      <c r="B139" s="6" t="str">
        <f>IFERROR(__xludf.DUMMYFUNCTION("""COMPUTED_VALUE"""),"online gambling demo")</f>
        <v>online gambling demo</v>
      </c>
    </row>
    <row r="140">
      <c r="B140" s="6" t="str">
        <f>IFERROR(__xludf.DUMMYFUNCTION("""COMPUTED_VALUE"""),"live casino demo")</f>
        <v>live casino demo</v>
      </c>
    </row>
    <row r="141">
      <c r="B141" s="6" t="str">
        <f>IFERROR(__xludf.DUMMYFUNCTION("""COMPUTED_VALUE"""),"real money casino demo")</f>
        <v>real money casino demo</v>
      </c>
    </row>
    <row r="142">
      <c r="B142" s="6" t="str">
        <f>IFERROR(__xludf.DUMMYFUNCTION("""COMPUTED_VALUE"""),"online casino bonus")</f>
        <v>online casino bonus</v>
      </c>
    </row>
    <row r="143">
      <c r="B143" s="6" t="str">
        <f>IFERROR(__xludf.DUMMYFUNCTION("""COMPUTED_VALUE"""),"casino online bonus")</f>
        <v>casino online bonus</v>
      </c>
    </row>
    <row r="144">
      <c r="B144" s="6" t="str">
        <f>IFERROR(__xludf.DUMMYFUNCTION("""COMPUTED_VALUE"""),"online casinos bonus")</f>
        <v>online casinos bonus</v>
      </c>
    </row>
    <row r="145">
      <c r="B145" s="6" t="str">
        <f>IFERROR(__xludf.DUMMYFUNCTION("""COMPUTED_VALUE"""),"casino games bonus")</f>
        <v>casino games bonus</v>
      </c>
    </row>
    <row r="146">
      <c r="B146" s="6" t="str">
        <f>IFERROR(__xludf.DUMMYFUNCTION("""COMPUTED_VALUE"""),"online casino games bonus")</f>
        <v>online casino games bonus</v>
      </c>
    </row>
    <row r="147">
      <c r="B147" s="6" t="str">
        <f>IFERROR(__xludf.DUMMYFUNCTION("""COMPUTED_VALUE"""),"casino app bonus")</f>
        <v>casino app bonus</v>
      </c>
    </row>
    <row r="148">
      <c r="B148" s="6" t="str">
        <f>IFERROR(__xludf.DUMMYFUNCTION("""COMPUTED_VALUE"""),"gambling site bonus")</f>
        <v>gambling site bonus</v>
      </c>
    </row>
    <row r="149">
      <c r="B149" s="6" t="str">
        <f>IFERROR(__xludf.DUMMYFUNCTION("""COMPUTED_VALUE"""),"online gambling bonus")</f>
        <v>online gambling bonus</v>
      </c>
    </row>
    <row r="150">
      <c r="B150" s="6" t="str">
        <f>IFERROR(__xludf.DUMMYFUNCTION("""COMPUTED_VALUE"""),"live casino bonus")</f>
        <v>live casino bonus</v>
      </c>
    </row>
    <row r="151">
      <c r="B151" s="6" t="str">
        <f>IFERROR(__xludf.DUMMYFUNCTION("""COMPUTED_VALUE"""),"real money casino bonus")</f>
        <v>real money casino bonus</v>
      </c>
    </row>
    <row r="152">
      <c r="B152" s="6" t="str">
        <f>IFERROR(__xludf.DUMMYFUNCTION("""COMPUTED_VALUE"""),"online casino bonuses")</f>
        <v>online casino bonuses</v>
      </c>
    </row>
    <row r="153">
      <c r="B153" s="6" t="str">
        <f>IFERROR(__xludf.DUMMYFUNCTION("""COMPUTED_VALUE"""),"casino online bonuses")</f>
        <v>casino online bonuses</v>
      </c>
    </row>
    <row r="154">
      <c r="B154" s="6" t="str">
        <f>IFERROR(__xludf.DUMMYFUNCTION("""COMPUTED_VALUE"""),"online casinos bonuses")</f>
        <v>online casinos bonuses</v>
      </c>
    </row>
    <row r="155">
      <c r="B155" s="6" t="str">
        <f>IFERROR(__xludf.DUMMYFUNCTION("""COMPUTED_VALUE"""),"casino games bonuses")</f>
        <v>casino games bonuses</v>
      </c>
    </row>
    <row r="156">
      <c r="B156" s="6" t="str">
        <f>IFERROR(__xludf.DUMMYFUNCTION("""COMPUTED_VALUE"""),"online casino games bonuses")</f>
        <v>online casino games bonuses</v>
      </c>
    </row>
    <row r="157">
      <c r="B157" s="6" t="str">
        <f>IFERROR(__xludf.DUMMYFUNCTION("""COMPUTED_VALUE"""),"casino app bonuses")</f>
        <v>casino app bonuses</v>
      </c>
    </row>
    <row r="158">
      <c r="B158" s="6" t="str">
        <f>IFERROR(__xludf.DUMMYFUNCTION("""COMPUTED_VALUE"""),"gambling site bonuses")</f>
        <v>gambling site bonuses</v>
      </c>
    </row>
    <row r="159">
      <c r="B159" s="6" t="str">
        <f>IFERROR(__xludf.DUMMYFUNCTION("""COMPUTED_VALUE"""),"online gambling bonuses")</f>
        <v>online gambling bonuses</v>
      </c>
    </row>
    <row r="160">
      <c r="B160" s="6" t="str">
        <f>IFERROR(__xludf.DUMMYFUNCTION("""COMPUTED_VALUE"""),"live casino bonuses")</f>
        <v>live casino bonuses</v>
      </c>
    </row>
    <row r="161">
      <c r="B161" s="6" t="str">
        <f>IFERROR(__xludf.DUMMYFUNCTION("""COMPUTED_VALUE"""),"real money casino bonuses")</f>
        <v>real money casino bonuses</v>
      </c>
    </row>
    <row r="162">
      <c r="B162" s="6" t="str">
        <f>IFERROR(__xludf.DUMMYFUNCTION("""COMPUTED_VALUE"""),"online casino free spins")</f>
        <v>online casino free spins</v>
      </c>
    </row>
    <row r="163">
      <c r="B163" s="6" t="str">
        <f>IFERROR(__xludf.DUMMYFUNCTION("""COMPUTED_VALUE"""),"casino online free spins")</f>
        <v>casino online free spins</v>
      </c>
    </row>
    <row r="164">
      <c r="B164" s="6" t="str">
        <f>IFERROR(__xludf.DUMMYFUNCTION("""COMPUTED_VALUE"""),"online casinos free spins")</f>
        <v>online casinos free spins</v>
      </c>
    </row>
    <row r="165">
      <c r="B165" s="6" t="str">
        <f>IFERROR(__xludf.DUMMYFUNCTION("""COMPUTED_VALUE"""),"casino games free spins")</f>
        <v>casino games free spins</v>
      </c>
    </row>
    <row r="166">
      <c r="B166" s="6" t="str">
        <f>IFERROR(__xludf.DUMMYFUNCTION("""COMPUTED_VALUE"""),"online casino games free spins")</f>
        <v>online casino games free spins</v>
      </c>
    </row>
    <row r="167">
      <c r="B167" s="6" t="str">
        <f>IFERROR(__xludf.DUMMYFUNCTION("""COMPUTED_VALUE"""),"casino app free spins")</f>
        <v>casino app free spins</v>
      </c>
    </row>
    <row r="168">
      <c r="B168" s="6" t="str">
        <f>IFERROR(__xludf.DUMMYFUNCTION("""COMPUTED_VALUE"""),"gambling site free spins")</f>
        <v>gambling site free spins</v>
      </c>
    </row>
    <row r="169">
      <c r="B169" s="6" t="str">
        <f>IFERROR(__xludf.DUMMYFUNCTION("""COMPUTED_VALUE"""),"online gambling free spins")</f>
        <v>online gambling free spins</v>
      </c>
    </row>
    <row r="170">
      <c r="B170" s="6" t="str">
        <f>IFERROR(__xludf.DUMMYFUNCTION("""COMPUTED_VALUE"""),"live casino free spins")</f>
        <v>live casino free spins</v>
      </c>
    </row>
    <row r="171">
      <c r="B171" s="6" t="str">
        <f>IFERROR(__xludf.DUMMYFUNCTION("""COMPUTED_VALUE"""),"real money casino free spins")</f>
        <v>real money casino free spins</v>
      </c>
    </row>
    <row r="172">
      <c r="B172" s="6" t="str">
        <f>IFERROR(__xludf.DUMMYFUNCTION("""COMPUTED_VALUE"""),"online casino sign up bonus")</f>
        <v>online casino sign up bonus</v>
      </c>
    </row>
    <row r="173">
      <c r="B173" s="6" t="str">
        <f>IFERROR(__xludf.DUMMYFUNCTION("""COMPUTED_VALUE"""),"casino online sign up bonus")</f>
        <v>casino online sign up bonus</v>
      </c>
    </row>
    <row r="174">
      <c r="B174" s="6" t="str">
        <f>IFERROR(__xludf.DUMMYFUNCTION("""COMPUTED_VALUE"""),"online casinos sign up bonus")</f>
        <v>online casinos sign up bonus</v>
      </c>
    </row>
    <row r="175">
      <c r="B175" s="6" t="str">
        <f>IFERROR(__xludf.DUMMYFUNCTION("""COMPUTED_VALUE"""),"casino games sign up bonus")</f>
        <v>casino games sign up bonus</v>
      </c>
    </row>
    <row r="176">
      <c r="B176" s="6" t="str">
        <f>IFERROR(__xludf.DUMMYFUNCTION("""COMPUTED_VALUE"""),"online casino games sign up bonus")</f>
        <v>online casino games sign up bonus</v>
      </c>
    </row>
    <row r="177">
      <c r="B177" s="6" t="str">
        <f>IFERROR(__xludf.DUMMYFUNCTION("""COMPUTED_VALUE"""),"casino app sign up bonus")</f>
        <v>casino app sign up bonus</v>
      </c>
    </row>
    <row r="178">
      <c r="B178" s="6" t="str">
        <f>IFERROR(__xludf.DUMMYFUNCTION("""COMPUTED_VALUE"""),"gambling site sign up bonus")</f>
        <v>gambling site sign up bonus</v>
      </c>
    </row>
    <row r="179">
      <c r="B179" s="6" t="str">
        <f>IFERROR(__xludf.DUMMYFUNCTION("""COMPUTED_VALUE"""),"online gambling sign up bonus")</f>
        <v>online gambling sign up bonus</v>
      </c>
    </row>
    <row r="180">
      <c r="B180" s="6" t="str">
        <f>IFERROR(__xludf.DUMMYFUNCTION("""COMPUTED_VALUE"""),"live casino sign up bonus")</f>
        <v>live casino sign up bonus</v>
      </c>
    </row>
    <row r="181">
      <c r="B181" s="6" t="str">
        <f>IFERROR(__xludf.DUMMYFUNCTION("""COMPUTED_VALUE"""),"real money casino sign up bonus")</f>
        <v>real money casino sign up bonus</v>
      </c>
    </row>
    <row r="182">
      <c r="B182" s="6" t="str">
        <f>IFERROR(__xludf.DUMMYFUNCTION("""COMPUTED_VALUE"""),"online casino no deposit bonus")</f>
        <v>online casino no deposit bonus</v>
      </c>
    </row>
    <row r="183">
      <c r="B183" s="6" t="str">
        <f>IFERROR(__xludf.DUMMYFUNCTION("""COMPUTED_VALUE"""),"casino online no deposit bonus")</f>
        <v>casino online no deposit bonus</v>
      </c>
    </row>
    <row r="184">
      <c r="B184" s="6" t="str">
        <f>IFERROR(__xludf.DUMMYFUNCTION("""COMPUTED_VALUE"""),"online casinos no deposit bonus")</f>
        <v>online casinos no deposit bonus</v>
      </c>
    </row>
    <row r="185">
      <c r="B185" s="6" t="str">
        <f>IFERROR(__xludf.DUMMYFUNCTION("""COMPUTED_VALUE"""),"casino games no deposit bonus")</f>
        <v>casino games no deposit bonus</v>
      </c>
    </row>
    <row r="186">
      <c r="B186" s="6" t="str">
        <f>IFERROR(__xludf.DUMMYFUNCTION("""COMPUTED_VALUE"""),"online casino games no deposit bonus")</f>
        <v>online casino games no deposit bonus</v>
      </c>
    </row>
    <row r="187">
      <c r="B187" s="6" t="str">
        <f>IFERROR(__xludf.DUMMYFUNCTION("""COMPUTED_VALUE"""),"casino app no deposit bonus")</f>
        <v>casino app no deposit bonus</v>
      </c>
    </row>
    <row r="188">
      <c r="B188" s="6" t="str">
        <f>IFERROR(__xludf.DUMMYFUNCTION("""COMPUTED_VALUE"""),"gambling site no deposit bonus")</f>
        <v>gambling site no deposit bonus</v>
      </c>
    </row>
    <row r="189">
      <c r="B189" s="6" t="str">
        <f>IFERROR(__xludf.DUMMYFUNCTION("""COMPUTED_VALUE"""),"online gambling no deposit bonus")</f>
        <v>online gambling no deposit bonus</v>
      </c>
    </row>
    <row r="190">
      <c r="B190" s="6" t="str">
        <f>IFERROR(__xludf.DUMMYFUNCTION("""COMPUTED_VALUE"""),"live casino no deposit bonus")</f>
        <v>live casino no deposit bonus</v>
      </c>
    </row>
    <row r="191">
      <c r="B191" s="6" t="str">
        <f>IFERROR(__xludf.DUMMYFUNCTION("""COMPUTED_VALUE"""),"real money casino no deposit bonus")</f>
        <v>real money casino no deposit bonus</v>
      </c>
    </row>
    <row r="192">
      <c r="B192" s="6" t="str">
        <f>IFERROR(__xludf.DUMMYFUNCTION("""COMPUTED_VALUE"""),"online casino instant withdrawal")</f>
        <v>online casino instant withdrawal</v>
      </c>
    </row>
    <row r="193">
      <c r="B193" s="6" t="str">
        <f>IFERROR(__xludf.DUMMYFUNCTION("""COMPUTED_VALUE"""),"casino online instant withdrawal")</f>
        <v>casino online instant withdrawal</v>
      </c>
    </row>
    <row r="194">
      <c r="B194" s="6" t="str">
        <f>IFERROR(__xludf.DUMMYFUNCTION("""COMPUTED_VALUE"""),"online casinos instant withdrawal")</f>
        <v>online casinos instant withdrawal</v>
      </c>
    </row>
    <row r="195">
      <c r="B195" s="6" t="str">
        <f>IFERROR(__xludf.DUMMYFUNCTION("""COMPUTED_VALUE"""),"casino games instant withdrawal")</f>
        <v>casino games instant withdrawal</v>
      </c>
    </row>
    <row r="196">
      <c r="B196" s="6" t="str">
        <f>IFERROR(__xludf.DUMMYFUNCTION("""COMPUTED_VALUE"""),"online casino games instant withdrawal")</f>
        <v>online casino games instant withdrawal</v>
      </c>
    </row>
    <row r="197">
      <c r="B197" s="6" t="str">
        <f>IFERROR(__xludf.DUMMYFUNCTION("""COMPUTED_VALUE"""),"casino app instant withdrawal")</f>
        <v>casino app instant withdrawal</v>
      </c>
    </row>
    <row r="198">
      <c r="B198" s="6" t="str">
        <f>IFERROR(__xludf.DUMMYFUNCTION("""COMPUTED_VALUE"""),"gambling site instant withdrawal")</f>
        <v>gambling site instant withdrawal</v>
      </c>
    </row>
    <row r="199">
      <c r="B199" s="6" t="str">
        <f>IFERROR(__xludf.DUMMYFUNCTION("""COMPUTED_VALUE"""),"online gambling instant withdrawal")</f>
        <v>online gambling instant withdrawal</v>
      </c>
    </row>
    <row r="200">
      <c r="B200" s="6" t="str">
        <f>IFERROR(__xludf.DUMMYFUNCTION("""COMPUTED_VALUE"""),"live casino instant withdrawal")</f>
        <v>live casino instant withdrawal</v>
      </c>
    </row>
    <row r="201">
      <c r="B201" s="6" t="str">
        <f>IFERROR(__xludf.DUMMYFUNCTION("""COMPUTED_VALUE"""),"real money casino instant withdrawal")</f>
        <v>real money casino instant withdrawal</v>
      </c>
    </row>
    <row r="202">
      <c r="B202" s="6" t="str">
        <f>IFERROR(__xludf.DUMMYFUNCTION("""COMPUTED_VALUE"""),"online casino deposit")</f>
        <v>online casino deposit</v>
      </c>
    </row>
    <row r="203">
      <c r="B203" s="6" t="str">
        <f>IFERROR(__xludf.DUMMYFUNCTION("""COMPUTED_VALUE"""),"casino online deposit")</f>
        <v>casino online deposit</v>
      </c>
    </row>
    <row r="204">
      <c r="B204" s="6" t="str">
        <f>IFERROR(__xludf.DUMMYFUNCTION("""COMPUTED_VALUE"""),"online casinos deposit")</f>
        <v>online casinos deposit</v>
      </c>
    </row>
    <row r="205">
      <c r="B205" s="6" t="str">
        <f>IFERROR(__xludf.DUMMYFUNCTION("""COMPUTED_VALUE"""),"casino games deposit")</f>
        <v>casino games deposit</v>
      </c>
    </row>
    <row r="206">
      <c r="B206" s="6" t="str">
        <f>IFERROR(__xludf.DUMMYFUNCTION("""COMPUTED_VALUE"""),"online casino games deposit")</f>
        <v>online casino games deposit</v>
      </c>
    </row>
    <row r="207">
      <c r="B207" s="6" t="str">
        <f>IFERROR(__xludf.DUMMYFUNCTION("""COMPUTED_VALUE"""),"casino app deposit")</f>
        <v>casino app deposit</v>
      </c>
    </row>
    <row r="208">
      <c r="B208" s="6" t="str">
        <f>IFERROR(__xludf.DUMMYFUNCTION("""COMPUTED_VALUE"""),"gambling site deposit")</f>
        <v>gambling site deposit</v>
      </c>
    </row>
    <row r="209">
      <c r="B209" s="6" t="str">
        <f>IFERROR(__xludf.DUMMYFUNCTION("""COMPUTED_VALUE"""),"online gambling deposit")</f>
        <v>online gambling deposit</v>
      </c>
    </row>
    <row r="210">
      <c r="B210" s="6" t="str">
        <f>IFERROR(__xludf.DUMMYFUNCTION("""COMPUTED_VALUE"""),"live casino deposit")</f>
        <v>live casino deposit</v>
      </c>
    </row>
    <row r="211">
      <c r="B211" s="6" t="str">
        <f>IFERROR(__xludf.DUMMYFUNCTION("""COMPUTED_VALUE"""),"real money casino deposit")</f>
        <v>real money casino deposit</v>
      </c>
    </row>
    <row r="212">
      <c r="B212" s="6" t="str">
        <f>IFERROR(__xludf.DUMMYFUNCTION("""COMPUTED_VALUE"""),"online casino withdrawal")</f>
        <v>online casino withdrawal</v>
      </c>
    </row>
    <row r="213">
      <c r="B213" s="6" t="str">
        <f>IFERROR(__xludf.DUMMYFUNCTION("""COMPUTED_VALUE"""),"casino online withdrawal")</f>
        <v>casino online withdrawal</v>
      </c>
    </row>
    <row r="214">
      <c r="B214" s="6" t="str">
        <f>IFERROR(__xludf.DUMMYFUNCTION("""COMPUTED_VALUE"""),"online casinos withdrawal")</f>
        <v>online casinos withdrawal</v>
      </c>
    </row>
    <row r="215">
      <c r="B215" s="6" t="str">
        <f>IFERROR(__xludf.DUMMYFUNCTION("""COMPUTED_VALUE"""),"casino games withdrawal")</f>
        <v>casino games withdrawal</v>
      </c>
    </row>
    <row r="216">
      <c r="B216" s="6" t="str">
        <f>IFERROR(__xludf.DUMMYFUNCTION("""COMPUTED_VALUE"""),"online casino games withdrawal")</f>
        <v>online casino games withdrawal</v>
      </c>
    </row>
    <row r="217">
      <c r="B217" s="6" t="str">
        <f>IFERROR(__xludf.DUMMYFUNCTION("""COMPUTED_VALUE"""),"casino app withdrawal")</f>
        <v>casino app withdrawal</v>
      </c>
    </row>
    <row r="218">
      <c r="B218" s="6" t="str">
        <f>IFERROR(__xludf.DUMMYFUNCTION("""COMPUTED_VALUE"""),"gambling site withdrawal")</f>
        <v>gambling site withdrawal</v>
      </c>
    </row>
    <row r="219">
      <c r="B219" s="6" t="str">
        <f>IFERROR(__xludf.DUMMYFUNCTION("""COMPUTED_VALUE"""),"online gambling withdrawal")</f>
        <v>online gambling withdrawal</v>
      </c>
    </row>
    <row r="220">
      <c r="B220" s="6" t="str">
        <f>IFERROR(__xludf.DUMMYFUNCTION("""COMPUTED_VALUE"""),"live casino withdrawal")</f>
        <v>live casino withdrawal</v>
      </c>
    </row>
    <row r="221">
      <c r="B221" s="6" t="str">
        <f>IFERROR(__xludf.DUMMYFUNCTION("""COMPUTED_VALUE"""),"real money casino withdrawal")</f>
        <v>real money casino withdrawal</v>
      </c>
    </row>
    <row r="222">
      <c r="B222" s="6" t="str">
        <f>IFERROR(__xludf.DUMMYFUNCTION("""COMPUTED_VALUE"""),"online casino login")</f>
        <v>online casino login</v>
      </c>
    </row>
    <row r="223">
      <c r="B223" s="6" t="str">
        <f>IFERROR(__xludf.DUMMYFUNCTION("""COMPUTED_VALUE"""),"casino online login")</f>
        <v>casino online login</v>
      </c>
    </row>
    <row r="224">
      <c r="B224" s="6" t="str">
        <f>IFERROR(__xludf.DUMMYFUNCTION("""COMPUTED_VALUE"""),"online casinos login")</f>
        <v>online casinos login</v>
      </c>
    </row>
    <row r="225">
      <c r="B225" s="6" t="str">
        <f>IFERROR(__xludf.DUMMYFUNCTION("""COMPUTED_VALUE"""),"casino games login")</f>
        <v>casino games login</v>
      </c>
    </row>
    <row r="226">
      <c r="B226" s="6" t="str">
        <f>IFERROR(__xludf.DUMMYFUNCTION("""COMPUTED_VALUE"""),"online casino games login")</f>
        <v>online casino games login</v>
      </c>
    </row>
    <row r="227">
      <c r="B227" s="6" t="str">
        <f>IFERROR(__xludf.DUMMYFUNCTION("""COMPUTED_VALUE"""),"casino app login")</f>
        <v>casino app login</v>
      </c>
    </row>
    <row r="228">
      <c r="B228" s="6" t="str">
        <f>IFERROR(__xludf.DUMMYFUNCTION("""COMPUTED_VALUE"""),"gambling site login")</f>
        <v>gambling site login</v>
      </c>
    </row>
    <row r="229">
      <c r="B229" s="6" t="str">
        <f>IFERROR(__xludf.DUMMYFUNCTION("""COMPUTED_VALUE"""),"online gambling login")</f>
        <v>online gambling login</v>
      </c>
    </row>
    <row r="230">
      <c r="B230" s="6" t="str">
        <f>IFERROR(__xludf.DUMMYFUNCTION("""COMPUTED_VALUE"""),"live casino login")</f>
        <v>live casino login</v>
      </c>
    </row>
    <row r="231">
      <c r="B231" s="6" t="str">
        <f>IFERROR(__xludf.DUMMYFUNCTION("""COMPUTED_VALUE"""),"real money casino login")</f>
        <v>real money casino login</v>
      </c>
    </row>
    <row r="232">
      <c r="B232" s="6" t="str">
        <f>IFERROR(__xludf.DUMMYFUNCTION("""COMPUTED_VALUE"""),"online casino review")</f>
        <v>online casino review</v>
      </c>
    </row>
    <row r="233">
      <c r="B233" s="6" t="str">
        <f>IFERROR(__xludf.DUMMYFUNCTION("""COMPUTED_VALUE"""),"casino online review")</f>
        <v>casino online review</v>
      </c>
    </row>
    <row r="234">
      <c r="B234" s="6" t="str">
        <f>IFERROR(__xludf.DUMMYFUNCTION("""COMPUTED_VALUE"""),"online casinos review")</f>
        <v>online casinos review</v>
      </c>
    </row>
    <row r="235">
      <c r="B235" s="6" t="str">
        <f>IFERROR(__xludf.DUMMYFUNCTION("""COMPUTED_VALUE"""),"casino games review")</f>
        <v>casino games review</v>
      </c>
    </row>
    <row r="236">
      <c r="B236" s="6" t="str">
        <f>IFERROR(__xludf.DUMMYFUNCTION("""COMPUTED_VALUE"""),"online casino games review")</f>
        <v>online casino games review</v>
      </c>
    </row>
    <row r="237">
      <c r="B237" s="6" t="str">
        <f>IFERROR(__xludf.DUMMYFUNCTION("""COMPUTED_VALUE"""),"casino app review")</f>
        <v>casino app review</v>
      </c>
    </row>
    <row r="238">
      <c r="B238" s="6" t="str">
        <f>IFERROR(__xludf.DUMMYFUNCTION("""COMPUTED_VALUE"""),"gambling site review")</f>
        <v>gambling site review</v>
      </c>
    </row>
    <row r="239">
      <c r="B239" s="6" t="str">
        <f>IFERROR(__xludf.DUMMYFUNCTION("""COMPUTED_VALUE"""),"online gambling review")</f>
        <v>online gambling review</v>
      </c>
    </row>
    <row r="240">
      <c r="B240" s="6" t="str">
        <f>IFERROR(__xludf.DUMMYFUNCTION("""COMPUTED_VALUE"""),"live casino review")</f>
        <v>live casino review</v>
      </c>
    </row>
    <row r="241">
      <c r="B241" s="6" t="str">
        <f>IFERROR(__xludf.DUMMYFUNCTION("""COMPUTED_VALUE"""),"real money casino review")</f>
        <v>real money casino review</v>
      </c>
    </row>
    <row r="242">
      <c r="B242" s="6" t="str">
        <f>IFERROR(__xludf.DUMMYFUNCTION("""COMPUTED_VALUE"""),"online casino reviews")</f>
        <v>online casino reviews</v>
      </c>
    </row>
    <row r="243">
      <c r="B243" s="6" t="str">
        <f>IFERROR(__xludf.DUMMYFUNCTION("""COMPUTED_VALUE"""),"casino online reviews")</f>
        <v>casino online reviews</v>
      </c>
    </row>
    <row r="244">
      <c r="B244" s="6" t="str">
        <f>IFERROR(__xludf.DUMMYFUNCTION("""COMPUTED_VALUE"""),"online casinos reviews")</f>
        <v>online casinos reviews</v>
      </c>
    </row>
    <row r="245">
      <c r="B245" s="6" t="str">
        <f>IFERROR(__xludf.DUMMYFUNCTION("""COMPUTED_VALUE"""),"casino games reviews")</f>
        <v>casino games reviews</v>
      </c>
    </row>
    <row r="246">
      <c r="B246" s="6" t="str">
        <f>IFERROR(__xludf.DUMMYFUNCTION("""COMPUTED_VALUE"""),"online casino games reviews")</f>
        <v>online casino games reviews</v>
      </c>
    </row>
    <row r="247">
      <c r="B247" s="6" t="str">
        <f>IFERROR(__xludf.DUMMYFUNCTION("""COMPUTED_VALUE"""),"casino app reviews")</f>
        <v>casino app reviews</v>
      </c>
    </row>
    <row r="248">
      <c r="B248" s="6" t="str">
        <f>IFERROR(__xludf.DUMMYFUNCTION("""COMPUTED_VALUE"""),"gambling site reviews")</f>
        <v>gambling site reviews</v>
      </c>
    </row>
    <row r="249">
      <c r="B249" s="6" t="str">
        <f>IFERROR(__xludf.DUMMYFUNCTION("""COMPUTED_VALUE"""),"online gambling reviews")</f>
        <v>online gambling reviews</v>
      </c>
    </row>
    <row r="250">
      <c r="B250" s="6" t="str">
        <f>IFERROR(__xludf.DUMMYFUNCTION("""COMPUTED_VALUE"""),"live casino reviews")</f>
        <v>live casino reviews</v>
      </c>
    </row>
    <row r="251">
      <c r="B251" s="6" t="str">
        <f>IFERROR(__xludf.DUMMYFUNCTION("""COMPUTED_VALUE"""),"real money casino reviews")</f>
        <v>real money casino reviews</v>
      </c>
    </row>
    <row r="252">
      <c r="B252" s="6" t="str">
        <f>IFERROR(__xludf.DUMMYFUNCTION("""COMPUTED_VALUE"""),"online casino near me")</f>
        <v>online casino near me</v>
      </c>
    </row>
    <row r="253">
      <c r="B253" s="6" t="str">
        <f>IFERROR(__xludf.DUMMYFUNCTION("""COMPUTED_VALUE"""),"casino online near me")</f>
        <v>casino online near me</v>
      </c>
    </row>
    <row r="254">
      <c r="B254" s="6" t="str">
        <f>IFERROR(__xludf.DUMMYFUNCTION("""COMPUTED_VALUE"""),"online casinos near me")</f>
        <v>online casinos near me</v>
      </c>
    </row>
    <row r="255">
      <c r="B255" s="6" t="str">
        <f>IFERROR(__xludf.DUMMYFUNCTION("""COMPUTED_VALUE"""),"casino games near me")</f>
        <v>casino games near me</v>
      </c>
    </row>
    <row r="256">
      <c r="B256" s="6" t="str">
        <f>IFERROR(__xludf.DUMMYFUNCTION("""COMPUTED_VALUE"""),"online casino games near me")</f>
        <v>online casino games near me</v>
      </c>
    </row>
    <row r="257">
      <c r="B257" s="6" t="str">
        <f>IFERROR(__xludf.DUMMYFUNCTION("""COMPUTED_VALUE"""),"casino app near me")</f>
        <v>casino app near me</v>
      </c>
    </row>
    <row r="258">
      <c r="B258" s="6" t="str">
        <f>IFERROR(__xludf.DUMMYFUNCTION("""COMPUTED_VALUE"""),"gambling site near me")</f>
        <v>gambling site near me</v>
      </c>
    </row>
    <row r="259">
      <c r="B259" s="6" t="str">
        <f>IFERROR(__xludf.DUMMYFUNCTION("""COMPUTED_VALUE"""),"online gambling near me")</f>
        <v>online gambling near me</v>
      </c>
    </row>
    <row r="260">
      <c r="B260" s="6" t="str">
        <f>IFERROR(__xludf.DUMMYFUNCTION("""COMPUTED_VALUE"""),"live casino near me")</f>
        <v>live casino near me</v>
      </c>
    </row>
    <row r="261">
      <c r="B261" s="6" t="str">
        <f>IFERROR(__xludf.DUMMYFUNCTION("""COMPUTED_VALUE"""),"real money casino near me")</f>
        <v>real money casino near me</v>
      </c>
    </row>
    <row r="262">
      <c r="B262" s="6" t="str">
        <f>IFERROR(__xludf.DUMMYFUNCTION("""COMPUTED_VALUE"""),"online casino nassau")</f>
        <v>online casino nassau</v>
      </c>
    </row>
    <row r="263">
      <c r="B263" s="6" t="str">
        <f>IFERROR(__xludf.DUMMYFUNCTION("""COMPUTED_VALUE"""),"casino online nassau")</f>
        <v>casino online nassau</v>
      </c>
    </row>
    <row r="264">
      <c r="B264" s="6" t="str">
        <f>IFERROR(__xludf.DUMMYFUNCTION("""COMPUTED_VALUE"""),"online casinos nassau")</f>
        <v>online casinos nassau</v>
      </c>
    </row>
    <row r="265">
      <c r="B265" s="6" t="str">
        <f>IFERROR(__xludf.DUMMYFUNCTION("""COMPUTED_VALUE"""),"casino games nassau")</f>
        <v>casino games nassau</v>
      </c>
    </row>
    <row r="266">
      <c r="B266" s="6" t="str">
        <f>IFERROR(__xludf.DUMMYFUNCTION("""COMPUTED_VALUE"""),"online casino games nassau")</f>
        <v>online casino games nassau</v>
      </c>
    </row>
    <row r="267">
      <c r="B267" s="6" t="str">
        <f>IFERROR(__xludf.DUMMYFUNCTION("""COMPUTED_VALUE"""),"casino app nassau")</f>
        <v>casino app nassau</v>
      </c>
    </row>
    <row r="268">
      <c r="B268" s="6" t="str">
        <f>IFERROR(__xludf.DUMMYFUNCTION("""COMPUTED_VALUE"""),"gambling site nassau")</f>
        <v>gambling site nassau</v>
      </c>
    </row>
    <row r="269">
      <c r="B269" s="6" t="str">
        <f>IFERROR(__xludf.DUMMYFUNCTION("""COMPUTED_VALUE"""),"online gambling nassau")</f>
        <v>online gambling nassau</v>
      </c>
    </row>
    <row r="270">
      <c r="B270" s="6" t="str">
        <f>IFERROR(__xludf.DUMMYFUNCTION("""COMPUTED_VALUE"""),"live casino nassau")</f>
        <v>live casino nassau</v>
      </c>
    </row>
    <row r="271">
      <c r="B271" s="6" t="str">
        <f>IFERROR(__xludf.DUMMYFUNCTION("""COMPUTED_VALUE"""),"real money casino nassau")</f>
        <v>real money casino nassau</v>
      </c>
    </row>
    <row r="272">
      <c r="B272" s="6" t="str">
        <f>IFERROR(__xludf.DUMMYFUNCTION("""COMPUTED_VALUE"""),"online casino freeport")</f>
        <v>online casino freeport</v>
      </c>
    </row>
    <row r="273">
      <c r="B273" s="6" t="str">
        <f>IFERROR(__xludf.DUMMYFUNCTION("""COMPUTED_VALUE"""),"casino online freeport")</f>
        <v>casino online freeport</v>
      </c>
    </row>
    <row r="274">
      <c r="B274" s="6" t="str">
        <f>IFERROR(__xludf.DUMMYFUNCTION("""COMPUTED_VALUE"""),"online casinos freeport")</f>
        <v>online casinos freeport</v>
      </c>
    </row>
    <row r="275">
      <c r="B275" s="6" t="str">
        <f>IFERROR(__xludf.DUMMYFUNCTION("""COMPUTED_VALUE"""),"casino games freeport")</f>
        <v>casino games freeport</v>
      </c>
    </row>
    <row r="276">
      <c r="B276" s="6" t="str">
        <f>IFERROR(__xludf.DUMMYFUNCTION("""COMPUTED_VALUE"""),"online casino games freeport")</f>
        <v>online casino games freeport</v>
      </c>
    </row>
    <row r="277">
      <c r="B277" s="6" t="str">
        <f>IFERROR(__xludf.DUMMYFUNCTION("""COMPUTED_VALUE"""),"casino app freeport")</f>
        <v>casino app freeport</v>
      </c>
    </row>
    <row r="278">
      <c r="B278" s="6" t="str">
        <f>IFERROR(__xludf.DUMMYFUNCTION("""COMPUTED_VALUE"""),"gambling site freeport")</f>
        <v>gambling site freeport</v>
      </c>
    </row>
    <row r="279">
      <c r="B279" s="6" t="str">
        <f>IFERROR(__xludf.DUMMYFUNCTION("""COMPUTED_VALUE"""),"online gambling freeport")</f>
        <v>online gambling freeport</v>
      </c>
    </row>
    <row r="280">
      <c r="B280" s="6" t="str">
        <f>IFERROR(__xludf.DUMMYFUNCTION("""COMPUTED_VALUE"""),"live casino freeport")</f>
        <v>live casino freeport</v>
      </c>
    </row>
    <row r="281">
      <c r="B281" s="6" t="str">
        <f>IFERROR(__xludf.DUMMYFUNCTION("""COMPUTED_VALUE"""),"real money casino freeport")</f>
        <v>real money casino freeport</v>
      </c>
    </row>
    <row r="282">
      <c r="B282" s="6" t="str">
        <f>IFERROR(__xludf.DUMMYFUNCTION("""COMPUTED_VALUE"""),"online casino paradise games")</f>
        <v>online casino paradise games</v>
      </c>
    </row>
    <row r="283">
      <c r="B283" s="6" t="str">
        <f>IFERROR(__xludf.DUMMYFUNCTION("""COMPUTED_VALUE"""),"casino online paradise games")</f>
        <v>casino online paradise games</v>
      </c>
    </row>
    <row r="284">
      <c r="B284" s="6" t="str">
        <f>IFERROR(__xludf.DUMMYFUNCTION("""COMPUTED_VALUE"""),"online casinos paradise games")</f>
        <v>online casinos paradise games</v>
      </c>
    </row>
    <row r="285">
      <c r="B285" s="6" t="str">
        <f>IFERROR(__xludf.DUMMYFUNCTION("""COMPUTED_VALUE"""),"casino games paradise games")</f>
        <v>casino games paradise games</v>
      </c>
    </row>
    <row r="286">
      <c r="B286" s="6" t="str">
        <f>IFERROR(__xludf.DUMMYFUNCTION("""COMPUTED_VALUE"""),"online casino games paradise games")</f>
        <v>online casino games paradise games</v>
      </c>
    </row>
    <row r="287">
      <c r="B287" s="6" t="str">
        <f>IFERROR(__xludf.DUMMYFUNCTION("""COMPUTED_VALUE"""),"casino app paradise games")</f>
        <v>casino app paradise games</v>
      </c>
    </row>
    <row r="288">
      <c r="B288" s="6" t="str">
        <f>IFERROR(__xludf.DUMMYFUNCTION("""COMPUTED_VALUE"""),"gambling site paradise games")</f>
        <v>gambling site paradise games</v>
      </c>
    </row>
    <row r="289">
      <c r="B289" s="6" t="str">
        <f>IFERROR(__xludf.DUMMYFUNCTION("""COMPUTED_VALUE"""),"online gambling paradise games")</f>
        <v>online gambling paradise games</v>
      </c>
    </row>
    <row r="290">
      <c r="B290" s="6" t="str">
        <f>IFERROR(__xludf.DUMMYFUNCTION("""COMPUTED_VALUE"""),"live casino paradise games")</f>
        <v>live casino paradise games</v>
      </c>
    </row>
    <row r="291">
      <c r="B291" s="6" t="str">
        <f>IFERROR(__xludf.DUMMYFUNCTION("""COMPUTED_VALUE"""),"real money casino paradise games")</f>
        <v>real money casino paradise games</v>
      </c>
    </row>
    <row r="292">
      <c r="B292" s="6" t="str">
        <f>IFERROR(__xludf.DUMMYFUNCTION("""COMPUTED_VALUE"""),"online casino island luck")</f>
        <v>online casino island luck</v>
      </c>
    </row>
    <row r="293">
      <c r="B293" s="6" t="str">
        <f>IFERROR(__xludf.DUMMYFUNCTION("""COMPUTED_VALUE"""),"casino online island luck")</f>
        <v>casino online island luck</v>
      </c>
    </row>
    <row r="294">
      <c r="B294" s="6" t="str">
        <f>IFERROR(__xludf.DUMMYFUNCTION("""COMPUTED_VALUE"""),"online casinos island luck")</f>
        <v>online casinos island luck</v>
      </c>
    </row>
    <row r="295">
      <c r="B295" s="6" t="str">
        <f>IFERROR(__xludf.DUMMYFUNCTION("""COMPUTED_VALUE"""),"casino games island luck")</f>
        <v>casino games island luck</v>
      </c>
    </row>
    <row r="296">
      <c r="B296" s="6" t="str">
        <f>IFERROR(__xludf.DUMMYFUNCTION("""COMPUTED_VALUE"""),"online casino games island luck")</f>
        <v>online casino games island luck</v>
      </c>
    </row>
    <row r="297">
      <c r="B297" s="6" t="str">
        <f>IFERROR(__xludf.DUMMYFUNCTION("""COMPUTED_VALUE"""),"casino app island luck")</f>
        <v>casino app island luck</v>
      </c>
    </row>
    <row r="298">
      <c r="B298" s="6" t="str">
        <f>IFERROR(__xludf.DUMMYFUNCTION("""COMPUTED_VALUE"""),"gambling site island luck")</f>
        <v>gambling site island luck</v>
      </c>
    </row>
    <row r="299">
      <c r="B299" s="6" t="str">
        <f>IFERROR(__xludf.DUMMYFUNCTION("""COMPUTED_VALUE"""),"online gambling island luck")</f>
        <v>online gambling island luck</v>
      </c>
    </row>
    <row r="300">
      <c r="B300" s="6" t="str">
        <f>IFERROR(__xludf.DUMMYFUNCTION("""COMPUTED_VALUE"""),"live casino island luck")</f>
        <v>live casino island luck</v>
      </c>
    </row>
    <row r="301">
      <c r="B301" s="6" t="str">
        <f>IFERROR(__xludf.DUMMYFUNCTION("""COMPUTED_VALUE"""),"real money casino island luck")</f>
        <v>real money casino island luck</v>
      </c>
    </row>
    <row r="302">
      <c r="B302" s="6" t="str">
        <f>IFERROR(__xludf.DUMMYFUNCTION("""COMPUTED_VALUE"""),"online casino chances")</f>
        <v>online casino chances</v>
      </c>
    </row>
    <row r="303">
      <c r="B303" s="6" t="str">
        <f>IFERROR(__xludf.DUMMYFUNCTION("""COMPUTED_VALUE"""),"casino online chances")</f>
        <v>casino online chances</v>
      </c>
    </row>
    <row r="304">
      <c r="B304" s="6" t="str">
        <f>IFERROR(__xludf.DUMMYFUNCTION("""COMPUTED_VALUE"""),"online casinos chances")</f>
        <v>online casinos chances</v>
      </c>
    </row>
    <row r="305">
      <c r="B305" s="6" t="str">
        <f>IFERROR(__xludf.DUMMYFUNCTION("""COMPUTED_VALUE"""),"casino games chances")</f>
        <v>casino games chances</v>
      </c>
    </row>
    <row r="306">
      <c r="B306" s="6" t="str">
        <f>IFERROR(__xludf.DUMMYFUNCTION("""COMPUTED_VALUE"""),"online casino games chances")</f>
        <v>online casino games chances</v>
      </c>
    </row>
    <row r="307">
      <c r="B307" s="6" t="str">
        <f>IFERROR(__xludf.DUMMYFUNCTION("""COMPUTED_VALUE"""),"casino app chances")</f>
        <v>casino app chances</v>
      </c>
    </row>
    <row r="308">
      <c r="B308" s="6" t="str">
        <f>IFERROR(__xludf.DUMMYFUNCTION("""COMPUTED_VALUE"""),"gambling site chances")</f>
        <v>gambling site chances</v>
      </c>
    </row>
    <row r="309">
      <c r="B309" s="6" t="str">
        <f>IFERROR(__xludf.DUMMYFUNCTION("""COMPUTED_VALUE"""),"online gambling chances")</f>
        <v>online gambling chances</v>
      </c>
    </row>
    <row r="310">
      <c r="B310" s="6" t="str">
        <f>IFERROR(__xludf.DUMMYFUNCTION("""COMPUTED_VALUE"""),"live casino chances")</f>
        <v>live casino chances</v>
      </c>
    </row>
    <row r="311">
      <c r="B311" s="6" t="str">
        <f>IFERROR(__xludf.DUMMYFUNCTION("""COMPUTED_VALUE"""),"real money casino chances")</f>
        <v>real money casino chances</v>
      </c>
    </row>
    <row r="312">
      <c r="B312" s="6" t="str">
        <f>IFERROR(__xludf.DUMMYFUNCTION("""COMPUTED_VALUE"""),"online casino ultra games")</f>
        <v>online casino ultra games</v>
      </c>
    </row>
    <row r="313">
      <c r="B313" s="6" t="str">
        <f>IFERROR(__xludf.DUMMYFUNCTION("""COMPUTED_VALUE"""),"casino online ultra games")</f>
        <v>casino online ultra games</v>
      </c>
    </row>
    <row r="314">
      <c r="B314" s="6" t="str">
        <f>IFERROR(__xludf.DUMMYFUNCTION("""COMPUTED_VALUE"""),"online casinos ultra games")</f>
        <v>online casinos ultra games</v>
      </c>
    </row>
    <row r="315">
      <c r="B315" s="6" t="str">
        <f>IFERROR(__xludf.DUMMYFUNCTION("""COMPUTED_VALUE"""),"casino games ultra games")</f>
        <v>casino games ultra games</v>
      </c>
    </row>
    <row r="316">
      <c r="B316" s="6" t="str">
        <f>IFERROR(__xludf.DUMMYFUNCTION("""COMPUTED_VALUE"""),"online casino games ultra games")</f>
        <v>online casino games ultra games</v>
      </c>
    </row>
    <row r="317">
      <c r="B317" s="6" t="str">
        <f>IFERROR(__xludf.DUMMYFUNCTION("""COMPUTED_VALUE"""),"casino app ultra games")</f>
        <v>casino app ultra games</v>
      </c>
    </row>
    <row r="318">
      <c r="B318" s="6" t="str">
        <f>IFERROR(__xludf.DUMMYFUNCTION("""COMPUTED_VALUE"""),"gambling site ultra games")</f>
        <v>gambling site ultra games</v>
      </c>
    </row>
    <row r="319">
      <c r="B319" s="6" t="str">
        <f>IFERROR(__xludf.DUMMYFUNCTION("""COMPUTED_VALUE"""),"online gambling ultra games")</f>
        <v>online gambling ultra games</v>
      </c>
    </row>
    <row r="320">
      <c r="B320" s="6" t="str">
        <f>IFERROR(__xludf.DUMMYFUNCTION("""COMPUTED_VALUE"""),"live casino ultra games")</f>
        <v>live casino ultra games</v>
      </c>
    </row>
    <row r="321">
      <c r="B321" s="6" t="str">
        <f>IFERROR(__xludf.DUMMYFUNCTION("""COMPUTED_VALUE"""),"real money casino ultra games")</f>
        <v>real money casino ultra games</v>
      </c>
    </row>
    <row r="322">
      <c r="B322" s="6" t="str">
        <f>IFERROR(__xludf.DUMMYFUNCTION("""COMPUTED_VALUE"""),"online casino blackjack")</f>
        <v>online casino blackjack</v>
      </c>
    </row>
    <row r="323">
      <c r="B323" s="6" t="str">
        <f>IFERROR(__xludf.DUMMYFUNCTION("""COMPUTED_VALUE"""),"casino online blackjack")</f>
        <v>casino online blackjack</v>
      </c>
    </row>
    <row r="324">
      <c r="B324" s="6" t="str">
        <f>IFERROR(__xludf.DUMMYFUNCTION("""COMPUTED_VALUE"""),"online casinos blackjack")</f>
        <v>online casinos blackjack</v>
      </c>
    </row>
    <row r="325">
      <c r="B325" s="6" t="str">
        <f>IFERROR(__xludf.DUMMYFUNCTION("""COMPUTED_VALUE"""),"casino games blackjack")</f>
        <v>casino games blackjack</v>
      </c>
    </row>
    <row r="326">
      <c r="B326" s="6" t="str">
        <f>IFERROR(__xludf.DUMMYFUNCTION("""COMPUTED_VALUE"""),"online casino games blackjack")</f>
        <v>online casino games blackjack</v>
      </c>
    </row>
    <row r="327">
      <c r="B327" s="6" t="str">
        <f>IFERROR(__xludf.DUMMYFUNCTION("""COMPUTED_VALUE"""),"casino app blackjack")</f>
        <v>casino app blackjack</v>
      </c>
    </row>
    <row r="328">
      <c r="B328" s="6" t="str">
        <f>IFERROR(__xludf.DUMMYFUNCTION("""COMPUTED_VALUE"""),"gambling site blackjack")</f>
        <v>gambling site blackjack</v>
      </c>
    </row>
    <row r="329">
      <c r="B329" s="6" t="str">
        <f>IFERROR(__xludf.DUMMYFUNCTION("""COMPUTED_VALUE"""),"online gambling blackjack")</f>
        <v>online gambling blackjack</v>
      </c>
    </row>
    <row r="330">
      <c r="B330" s="6" t="str">
        <f>IFERROR(__xludf.DUMMYFUNCTION("""COMPUTED_VALUE"""),"live casino blackjack")</f>
        <v>live casino blackjack</v>
      </c>
    </row>
    <row r="331">
      <c r="B331" s="6" t="str">
        <f>IFERROR(__xludf.DUMMYFUNCTION("""COMPUTED_VALUE"""),"real money casino blackjack")</f>
        <v>real money casino blackjack</v>
      </c>
    </row>
    <row r="332">
      <c r="B332" s="6" t="str">
        <f>IFERROR(__xludf.DUMMYFUNCTION("""COMPUTED_VALUE"""),"online casino roulette")</f>
        <v>online casino roulette</v>
      </c>
    </row>
    <row r="333">
      <c r="B333" s="6" t="str">
        <f>IFERROR(__xludf.DUMMYFUNCTION("""COMPUTED_VALUE"""),"casino online roulette")</f>
        <v>casino online roulette</v>
      </c>
    </row>
    <row r="334">
      <c r="B334" s="6" t="str">
        <f>IFERROR(__xludf.DUMMYFUNCTION("""COMPUTED_VALUE"""),"online casinos roulette")</f>
        <v>online casinos roulette</v>
      </c>
    </row>
    <row r="335">
      <c r="B335" s="6" t="str">
        <f>IFERROR(__xludf.DUMMYFUNCTION("""COMPUTED_VALUE"""),"casino games roulette")</f>
        <v>casino games roulette</v>
      </c>
    </row>
    <row r="336">
      <c r="B336" s="6" t="str">
        <f>IFERROR(__xludf.DUMMYFUNCTION("""COMPUTED_VALUE"""),"online casino games roulette")</f>
        <v>online casino games roulette</v>
      </c>
    </row>
    <row r="337">
      <c r="B337" s="6" t="str">
        <f>IFERROR(__xludf.DUMMYFUNCTION("""COMPUTED_VALUE"""),"casino app roulette")</f>
        <v>casino app roulette</v>
      </c>
    </row>
    <row r="338">
      <c r="B338" s="6" t="str">
        <f>IFERROR(__xludf.DUMMYFUNCTION("""COMPUTED_VALUE"""),"gambling site roulette")</f>
        <v>gambling site roulette</v>
      </c>
    </row>
    <row r="339">
      <c r="B339" s="6" t="str">
        <f>IFERROR(__xludf.DUMMYFUNCTION("""COMPUTED_VALUE"""),"online gambling roulette")</f>
        <v>online gambling roulette</v>
      </c>
    </row>
    <row r="340">
      <c r="B340" s="6" t="str">
        <f>IFERROR(__xludf.DUMMYFUNCTION("""COMPUTED_VALUE"""),"live casino roulette")</f>
        <v>live casino roulette</v>
      </c>
    </row>
    <row r="341">
      <c r="B341" s="6" t="str">
        <f>IFERROR(__xludf.DUMMYFUNCTION("""COMPUTED_VALUE"""),"real money casino roulette")</f>
        <v>real money casino roulette</v>
      </c>
    </row>
    <row r="342">
      <c r="B342" s="6" t="str">
        <f>IFERROR(__xludf.DUMMYFUNCTION("""COMPUTED_VALUE"""),"online casino slots")</f>
        <v>online casino slots</v>
      </c>
    </row>
    <row r="343">
      <c r="B343" s="6" t="str">
        <f>IFERROR(__xludf.DUMMYFUNCTION("""COMPUTED_VALUE"""),"casino online slots")</f>
        <v>casino online slots</v>
      </c>
    </row>
    <row r="344">
      <c r="B344" s="6" t="str">
        <f>IFERROR(__xludf.DUMMYFUNCTION("""COMPUTED_VALUE"""),"online casinos slots")</f>
        <v>online casinos slots</v>
      </c>
    </row>
    <row r="345">
      <c r="B345" s="6" t="str">
        <f>IFERROR(__xludf.DUMMYFUNCTION("""COMPUTED_VALUE"""),"casino games slots")</f>
        <v>casino games slots</v>
      </c>
    </row>
    <row r="346">
      <c r="B346" s="6" t="str">
        <f>IFERROR(__xludf.DUMMYFUNCTION("""COMPUTED_VALUE"""),"online casino games slots")</f>
        <v>online casino games slots</v>
      </c>
    </row>
    <row r="347">
      <c r="B347" s="6" t="str">
        <f>IFERROR(__xludf.DUMMYFUNCTION("""COMPUTED_VALUE"""),"casino app slots")</f>
        <v>casino app slots</v>
      </c>
    </row>
    <row r="348">
      <c r="B348" s="6" t="str">
        <f>IFERROR(__xludf.DUMMYFUNCTION("""COMPUTED_VALUE"""),"gambling site slots")</f>
        <v>gambling site slots</v>
      </c>
    </row>
    <row r="349">
      <c r="B349" s="6" t="str">
        <f>IFERROR(__xludf.DUMMYFUNCTION("""COMPUTED_VALUE"""),"online gambling slots")</f>
        <v>online gambling slots</v>
      </c>
    </row>
    <row r="350">
      <c r="B350" s="6" t="str">
        <f>IFERROR(__xludf.DUMMYFUNCTION("""COMPUTED_VALUE"""),"live casino slots")</f>
        <v>live casino slots</v>
      </c>
    </row>
    <row r="351">
      <c r="B351" s="6" t="str">
        <f>IFERROR(__xludf.DUMMYFUNCTION("""COMPUTED_VALUE"""),"real money casino slots")</f>
        <v>real money casino slots</v>
      </c>
    </row>
    <row r="352">
      <c r="B352" s="6" t="str">
        <f>IFERROR(__xludf.DUMMYFUNCTION("""COMPUTED_VALUE"""),"online casino")</f>
        <v>online casino</v>
      </c>
    </row>
    <row r="353">
      <c r="B353" s="6" t="str">
        <f>IFERROR(__xludf.DUMMYFUNCTION("""COMPUTED_VALUE"""),"casino online")</f>
        <v>casino online</v>
      </c>
    </row>
    <row r="354">
      <c r="B354" s="6" t="str">
        <f>IFERROR(__xludf.DUMMYFUNCTION("""COMPUTED_VALUE"""),"online casinos")</f>
        <v>online casinos</v>
      </c>
    </row>
    <row r="355">
      <c r="B355" s="6" t="str">
        <f>IFERROR(__xludf.DUMMYFUNCTION("""COMPUTED_VALUE"""),"casino games")</f>
        <v>casino games</v>
      </c>
    </row>
    <row r="356">
      <c r="B356" s="6" t="str">
        <f>IFERROR(__xludf.DUMMYFUNCTION("""COMPUTED_VALUE"""),"online casino games")</f>
        <v>online casino games</v>
      </c>
    </row>
    <row r="357">
      <c r="B357" s="6" t="str">
        <f>IFERROR(__xludf.DUMMYFUNCTION("""COMPUTED_VALUE"""),"casino app")</f>
        <v>casino app</v>
      </c>
    </row>
    <row r="358">
      <c r="B358" s="6" t="str">
        <f>IFERROR(__xludf.DUMMYFUNCTION("""COMPUTED_VALUE"""),"gambling site")</f>
        <v>gambling site</v>
      </c>
    </row>
    <row r="359">
      <c r="B359" s="6" t="str">
        <f>IFERROR(__xludf.DUMMYFUNCTION("""COMPUTED_VALUE"""),"online gambling")</f>
        <v>online gambling</v>
      </c>
    </row>
    <row r="360">
      <c r="B360" s="6" t="str">
        <f>IFERROR(__xludf.DUMMYFUNCTION("""COMPUTED_VALUE"""),"live casino")</f>
        <v>live casino</v>
      </c>
    </row>
    <row r="361">
      <c r="B361" s="6" t="str">
        <f>IFERROR(__xludf.DUMMYFUNCTION("""COMPUTED_VALUE"""),"real money casino")</f>
        <v>real money casino</v>
      </c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20</v>
      </c>
      <c r="C2" s="7" t="s">
        <v>21</v>
      </c>
      <c r="D2" s="5">
        <v>93.0</v>
      </c>
      <c r="E2" s="5">
        <v>150.0</v>
      </c>
      <c r="H2" s="5">
        <v>888.0</v>
      </c>
      <c r="I2" s="8">
        <v>46088.629895833335</v>
      </c>
      <c r="J2" s="5" t="s">
        <v>32</v>
      </c>
      <c r="K2" s="5">
        <v>899000.0</v>
      </c>
      <c r="L2" s="5">
        <v>60.0</v>
      </c>
      <c r="M2" s="5">
        <v>1080000.0</v>
      </c>
      <c r="N2" s="9">
        <v>43843.0</v>
      </c>
      <c r="O2" s="5" t="s">
        <v>38</v>
      </c>
      <c r="P2" s="5" t="s">
        <v>26</v>
      </c>
      <c r="S2" s="5" t="s">
        <v>40</v>
      </c>
    </row>
    <row r="3">
      <c r="A3" s="5">
        <v>2.0</v>
      </c>
      <c r="B3" s="5" t="s">
        <v>42</v>
      </c>
      <c r="C3" s="5" t="s">
        <v>21</v>
      </c>
      <c r="D3" s="5">
        <v>86.0</v>
      </c>
      <c r="E3" s="5">
        <v>150.0</v>
      </c>
      <c r="H3" s="5" t="s">
        <v>20</v>
      </c>
      <c r="I3" s="8">
        <v>46122.787777777776</v>
      </c>
      <c r="J3" s="5" t="s">
        <v>32</v>
      </c>
      <c r="K3" s="5">
        <v>1830000.0</v>
      </c>
      <c r="L3" s="5">
        <v>20.0</v>
      </c>
      <c r="M3" s="5">
        <v>155000.0</v>
      </c>
      <c r="N3" s="9">
        <v>42718.0</v>
      </c>
      <c r="O3" s="5" t="s">
        <v>38</v>
      </c>
      <c r="P3" s="5" t="s">
        <v>26</v>
      </c>
      <c r="S3" s="5" t="s">
        <v>45</v>
      </c>
    </row>
    <row r="4">
      <c r="A4" s="5">
        <v>3.0</v>
      </c>
      <c r="B4" s="5" t="s">
        <v>53</v>
      </c>
      <c r="C4" s="5" t="s">
        <v>21</v>
      </c>
      <c r="D4" s="5">
        <v>61.0</v>
      </c>
      <c r="E4" s="5">
        <v>80.0</v>
      </c>
      <c r="K4" s="5">
        <v>90.0</v>
      </c>
      <c r="N4" s="9">
        <v>45682.0</v>
      </c>
    </row>
    <row r="5">
      <c r="A5" s="5">
        <v>4.0</v>
      </c>
      <c r="B5" s="5" t="s">
        <v>57</v>
      </c>
      <c r="C5" s="5" t="s">
        <v>21</v>
      </c>
      <c r="D5" s="5">
        <v>90.0</v>
      </c>
      <c r="E5" s="5">
        <v>60.0</v>
      </c>
      <c r="K5" s="5">
        <v>15000.0</v>
      </c>
      <c r="N5" s="9">
        <v>43884.0</v>
      </c>
    </row>
    <row r="6">
      <c r="A6" s="5">
        <v>5.0</v>
      </c>
      <c r="B6" s="5" t="s">
        <v>61</v>
      </c>
      <c r="C6" s="5" t="s">
        <v>21</v>
      </c>
      <c r="D6" s="5">
        <v>89.0</v>
      </c>
      <c r="E6" s="5">
        <v>30.0</v>
      </c>
      <c r="F6" s="5">
        <v>0.9</v>
      </c>
      <c r="H6" s="5" t="s">
        <v>61</v>
      </c>
      <c r="I6" s="8">
        <v>46155.5746875</v>
      </c>
      <c r="J6" s="5" t="s">
        <v>65</v>
      </c>
      <c r="K6" s="5">
        <v>131000.0</v>
      </c>
      <c r="L6" s="5">
        <v>10.0</v>
      </c>
      <c r="M6" s="5">
        <v>19000.0</v>
      </c>
      <c r="N6" s="9">
        <v>42267.0</v>
      </c>
      <c r="O6" s="5" t="s">
        <v>69</v>
      </c>
      <c r="P6" s="5" t="s">
        <v>26</v>
      </c>
      <c r="S6" s="5" t="s">
        <v>29</v>
      </c>
    </row>
    <row r="7">
      <c r="A7" s="5">
        <v>6.0</v>
      </c>
      <c r="B7" s="5" t="s">
        <v>72</v>
      </c>
      <c r="C7" s="5" t="s">
        <v>21</v>
      </c>
      <c r="D7" s="5">
        <v>86.0</v>
      </c>
      <c r="E7" s="5">
        <v>10.0</v>
      </c>
      <c r="F7" s="5">
        <v>0.25</v>
      </c>
      <c r="H7" s="5" t="s">
        <v>72</v>
      </c>
      <c r="I7" s="8">
        <v>46117.77386574074</v>
      </c>
      <c r="J7" s="5" t="s">
        <v>77</v>
      </c>
      <c r="K7" s="5">
        <v>87000.0</v>
      </c>
      <c r="L7" s="5">
        <v>0.0</v>
      </c>
      <c r="M7" s="5">
        <v>37000.0</v>
      </c>
      <c r="N7" s="9">
        <v>43840.0</v>
      </c>
      <c r="O7" s="5" t="s">
        <v>69</v>
      </c>
      <c r="P7" s="5" t="s">
        <v>26</v>
      </c>
      <c r="S7" s="5" t="s">
        <v>45</v>
      </c>
    </row>
    <row r="8">
      <c r="A8" s="5">
        <v>7.0</v>
      </c>
      <c r="B8" s="5" t="s">
        <v>83</v>
      </c>
      <c r="C8" s="5" t="s">
        <v>21</v>
      </c>
      <c r="D8" s="5">
        <v>88.0</v>
      </c>
      <c r="E8" s="5">
        <v>10.0</v>
      </c>
      <c r="K8" s="5">
        <v>45000.0</v>
      </c>
      <c r="N8" s="9">
        <v>43865.0</v>
      </c>
    </row>
    <row r="9">
      <c r="A9" s="5">
        <v>8.0</v>
      </c>
      <c r="B9" s="5" t="s">
        <v>88</v>
      </c>
      <c r="C9" s="5" t="s">
        <v>21</v>
      </c>
      <c r="D9" s="5">
        <v>85.0</v>
      </c>
      <c r="E9" s="5">
        <v>10.0</v>
      </c>
      <c r="K9" s="5">
        <v>75000.0</v>
      </c>
      <c r="N9" s="9">
        <v>42488.0</v>
      </c>
    </row>
    <row r="10">
      <c r="A10" s="5">
        <v>9.0</v>
      </c>
      <c r="B10" s="5" t="s">
        <v>92</v>
      </c>
      <c r="C10" s="5" t="s">
        <v>21</v>
      </c>
      <c r="D10" s="5">
        <v>88.0</v>
      </c>
      <c r="E10" s="5">
        <v>10.0</v>
      </c>
      <c r="H10" s="5" t="s">
        <v>61</v>
      </c>
      <c r="I10" s="8">
        <v>46163.41306712963</v>
      </c>
      <c r="J10" s="5" t="s">
        <v>95</v>
      </c>
      <c r="K10" s="5">
        <v>58000.0</v>
      </c>
      <c r="L10" s="5">
        <v>0.0</v>
      </c>
      <c r="M10" s="5">
        <v>24000.0</v>
      </c>
      <c r="N10" s="9">
        <v>42895.0</v>
      </c>
      <c r="O10" s="5" t="s">
        <v>38</v>
      </c>
      <c r="P10" s="5" t="s">
        <v>26</v>
      </c>
      <c r="S10" s="5" t="s">
        <v>40</v>
      </c>
    </row>
    <row r="11">
      <c r="A11" s="5">
        <v>10.0</v>
      </c>
      <c r="B11" s="5" t="s">
        <v>98</v>
      </c>
      <c r="C11" s="5" t="s">
        <v>21</v>
      </c>
      <c r="D11" s="5">
        <v>82.0</v>
      </c>
      <c r="E11" s="5">
        <v>10.0</v>
      </c>
      <c r="K11" s="5">
        <v>32000.0</v>
      </c>
      <c r="N11" s="9">
        <v>43857.0</v>
      </c>
    </row>
    <row r="12">
      <c r="A12" s="5">
        <v>11.0</v>
      </c>
      <c r="B12" s="5" t="s">
        <v>102</v>
      </c>
      <c r="C12" s="5" t="s">
        <v>21</v>
      </c>
      <c r="D12" s="5">
        <v>83.0</v>
      </c>
      <c r="E12" s="5">
        <v>10.0</v>
      </c>
      <c r="K12" s="5">
        <v>600.0</v>
      </c>
      <c r="N12" s="9">
        <v>42345.0</v>
      </c>
    </row>
    <row r="13">
      <c r="A13" s="5">
        <v>12.0</v>
      </c>
      <c r="B13" s="5" t="s">
        <v>106</v>
      </c>
      <c r="C13" s="5" t="s">
        <v>21</v>
      </c>
      <c r="D13" s="5">
        <v>86.0</v>
      </c>
      <c r="E13" s="5">
        <v>10.0</v>
      </c>
      <c r="H13" s="5" t="s">
        <v>42</v>
      </c>
      <c r="I13" s="8">
        <v>46076.74707175926</v>
      </c>
      <c r="K13" s="5">
        <v>173000.0</v>
      </c>
      <c r="L13" s="5">
        <v>150.0</v>
      </c>
      <c r="M13" s="5">
        <v>1050000.0</v>
      </c>
      <c r="N13" s="9">
        <v>42849.0</v>
      </c>
      <c r="O13" s="5" t="s">
        <v>69</v>
      </c>
      <c r="P13" s="5" t="s">
        <v>26</v>
      </c>
      <c r="S13" s="5" t="s">
        <v>45</v>
      </c>
    </row>
    <row r="14">
      <c r="A14" s="5">
        <v>13.0</v>
      </c>
      <c r="B14" s="5" t="s">
        <v>110</v>
      </c>
      <c r="C14" s="5" t="s">
        <v>21</v>
      </c>
      <c r="K14" s="5">
        <v>600.0</v>
      </c>
      <c r="N14" s="9">
        <v>44579.0</v>
      </c>
    </row>
    <row r="15">
      <c r="A15" s="5">
        <v>14.0</v>
      </c>
      <c r="B15" s="5" t="s">
        <v>113</v>
      </c>
      <c r="C15" s="5" t="s">
        <v>21</v>
      </c>
      <c r="K15" s="5">
        <v>3700.0</v>
      </c>
      <c r="N15" s="9">
        <v>44223.0</v>
      </c>
    </row>
    <row r="16">
      <c r="A16" s="5">
        <v>15.0</v>
      </c>
      <c r="B16" s="5" t="s">
        <v>116</v>
      </c>
      <c r="C16" s="5" t="s">
        <v>21</v>
      </c>
      <c r="K16" s="5">
        <v>12000.0</v>
      </c>
      <c r="N16" s="9">
        <v>43855.0</v>
      </c>
    </row>
    <row r="17">
      <c r="A17" s="5">
        <v>16.0</v>
      </c>
      <c r="B17" s="5" t="s">
        <v>120</v>
      </c>
      <c r="C17" s="5" t="s">
        <v>21</v>
      </c>
      <c r="K17" s="5">
        <v>5900.0</v>
      </c>
      <c r="N17" s="9">
        <v>43864.0</v>
      </c>
    </row>
    <row r="18">
      <c r="A18" s="5">
        <v>17.0</v>
      </c>
      <c r="B18" s="5" t="s">
        <v>124</v>
      </c>
      <c r="C18" s="5" t="s">
        <v>21</v>
      </c>
      <c r="K18" s="5">
        <v>2300.0</v>
      </c>
      <c r="N18" s="9">
        <v>44253.0</v>
      </c>
    </row>
    <row r="19">
      <c r="A19" s="5">
        <v>18.0</v>
      </c>
      <c r="B19" s="5" t="s">
        <v>128</v>
      </c>
      <c r="C19" s="5" t="s">
        <v>21</v>
      </c>
      <c r="K19" s="5">
        <v>13000.0</v>
      </c>
      <c r="N19" s="9">
        <v>43898.0</v>
      </c>
    </row>
    <row r="20">
      <c r="A20" s="5">
        <v>19.0</v>
      </c>
      <c r="B20" s="5" t="s">
        <v>132</v>
      </c>
      <c r="C20" s="5" t="s">
        <v>21</v>
      </c>
      <c r="K20" s="5">
        <v>200.0</v>
      </c>
      <c r="N20" s="9">
        <v>45097.0</v>
      </c>
    </row>
    <row r="21">
      <c r="A21" s="5">
        <v>20.0</v>
      </c>
      <c r="B21" s="5" t="s">
        <v>134</v>
      </c>
      <c r="C21" s="5" t="s">
        <v>21</v>
      </c>
      <c r="K21" s="5">
        <v>6600.0</v>
      </c>
      <c r="N21" s="9">
        <v>43878.0</v>
      </c>
    </row>
    <row r="22">
      <c r="A22" s="5">
        <v>21.0</v>
      </c>
      <c r="B22" s="5" t="s">
        <v>138</v>
      </c>
      <c r="C22" s="5" t="s">
        <v>21</v>
      </c>
      <c r="K22" s="5">
        <v>150.0</v>
      </c>
      <c r="N22" s="9">
        <v>44542.0</v>
      </c>
    </row>
    <row r="23">
      <c r="A23" s="5">
        <v>22.0</v>
      </c>
      <c r="B23" s="5" t="s">
        <v>140</v>
      </c>
      <c r="C23" s="5" t="s">
        <v>21</v>
      </c>
      <c r="K23" s="5">
        <v>8700.0</v>
      </c>
      <c r="N23" s="9">
        <v>43939.0</v>
      </c>
    </row>
    <row r="24">
      <c r="A24" s="5">
        <v>23.0</v>
      </c>
      <c r="B24" s="5" t="s">
        <v>142</v>
      </c>
      <c r="C24" s="5" t="s">
        <v>21</v>
      </c>
      <c r="K24" s="5">
        <v>1600.0</v>
      </c>
      <c r="N24" s="9">
        <v>44622.0</v>
      </c>
    </row>
    <row r="25">
      <c r="A25" s="5">
        <v>24.0</v>
      </c>
      <c r="B25" s="5" t="s">
        <v>144</v>
      </c>
      <c r="C25" s="5" t="s">
        <v>21</v>
      </c>
      <c r="K25" s="5">
        <v>5600.0</v>
      </c>
      <c r="N25" s="9">
        <v>44531.0</v>
      </c>
    </row>
    <row r="26">
      <c r="A26" s="5">
        <v>25.0</v>
      </c>
      <c r="B26" s="5" t="s">
        <v>146</v>
      </c>
      <c r="C26" s="5" t="s">
        <v>21</v>
      </c>
      <c r="K26" s="5">
        <v>150.0</v>
      </c>
      <c r="N26" s="9">
        <v>45464.0</v>
      </c>
    </row>
    <row r="27">
      <c r="A27" s="5">
        <v>26.0</v>
      </c>
      <c r="B27" s="5" t="s">
        <v>149</v>
      </c>
      <c r="C27" s="5" t="s">
        <v>21</v>
      </c>
      <c r="K27" s="5">
        <v>1100.0</v>
      </c>
      <c r="N27" s="9">
        <v>44996.0</v>
      </c>
    </row>
    <row r="28">
      <c r="A28" s="5">
        <v>27.0</v>
      </c>
      <c r="B28" s="5" t="s">
        <v>152</v>
      </c>
      <c r="C28" s="5" t="s">
        <v>21</v>
      </c>
      <c r="K28" s="5">
        <v>250.0</v>
      </c>
      <c r="N28" s="9">
        <v>44326.0</v>
      </c>
    </row>
    <row r="29">
      <c r="A29" s="5">
        <v>28.0</v>
      </c>
      <c r="B29" s="5" t="s">
        <v>156</v>
      </c>
      <c r="C29" s="5" t="s">
        <v>21</v>
      </c>
      <c r="K29" s="5">
        <v>8100.0</v>
      </c>
      <c r="N29" s="9">
        <v>43971.0</v>
      </c>
    </row>
    <row r="30">
      <c r="A30" s="5">
        <v>29.0</v>
      </c>
      <c r="B30" s="5" t="s">
        <v>158</v>
      </c>
      <c r="C30" s="5" t="s">
        <v>21</v>
      </c>
      <c r="K30" s="5">
        <v>2400.0</v>
      </c>
      <c r="N30" s="9">
        <v>44047.0</v>
      </c>
    </row>
    <row r="31">
      <c r="A31" s="5">
        <v>30.0</v>
      </c>
      <c r="B31" s="5" t="s">
        <v>159</v>
      </c>
      <c r="C31" s="5" t="s">
        <v>21</v>
      </c>
      <c r="K31" s="5">
        <v>1400.0</v>
      </c>
      <c r="N31" s="9">
        <v>44946.0</v>
      </c>
    </row>
    <row r="32">
      <c r="A32" s="5">
        <v>31.0</v>
      </c>
      <c r="B32" s="5" t="s">
        <v>162</v>
      </c>
      <c r="C32" s="5" t="s">
        <v>21</v>
      </c>
      <c r="K32" s="5">
        <v>700.0</v>
      </c>
      <c r="N32" s="9">
        <v>43971.0</v>
      </c>
    </row>
    <row r="33">
      <c r="A33" s="5">
        <v>32.0</v>
      </c>
      <c r="B33" s="5" t="s">
        <v>164</v>
      </c>
      <c r="C33" s="5" t="s">
        <v>21</v>
      </c>
      <c r="K33" s="5">
        <v>1800.0</v>
      </c>
      <c r="N33" s="9">
        <v>44347.0</v>
      </c>
    </row>
    <row r="34">
      <c r="A34" s="5">
        <v>33.0</v>
      </c>
      <c r="B34" s="5" t="s">
        <v>166</v>
      </c>
      <c r="C34" s="5" t="s">
        <v>21</v>
      </c>
      <c r="K34" s="5">
        <v>2000.0</v>
      </c>
      <c r="N34" s="9">
        <v>43941.0</v>
      </c>
    </row>
    <row r="35">
      <c r="A35" s="5">
        <v>34.0</v>
      </c>
      <c r="B35" s="5" t="s">
        <v>169</v>
      </c>
      <c r="C35" s="5" t="s">
        <v>21</v>
      </c>
      <c r="K35" s="5">
        <v>400.0</v>
      </c>
      <c r="N35" s="9">
        <v>45361.0</v>
      </c>
    </row>
    <row r="36">
      <c r="A36" s="5">
        <v>35.0</v>
      </c>
      <c r="B36" s="5" t="s">
        <v>172</v>
      </c>
      <c r="C36" s="5" t="s">
        <v>21</v>
      </c>
      <c r="K36" s="5">
        <v>2400.0</v>
      </c>
      <c r="N36" s="9">
        <v>42740.0</v>
      </c>
    </row>
    <row r="37">
      <c r="A37" s="5">
        <v>36.0</v>
      </c>
      <c r="B37" s="5" t="s">
        <v>174</v>
      </c>
      <c r="C37" s="5" t="s">
        <v>21</v>
      </c>
      <c r="K37" s="5">
        <v>8400.0</v>
      </c>
      <c r="N37" s="9">
        <v>43882.0</v>
      </c>
    </row>
    <row r="38">
      <c r="A38" s="5">
        <v>37.0</v>
      </c>
      <c r="B38" s="5" t="s">
        <v>177</v>
      </c>
      <c r="C38" s="5" t="s">
        <v>21</v>
      </c>
      <c r="K38" s="5">
        <v>900.0</v>
      </c>
      <c r="N38" s="9">
        <v>44352.0</v>
      </c>
    </row>
    <row r="39">
      <c r="A39" s="5">
        <v>38.0</v>
      </c>
      <c r="B39" s="5" t="s">
        <v>178</v>
      </c>
      <c r="C39" s="5" t="s">
        <v>21</v>
      </c>
      <c r="K39" s="5">
        <v>30.0</v>
      </c>
      <c r="N39" s="9">
        <v>44892.0</v>
      </c>
    </row>
    <row r="40">
      <c r="A40" s="5">
        <v>39.0</v>
      </c>
      <c r="B40" s="5" t="s">
        <v>180</v>
      </c>
      <c r="C40" s="5" t="s">
        <v>21</v>
      </c>
      <c r="K40" s="5">
        <v>400.0</v>
      </c>
      <c r="N40" s="9">
        <v>44827.0</v>
      </c>
    </row>
    <row r="41">
      <c r="A41" s="5">
        <v>40.0</v>
      </c>
      <c r="B41" s="5" t="s">
        <v>182</v>
      </c>
      <c r="C41" s="5" t="s">
        <v>21</v>
      </c>
      <c r="K41" s="5">
        <v>4500.0</v>
      </c>
      <c r="N41" s="9">
        <v>44245.0</v>
      </c>
    </row>
    <row r="42">
      <c r="A42" s="5">
        <v>41.0</v>
      </c>
      <c r="B42" s="5" t="s">
        <v>184</v>
      </c>
      <c r="C42" s="5" t="s">
        <v>21</v>
      </c>
      <c r="K42" s="5">
        <v>2700.0</v>
      </c>
      <c r="N42" s="9">
        <v>43914.0</v>
      </c>
    </row>
    <row r="43">
      <c r="A43" s="5">
        <v>42.0</v>
      </c>
      <c r="B43" s="5" t="s">
        <v>186</v>
      </c>
      <c r="C43" s="5" t="s">
        <v>21</v>
      </c>
      <c r="K43" s="5">
        <v>30000.0</v>
      </c>
      <c r="N43" s="9">
        <v>43960.0</v>
      </c>
    </row>
    <row r="44">
      <c r="A44" s="5">
        <v>43.0</v>
      </c>
      <c r="B44" s="5" t="s">
        <v>189</v>
      </c>
      <c r="C44" s="5" t="s">
        <v>21</v>
      </c>
      <c r="K44" s="5">
        <v>1000.0</v>
      </c>
      <c r="N44" s="9">
        <v>44506.0</v>
      </c>
    </row>
    <row r="45">
      <c r="A45" s="5">
        <v>44.0</v>
      </c>
      <c r="B45" s="5" t="s">
        <v>191</v>
      </c>
      <c r="C45" s="5" t="s">
        <v>21</v>
      </c>
      <c r="K45" s="5">
        <v>2400.0</v>
      </c>
      <c r="N45" s="9">
        <v>44602.0</v>
      </c>
    </row>
    <row r="46">
      <c r="A46" s="5">
        <v>45.0</v>
      </c>
      <c r="B46" s="5" t="s">
        <v>194</v>
      </c>
      <c r="C46" s="5" t="s">
        <v>21</v>
      </c>
      <c r="K46" s="5">
        <v>2300.0</v>
      </c>
      <c r="N46" s="9">
        <v>44948.0</v>
      </c>
    </row>
    <row r="47">
      <c r="A47" s="5">
        <v>46.0</v>
      </c>
      <c r="B47" s="5" t="s">
        <v>197</v>
      </c>
      <c r="C47" s="5" t="s">
        <v>21</v>
      </c>
      <c r="K47" s="5">
        <v>1400.0</v>
      </c>
      <c r="N47" s="9">
        <v>44073.0</v>
      </c>
    </row>
    <row r="48">
      <c r="A48" s="5">
        <v>47.0</v>
      </c>
      <c r="B48" s="5" t="s">
        <v>200</v>
      </c>
      <c r="C48" s="5" t="s">
        <v>21</v>
      </c>
      <c r="K48" s="5">
        <v>400.0</v>
      </c>
      <c r="N48" s="9">
        <v>44653.0</v>
      </c>
    </row>
    <row r="49">
      <c r="A49" s="5">
        <v>48.0</v>
      </c>
      <c r="B49" s="5" t="s">
        <v>202</v>
      </c>
      <c r="C49" s="5" t="s">
        <v>21</v>
      </c>
      <c r="K49" s="5">
        <v>250.0</v>
      </c>
      <c r="N49" s="9">
        <v>44941.0</v>
      </c>
    </row>
    <row r="50">
      <c r="A50" s="5">
        <v>49.0</v>
      </c>
      <c r="B50" s="5" t="s">
        <v>205</v>
      </c>
      <c r="C50" s="5" t="s">
        <v>21</v>
      </c>
      <c r="K50" s="5">
        <v>1100.0</v>
      </c>
      <c r="N50" s="9">
        <v>44015.0</v>
      </c>
    </row>
    <row r="51">
      <c r="A51" s="5">
        <v>50.0</v>
      </c>
      <c r="B51" s="5" t="s">
        <v>208</v>
      </c>
      <c r="C51" s="5" t="s">
        <v>21</v>
      </c>
      <c r="K51" s="5">
        <v>3000.0</v>
      </c>
      <c r="N51" s="9">
        <v>44468.0</v>
      </c>
    </row>
    <row r="52">
      <c r="A52" s="5">
        <v>51.0</v>
      </c>
      <c r="B52" s="5" t="s">
        <v>210</v>
      </c>
      <c r="C52" s="5" t="s">
        <v>21</v>
      </c>
      <c r="K52" s="5">
        <v>11000.0</v>
      </c>
      <c r="N52" s="9">
        <v>44026.0</v>
      </c>
    </row>
    <row r="53">
      <c r="A53" s="5">
        <v>52.0</v>
      </c>
      <c r="B53" s="5" t="s">
        <v>212</v>
      </c>
      <c r="C53" s="5" t="s">
        <v>21</v>
      </c>
      <c r="K53" s="5">
        <v>1200.0</v>
      </c>
      <c r="N53" s="9">
        <v>44364.0</v>
      </c>
    </row>
    <row r="54">
      <c r="A54" s="5">
        <v>53.0</v>
      </c>
      <c r="B54" s="5" t="s">
        <v>215</v>
      </c>
      <c r="C54" s="5" t="s">
        <v>21</v>
      </c>
      <c r="K54" s="5">
        <v>1500.0</v>
      </c>
      <c r="N54" s="9">
        <v>44323.0</v>
      </c>
    </row>
    <row r="55">
      <c r="A55" s="5">
        <v>54.0</v>
      </c>
      <c r="B55" s="5" t="s">
        <v>219</v>
      </c>
      <c r="C55" s="5" t="s">
        <v>21</v>
      </c>
      <c r="K55" s="5">
        <v>3200.0</v>
      </c>
      <c r="N55" s="9">
        <v>44499.0</v>
      </c>
    </row>
    <row r="56">
      <c r="A56" s="5">
        <v>55.0</v>
      </c>
      <c r="B56" s="5" t="s">
        <v>222</v>
      </c>
      <c r="C56" s="5" t="s">
        <v>21</v>
      </c>
      <c r="K56" s="5">
        <v>4300.0</v>
      </c>
      <c r="N56" s="9">
        <v>44231.0</v>
      </c>
    </row>
    <row r="57">
      <c r="A57" s="5">
        <v>56.0</v>
      </c>
      <c r="B57" s="5" t="s">
        <v>224</v>
      </c>
      <c r="C57" s="5" t="s">
        <v>21</v>
      </c>
      <c r="K57" s="5">
        <v>4100.0</v>
      </c>
      <c r="N57" s="9">
        <v>44724.0</v>
      </c>
    </row>
    <row r="58">
      <c r="A58" s="5">
        <v>57.0</v>
      </c>
      <c r="B58" s="5" t="s">
        <v>226</v>
      </c>
      <c r="C58" s="5" t="s">
        <v>21</v>
      </c>
      <c r="K58" s="5">
        <v>3700.0</v>
      </c>
      <c r="N58" s="9">
        <v>43977.0</v>
      </c>
    </row>
    <row r="59">
      <c r="A59" s="5">
        <v>58.0</v>
      </c>
      <c r="B59" s="5" t="s">
        <v>228</v>
      </c>
      <c r="C59" s="5" t="s">
        <v>21</v>
      </c>
      <c r="K59" s="5">
        <v>600.0</v>
      </c>
      <c r="N59" s="9">
        <v>44054.0</v>
      </c>
    </row>
    <row r="60">
      <c r="A60" s="5">
        <v>59.0</v>
      </c>
      <c r="B60" s="5" t="s">
        <v>230</v>
      </c>
      <c r="C60" s="5" t="s">
        <v>21</v>
      </c>
      <c r="K60" s="5">
        <v>600.0</v>
      </c>
      <c r="N60" s="9">
        <v>43888.0</v>
      </c>
    </row>
    <row r="61">
      <c r="A61" s="5">
        <v>60.0</v>
      </c>
      <c r="B61" s="5" t="s">
        <v>232</v>
      </c>
      <c r="C61" s="5" t="s">
        <v>21</v>
      </c>
      <c r="K61" s="5">
        <v>8400.0</v>
      </c>
      <c r="N61" s="9">
        <v>44170.0</v>
      </c>
    </row>
    <row r="62">
      <c r="A62" s="5">
        <v>61.0</v>
      </c>
      <c r="B62" s="5" t="s">
        <v>234</v>
      </c>
      <c r="C62" s="5" t="s">
        <v>21</v>
      </c>
      <c r="K62" s="5">
        <v>1000.0</v>
      </c>
      <c r="N62" s="9">
        <v>44097.0</v>
      </c>
    </row>
    <row r="63">
      <c r="A63" s="5">
        <v>62.0</v>
      </c>
      <c r="B63" s="5" t="s">
        <v>237</v>
      </c>
      <c r="C63" s="5" t="s">
        <v>21</v>
      </c>
      <c r="K63" s="5">
        <v>2000.0</v>
      </c>
      <c r="N63" s="9">
        <v>44009.0</v>
      </c>
    </row>
    <row r="64">
      <c r="A64" s="5">
        <v>63.0</v>
      </c>
      <c r="B64" s="5" t="s">
        <v>239</v>
      </c>
      <c r="C64" s="5" t="s">
        <v>21</v>
      </c>
      <c r="K64" s="5">
        <v>23000.0</v>
      </c>
      <c r="N64" s="9">
        <v>44073.0</v>
      </c>
    </row>
    <row r="65">
      <c r="A65" s="5">
        <v>64.0</v>
      </c>
      <c r="B65" s="5" t="s">
        <v>242</v>
      </c>
      <c r="C65" s="5" t="s">
        <v>21</v>
      </c>
      <c r="K65" s="5">
        <v>27000.0</v>
      </c>
      <c r="N65" s="9">
        <v>43842.0</v>
      </c>
    </row>
    <row r="66">
      <c r="A66" s="5">
        <v>65.0</v>
      </c>
      <c r="B66" s="5" t="s">
        <v>245</v>
      </c>
      <c r="C66" s="5" t="s">
        <v>21</v>
      </c>
      <c r="K66" s="5">
        <v>2800.0</v>
      </c>
      <c r="N66" s="9">
        <v>43882.0</v>
      </c>
    </row>
    <row r="67">
      <c r="A67" s="5">
        <v>66.0</v>
      </c>
      <c r="B67" s="5" t="s">
        <v>248</v>
      </c>
      <c r="C67" s="5" t="s">
        <v>21</v>
      </c>
      <c r="K67" s="5">
        <v>1200.0</v>
      </c>
      <c r="N67" s="9">
        <v>44072.0</v>
      </c>
    </row>
    <row r="68">
      <c r="A68" s="5">
        <v>67.0</v>
      </c>
      <c r="B68" s="5" t="s">
        <v>251</v>
      </c>
      <c r="C68" s="5" t="s">
        <v>21</v>
      </c>
      <c r="K68" s="5">
        <v>13000.0</v>
      </c>
      <c r="N68" s="9">
        <v>44001.0</v>
      </c>
    </row>
    <row r="69">
      <c r="A69" s="5">
        <v>68.0</v>
      </c>
      <c r="B69" s="5" t="s">
        <v>254</v>
      </c>
      <c r="C69" s="5" t="s">
        <v>21</v>
      </c>
      <c r="K69" s="5">
        <v>800.0</v>
      </c>
      <c r="N69" s="9">
        <v>44567.0</v>
      </c>
    </row>
    <row r="70">
      <c r="A70" s="5">
        <v>69.0</v>
      </c>
      <c r="B70" s="5" t="s">
        <v>257</v>
      </c>
      <c r="C70" s="5" t="s">
        <v>21</v>
      </c>
      <c r="K70" s="5">
        <v>450.0</v>
      </c>
      <c r="N70" s="9">
        <v>44315.0</v>
      </c>
    </row>
    <row r="71">
      <c r="A71" s="5">
        <v>70.0</v>
      </c>
      <c r="B71" s="5" t="s">
        <v>260</v>
      </c>
      <c r="C71" s="5" t="s">
        <v>21</v>
      </c>
      <c r="K71" s="5">
        <v>600.0</v>
      </c>
      <c r="N71" s="9">
        <v>44421.0</v>
      </c>
    </row>
    <row r="72">
      <c r="A72" s="5">
        <v>71.0</v>
      </c>
      <c r="B72" s="5" t="s">
        <v>262</v>
      </c>
      <c r="C72" s="5" t="s">
        <v>21</v>
      </c>
      <c r="K72" s="5">
        <v>1400.0</v>
      </c>
      <c r="N72" s="9">
        <v>43905.0</v>
      </c>
    </row>
    <row r="73">
      <c r="A73" s="5">
        <v>72.0</v>
      </c>
      <c r="B73" s="5" t="s">
        <v>267</v>
      </c>
      <c r="C73" s="5" t="s">
        <v>21</v>
      </c>
      <c r="K73" s="5">
        <v>1000.0</v>
      </c>
      <c r="N73" s="9">
        <v>44520.0</v>
      </c>
    </row>
    <row r="74">
      <c r="A74" s="5">
        <v>73.0</v>
      </c>
      <c r="B74" s="5" t="s">
        <v>270</v>
      </c>
      <c r="C74" s="5" t="s">
        <v>21</v>
      </c>
      <c r="K74" s="5">
        <v>3700.0</v>
      </c>
      <c r="N74" s="9">
        <v>44565.0</v>
      </c>
    </row>
    <row r="75">
      <c r="A75" s="5">
        <v>74.0</v>
      </c>
      <c r="B75" s="5" t="s">
        <v>284</v>
      </c>
      <c r="C75" s="5" t="s">
        <v>21</v>
      </c>
      <c r="K75" s="5">
        <v>450.0</v>
      </c>
      <c r="N75" s="9">
        <v>44883.0</v>
      </c>
    </row>
    <row r="76">
      <c r="A76" s="5">
        <v>75.0</v>
      </c>
      <c r="B76" s="5" t="s">
        <v>287</v>
      </c>
      <c r="C76" s="5" t="s">
        <v>21</v>
      </c>
      <c r="K76" s="5">
        <v>900.0</v>
      </c>
      <c r="N76" s="9">
        <v>43900.0</v>
      </c>
    </row>
    <row r="77">
      <c r="A77" s="5">
        <v>76.0</v>
      </c>
      <c r="B77" s="5" t="s">
        <v>290</v>
      </c>
      <c r="C77" s="5" t="s">
        <v>21</v>
      </c>
      <c r="K77" s="5">
        <v>200.0</v>
      </c>
      <c r="N77" s="9">
        <v>44712.0</v>
      </c>
    </row>
    <row r="78">
      <c r="A78" s="5">
        <v>77.0</v>
      </c>
      <c r="B78" s="5" t="s">
        <v>293</v>
      </c>
      <c r="C78" s="5" t="s">
        <v>21</v>
      </c>
      <c r="K78" s="5">
        <v>3100.0</v>
      </c>
      <c r="N78" s="9">
        <v>44163.0</v>
      </c>
    </row>
    <row r="79">
      <c r="A79" s="5">
        <v>78.0</v>
      </c>
      <c r="B79" s="5" t="s">
        <v>295</v>
      </c>
      <c r="C79" s="5" t="s">
        <v>21</v>
      </c>
      <c r="K79" s="5">
        <v>12000.0</v>
      </c>
      <c r="N79" s="9">
        <v>42997.0</v>
      </c>
    </row>
    <row r="80">
      <c r="A80" s="5">
        <v>79.0</v>
      </c>
      <c r="B80" s="5" t="s">
        <v>297</v>
      </c>
      <c r="C80" s="5" t="s">
        <v>21</v>
      </c>
      <c r="K80" s="5">
        <v>1200.0</v>
      </c>
      <c r="N80" s="9">
        <v>44450.0</v>
      </c>
    </row>
    <row r="81">
      <c r="A81" s="5">
        <v>80.0</v>
      </c>
      <c r="B81" s="5" t="s">
        <v>300</v>
      </c>
      <c r="C81" s="5" t="s">
        <v>21</v>
      </c>
      <c r="K81" s="5">
        <v>450.0</v>
      </c>
      <c r="N81" s="9">
        <v>45345.0</v>
      </c>
    </row>
    <row r="82">
      <c r="A82" s="5">
        <v>81.0</v>
      </c>
      <c r="B82" s="5" t="s">
        <v>303</v>
      </c>
      <c r="C82" s="5" t="s">
        <v>21</v>
      </c>
      <c r="K82" s="5">
        <v>450.0</v>
      </c>
      <c r="N82" s="9">
        <v>44618.0</v>
      </c>
    </row>
    <row r="83">
      <c r="A83" s="5">
        <v>82.0</v>
      </c>
      <c r="B83" s="5" t="s">
        <v>306</v>
      </c>
      <c r="C83" s="5" t="s">
        <v>21</v>
      </c>
      <c r="K83" s="5">
        <v>200.0</v>
      </c>
      <c r="N83" s="9">
        <v>44413.0</v>
      </c>
    </row>
    <row r="84">
      <c r="A84" s="5">
        <v>83.0</v>
      </c>
      <c r="B84" s="5" t="s">
        <v>309</v>
      </c>
      <c r="C84" s="5" t="s">
        <v>21</v>
      </c>
      <c r="K84" s="5">
        <v>8000.0</v>
      </c>
      <c r="N84" s="9">
        <v>43934.0</v>
      </c>
    </row>
    <row r="85">
      <c r="A85" s="5">
        <v>84.0</v>
      </c>
      <c r="B85" s="5" t="s">
        <v>312</v>
      </c>
      <c r="C85" s="5" t="s">
        <v>21</v>
      </c>
      <c r="K85" s="5">
        <v>900.0</v>
      </c>
      <c r="N85" s="9">
        <v>44545.0</v>
      </c>
    </row>
    <row r="86">
      <c r="A86" s="5">
        <v>85.0</v>
      </c>
      <c r="B86" s="5" t="s">
        <v>315</v>
      </c>
      <c r="C86" s="5" t="s">
        <v>21</v>
      </c>
      <c r="K86" s="5">
        <v>500.0</v>
      </c>
      <c r="N86" s="9">
        <v>45620.0</v>
      </c>
    </row>
    <row r="87">
      <c r="A87" s="5">
        <v>86.0</v>
      </c>
      <c r="B87" s="5" t="s">
        <v>317</v>
      </c>
      <c r="C87" s="5" t="s">
        <v>21</v>
      </c>
      <c r="K87" s="5">
        <v>200.0</v>
      </c>
      <c r="N87" s="9">
        <v>44787.0</v>
      </c>
    </row>
    <row r="88">
      <c r="A88" s="5">
        <v>87.0</v>
      </c>
      <c r="B88" s="5" t="s">
        <v>320</v>
      </c>
      <c r="C88" s="5" t="s">
        <v>21</v>
      </c>
      <c r="K88" s="5">
        <v>40.0</v>
      </c>
      <c r="N88" s="9">
        <v>44943.0</v>
      </c>
    </row>
    <row r="89">
      <c r="A89" s="5">
        <v>88.0</v>
      </c>
      <c r="B89" s="5" t="s">
        <v>323</v>
      </c>
      <c r="C89" s="5" t="s">
        <v>21</v>
      </c>
      <c r="K89" s="5">
        <v>900.0</v>
      </c>
      <c r="N89" s="9">
        <v>44304.0</v>
      </c>
    </row>
    <row r="90">
      <c r="A90" s="5">
        <v>89.0</v>
      </c>
      <c r="B90" s="5" t="s">
        <v>326</v>
      </c>
      <c r="C90" s="5" t="s">
        <v>21</v>
      </c>
      <c r="K90" s="5">
        <v>150.0</v>
      </c>
      <c r="N90" s="9">
        <v>44905.0</v>
      </c>
    </row>
    <row r="91">
      <c r="A91" s="5">
        <v>90.0</v>
      </c>
      <c r="B91" s="5" t="s">
        <v>329</v>
      </c>
      <c r="C91" s="5" t="s">
        <v>21</v>
      </c>
      <c r="K91" s="5">
        <v>250.0</v>
      </c>
      <c r="N91" s="9">
        <v>45319.0</v>
      </c>
    </row>
    <row r="92">
      <c r="A92" s="5">
        <v>91.0</v>
      </c>
      <c r="B92" s="5" t="s">
        <v>332</v>
      </c>
      <c r="C92" s="5" t="s">
        <v>21</v>
      </c>
      <c r="K92" s="5">
        <v>10000.0</v>
      </c>
      <c r="N92" s="9">
        <v>43881.0</v>
      </c>
    </row>
    <row r="93">
      <c r="A93" s="5">
        <v>92.0</v>
      </c>
      <c r="B93" s="5" t="s">
        <v>335</v>
      </c>
      <c r="C93" s="5" t="s">
        <v>21</v>
      </c>
      <c r="N93" s="9">
        <v>43249.0</v>
      </c>
    </row>
    <row r="94">
      <c r="A94" s="5">
        <v>93.0</v>
      </c>
      <c r="B94" s="5" t="s">
        <v>338</v>
      </c>
      <c r="C94" s="5" t="s">
        <v>21</v>
      </c>
      <c r="K94" s="5">
        <v>200.0</v>
      </c>
      <c r="N94" s="9">
        <v>44040.0</v>
      </c>
    </row>
    <row r="95">
      <c r="A95" s="5">
        <v>94.0</v>
      </c>
      <c r="B95" s="5" t="s">
        <v>341</v>
      </c>
      <c r="C95" s="5" t="s">
        <v>21</v>
      </c>
      <c r="K95" s="5">
        <v>1800.0</v>
      </c>
      <c r="N95" s="9">
        <v>43886.0</v>
      </c>
    </row>
    <row r="96">
      <c r="A96" s="5">
        <v>95.0</v>
      </c>
      <c r="B96" s="5" t="s">
        <v>344</v>
      </c>
      <c r="C96" s="5" t="s">
        <v>21</v>
      </c>
      <c r="K96" s="5">
        <v>24000.0</v>
      </c>
      <c r="N96" s="9">
        <v>43657.0</v>
      </c>
    </row>
    <row r="97">
      <c r="A97" s="5">
        <v>96.0</v>
      </c>
      <c r="B97" s="5" t="s">
        <v>347</v>
      </c>
      <c r="C97" s="5" t="s">
        <v>21</v>
      </c>
      <c r="K97" s="5">
        <v>1600.0</v>
      </c>
      <c r="N97" s="9">
        <v>44349.0</v>
      </c>
    </row>
    <row r="98">
      <c r="A98" s="5">
        <v>97.0</v>
      </c>
      <c r="B98" s="5" t="s">
        <v>349</v>
      </c>
      <c r="C98" s="5" t="s">
        <v>21</v>
      </c>
      <c r="K98" s="5">
        <v>1400.0</v>
      </c>
      <c r="N98" s="9">
        <v>44380.0</v>
      </c>
    </row>
    <row r="99">
      <c r="A99" s="5">
        <v>98.0</v>
      </c>
      <c r="B99" s="5" t="s">
        <v>352</v>
      </c>
      <c r="C99" s="5" t="s">
        <v>21</v>
      </c>
      <c r="K99" s="5">
        <v>200.0</v>
      </c>
      <c r="N99" s="9">
        <v>44366.0</v>
      </c>
    </row>
    <row r="100">
      <c r="A100" s="5">
        <v>99.0</v>
      </c>
      <c r="B100" s="5" t="s">
        <v>355</v>
      </c>
      <c r="C100" s="5" t="s">
        <v>21</v>
      </c>
      <c r="K100" s="5">
        <v>4000.0</v>
      </c>
      <c r="N100" s="9">
        <v>43881.0</v>
      </c>
    </row>
    <row r="101">
      <c r="A101" s="5">
        <v>100.0</v>
      </c>
      <c r="B101" s="5" t="s">
        <v>358</v>
      </c>
      <c r="C101" s="5" t="s">
        <v>21</v>
      </c>
      <c r="K101" s="5">
        <v>900.0</v>
      </c>
      <c r="N101" s="9">
        <v>44475.0</v>
      </c>
    </row>
    <row r="102">
      <c r="A102" s="5">
        <v>101.0</v>
      </c>
      <c r="B102" s="5" t="s">
        <v>361</v>
      </c>
      <c r="C102" s="5" t="s">
        <v>21</v>
      </c>
      <c r="K102" s="5">
        <v>450.0</v>
      </c>
      <c r="N102" s="9">
        <v>44519.0</v>
      </c>
    </row>
    <row r="103">
      <c r="A103" s="5">
        <v>102.0</v>
      </c>
      <c r="B103" s="5" t="s">
        <v>364</v>
      </c>
      <c r="C103" s="5" t="s">
        <v>21</v>
      </c>
      <c r="K103" s="5">
        <v>2500.0</v>
      </c>
      <c r="N103" s="9">
        <v>44540.0</v>
      </c>
    </row>
    <row r="104">
      <c r="A104" s="5">
        <v>103.0</v>
      </c>
      <c r="B104" s="5" t="s">
        <v>367</v>
      </c>
      <c r="C104" s="5" t="s">
        <v>21</v>
      </c>
      <c r="K104" s="5">
        <v>2800.0</v>
      </c>
      <c r="N104" s="9">
        <v>44570.0</v>
      </c>
    </row>
    <row r="105">
      <c r="A105" s="5">
        <v>104.0</v>
      </c>
      <c r="B105" s="5" t="s">
        <v>370</v>
      </c>
      <c r="C105" s="5" t="s">
        <v>21</v>
      </c>
      <c r="K105" s="5">
        <v>2700.0</v>
      </c>
      <c r="N105" s="9">
        <v>44227.0</v>
      </c>
    </row>
    <row r="106">
      <c r="A106" s="5">
        <v>105.0</v>
      </c>
      <c r="B106" s="5" t="s">
        <v>373</v>
      </c>
      <c r="C106" s="5" t="s">
        <v>21</v>
      </c>
      <c r="K106" s="5">
        <v>500.0</v>
      </c>
      <c r="N106" s="9">
        <v>44957.0</v>
      </c>
    </row>
    <row r="107">
      <c r="A107" s="5">
        <v>106.0</v>
      </c>
      <c r="B107" s="5" t="s">
        <v>376</v>
      </c>
      <c r="C107" s="5" t="s">
        <v>21</v>
      </c>
      <c r="K107" s="5">
        <v>8900.0</v>
      </c>
      <c r="N107" s="9">
        <v>44111.0</v>
      </c>
    </row>
    <row r="108">
      <c r="A108" s="5">
        <v>107.0</v>
      </c>
      <c r="B108" s="5" t="s">
        <v>379</v>
      </c>
      <c r="C108" s="5" t="s">
        <v>21</v>
      </c>
      <c r="K108" s="5">
        <v>250.0</v>
      </c>
      <c r="N108" s="9">
        <v>44610.0</v>
      </c>
    </row>
    <row r="109">
      <c r="A109" s="5">
        <v>108.0</v>
      </c>
      <c r="B109" s="5" t="s">
        <v>382</v>
      </c>
      <c r="C109" s="5" t="s">
        <v>21</v>
      </c>
      <c r="K109" s="5">
        <v>450.0</v>
      </c>
      <c r="N109" s="9">
        <v>43929.0</v>
      </c>
    </row>
    <row r="110">
      <c r="A110" s="5">
        <v>109.0</v>
      </c>
      <c r="B110" s="5" t="s">
        <v>385</v>
      </c>
      <c r="C110" s="5" t="s">
        <v>21</v>
      </c>
      <c r="K110" s="5">
        <v>2700.0</v>
      </c>
      <c r="N110" s="9">
        <v>44590.0</v>
      </c>
    </row>
    <row r="111">
      <c r="A111" s="5">
        <v>110.0</v>
      </c>
      <c r="B111" s="5" t="s">
        <v>390</v>
      </c>
      <c r="C111" s="5" t="s">
        <v>21</v>
      </c>
      <c r="K111" s="5">
        <v>600.0</v>
      </c>
      <c r="N111" s="9">
        <v>44336.0</v>
      </c>
    </row>
    <row r="112">
      <c r="A112" s="5">
        <v>111.0</v>
      </c>
      <c r="B112" s="5" t="s">
        <v>392</v>
      </c>
      <c r="C112" s="5" t="s">
        <v>21</v>
      </c>
      <c r="K112" s="5">
        <v>1100.0</v>
      </c>
      <c r="N112" s="9">
        <v>44564.0</v>
      </c>
    </row>
    <row r="113">
      <c r="A113" s="5">
        <v>112.0</v>
      </c>
      <c r="B113" s="5" t="s">
        <v>395</v>
      </c>
      <c r="C113" s="5" t="s">
        <v>21</v>
      </c>
      <c r="K113" s="5">
        <v>5200.0</v>
      </c>
      <c r="N113" s="9">
        <v>43841.0</v>
      </c>
    </row>
    <row r="114">
      <c r="A114" s="5">
        <v>113.0</v>
      </c>
      <c r="B114" s="5" t="s">
        <v>399</v>
      </c>
      <c r="C114" s="5" t="s">
        <v>21</v>
      </c>
      <c r="K114" s="5">
        <v>500.0</v>
      </c>
      <c r="N114" s="9">
        <v>44875.0</v>
      </c>
    </row>
    <row r="115">
      <c r="A115" s="5">
        <v>114.0</v>
      </c>
      <c r="B115" s="5" t="s">
        <v>402</v>
      </c>
      <c r="C115" s="5" t="s">
        <v>21</v>
      </c>
      <c r="K115" s="5">
        <v>1700.0</v>
      </c>
      <c r="N115" s="9">
        <v>43951.0</v>
      </c>
    </row>
    <row r="116">
      <c r="A116" s="5">
        <v>115.0</v>
      </c>
      <c r="B116" s="5" t="s">
        <v>405</v>
      </c>
      <c r="C116" s="5" t="s">
        <v>21</v>
      </c>
      <c r="K116" s="5">
        <v>8200.0</v>
      </c>
      <c r="N116" s="9">
        <v>43881.0</v>
      </c>
    </row>
    <row r="117">
      <c r="A117" s="5">
        <v>116.0</v>
      </c>
      <c r="B117" s="5" t="s">
        <v>409</v>
      </c>
      <c r="C117" s="5" t="s">
        <v>21</v>
      </c>
      <c r="K117" s="5">
        <v>8600.0</v>
      </c>
      <c r="N117" s="9">
        <v>43915.0</v>
      </c>
    </row>
    <row r="118">
      <c r="A118" s="5">
        <v>117.0</v>
      </c>
      <c r="B118" s="5" t="s">
        <v>412</v>
      </c>
      <c r="C118" s="5" t="s">
        <v>21</v>
      </c>
      <c r="K118" s="5">
        <v>350.0</v>
      </c>
      <c r="N118" s="9">
        <v>45303.0</v>
      </c>
    </row>
    <row r="119">
      <c r="A119" s="5">
        <v>118.0</v>
      </c>
      <c r="B119" s="5" t="s">
        <v>416</v>
      </c>
      <c r="C119" s="5" t="s">
        <v>21</v>
      </c>
      <c r="K119" s="5">
        <v>400.0</v>
      </c>
      <c r="N119" s="9">
        <v>43881.0</v>
      </c>
    </row>
    <row r="120">
      <c r="A120" s="5">
        <v>119.0</v>
      </c>
      <c r="B120" s="5" t="s">
        <v>418</v>
      </c>
      <c r="C120" s="5" t="s">
        <v>21</v>
      </c>
      <c r="K120" s="5">
        <v>400.0</v>
      </c>
      <c r="N120" s="9">
        <v>44768.0</v>
      </c>
    </row>
    <row r="121">
      <c r="A121" s="5">
        <v>120.0</v>
      </c>
      <c r="B121" s="5" t="s">
        <v>422</v>
      </c>
      <c r="C121" s="5" t="s">
        <v>21</v>
      </c>
      <c r="K121" s="5">
        <v>5800.0</v>
      </c>
      <c r="N121" s="9">
        <v>43925.0</v>
      </c>
    </row>
    <row r="122">
      <c r="A122" s="5">
        <v>121.0</v>
      </c>
      <c r="B122" s="5" t="s">
        <v>425</v>
      </c>
      <c r="C122" s="5" t="s">
        <v>21</v>
      </c>
    </row>
    <row r="123">
      <c r="A123" s="5">
        <v>122.0</v>
      </c>
      <c r="B123" s="5" t="s">
        <v>428</v>
      </c>
      <c r="C123" s="5" t="s">
        <v>21</v>
      </c>
    </row>
    <row r="124">
      <c r="A124" s="5">
        <v>123.0</v>
      </c>
      <c r="B124" s="5" t="s">
        <v>431</v>
      </c>
      <c r="C124" s="5" t="s">
        <v>21</v>
      </c>
    </row>
    <row r="125">
      <c r="A125" s="5">
        <v>124.0</v>
      </c>
      <c r="B125" s="5" t="s">
        <v>433</v>
      </c>
      <c r="C125" s="5" t="s">
        <v>21</v>
      </c>
    </row>
    <row r="126">
      <c r="A126" s="5">
        <v>125.0</v>
      </c>
      <c r="B126" s="5" t="s">
        <v>436</v>
      </c>
      <c r="C126" s="5" t="s">
        <v>21</v>
      </c>
    </row>
    <row r="127">
      <c r="A127" s="5">
        <v>126.0</v>
      </c>
      <c r="B127" s="5" t="s">
        <v>439</v>
      </c>
      <c r="C127" s="5" t="s">
        <v>21</v>
      </c>
    </row>
    <row r="128">
      <c r="A128" s="5">
        <v>127.0</v>
      </c>
      <c r="B128" s="5" t="s">
        <v>441</v>
      </c>
      <c r="C128" s="5" t="s">
        <v>21</v>
      </c>
    </row>
    <row r="129">
      <c r="A129" s="5">
        <v>128.0</v>
      </c>
      <c r="B129" s="5" t="s">
        <v>444</v>
      </c>
      <c r="C129" s="5" t="s">
        <v>21</v>
      </c>
    </row>
    <row r="130">
      <c r="A130" s="5">
        <v>129.0</v>
      </c>
      <c r="B130" s="5" t="s">
        <v>446</v>
      </c>
      <c r="C130" s="5" t="s">
        <v>21</v>
      </c>
    </row>
    <row r="131">
      <c r="A131" s="5">
        <v>130.0</v>
      </c>
      <c r="B131" s="5" t="s">
        <v>449</v>
      </c>
      <c r="C131" s="5" t="s">
        <v>21</v>
      </c>
    </row>
    <row r="132">
      <c r="A132" s="5">
        <v>131.0</v>
      </c>
      <c r="B132" s="5" t="s">
        <v>452</v>
      </c>
      <c r="C132" s="5" t="s">
        <v>21</v>
      </c>
    </row>
    <row r="133">
      <c r="A133" s="5">
        <v>132.0</v>
      </c>
      <c r="B133" s="5" t="s">
        <v>455</v>
      </c>
      <c r="C133" s="5" t="s">
        <v>21</v>
      </c>
    </row>
    <row r="134">
      <c r="A134" s="5">
        <v>133.0</v>
      </c>
      <c r="B134" s="5" t="s">
        <v>457</v>
      </c>
      <c r="C134" s="5" t="s">
        <v>21</v>
      </c>
    </row>
    <row r="135">
      <c r="A135" s="5">
        <v>134.0</v>
      </c>
      <c r="B135" s="5" t="s">
        <v>460</v>
      </c>
      <c r="C135" s="5" t="s">
        <v>21</v>
      </c>
    </row>
    <row r="136">
      <c r="A136" s="5">
        <v>135.0</v>
      </c>
      <c r="B136" s="5" t="s">
        <v>461</v>
      </c>
      <c r="C136" s="5" t="s">
        <v>21</v>
      </c>
    </row>
    <row r="137">
      <c r="A137" s="5">
        <v>136.0</v>
      </c>
      <c r="B137" s="5" t="s">
        <v>464</v>
      </c>
      <c r="C137" s="5" t="s">
        <v>21</v>
      </c>
    </row>
    <row r="138">
      <c r="A138" s="5">
        <v>137.0</v>
      </c>
      <c r="B138" s="5" t="s">
        <v>466</v>
      </c>
      <c r="C138" s="5" t="s">
        <v>21</v>
      </c>
    </row>
    <row r="139">
      <c r="A139" s="5">
        <v>138.0</v>
      </c>
      <c r="B139" s="5" t="s">
        <v>469</v>
      </c>
      <c r="C139" s="5" t="s">
        <v>21</v>
      </c>
    </row>
    <row r="140">
      <c r="A140" s="5">
        <v>139.0</v>
      </c>
      <c r="B140" s="5" t="s">
        <v>472</v>
      </c>
      <c r="C140" s="5" t="s">
        <v>21</v>
      </c>
    </row>
    <row r="141">
      <c r="A141" s="5">
        <v>140.0</v>
      </c>
      <c r="B141" s="5" t="s">
        <v>474</v>
      </c>
      <c r="C141" s="5" t="s">
        <v>21</v>
      </c>
    </row>
    <row r="142">
      <c r="A142" s="5">
        <v>141.0</v>
      </c>
      <c r="B142" s="5" t="s">
        <v>476</v>
      </c>
      <c r="C142" s="5" t="s">
        <v>21</v>
      </c>
    </row>
    <row r="143">
      <c r="A143" s="5">
        <v>142.0</v>
      </c>
      <c r="B143" s="5" t="s">
        <v>478</v>
      </c>
      <c r="C143" s="5" t="s">
        <v>21</v>
      </c>
    </row>
    <row r="144">
      <c r="A144" s="5">
        <v>143.0</v>
      </c>
      <c r="B144" s="5" t="s">
        <v>481</v>
      </c>
      <c r="C144" s="5" t="s">
        <v>21</v>
      </c>
    </row>
    <row r="145">
      <c r="A145" s="5">
        <v>144.0</v>
      </c>
      <c r="B145" s="5" t="s">
        <v>483</v>
      </c>
      <c r="C145" s="5" t="s">
        <v>21</v>
      </c>
    </row>
    <row r="146">
      <c r="A146" s="5">
        <v>145.0</v>
      </c>
      <c r="B146" s="5" t="s">
        <v>486</v>
      </c>
      <c r="C146" s="5" t="s">
        <v>21</v>
      </c>
    </row>
    <row r="147">
      <c r="A147" s="5">
        <v>146.0</v>
      </c>
      <c r="B147" s="5" t="s">
        <v>488</v>
      </c>
      <c r="C147" s="5" t="s">
        <v>21</v>
      </c>
    </row>
    <row r="148">
      <c r="A148" s="5">
        <v>147.0</v>
      </c>
      <c r="B148" s="5" t="s">
        <v>490</v>
      </c>
      <c r="C148" s="5" t="s">
        <v>21</v>
      </c>
    </row>
    <row r="149">
      <c r="A149" s="5">
        <v>148.0</v>
      </c>
      <c r="B149" s="5" t="s">
        <v>493</v>
      </c>
      <c r="C149" s="5" t="s">
        <v>21</v>
      </c>
    </row>
    <row r="150">
      <c r="A150" s="5">
        <v>149.0</v>
      </c>
      <c r="B150" s="5" t="s">
        <v>496</v>
      </c>
      <c r="C150" s="5" t="s">
        <v>21</v>
      </c>
    </row>
    <row r="151">
      <c r="A151" s="5">
        <v>150.0</v>
      </c>
      <c r="B151" s="5" t="s">
        <v>497</v>
      </c>
      <c r="C151" s="5" t="s">
        <v>21</v>
      </c>
    </row>
    <row r="152">
      <c r="A152" s="5">
        <v>151.0</v>
      </c>
      <c r="B152" s="5" t="s">
        <v>499</v>
      </c>
      <c r="C152" s="5" t="s">
        <v>21</v>
      </c>
    </row>
    <row r="153">
      <c r="A153" s="5">
        <v>152.0</v>
      </c>
      <c r="B153" s="5" t="s">
        <v>501</v>
      </c>
      <c r="C153" s="5" t="s">
        <v>21</v>
      </c>
    </row>
    <row r="154">
      <c r="A154" s="5">
        <v>153.0</v>
      </c>
      <c r="B154" s="5" t="s">
        <v>503</v>
      </c>
      <c r="C154" s="5" t="s">
        <v>21</v>
      </c>
    </row>
    <row r="155">
      <c r="A155" s="5">
        <v>154.0</v>
      </c>
      <c r="B155" s="5" t="s">
        <v>505</v>
      </c>
      <c r="C155" s="5" t="s">
        <v>21</v>
      </c>
    </row>
    <row r="156">
      <c r="A156" s="5">
        <v>155.0</v>
      </c>
      <c r="B156" s="5" t="s">
        <v>506</v>
      </c>
      <c r="C156" s="5" t="s">
        <v>21</v>
      </c>
    </row>
    <row r="157">
      <c r="A157" s="5">
        <v>156.0</v>
      </c>
      <c r="B157" s="5" t="s">
        <v>507</v>
      </c>
      <c r="C157" s="5" t="s">
        <v>21</v>
      </c>
    </row>
    <row r="158">
      <c r="A158" s="5">
        <v>157.0</v>
      </c>
      <c r="B158" s="5" t="s">
        <v>508</v>
      </c>
      <c r="C158" s="5" t="s">
        <v>21</v>
      </c>
    </row>
    <row r="159">
      <c r="A159" s="5">
        <v>158.0</v>
      </c>
      <c r="B159" s="5" t="s">
        <v>509</v>
      </c>
      <c r="C159" s="5" t="s">
        <v>21</v>
      </c>
    </row>
    <row r="160">
      <c r="A160" s="5">
        <v>159.0</v>
      </c>
      <c r="B160" s="5" t="s">
        <v>510</v>
      </c>
      <c r="C160" s="5" t="s">
        <v>21</v>
      </c>
    </row>
    <row r="161">
      <c r="A161" s="5">
        <v>160.0</v>
      </c>
      <c r="B161" s="5" t="s">
        <v>512</v>
      </c>
      <c r="C161" s="5" t="s">
        <v>21</v>
      </c>
    </row>
    <row r="162">
      <c r="A162" s="5">
        <v>161.0</v>
      </c>
      <c r="B162" s="5" t="s">
        <v>514</v>
      </c>
      <c r="C162" s="5" t="s">
        <v>21</v>
      </c>
    </row>
    <row r="163">
      <c r="A163" s="5">
        <v>162.0</v>
      </c>
      <c r="B163" s="5" t="s">
        <v>516</v>
      </c>
      <c r="C163" s="5" t="s">
        <v>21</v>
      </c>
    </row>
    <row r="164">
      <c r="A164" s="5">
        <v>163.0</v>
      </c>
      <c r="B164" s="5" t="s">
        <v>517</v>
      </c>
      <c r="C164" s="5" t="s">
        <v>21</v>
      </c>
    </row>
    <row r="165">
      <c r="A165" s="5">
        <v>164.0</v>
      </c>
      <c r="B165" s="5" t="s">
        <v>519</v>
      </c>
      <c r="C165" s="5" t="s">
        <v>21</v>
      </c>
    </row>
    <row r="166">
      <c r="A166" s="5">
        <v>165.0</v>
      </c>
      <c r="B166" s="5" t="s">
        <v>521</v>
      </c>
      <c r="C166" s="5" t="s">
        <v>21</v>
      </c>
    </row>
    <row r="167">
      <c r="A167" s="5">
        <v>166.0</v>
      </c>
      <c r="B167" s="5" t="s">
        <v>523</v>
      </c>
      <c r="C167" s="5" t="s">
        <v>21</v>
      </c>
    </row>
    <row r="168">
      <c r="A168" s="5">
        <v>167.0</v>
      </c>
      <c r="B168" s="5" t="s">
        <v>524</v>
      </c>
      <c r="C168" s="5" t="s">
        <v>21</v>
      </c>
    </row>
    <row r="169">
      <c r="A169" s="5">
        <v>168.0</v>
      </c>
      <c r="B169" s="5" t="s">
        <v>525</v>
      </c>
      <c r="C169" s="5" t="s">
        <v>21</v>
      </c>
    </row>
    <row r="170">
      <c r="A170" s="5">
        <v>169.0</v>
      </c>
      <c r="B170" s="5" t="s">
        <v>527</v>
      </c>
      <c r="C170" s="5" t="s">
        <v>21</v>
      </c>
    </row>
    <row r="171">
      <c r="A171" s="5">
        <v>170.0</v>
      </c>
      <c r="B171" s="5" t="s">
        <v>528</v>
      </c>
      <c r="C171" s="5" t="s">
        <v>21</v>
      </c>
    </row>
    <row r="172">
      <c r="A172" s="5">
        <v>171.0</v>
      </c>
      <c r="B172" s="5" t="s">
        <v>529</v>
      </c>
      <c r="C172" s="5" t="s">
        <v>21</v>
      </c>
    </row>
    <row r="173">
      <c r="A173" s="5">
        <v>172.0</v>
      </c>
      <c r="B173" s="5" t="s">
        <v>531</v>
      </c>
      <c r="C173" s="5" t="s">
        <v>21</v>
      </c>
    </row>
    <row r="174">
      <c r="A174" s="5">
        <v>173.0</v>
      </c>
      <c r="B174" s="5" t="s">
        <v>533</v>
      </c>
      <c r="C174" s="5" t="s">
        <v>21</v>
      </c>
    </row>
    <row r="175">
      <c r="A175" s="5">
        <v>174.0</v>
      </c>
      <c r="B175" s="5" t="s">
        <v>534</v>
      </c>
      <c r="C175" s="5" t="s">
        <v>21</v>
      </c>
    </row>
    <row r="176">
      <c r="A176" s="5">
        <v>175.0</v>
      </c>
      <c r="B176" s="5" t="s">
        <v>536</v>
      </c>
      <c r="C176" s="5" t="s">
        <v>21</v>
      </c>
    </row>
    <row r="177">
      <c r="A177" s="5">
        <v>176.0</v>
      </c>
      <c r="B177" s="5" t="s">
        <v>538</v>
      </c>
      <c r="C177" s="5" t="s">
        <v>21</v>
      </c>
    </row>
    <row r="178">
      <c r="A178" s="5">
        <v>177.0</v>
      </c>
      <c r="B178" s="5" t="s">
        <v>539</v>
      </c>
      <c r="C178" s="5" t="s">
        <v>21</v>
      </c>
    </row>
    <row r="179">
      <c r="A179" s="5">
        <v>178.0</v>
      </c>
      <c r="B179" s="5" t="s">
        <v>540</v>
      </c>
      <c r="C179" s="5" t="s">
        <v>21</v>
      </c>
    </row>
    <row r="180">
      <c r="A180" s="5">
        <v>179.0</v>
      </c>
      <c r="B180" s="5" t="s">
        <v>542</v>
      </c>
      <c r="C180" s="5" t="s">
        <v>21</v>
      </c>
    </row>
    <row r="181">
      <c r="A181" s="5">
        <v>180.0</v>
      </c>
      <c r="B181" s="5" t="s">
        <v>543</v>
      </c>
      <c r="C181" s="5" t="s">
        <v>21</v>
      </c>
    </row>
    <row r="182">
      <c r="A182" s="5">
        <v>181.0</v>
      </c>
      <c r="B182" s="5" t="s">
        <v>545</v>
      </c>
      <c r="C182" s="5" t="s">
        <v>21</v>
      </c>
    </row>
    <row r="183">
      <c r="A183" s="5">
        <v>182.0</v>
      </c>
      <c r="B183" s="5" t="s">
        <v>546</v>
      </c>
      <c r="C183" s="5" t="s">
        <v>21</v>
      </c>
    </row>
    <row r="184">
      <c r="A184" s="5">
        <v>183.0</v>
      </c>
      <c r="B184" s="5" t="s">
        <v>549</v>
      </c>
      <c r="C184" s="5" t="s">
        <v>21</v>
      </c>
    </row>
    <row r="185">
      <c r="A185" s="5">
        <v>184.0</v>
      </c>
      <c r="B185" s="5" t="s">
        <v>551</v>
      </c>
      <c r="C185" s="5" t="s">
        <v>21</v>
      </c>
    </row>
    <row r="186">
      <c r="A186" s="5">
        <v>185.0</v>
      </c>
      <c r="B186" s="5" t="s">
        <v>552</v>
      </c>
      <c r="C186" s="5" t="s">
        <v>21</v>
      </c>
    </row>
    <row r="187">
      <c r="A187" s="5">
        <v>186.0</v>
      </c>
      <c r="B187" s="5" t="s">
        <v>554</v>
      </c>
      <c r="C187" s="5" t="s">
        <v>21</v>
      </c>
    </row>
    <row r="188">
      <c r="A188" s="5">
        <v>187.0</v>
      </c>
      <c r="B188" s="5" t="s">
        <v>556</v>
      </c>
      <c r="C188" s="5" t="s">
        <v>21</v>
      </c>
    </row>
    <row r="189">
      <c r="A189" s="5">
        <v>188.0</v>
      </c>
      <c r="B189" s="5" t="s">
        <v>558</v>
      </c>
      <c r="C189" s="5" t="s">
        <v>21</v>
      </c>
    </row>
    <row r="190">
      <c r="A190" s="5">
        <v>189.0</v>
      </c>
      <c r="B190" s="5" t="s">
        <v>560</v>
      </c>
      <c r="C190" s="5" t="s">
        <v>21</v>
      </c>
    </row>
    <row r="191">
      <c r="A191" s="5">
        <v>190.0</v>
      </c>
      <c r="B191" s="5" t="s">
        <v>561</v>
      </c>
      <c r="C191" s="5" t="s">
        <v>21</v>
      </c>
    </row>
    <row r="192">
      <c r="A192" s="5">
        <v>191.0</v>
      </c>
      <c r="B192" s="5" t="s">
        <v>563</v>
      </c>
      <c r="C192" s="5" t="s">
        <v>21</v>
      </c>
    </row>
    <row r="193">
      <c r="A193" s="5">
        <v>192.0</v>
      </c>
      <c r="B193" s="5" t="s">
        <v>565</v>
      </c>
      <c r="C193" s="5" t="s">
        <v>21</v>
      </c>
    </row>
    <row r="194">
      <c r="A194" s="5">
        <v>193.0</v>
      </c>
      <c r="B194" s="5" t="s">
        <v>567</v>
      </c>
      <c r="C194" s="5" t="s">
        <v>21</v>
      </c>
    </row>
    <row r="195">
      <c r="A195" s="5">
        <v>194.0</v>
      </c>
      <c r="B195" s="5" t="s">
        <v>568</v>
      </c>
      <c r="C195" s="5" t="s">
        <v>21</v>
      </c>
    </row>
    <row r="196">
      <c r="A196" s="5">
        <v>195.0</v>
      </c>
      <c r="B196" s="5" t="s">
        <v>570</v>
      </c>
      <c r="C196" s="5" t="s">
        <v>21</v>
      </c>
    </row>
    <row r="197">
      <c r="A197" s="5">
        <v>196.0</v>
      </c>
      <c r="B197" s="5" t="s">
        <v>572</v>
      </c>
      <c r="C197" s="5" t="s">
        <v>21</v>
      </c>
    </row>
    <row r="198">
      <c r="A198" s="5">
        <v>197.0</v>
      </c>
      <c r="B198" s="5" t="s">
        <v>574</v>
      </c>
      <c r="C198" s="5" t="s">
        <v>21</v>
      </c>
    </row>
    <row r="199">
      <c r="A199" s="5">
        <v>198.0</v>
      </c>
      <c r="B199" s="5" t="s">
        <v>575</v>
      </c>
      <c r="C199" s="5" t="s">
        <v>21</v>
      </c>
    </row>
    <row r="200">
      <c r="A200" s="5">
        <v>199.0</v>
      </c>
      <c r="B200" s="5" t="s">
        <v>577</v>
      </c>
      <c r="C200" s="5" t="s">
        <v>21</v>
      </c>
    </row>
    <row r="201">
      <c r="A201" s="5">
        <v>200.0</v>
      </c>
      <c r="B201" s="5" t="s">
        <v>579</v>
      </c>
      <c r="C201" s="5" t="s">
        <v>21</v>
      </c>
    </row>
    <row r="202">
      <c r="A202" s="5">
        <v>201.0</v>
      </c>
      <c r="B202" s="5" t="s">
        <v>580</v>
      </c>
      <c r="C202" s="5" t="s">
        <v>21</v>
      </c>
    </row>
    <row r="203">
      <c r="A203" s="5">
        <v>202.0</v>
      </c>
      <c r="B203" s="5" t="s">
        <v>582</v>
      </c>
      <c r="C203" s="5" t="s">
        <v>21</v>
      </c>
    </row>
    <row r="204">
      <c r="A204" s="5">
        <v>203.0</v>
      </c>
      <c r="B204" s="5" t="s">
        <v>584</v>
      </c>
      <c r="C204" s="5" t="s">
        <v>21</v>
      </c>
    </row>
    <row r="205">
      <c r="A205" s="5">
        <v>204.0</v>
      </c>
      <c r="B205" s="5" t="s">
        <v>586</v>
      </c>
      <c r="C205" s="5" t="s">
        <v>21</v>
      </c>
    </row>
    <row r="206">
      <c r="A206" s="5">
        <v>205.0</v>
      </c>
      <c r="B206" s="5" t="s">
        <v>587</v>
      </c>
      <c r="C206" s="5" t="s">
        <v>21</v>
      </c>
    </row>
    <row r="207">
      <c r="A207" s="5">
        <v>206.0</v>
      </c>
      <c r="B207" s="5" t="s">
        <v>589</v>
      </c>
      <c r="C207" s="5" t="s">
        <v>21</v>
      </c>
    </row>
    <row r="208">
      <c r="A208" s="5">
        <v>207.0</v>
      </c>
      <c r="B208" s="5" t="s">
        <v>591</v>
      </c>
      <c r="C208" s="5" t="s">
        <v>21</v>
      </c>
    </row>
    <row r="209">
      <c r="A209" s="5">
        <v>208.0</v>
      </c>
      <c r="B209" s="5" t="s">
        <v>592</v>
      </c>
      <c r="C209" s="5" t="s">
        <v>21</v>
      </c>
    </row>
    <row r="210">
      <c r="A210" s="5">
        <v>209.0</v>
      </c>
      <c r="B210" s="5" t="s">
        <v>594</v>
      </c>
      <c r="C210" s="5" t="s">
        <v>21</v>
      </c>
    </row>
    <row r="211">
      <c r="A211" s="5">
        <v>210.0</v>
      </c>
      <c r="B211" s="5" t="s">
        <v>596</v>
      </c>
      <c r="C211" s="5" t="s">
        <v>21</v>
      </c>
    </row>
    <row r="212">
      <c r="A212" s="5">
        <v>211.0</v>
      </c>
      <c r="B212" s="5" t="s">
        <v>598</v>
      </c>
      <c r="C212" s="5" t="s">
        <v>21</v>
      </c>
    </row>
    <row r="213">
      <c r="A213" s="5">
        <v>212.0</v>
      </c>
      <c r="B213" s="5" t="s">
        <v>599</v>
      </c>
      <c r="C213" s="5" t="s">
        <v>21</v>
      </c>
    </row>
    <row r="214">
      <c r="A214" s="5">
        <v>213.0</v>
      </c>
      <c r="B214" s="5" t="s">
        <v>601</v>
      </c>
      <c r="C214" s="5" t="s">
        <v>21</v>
      </c>
    </row>
    <row r="215">
      <c r="A215" s="5">
        <v>214.0</v>
      </c>
      <c r="B215" s="5" t="s">
        <v>603</v>
      </c>
      <c r="C215" s="5" t="s">
        <v>21</v>
      </c>
    </row>
    <row r="216">
      <c r="A216" s="5">
        <v>215.0</v>
      </c>
      <c r="B216" s="5" t="s">
        <v>604</v>
      </c>
      <c r="C216" s="5" t="s">
        <v>21</v>
      </c>
    </row>
    <row r="217">
      <c r="A217" s="5">
        <v>216.0</v>
      </c>
      <c r="B217" s="5" t="s">
        <v>606</v>
      </c>
      <c r="C217" s="5" t="s">
        <v>21</v>
      </c>
    </row>
    <row r="218">
      <c r="A218" s="5">
        <v>217.0</v>
      </c>
      <c r="B218" s="5" t="s">
        <v>608</v>
      </c>
      <c r="C218" s="5" t="s">
        <v>21</v>
      </c>
    </row>
    <row r="219">
      <c r="A219" s="5">
        <v>218.0</v>
      </c>
      <c r="B219" s="5" t="s">
        <v>609</v>
      </c>
      <c r="C219" s="5" t="s">
        <v>21</v>
      </c>
    </row>
    <row r="220">
      <c r="A220" s="5">
        <v>219.0</v>
      </c>
      <c r="B220" s="5" t="s">
        <v>611</v>
      </c>
      <c r="C220" s="5" t="s">
        <v>21</v>
      </c>
    </row>
    <row r="221">
      <c r="A221" s="5">
        <v>220.0</v>
      </c>
      <c r="B221" s="5" t="s">
        <v>612</v>
      </c>
      <c r="C221" s="5" t="s">
        <v>21</v>
      </c>
    </row>
    <row r="222">
      <c r="A222" s="5">
        <v>221.0</v>
      </c>
      <c r="B222" s="5" t="s">
        <v>614</v>
      </c>
      <c r="C222" s="5" t="s">
        <v>21</v>
      </c>
    </row>
    <row r="223">
      <c r="A223" s="5">
        <v>222.0</v>
      </c>
      <c r="B223" s="5" t="s">
        <v>615</v>
      </c>
      <c r="C223" s="5" t="s">
        <v>21</v>
      </c>
    </row>
    <row r="224">
      <c r="A224" s="5">
        <v>223.0</v>
      </c>
      <c r="B224" s="5" t="s">
        <v>617</v>
      </c>
      <c r="C224" s="5" t="s">
        <v>21</v>
      </c>
    </row>
    <row r="225">
      <c r="A225" s="5">
        <v>224.0</v>
      </c>
      <c r="B225" s="5" t="s">
        <v>619</v>
      </c>
      <c r="C225" s="5" t="s">
        <v>21</v>
      </c>
    </row>
    <row r="226">
      <c r="A226" s="5">
        <v>225.0</v>
      </c>
      <c r="B226" s="5" t="s">
        <v>620</v>
      </c>
      <c r="C226" s="5" t="s">
        <v>21</v>
      </c>
    </row>
    <row r="227">
      <c r="A227" s="5">
        <v>226.0</v>
      </c>
      <c r="B227" s="5" t="s">
        <v>622</v>
      </c>
      <c r="C227" s="5" t="s">
        <v>21</v>
      </c>
    </row>
    <row r="228">
      <c r="A228" s="5">
        <v>227.0</v>
      </c>
      <c r="B228" s="5" t="s">
        <v>624</v>
      </c>
      <c r="C228" s="5" t="s">
        <v>21</v>
      </c>
    </row>
    <row r="229">
      <c r="A229" s="5">
        <v>228.0</v>
      </c>
      <c r="B229" s="5" t="s">
        <v>625</v>
      </c>
      <c r="C229" s="5" t="s">
        <v>21</v>
      </c>
    </row>
    <row r="230">
      <c r="A230" s="5">
        <v>229.0</v>
      </c>
      <c r="B230" s="5" t="s">
        <v>627</v>
      </c>
      <c r="C230" s="5" t="s">
        <v>21</v>
      </c>
    </row>
    <row r="231">
      <c r="A231" s="5">
        <v>230.0</v>
      </c>
      <c r="B231" s="5" t="s">
        <v>629</v>
      </c>
      <c r="C231" s="5" t="s">
        <v>21</v>
      </c>
    </row>
    <row r="232">
      <c r="A232" s="5">
        <v>231.0</v>
      </c>
      <c r="B232" s="5" t="s">
        <v>631</v>
      </c>
      <c r="C232" s="5" t="s">
        <v>21</v>
      </c>
    </row>
    <row r="233">
      <c r="A233" s="5">
        <v>232.0</v>
      </c>
      <c r="B233" s="5" t="s">
        <v>632</v>
      </c>
      <c r="C233" s="5" t="s">
        <v>21</v>
      </c>
    </row>
    <row r="234">
      <c r="A234" s="5">
        <v>233.0</v>
      </c>
      <c r="B234" s="5" t="s">
        <v>634</v>
      </c>
      <c r="C234" s="5" t="s">
        <v>21</v>
      </c>
    </row>
    <row r="235">
      <c r="A235" s="5">
        <v>234.0</v>
      </c>
      <c r="B235" s="5" t="s">
        <v>636</v>
      </c>
      <c r="C235" s="5" t="s">
        <v>21</v>
      </c>
    </row>
    <row r="236">
      <c r="A236" s="5">
        <v>235.0</v>
      </c>
      <c r="B236" s="5" t="s">
        <v>638</v>
      </c>
      <c r="C236" s="5" t="s">
        <v>21</v>
      </c>
    </row>
    <row r="237">
      <c r="A237" s="5">
        <v>236.0</v>
      </c>
      <c r="B237" s="5" t="s">
        <v>640</v>
      </c>
      <c r="C237" s="5" t="s">
        <v>21</v>
      </c>
    </row>
    <row r="238">
      <c r="A238" s="5">
        <v>237.0</v>
      </c>
      <c r="B238" s="5" t="s">
        <v>641</v>
      </c>
      <c r="C238" s="5" t="s">
        <v>21</v>
      </c>
    </row>
    <row r="239">
      <c r="A239" s="5">
        <v>238.0</v>
      </c>
      <c r="B239" s="5" t="s">
        <v>643</v>
      </c>
      <c r="C239" s="5" t="s">
        <v>21</v>
      </c>
    </row>
    <row r="240">
      <c r="A240" s="5">
        <v>239.0</v>
      </c>
      <c r="B240" s="5" t="s">
        <v>645</v>
      </c>
      <c r="C240" s="5" t="s">
        <v>21</v>
      </c>
    </row>
    <row r="241">
      <c r="A241" s="5">
        <v>240.0</v>
      </c>
      <c r="B241" s="5" t="s">
        <v>646</v>
      </c>
      <c r="C241" s="5" t="s">
        <v>21</v>
      </c>
    </row>
    <row r="242">
      <c r="A242" s="5">
        <v>241.0</v>
      </c>
      <c r="B242" s="5" t="s">
        <v>648</v>
      </c>
      <c r="C242" s="5" t="s">
        <v>21</v>
      </c>
    </row>
    <row r="243">
      <c r="A243" s="5">
        <v>242.0</v>
      </c>
      <c r="B243" s="5" t="s">
        <v>649</v>
      </c>
      <c r="C243" s="5" t="s">
        <v>21</v>
      </c>
    </row>
    <row r="244">
      <c r="A244" s="5">
        <v>243.0</v>
      </c>
      <c r="B244" s="5" t="s">
        <v>651</v>
      </c>
      <c r="C244" s="5" t="s">
        <v>21</v>
      </c>
    </row>
    <row r="245">
      <c r="A245" s="5">
        <v>244.0</v>
      </c>
      <c r="B245" s="5" t="s">
        <v>652</v>
      </c>
      <c r="C245" s="5" t="s">
        <v>21</v>
      </c>
    </row>
    <row r="246">
      <c r="A246" s="5">
        <v>245.0</v>
      </c>
      <c r="B246" s="5" t="s">
        <v>654</v>
      </c>
      <c r="C246" s="5" t="s">
        <v>21</v>
      </c>
    </row>
    <row r="247">
      <c r="A247" s="5">
        <v>246.0</v>
      </c>
      <c r="B247" s="5" t="s">
        <v>655</v>
      </c>
      <c r="C247" s="5" t="s">
        <v>21</v>
      </c>
    </row>
    <row r="248">
      <c r="A248" s="5">
        <v>247.0</v>
      </c>
      <c r="B248" s="5" t="s">
        <v>657</v>
      </c>
      <c r="C248" s="5" t="s">
        <v>21</v>
      </c>
    </row>
    <row r="249">
      <c r="A249" s="5">
        <v>248.0</v>
      </c>
      <c r="B249" s="5" t="s">
        <v>659</v>
      </c>
      <c r="C249" s="5" t="s">
        <v>21</v>
      </c>
    </row>
    <row r="250">
      <c r="A250" s="5">
        <v>249.0</v>
      </c>
      <c r="B250" s="5" t="s">
        <v>660</v>
      </c>
      <c r="C250" s="5" t="s">
        <v>21</v>
      </c>
    </row>
    <row r="251">
      <c r="A251" s="5">
        <v>250.0</v>
      </c>
      <c r="B251" s="5" t="s">
        <v>662</v>
      </c>
      <c r="C251" s="5" t="s">
        <v>21</v>
      </c>
    </row>
    <row r="252">
      <c r="A252" s="5">
        <v>251.0</v>
      </c>
      <c r="B252" s="5" t="s">
        <v>663</v>
      </c>
      <c r="C252" s="5" t="s">
        <v>21</v>
      </c>
    </row>
    <row r="253">
      <c r="A253" s="5">
        <v>252.0</v>
      </c>
      <c r="B253" s="5" t="s">
        <v>665</v>
      </c>
      <c r="C253" s="5" t="s">
        <v>21</v>
      </c>
    </row>
    <row r="254">
      <c r="A254" s="5">
        <v>253.0</v>
      </c>
      <c r="B254" s="5" t="s">
        <v>667</v>
      </c>
      <c r="C254" s="5" t="s">
        <v>21</v>
      </c>
    </row>
    <row r="255">
      <c r="A255" s="5">
        <v>254.0</v>
      </c>
      <c r="B255" s="5" t="s">
        <v>668</v>
      </c>
      <c r="C255" s="5" t="s">
        <v>21</v>
      </c>
    </row>
    <row r="256">
      <c r="A256" s="5">
        <v>255.0</v>
      </c>
      <c r="B256" s="5" t="s">
        <v>670</v>
      </c>
      <c r="C256" s="5" t="s">
        <v>21</v>
      </c>
    </row>
    <row r="257">
      <c r="A257" s="5">
        <v>256.0</v>
      </c>
      <c r="B257" s="5" t="s">
        <v>671</v>
      </c>
      <c r="C257" s="5" t="s">
        <v>21</v>
      </c>
    </row>
    <row r="258">
      <c r="A258" s="5">
        <v>257.0</v>
      </c>
      <c r="B258" s="5" t="s">
        <v>673</v>
      </c>
      <c r="C258" s="5" t="s">
        <v>21</v>
      </c>
    </row>
    <row r="259">
      <c r="A259" s="5">
        <v>258.0</v>
      </c>
      <c r="B259" s="5" t="s">
        <v>675</v>
      </c>
      <c r="C259" s="5" t="s">
        <v>21</v>
      </c>
    </row>
    <row r="260">
      <c r="A260" s="5">
        <v>259.0</v>
      </c>
      <c r="B260" s="5" t="s">
        <v>676</v>
      </c>
      <c r="C260" s="5" t="s">
        <v>21</v>
      </c>
    </row>
    <row r="261">
      <c r="A261" s="5">
        <v>260.0</v>
      </c>
      <c r="B261" s="5" t="s">
        <v>678</v>
      </c>
      <c r="C261" s="5" t="s">
        <v>21</v>
      </c>
    </row>
    <row r="262">
      <c r="A262" s="5">
        <v>261.0</v>
      </c>
      <c r="B262" s="5" t="s">
        <v>680</v>
      </c>
      <c r="C262" s="5" t="s">
        <v>21</v>
      </c>
    </row>
    <row r="263">
      <c r="A263" s="5">
        <v>262.0</v>
      </c>
      <c r="B263" s="5" t="s">
        <v>684</v>
      </c>
      <c r="C263" s="5" t="s">
        <v>21</v>
      </c>
    </row>
    <row r="264">
      <c r="A264" s="5">
        <v>263.0</v>
      </c>
      <c r="B264" s="5" t="s">
        <v>686</v>
      </c>
      <c r="C264" s="5" t="s">
        <v>21</v>
      </c>
    </row>
    <row r="265">
      <c r="A265" s="5">
        <v>264.0</v>
      </c>
      <c r="B265" s="5" t="s">
        <v>687</v>
      </c>
      <c r="C265" s="5" t="s">
        <v>21</v>
      </c>
    </row>
    <row r="266">
      <c r="A266" s="5">
        <v>265.0</v>
      </c>
      <c r="B266" s="5" t="s">
        <v>689</v>
      </c>
      <c r="C266" s="5" t="s">
        <v>21</v>
      </c>
    </row>
    <row r="267">
      <c r="A267" s="5">
        <v>266.0</v>
      </c>
      <c r="B267" s="5" t="s">
        <v>691</v>
      </c>
      <c r="C267" s="5" t="s">
        <v>21</v>
      </c>
    </row>
    <row r="268">
      <c r="A268" s="5">
        <v>267.0</v>
      </c>
      <c r="B268" s="5" t="s">
        <v>692</v>
      </c>
      <c r="C268" s="5" t="s">
        <v>21</v>
      </c>
    </row>
    <row r="269">
      <c r="A269" s="5">
        <v>268.0</v>
      </c>
      <c r="B269" s="5" t="s">
        <v>694</v>
      </c>
      <c r="C269" s="5" t="s">
        <v>21</v>
      </c>
    </row>
    <row r="270">
      <c r="A270" s="5">
        <v>269.0</v>
      </c>
      <c r="B270" s="5" t="s">
        <v>696</v>
      </c>
      <c r="C270" s="5" t="s">
        <v>21</v>
      </c>
    </row>
    <row r="271">
      <c r="A271" s="5">
        <v>270.0</v>
      </c>
      <c r="B271" s="5" t="s">
        <v>698</v>
      </c>
      <c r="C271" s="5" t="s">
        <v>21</v>
      </c>
    </row>
    <row r="272">
      <c r="A272" s="5">
        <v>271.0</v>
      </c>
      <c r="B272" s="5" t="s">
        <v>699</v>
      </c>
      <c r="C272" s="5" t="s">
        <v>21</v>
      </c>
    </row>
    <row r="273">
      <c r="A273" s="5">
        <v>272.0</v>
      </c>
      <c r="B273" s="5" t="s">
        <v>701</v>
      </c>
      <c r="C273" s="5" t="s">
        <v>21</v>
      </c>
    </row>
    <row r="274">
      <c r="A274" s="5">
        <v>273.0</v>
      </c>
      <c r="B274" s="5" t="s">
        <v>703</v>
      </c>
      <c r="C274" s="5" t="s">
        <v>21</v>
      </c>
    </row>
    <row r="275">
      <c r="A275" s="5">
        <v>274.0</v>
      </c>
      <c r="B275" s="5" t="s">
        <v>705</v>
      </c>
      <c r="C275" s="5" t="s">
        <v>21</v>
      </c>
    </row>
    <row r="276">
      <c r="A276" s="5">
        <v>275.0</v>
      </c>
      <c r="B276" s="5" t="s">
        <v>706</v>
      </c>
      <c r="C276" s="5" t="s">
        <v>21</v>
      </c>
    </row>
    <row r="277">
      <c r="A277" s="5">
        <v>276.0</v>
      </c>
      <c r="B277" s="5" t="s">
        <v>708</v>
      </c>
      <c r="C277" s="5" t="s">
        <v>21</v>
      </c>
    </row>
    <row r="278">
      <c r="A278" s="5">
        <v>277.0</v>
      </c>
      <c r="B278" s="5" t="s">
        <v>710</v>
      </c>
      <c r="C278" s="5" t="s">
        <v>21</v>
      </c>
    </row>
    <row r="279">
      <c r="A279" s="5">
        <v>278.0</v>
      </c>
      <c r="B279" s="5" t="s">
        <v>711</v>
      </c>
      <c r="C279" s="5" t="s">
        <v>21</v>
      </c>
    </row>
    <row r="280">
      <c r="A280" s="5">
        <v>279.0</v>
      </c>
      <c r="B280" s="5" t="s">
        <v>713</v>
      </c>
      <c r="C280" s="5" t="s">
        <v>21</v>
      </c>
    </row>
    <row r="281">
      <c r="A281" s="5">
        <v>280.0</v>
      </c>
      <c r="B281" s="5" t="s">
        <v>715</v>
      </c>
      <c r="C281" s="5" t="s">
        <v>21</v>
      </c>
    </row>
    <row r="282">
      <c r="A282" s="5">
        <v>281.0</v>
      </c>
      <c r="B282" s="5" t="s">
        <v>716</v>
      </c>
      <c r="C282" s="5" t="s">
        <v>21</v>
      </c>
    </row>
    <row r="283">
      <c r="A283" s="5">
        <v>282.0</v>
      </c>
      <c r="B283" s="5" t="s">
        <v>718</v>
      </c>
      <c r="C283" s="5" t="s">
        <v>21</v>
      </c>
    </row>
    <row r="284">
      <c r="A284" s="5">
        <v>283.0</v>
      </c>
      <c r="B284" s="5" t="s">
        <v>720</v>
      </c>
      <c r="C284" s="5" t="s">
        <v>21</v>
      </c>
    </row>
    <row r="285">
      <c r="A285" s="5">
        <v>284.0</v>
      </c>
      <c r="B285" s="5" t="s">
        <v>722</v>
      </c>
      <c r="C285" s="5" t="s">
        <v>21</v>
      </c>
    </row>
    <row r="286">
      <c r="A286" s="5">
        <v>285.0</v>
      </c>
      <c r="B286" s="5" t="s">
        <v>723</v>
      </c>
      <c r="C286" s="5" t="s">
        <v>21</v>
      </c>
    </row>
    <row r="287">
      <c r="A287" s="5">
        <v>286.0</v>
      </c>
      <c r="B287" s="5" t="s">
        <v>725</v>
      </c>
      <c r="C287" s="5" t="s">
        <v>21</v>
      </c>
    </row>
    <row r="288">
      <c r="A288" s="5">
        <v>287.0</v>
      </c>
      <c r="B288" s="5" t="s">
        <v>727</v>
      </c>
      <c r="C288" s="5" t="s">
        <v>21</v>
      </c>
    </row>
    <row r="289">
      <c r="A289" s="5">
        <v>288.0</v>
      </c>
      <c r="B289" s="5" t="s">
        <v>728</v>
      </c>
      <c r="C289" s="5" t="s">
        <v>21</v>
      </c>
    </row>
    <row r="290">
      <c r="A290" s="5">
        <v>289.0</v>
      </c>
      <c r="B290" s="5" t="s">
        <v>730</v>
      </c>
      <c r="C290" s="5" t="s">
        <v>21</v>
      </c>
    </row>
    <row r="291">
      <c r="A291" s="5">
        <v>290.0</v>
      </c>
      <c r="B291" s="5" t="s">
        <v>732</v>
      </c>
      <c r="C291" s="5" t="s">
        <v>21</v>
      </c>
    </row>
    <row r="292">
      <c r="A292" s="5">
        <v>291.0</v>
      </c>
      <c r="B292" s="5" t="s">
        <v>734</v>
      </c>
      <c r="C292" s="5" t="s">
        <v>21</v>
      </c>
    </row>
    <row r="293">
      <c r="A293" s="5">
        <v>292.0</v>
      </c>
      <c r="B293" s="5" t="s">
        <v>735</v>
      </c>
      <c r="C293" s="5" t="s">
        <v>21</v>
      </c>
    </row>
    <row r="294">
      <c r="A294" s="5">
        <v>293.0</v>
      </c>
      <c r="B294" s="5" t="s">
        <v>737</v>
      </c>
      <c r="C294" s="5" t="s">
        <v>21</v>
      </c>
    </row>
    <row r="295">
      <c r="A295" s="5">
        <v>294.0</v>
      </c>
      <c r="B295" s="5" t="s">
        <v>739</v>
      </c>
      <c r="C295" s="5" t="s">
        <v>21</v>
      </c>
    </row>
    <row r="296">
      <c r="A296" s="5">
        <v>295.0</v>
      </c>
      <c r="B296" s="5" t="s">
        <v>741</v>
      </c>
      <c r="C296" s="5" t="s">
        <v>21</v>
      </c>
    </row>
    <row r="297">
      <c r="A297" s="5">
        <v>296.0</v>
      </c>
      <c r="B297" s="5" t="s">
        <v>742</v>
      </c>
      <c r="C297" s="5" t="s">
        <v>21</v>
      </c>
    </row>
    <row r="298">
      <c r="A298" s="5">
        <v>297.0</v>
      </c>
      <c r="B298" s="5" t="s">
        <v>744</v>
      </c>
      <c r="C298" s="5" t="s">
        <v>21</v>
      </c>
    </row>
    <row r="299">
      <c r="A299" s="5">
        <v>298.0</v>
      </c>
      <c r="B299" s="5" t="s">
        <v>746</v>
      </c>
      <c r="C299" s="5" t="s">
        <v>21</v>
      </c>
    </row>
    <row r="300">
      <c r="A300" s="5">
        <v>299.0</v>
      </c>
      <c r="B300" s="5" t="s">
        <v>748</v>
      </c>
      <c r="C300" s="5" t="s">
        <v>21</v>
      </c>
    </row>
    <row r="301">
      <c r="A301" s="5">
        <v>300.0</v>
      </c>
      <c r="B301" s="5" t="s">
        <v>750</v>
      </c>
      <c r="C301" s="5" t="s">
        <v>21</v>
      </c>
    </row>
    <row r="302">
      <c r="A302" s="5">
        <v>301.0</v>
      </c>
      <c r="B302" s="5" t="s">
        <v>752</v>
      </c>
      <c r="C302" s="5" t="s">
        <v>21</v>
      </c>
    </row>
    <row r="303">
      <c r="A303" s="5">
        <v>302.0</v>
      </c>
      <c r="B303" s="5" t="s">
        <v>753</v>
      </c>
      <c r="C303" s="5" t="s">
        <v>21</v>
      </c>
    </row>
    <row r="304">
      <c r="A304" s="5">
        <v>303.0</v>
      </c>
      <c r="B304" s="5" t="s">
        <v>754</v>
      </c>
      <c r="C304" s="5" t="s">
        <v>21</v>
      </c>
    </row>
    <row r="305">
      <c r="A305" s="5">
        <v>304.0</v>
      </c>
      <c r="B305" s="5" t="s">
        <v>755</v>
      </c>
      <c r="C305" s="5" t="s">
        <v>21</v>
      </c>
    </row>
    <row r="306">
      <c r="A306" s="5">
        <v>305.0</v>
      </c>
      <c r="B306" s="5" t="s">
        <v>757</v>
      </c>
      <c r="C306" s="5" t="s">
        <v>21</v>
      </c>
    </row>
    <row r="307">
      <c r="A307" s="5">
        <v>306.0</v>
      </c>
      <c r="B307" s="5" t="s">
        <v>758</v>
      </c>
      <c r="C307" s="5" t="s">
        <v>21</v>
      </c>
    </row>
    <row r="308">
      <c r="A308" s="5">
        <v>307.0</v>
      </c>
      <c r="B308" s="5" t="s">
        <v>760</v>
      </c>
      <c r="C308" s="5" t="s">
        <v>21</v>
      </c>
    </row>
    <row r="309">
      <c r="A309" s="5">
        <v>308.0</v>
      </c>
      <c r="B309" s="5" t="s">
        <v>762</v>
      </c>
      <c r="C309" s="5" t="s">
        <v>21</v>
      </c>
    </row>
    <row r="310">
      <c r="A310" s="5">
        <v>309.0</v>
      </c>
      <c r="B310" s="5" t="s">
        <v>764</v>
      </c>
      <c r="C310" s="5" t="s">
        <v>21</v>
      </c>
    </row>
    <row r="311">
      <c r="A311" s="5">
        <v>310.0</v>
      </c>
      <c r="B311" s="5" t="s">
        <v>766</v>
      </c>
      <c r="C311" s="5" t="s">
        <v>21</v>
      </c>
    </row>
    <row r="312">
      <c r="A312" s="5">
        <v>311.0</v>
      </c>
      <c r="B312" s="5" t="s">
        <v>768</v>
      </c>
      <c r="C312" s="5" t="s">
        <v>21</v>
      </c>
    </row>
    <row r="313">
      <c r="A313" s="5">
        <v>312.0</v>
      </c>
      <c r="B313" s="5" t="s">
        <v>769</v>
      </c>
      <c r="C313" s="5" t="s">
        <v>21</v>
      </c>
    </row>
    <row r="314">
      <c r="A314" s="5">
        <v>313.0</v>
      </c>
      <c r="B314" s="5" t="s">
        <v>770</v>
      </c>
      <c r="C314" s="5" t="s">
        <v>21</v>
      </c>
    </row>
    <row r="315">
      <c r="A315" s="5">
        <v>314.0</v>
      </c>
      <c r="B315" s="5" t="s">
        <v>771</v>
      </c>
      <c r="C315" s="5" t="s">
        <v>21</v>
      </c>
    </row>
    <row r="316">
      <c r="A316" s="5">
        <v>315.0</v>
      </c>
      <c r="B316" s="5" t="s">
        <v>772</v>
      </c>
      <c r="C316" s="5" t="s">
        <v>21</v>
      </c>
    </row>
    <row r="317">
      <c r="A317" s="5">
        <v>316.0</v>
      </c>
      <c r="B317" s="5" t="s">
        <v>774</v>
      </c>
      <c r="C317" s="5" t="s">
        <v>21</v>
      </c>
    </row>
    <row r="318">
      <c r="A318" s="5">
        <v>317.0</v>
      </c>
      <c r="B318" s="5" t="s">
        <v>775</v>
      </c>
      <c r="C318" s="5" t="s">
        <v>21</v>
      </c>
    </row>
    <row r="319">
      <c r="A319" s="5">
        <v>318.0</v>
      </c>
      <c r="B319" s="5" t="s">
        <v>777</v>
      </c>
      <c r="C319" s="5" t="s">
        <v>21</v>
      </c>
    </row>
    <row r="320">
      <c r="A320" s="5">
        <v>319.0</v>
      </c>
      <c r="B320" s="5" t="s">
        <v>779</v>
      </c>
      <c r="C320" s="5" t="s">
        <v>21</v>
      </c>
    </row>
    <row r="321">
      <c r="A321" s="5">
        <v>320.0</v>
      </c>
      <c r="B321" s="5" t="s">
        <v>782</v>
      </c>
      <c r="C321" s="5" t="s">
        <v>21</v>
      </c>
    </row>
    <row r="322">
      <c r="A322" s="5">
        <v>321.0</v>
      </c>
      <c r="B322" s="5" t="s">
        <v>785</v>
      </c>
      <c r="C322" s="5" t="s">
        <v>21</v>
      </c>
    </row>
    <row r="323">
      <c r="A323" s="5">
        <v>322.0</v>
      </c>
      <c r="B323" s="5" t="s">
        <v>790</v>
      </c>
      <c r="C323" s="5" t="s">
        <v>21</v>
      </c>
    </row>
    <row r="324">
      <c r="A324" s="5">
        <v>323.0</v>
      </c>
      <c r="B324" s="5" t="s">
        <v>793</v>
      </c>
      <c r="C324" s="5" t="s">
        <v>21</v>
      </c>
    </row>
    <row r="325">
      <c r="A325" s="5">
        <v>324.0</v>
      </c>
      <c r="B325" s="5" t="s">
        <v>795</v>
      </c>
      <c r="C325" s="5" t="s">
        <v>21</v>
      </c>
    </row>
    <row r="326">
      <c r="A326" s="5">
        <v>325.0</v>
      </c>
      <c r="B326" s="5" t="s">
        <v>798</v>
      </c>
      <c r="C326" s="5" t="s">
        <v>21</v>
      </c>
    </row>
    <row r="327">
      <c r="A327" s="5">
        <v>326.0</v>
      </c>
      <c r="B327" s="5" t="s">
        <v>801</v>
      </c>
      <c r="C327" s="5" t="s">
        <v>21</v>
      </c>
    </row>
    <row r="328">
      <c r="A328" s="5">
        <v>327.0</v>
      </c>
      <c r="B328" s="5" t="s">
        <v>802</v>
      </c>
      <c r="C328" s="5" t="s">
        <v>21</v>
      </c>
    </row>
    <row r="329">
      <c r="A329" s="5">
        <v>328.0</v>
      </c>
      <c r="B329" s="5" t="s">
        <v>805</v>
      </c>
      <c r="C329" s="5" t="s">
        <v>21</v>
      </c>
    </row>
    <row r="330">
      <c r="A330" s="5">
        <v>329.0</v>
      </c>
      <c r="B330" s="5" t="s">
        <v>807</v>
      </c>
      <c r="C330" s="5" t="s">
        <v>21</v>
      </c>
    </row>
    <row r="331">
      <c r="A331" s="5">
        <v>330.0</v>
      </c>
      <c r="B331" s="5" t="s">
        <v>809</v>
      </c>
      <c r="C331" s="5" t="s">
        <v>21</v>
      </c>
    </row>
    <row r="332">
      <c r="A332" s="5">
        <v>331.0</v>
      </c>
      <c r="B332" s="5" t="s">
        <v>812</v>
      </c>
      <c r="C332" s="5" t="s">
        <v>21</v>
      </c>
    </row>
    <row r="333">
      <c r="A333" s="5">
        <v>332.0</v>
      </c>
      <c r="B333" s="5" t="s">
        <v>813</v>
      </c>
      <c r="C333" s="5" t="s">
        <v>21</v>
      </c>
    </row>
    <row r="334">
      <c r="A334" s="5">
        <v>333.0</v>
      </c>
      <c r="B334" s="5" t="s">
        <v>817</v>
      </c>
      <c r="C334" s="5" t="s">
        <v>21</v>
      </c>
    </row>
    <row r="335">
      <c r="A335" s="5">
        <v>334.0</v>
      </c>
      <c r="B335" s="5" t="s">
        <v>819</v>
      </c>
      <c r="C335" s="5" t="s">
        <v>21</v>
      </c>
    </row>
    <row r="336">
      <c r="A336" s="5">
        <v>335.0</v>
      </c>
      <c r="B336" s="5" t="s">
        <v>821</v>
      </c>
      <c r="C336" s="5" t="s">
        <v>21</v>
      </c>
    </row>
    <row r="337">
      <c r="A337" s="5">
        <v>336.0</v>
      </c>
      <c r="B337" s="5" t="s">
        <v>822</v>
      </c>
      <c r="C337" s="5" t="s">
        <v>21</v>
      </c>
    </row>
    <row r="338">
      <c r="A338" s="5">
        <v>337.0</v>
      </c>
      <c r="B338" s="5" t="s">
        <v>826</v>
      </c>
      <c r="C338" s="5" t="s">
        <v>21</v>
      </c>
    </row>
    <row r="339">
      <c r="A339" s="5">
        <v>338.0</v>
      </c>
      <c r="B339" s="5" t="s">
        <v>828</v>
      </c>
      <c r="C339" s="5" t="s">
        <v>21</v>
      </c>
    </row>
    <row r="340">
      <c r="A340" s="5">
        <v>339.0</v>
      </c>
      <c r="B340" s="5" t="s">
        <v>831</v>
      </c>
      <c r="C340" s="5" t="s">
        <v>21</v>
      </c>
    </row>
    <row r="341">
      <c r="A341" s="5">
        <v>340.0</v>
      </c>
      <c r="B341" s="5" t="s">
        <v>832</v>
      </c>
      <c r="C341" s="5" t="s">
        <v>21</v>
      </c>
    </row>
    <row r="342">
      <c r="A342" s="5">
        <v>341.0</v>
      </c>
      <c r="B342" s="5" t="s">
        <v>834</v>
      </c>
      <c r="C342" s="5" t="s">
        <v>21</v>
      </c>
    </row>
    <row r="343">
      <c r="A343" s="5">
        <v>342.0</v>
      </c>
      <c r="B343" s="5" t="s">
        <v>835</v>
      </c>
      <c r="C343" s="5" t="s">
        <v>21</v>
      </c>
    </row>
    <row r="344">
      <c r="A344" s="5">
        <v>343.0</v>
      </c>
      <c r="B344" s="5" t="s">
        <v>836</v>
      </c>
      <c r="C344" s="5" t="s">
        <v>21</v>
      </c>
    </row>
    <row r="345">
      <c r="A345" s="5">
        <v>344.0</v>
      </c>
      <c r="B345" s="5" t="s">
        <v>837</v>
      </c>
      <c r="C345" s="5" t="s">
        <v>21</v>
      </c>
    </row>
    <row r="346">
      <c r="A346" s="5">
        <v>345.0</v>
      </c>
      <c r="B346" s="5" t="s">
        <v>839</v>
      </c>
      <c r="C346" s="5" t="s">
        <v>21</v>
      </c>
    </row>
    <row r="347">
      <c r="A347" s="5">
        <v>346.0</v>
      </c>
      <c r="B347" s="5" t="s">
        <v>841</v>
      </c>
      <c r="C347" s="5" t="s">
        <v>21</v>
      </c>
    </row>
    <row r="348">
      <c r="A348" s="5">
        <v>347.0</v>
      </c>
      <c r="B348" s="5" t="s">
        <v>843</v>
      </c>
      <c r="C348" s="5" t="s">
        <v>21</v>
      </c>
    </row>
    <row r="349">
      <c r="A349" s="5">
        <v>348.0</v>
      </c>
      <c r="B349" s="5" t="s">
        <v>846</v>
      </c>
      <c r="C349" s="5" t="s">
        <v>21</v>
      </c>
    </row>
    <row r="350">
      <c r="A350" s="5">
        <v>349.0</v>
      </c>
      <c r="B350" s="5" t="s">
        <v>848</v>
      </c>
      <c r="C350" s="5" t="s">
        <v>21</v>
      </c>
    </row>
    <row r="351">
      <c r="A351" s="5">
        <v>350.0</v>
      </c>
      <c r="B351" s="5" t="s">
        <v>849</v>
      </c>
      <c r="C351" s="5" t="s">
        <v>21</v>
      </c>
    </row>
    <row r="352">
      <c r="A352" s="5">
        <v>351.0</v>
      </c>
      <c r="B352" s="5" t="s">
        <v>852</v>
      </c>
      <c r="C352" s="5" t="s">
        <v>21</v>
      </c>
    </row>
    <row r="353">
      <c r="A353" s="5">
        <v>352.0</v>
      </c>
      <c r="B353" s="5" t="s">
        <v>854</v>
      </c>
      <c r="C353" s="5" t="s">
        <v>21</v>
      </c>
    </row>
    <row r="354">
      <c r="A354" s="5">
        <v>353.0</v>
      </c>
      <c r="B354" s="5" t="s">
        <v>856</v>
      </c>
      <c r="C354" s="5" t="s">
        <v>21</v>
      </c>
    </row>
    <row r="355">
      <c r="A355" s="5">
        <v>354.0</v>
      </c>
      <c r="B355" s="5" t="s">
        <v>857</v>
      </c>
      <c r="C355" s="5" t="s">
        <v>21</v>
      </c>
    </row>
    <row r="356">
      <c r="A356" s="5">
        <v>355.0</v>
      </c>
      <c r="B356" s="5" t="s">
        <v>859</v>
      </c>
      <c r="C356" s="5" t="s">
        <v>21</v>
      </c>
    </row>
    <row r="357">
      <c r="A357" s="5">
        <v>356.0</v>
      </c>
      <c r="B357" s="5" t="s">
        <v>860</v>
      </c>
      <c r="C357" s="5" t="s">
        <v>21</v>
      </c>
    </row>
    <row r="358">
      <c r="A358" s="5">
        <v>357.0</v>
      </c>
      <c r="B358" s="5" t="s">
        <v>863</v>
      </c>
      <c r="C358" s="5" t="s">
        <v>21</v>
      </c>
    </row>
    <row r="359">
      <c r="A359" s="5">
        <v>358.0</v>
      </c>
      <c r="B359" s="5" t="s">
        <v>866</v>
      </c>
      <c r="C359" s="5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28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22</v>
      </c>
      <c r="C2" s="5" t="s">
        <v>21</v>
      </c>
      <c r="D2" s="5">
        <v>89.0</v>
      </c>
      <c r="E2" s="5">
        <v>1100.0</v>
      </c>
      <c r="F2" s="5">
        <v>0.6</v>
      </c>
      <c r="H2" s="5" t="s">
        <v>23</v>
      </c>
      <c r="I2" s="8">
        <v>45896.83646990741</v>
      </c>
      <c r="J2" s="5" t="s">
        <v>24</v>
      </c>
      <c r="K2" s="5">
        <v>3900.0</v>
      </c>
      <c r="L2" s="5">
        <v>5400.0</v>
      </c>
      <c r="M2" s="5">
        <v>6500.0</v>
      </c>
      <c r="N2" s="9">
        <v>43188.0</v>
      </c>
      <c r="O2" s="5" t="s">
        <v>25</v>
      </c>
      <c r="P2" s="5" t="s">
        <v>26</v>
      </c>
      <c r="Q2" s="5" t="s">
        <v>27</v>
      </c>
      <c r="R2" s="5" t="s">
        <v>28</v>
      </c>
      <c r="S2" s="5" t="s">
        <v>29</v>
      </c>
    </row>
    <row r="3">
      <c r="A3" s="5">
        <v>2.0</v>
      </c>
      <c r="B3" s="5" t="s">
        <v>30</v>
      </c>
      <c r="C3" s="5" t="s">
        <v>21</v>
      </c>
      <c r="D3" s="5">
        <v>88.0</v>
      </c>
      <c r="E3" s="5">
        <v>400.0</v>
      </c>
      <c r="F3" s="5">
        <v>0.6</v>
      </c>
      <c r="H3" s="5" t="s">
        <v>23</v>
      </c>
      <c r="I3" s="8">
        <v>45891.39775462963</v>
      </c>
      <c r="J3" s="5" t="s">
        <v>32</v>
      </c>
      <c r="K3" s="5">
        <v>2000.0</v>
      </c>
      <c r="L3" s="5">
        <v>5300.0</v>
      </c>
      <c r="M3" s="5">
        <v>6500.0</v>
      </c>
      <c r="N3" s="9">
        <v>42248.0</v>
      </c>
      <c r="O3" s="5" t="s">
        <v>25</v>
      </c>
      <c r="P3" s="5" t="s">
        <v>26</v>
      </c>
      <c r="Q3" s="5" t="s">
        <v>35</v>
      </c>
      <c r="R3" s="5" t="s">
        <v>36</v>
      </c>
      <c r="S3" s="5" t="s">
        <v>29</v>
      </c>
    </row>
    <row r="4">
      <c r="A4" s="5">
        <v>3.0</v>
      </c>
      <c r="B4" s="5" t="s">
        <v>20</v>
      </c>
      <c r="C4" s="5" t="s">
        <v>21</v>
      </c>
      <c r="D4" s="5">
        <v>93.0</v>
      </c>
      <c r="E4" s="5">
        <v>150.0</v>
      </c>
      <c r="H4" s="5">
        <v>888.0</v>
      </c>
      <c r="I4" s="8">
        <v>46088.629895833335</v>
      </c>
      <c r="J4" s="5" t="s">
        <v>32</v>
      </c>
      <c r="K4" s="5">
        <v>899000.0</v>
      </c>
      <c r="L4" s="5">
        <v>60.0</v>
      </c>
      <c r="M4" s="5">
        <v>1080000.0</v>
      </c>
      <c r="N4" s="9">
        <v>43843.0</v>
      </c>
      <c r="O4" s="5" t="s">
        <v>38</v>
      </c>
      <c r="P4" s="5" t="s">
        <v>26</v>
      </c>
      <c r="S4" s="5" t="s">
        <v>40</v>
      </c>
    </row>
    <row r="5">
      <c r="A5" s="5">
        <v>4.0</v>
      </c>
      <c r="B5" s="5" t="s">
        <v>42</v>
      </c>
      <c r="C5" s="5" t="s">
        <v>21</v>
      </c>
      <c r="D5" s="5">
        <v>86.0</v>
      </c>
      <c r="E5" s="5">
        <v>150.0</v>
      </c>
      <c r="H5" s="5" t="s">
        <v>20</v>
      </c>
      <c r="I5" s="8">
        <v>46122.787777777776</v>
      </c>
      <c r="J5" s="5" t="s">
        <v>32</v>
      </c>
      <c r="K5" s="5">
        <v>1830000.0</v>
      </c>
      <c r="L5" s="5">
        <v>20.0</v>
      </c>
      <c r="M5" s="5">
        <v>155000.0</v>
      </c>
      <c r="N5" s="9">
        <v>42718.0</v>
      </c>
      <c r="O5" s="5" t="s">
        <v>38</v>
      </c>
      <c r="P5" s="5" t="s">
        <v>26</v>
      </c>
      <c r="S5" s="5" t="s">
        <v>45</v>
      </c>
    </row>
    <row r="6">
      <c r="A6" s="5">
        <v>5.0</v>
      </c>
      <c r="B6" s="5" t="s">
        <v>47</v>
      </c>
      <c r="C6" s="5" t="s">
        <v>21</v>
      </c>
      <c r="D6" s="5">
        <v>48.0</v>
      </c>
      <c r="E6" s="5">
        <v>100.0</v>
      </c>
      <c r="F6" s="5">
        <v>0.6</v>
      </c>
      <c r="H6" s="5" t="s">
        <v>48</v>
      </c>
      <c r="I6" s="8">
        <v>46047.28605324074</v>
      </c>
      <c r="J6" s="5" t="s">
        <v>50</v>
      </c>
      <c r="K6" s="5">
        <v>100.0</v>
      </c>
      <c r="L6" s="5">
        <v>1500.0</v>
      </c>
      <c r="M6" s="5">
        <v>1700.0</v>
      </c>
      <c r="N6" s="9">
        <v>44075.0</v>
      </c>
      <c r="O6" s="5" t="s">
        <v>52</v>
      </c>
      <c r="P6" s="5" t="s">
        <v>26</v>
      </c>
      <c r="Q6" s="5" t="s">
        <v>54</v>
      </c>
      <c r="R6" s="5" t="s">
        <v>55</v>
      </c>
      <c r="S6" s="5" t="s">
        <v>29</v>
      </c>
    </row>
    <row r="7">
      <c r="A7" s="5">
        <v>6.0</v>
      </c>
      <c r="B7" s="5" t="s">
        <v>53</v>
      </c>
      <c r="C7" s="5" t="s">
        <v>21</v>
      </c>
      <c r="E7" s="5">
        <v>80.0</v>
      </c>
      <c r="I7" s="8"/>
      <c r="K7" s="5">
        <v>90.0</v>
      </c>
      <c r="N7" s="9">
        <v>45682.0</v>
      </c>
    </row>
    <row r="8">
      <c r="A8" s="5">
        <v>7.0</v>
      </c>
      <c r="B8" s="5" t="s">
        <v>59</v>
      </c>
      <c r="C8" s="5" t="s">
        <v>21</v>
      </c>
      <c r="E8" s="5">
        <v>70.0</v>
      </c>
      <c r="I8" s="8"/>
      <c r="K8" s="5">
        <v>80.0</v>
      </c>
      <c r="N8" s="9">
        <v>44101.0</v>
      </c>
    </row>
    <row r="9">
      <c r="A9" s="5">
        <v>8.0</v>
      </c>
      <c r="B9" s="5" t="s">
        <v>63</v>
      </c>
      <c r="C9" s="5" t="s">
        <v>21</v>
      </c>
      <c r="E9" s="5">
        <v>70.0</v>
      </c>
      <c r="I9" s="8"/>
      <c r="K9" s="5">
        <v>450.0</v>
      </c>
      <c r="N9" s="9">
        <v>42721.0</v>
      </c>
    </row>
    <row r="10">
      <c r="A10" s="5">
        <v>9.0</v>
      </c>
      <c r="B10" s="5" t="s">
        <v>66</v>
      </c>
      <c r="C10" s="5" t="s">
        <v>21</v>
      </c>
      <c r="D10" s="5">
        <v>0.0</v>
      </c>
      <c r="E10" s="5">
        <v>60.0</v>
      </c>
      <c r="F10" s="5">
        <v>1.0</v>
      </c>
      <c r="H10" s="5" t="s">
        <v>68</v>
      </c>
      <c r="I10" s="8">
        <v>46125.579039351855</v>
      </c>
      <c r="J10" s="5" t="s">
        <v>70</v>
      </c>
      <c r="K10" s="5">
        <v>100.0</v>
      </c>
      <c r="L10" s="5">
        <v>20000.0</v>
      </c>
      <c r="M10" s="5">
        <v>22000.0</v>
      </c>
      <c r="N10" s="9">
        <v>44647.0</v>
      </c>
      <c r="O10" s="5" t="s">
        <v>73</v>
      </c>
      <c r="P10" s="5" t="s">
        <v>26</v>
      </c>
      <c r="S10" s="5" t="s">
        <v>75</v>
      </c>
    </row>
    <row r="11">
      <c r="A11" s="5">
        <v>10.0</v>
      </c>
      <c r="B11" s="5" t="s">
        <v>57</v>
      </c>
      <c r="C11" s="5" t="s">
        <v>21</v>
      </c>
      <c r="E11" s="5">
        <v>60.0</v>
      </c>
      <c r="I11" s="8"/>
      <c r="K11" s="5">
        <v>15000.0</v>
      </c>
      <c r="N11" s="9">
        <v>43884.0</v>
      </c>
    </row>
    <row r="12">
      <c r="A12" s="5">
        <v>11.0</v>
      </c>
      <c r="B12" s="5" t="s">
        <v>79</v>
      </c>
      <c r="C12" s="5" t="s">
        <v>21</v>
      </c>
      <c r="E12" s="5">
        <v>60.0</v>
      </c>
      <c r="I12" s="8"/>
      <c r="K12" s="5">
        <v>70.0</v>
      </c>
      <c r="N12" s="9">
        <v>43900.0</v>
      </c>
    </row>
    <row r="13">
      <c r="A13" s="5">
        <v>12.0</v>
      </c>
      <c r="B13" s="5" t="s">
        <v>81</v>
      </c>
      <c r="C13" s="5" t="s">
        <v>21</v>
      </c>
      <c r="D13" s="5">
        <v>86.0</v>
      </c>
      <c r="E13" s="5">
        <v>50.0</v>
      </c>
      <c r="F13" s="5">
        <v>0.4</v>
      </c>
      <c r="H13" s="5" t="s">
        <v>23</v>
      </c>
      <c r="I13" s="8">
        <v>46123.144791666666</v>
      </c>
      <c r="J13" s="5" t="s">
        <v>84</v>
      </c>
      <c r="K13" s="5">
        <v>700.0</v>
      </c>
      <c r="L13" s="5">
        <v>1700.0</v>
      </c>
      <c r="M13" s="5">
        <v>2300.0</v>
      </c>
      <c r="N13" s="9">
        <v>42363.0</v>
      </c>
      <c r="O13" s="5" t="s">
        <v>86</v>
      </c>
      <c r="P13" s="5" t="s">
        <v>26</v>
      </c>
      <c r="S13" s="5" t="s">
        <v>29</v>
      </c>
    </row>
    <row r="14">
      <c r="A14" s="5">
        <v>13.0</v>
      </c>
      <c r="B14" s="5" t="s">
        <v>89</v>
      </c>
      <c r="C14" s="5" t="s">
        <v>21</v>
      </c>
      <c r="E14" s="5">
        <v>40.0</v>
      </c>
      <c r="I14" s="8"/>
      <c r="K14" s="5">
        <v>40.0</v>
      </c>
      <c r="N14" s="9">
        <v>45653.0</v>
      </c>
    </row>
    <row r="15">
      <c r="A15" s="5">
        <v>14.0</v>
      </c>
      <c r="B15" s="5" t="s">
        <v>93</v>
      </c>
      <c r="C15" s="5" t="s">
        <v>21</v>
      </c>
      <c r="E15" s="5">
        <v>40.0</v>
      </c>
      <c r="K15" s="5">
        <v>200.0</v>
      </c>
      <c r="N15" s="9">
        <v>45309.0</v>
      </c>
    </row>
    <row r="16">
      <c r="A16" s="5">
        <v>15.0</v>
      </c>
      <c r="B16" s="5" t="s">
        <v>96</v>
      </c>
      <c r="C16" s="5" t="s">
        <v>21</v>
      </c>
      <c r="E16" s="5">
        <v>40.0</v>
      </c>
      <c r="K16" s="5">
        <v>132000.0</v>
      </c>
      <c r="N16" s="9">
        <v>45898.0</v>
      </c>
    </row>
    <row r="17">
      <c r="A17" s="5">
        <v>16.0</v>
      </c>
      <c r="B17" s="5" t="s">
        <v>100</v>
      </c>
      <c r="C17" s="5" t="s">
        <v>21</v>
      </c>
      <c r="D17" s="5">
        <v>86.0</v>
      </c>
      <c r="E17" s="5">
        <v>30.0</v>
      </c>
      <c r="H17" s="5" t="s">
        <v>103</v>
      </c>
      <c r="I17" s="8">
        <v>46156.33568287037</v>
      </c>
      <c r="J17" s="5" t="s">
        <v>104</v>
      </c>
      <c r="K17" s="5">
        <v>100.0</v>
      </c>
      <c r="L17" s="5">
        <v>1000.0</v>
      </c>
      <c r="M17" s="5">
        <v>1100.0</v>
      </c>
      <c r="N17" s="9">
        <v>43908.0</v>
      </c>
      <c r="O17" s="5" t="s">
        <v>86</v>
      </c>
      <c r="P17" s="5" t="s">
        <v>26</v>
      </c>
      <c r="S17" s="5" t="s">
        <v>29</v>
      </c>
    </row>
    <row r="18">
      <c r="A18" s="5">
        <v>17.0</v>
      </c>
      <c r="B18" s="5" t="s">
        <v>61</v>
      </c>
      <c r="C18" s="5" t="s">
        <v>21</v>
      </c>
      <c r="D18" s="5">
        <v>89.0</v>
      </c>
      <c r="E18" s="5">
        <v>30.0</v>
      </c>
      <c r="F18" s="5">
        <v>0.9</v>
      </c>
      <c r="H18" s="5" t="s">
        <v>61</v>
      </c>
      <c r="I18" s="8">
        <v>46155.5746875</v>
      </c>
      <c r="J18" s="5" t="s">
        <v>65</v>
      </c>
      <c r="K18" s="5">
        <v>131000.0</v>
      </c>
      <c r="L18" s="5">
        <v>10.0</v>
      </c>
      <c r="M18" s="5">
        <v>19000.0</v>
      </c>
      <c r="N18" s="9">
        <v>42267.0</v>
      </c>
      <c r="O18" s="5" t="s">
        <v>69</v>
      </c>
      <c r="P18" s="5" t="s">
        <v>26</v>
      </c>
      <c r="S18" s="5" t="s">
        <v>29</v>
      </c>
    </row>
    <row r="19">
      <c r="A19" s="5">
        <v>18.0</v>
      </c>
      <c r="B19" s="5" t="s">
        <v>111</v>
      </c>
      <c r="C19" s="5" t="s">
        <v>21</v>
      </c>
      <c r="E19" s="5">
        <v>30.0</v>
      </c>
      <c r="K19" s="5">
        <v>40.0</v>
      </c>
      <c r="N19" s="9">
        <v>42261.0</v>
      </c>
      <c r="O19" s="5" t="s">
        <v>86</v>
      </c>
      <c r="P19" s="5" t="s">
        <v>26</v>
      </c>
      <c r="S19" s="5" t="s">
        <v>29</v>
      </c>
    </row>
    <row r="20">
      <c r="A20" s="5">
        <v>19.0</v>
      </c>
      <c r="B20" s="5" t="s">
        <v>114</v>
      </c>
      <c r="C20" s="5" t="s">
        <v>21</v>
      </c>
      <c r="D20" s="5">
        <v>47.0</v>
      </c>
      <c r="E20" s="5">
        <v>30.0</v>
      </c>
      <c r="H20" s="5" t="s">
        <v>47</v>
      </c>
      <c r="I20" s="8">
        <v>46149.004282407404</v>
      </c>
      <c r="J20" s="5" t="s">
        <v>50</v>
      </c>
      <c r="K20" s="5">
        <v>60.0</v>
      </c>
      <c r="L20" s="5">
        <v>150.0</v>
      </c>
      <c r="M20" s="5">
        <v>400.0</v>
      </c>
      <c r="N20" s="9">
        <v>43035.0</v>
      </c>
      <c r="O20" s="5" t="s">
        <v>118</v>
      </c>
      <c r="P20" s="5" t="s">
        <v>26</v>
      </c>
      <c r="Q20" s="5" t="s">
        <v>119</v>
      </c>
      <c r="R20" s="5" t="s">
        <v>121</v>
      </c>
      <c r="S20" s="5" t="s">
        <v>75</v>
      </c>
    </row>
    <row r="21">
      <c r="A21" s="5">
        <v>20.0</v>
      </c>
      <c r="B21" s="5" t="s">
        <v>123</v>
      </c>
      <c r="C21" s="5" t="s">
        <v>21</v>
      </c>
      <c r="E21" s="5">
        <v>20.0</v>
      </c>
      <c r="K21" s="5">
        <v>144000.0</v>
      </c>
      <c r="N21" s="9">
        <v>46085.0</v>
      </c>
    </row>
    <row r="22">
      <c r="A22" s="5">
        <v>21.0</v>
      </c>
      <c r="B22" s="5" t="s">
        <v>126</v>
      </c>
      <c r="C22" s="5" t="s">
        <v>21</v>
      </c>
      <c r="D22" s="5">
        <v>89.0</v>
      </c>
      <c r="E22" s="5">
        <v>20.0</v>
      </c>
      <c r="H22" s="5" t="s">
        <v>129</v>
      </c>
      <c r="I22" s="8">
        <v>46083.18681712963</v>
      </c>
      <c r="J22" s="5" t="s">
        <v>50</v>
      </c>
      <c r="K22" s="5">
        <v>28000.0</v>
      </c>
      <c r="L22" s="5">
        <v>20.0</v>
      </c>
      <c r="M22" s="5">
        <v>48000.0</v>
      </c>
      <c r="N22" s="9">
        <v>42313.0</v>
      </c>
      <c r="O22" s="5" t="s">
        <v>86</v>
      </c>
      <c r="P22" s="5" t="s">
        <v>26</v>
      </c>
      <c r="S22" s="5" t="s">
        <v>29</v>
      </c>
    </row>
    <row r="23">
      <c r="A23" s="5">
        <v>22.0</v>
      </c>
      <c r="B23" s="5" t="s">
        <v>133</v>
      </c>
      <c r="C23" s="5" t="s">
        <v>21</v>
      </c>
      <c r="D23" s="5">
        <v>66.0</v>
      </c>
      <c r="E23" s="5">
        <v>20.0</v>
      </c>
      <c r="H23" s="5" t="s">
        <v>135</v>
      </c>
      <c r="I23" s="8">
        <v>46083.55385416667</v>
      </c>
      <c r="J23" s="5" t="s">
        <v>137</v>
      </c>
      <c r="K23" s="5">
        <v>30.0</v>
      </c>
      <c r="L23" s="5">
        <v>10.0</v>
      </c>
      <c r="M23" s="5">
        <v>10.0</v>
      </c>
      <c r="N23" s="9">
        <v>44109.0</v>
      </c>
      <c r="O23" s="5" t="s">
        <v>73</v>
      </c>
      <c r="P23" s="5" t="s">
        <v>26</v>
      </c>
      <c r="S23" s="5" t="s">
        <v>29</v>
      </c>
    </row>
    <row r="24">
      <c r="A24" s="5">
        <v>23.0</v>
      </c>
      <c r="B24" s="5" t="s">
        <v>72</v>
      </c>
      <c r="C24" s="5" t="s">
        <v>21</v>
      </c>
      <c r="D24" s="5">
        <v>86.0</v>
      </c>
      <c r="E24" s="5">
        <v>10.0</v>
      </c>
      <c r="F24" s="5">
        <v>0.25</v>
      </c>
      <c r="H24" s="5" t="s">
        <v>72</v>
      </c>
      <c r="I24" s="8">
        <v>46117.77386574074</v>
      </c>
      <c r="J24" s="5" t="s">
        <v>77</v>
      </c>
      <c r="K24" s="5">
        <v>87000.0</v>
      </c>
      <c r="L24" s="5">
        <v>0.0</v>
      </c>
      <c r="M24" s="5">
        <v>37000.0</v>
      </c>
      <c r="N24" s="9">
        <v>43840.0</v>
      </c>
      <c r="O24" s="5" t="s">
        <v>69</v>
      </c>
      <c r="P24" s="5" t="s">
        <v>26</v>
      </c>
      <c r="S24" s="5" t="s">
        <v>45</v>
      </c>
    </row>
    <row r="25">
      <c r="A25" s="5">
        <v>24.0</v>
      </c>
      <c r="B25" s="5" t="s">
        <v>147</v>
      </c>
      <c r="C25" s="5" t="s">
        <v>21</v>
      </c>
      <c r="D25" s="5">
        <v>45.0</v>
      </c>
      <c r="E25" s="5">
        <v>10.0</v>
      </c>
      <c r="H25" s="5" t="s">
        <v>68</v>
      </c>
      <c r="I25" s="8">
        <v>46162.51025462963</v>
      </c>
      <c r="J25" s="5" t="s">
        <v>104</v>
      </c>
      <c r="K25" s="5">
        <v>10.0</v>
      </c>
      <c r="L25" s="5">
        <v>17000.0</v>
      </c>
      <c r="M25" s="5">
        <v>19000.0</v>
      </c>
      <c r="N25" s="9">
        <v>45290.0</v>
      </c>
      <c r="O25" s="5" t="s">
        <v>151</v>
      </c>
      <c r="P25" s="5" t="s">
        <v>26</v>
      </c>
      <c r="S25" s="5" t="s">
        <v>153</v>
      </c>
    </row>
    <row r="26">
      <c r="A26" s="5">
        <v>25.0</v>
      </c>
      <c r="B26" s="5" t="s">
        <v>155</v>
      </c>
      <c r="C26" s="5" t="s">
        <v>21</v>
      </c>
      <c r="E26" s="5">
        <v>10.0</v>
      </c>
      <c r="K26" s="5">
        <v>27000.0</v>
      </c>
      <c r="N26" s="9">
        <v>45882.0</v>
      </c>
    </row>
    <row r="27">
      <c r="A27" s="5">
        <v>26.0</v>
      </c>
      <c r="B27" s="5" t="s">
        <v>83</v>
      </c>
      <c r="C27" s="5" t="s">
        <v>21</v>
      </c>
      <c r="E27" s="5">
        <v>10.0</v>
      </c>
      <c r="K27" s="5">
        <v>45000.0</v>
      </c>
      <c r="N27" s="9">
        <v>43865.0</v>
      </c>
    </row>
    <row r="28">
      <c r="A28" s="5">
        <v>27.0</v>
      </c>
      <c r="B28" s="5" t="s">
        <v>161</v>
      </c>
      <c r="C28" s="5" t="s">
        <v>21</v>
      </c>
      <c r="D28" s="5">
        <v>90.0</v>
      </c>
      <c r="E28" s="5">
        <v>10.0</v>
      </c>
      <c r="H28" s="5" t="s">
        <v>42</v>
      </c>
      <c r="I28" s="8">
        <v>46145.75240740741</v>
      </c>
      <c r="K28" s="5">
        <v>66000.0</v>
      </c>
      <c r="L28" s="5">
        <v>70.0</v>
      </c>
      <c r="M28" s="5">
        <v>154000.0</v>
      </c>
      <c r="N28" s="9">
        <v>43844.0</v>
      </c>
      <c r="O28" s="5" t="s">
        <v>38</v>
      </c>
      <c r="P28" s="5" t="s">
        <v>26</v>
      </c>
      <c r="S28" s="5" t="s">
        <v>45</v>
      </c>
    </row>
    <row r="29">
      <c r="A29" s="5">
        <v>28.0</v>
      </c>
      <c r="B29" s="5" t="s">
        <v>167</v>
      </c>
      <c r="C29" s="5" t="s">
        <v>21</v>
      </c>
      <c r="D29" s="5">
        <v>80.0</v>
      </c>
      <c r="E29" s="5">
        <v>10.0</v>
      </c>
      <c r="H29" s="5" t="s">
        <v>106</v>
      </c>
      <c r="I29" s="8">
        <v>46142.99932870371</v>
      </c>
      <c r="J29" s="5" t="s">
        <v>171</v>
      </c>
      <c r="K29" s="5">
        <v>151000.0</v>
      </c>
      <c r="L29" s="5">
        <v>10.0</v>
      </c>
      <c r="M29" s="5">
        <v>124000.0</v>
      </c>
      <c r="N29" s="9">
        <v>43624.0</v>
      </c>
      <c r="O29" s="5" t="s">
        <v>69</v>
      </c>
      <c r="P29" s="5" t="s">
        <v>26</v>
      </c>
      <c r="S29" s="5" t="s">
        <v>45</v>
      </c>
    </row>
    <row r="30">
      <c r="A30" s="5">
        <v>29.0</v>
      </c>
      <c r="B30" s="5" t="s">
        <v>175</v>
      </c>
      <c r="C30" s="5" t="s">
        <v>21</v>
      </c>
      <c r="E30" s="5">
        <v>10.0</v>
      </c>
      <c r="K30" s="5">
        <v>250.0</v>
      </c>
      <c r="N30" s="9">
        <v>42261.0</v>
      </c>
      <c r="O30" s="5" t="s">
        <v>25</v>
      </c>
      <c r="P30" s="5" t="s">
        <v>26</v>
      </c>
      <c r="S30" s="5" t="s">
        <v>29</v>
      </c>
    </row>
    <row r="31">
      <c r="A31" s="5">
        <v>30.0</v>
      </c>
      <c r="B31" s="5" t="s">
        <v>88</v>
      </c>
      <c r="C31" s="5" t="s">
        <v>21</v>
      </c>
      <c r="E31" s="5">
        <v>10.0</v>
      </c>
      <c r="K31" s="5">
        <v>75000.0</v>
      </c>
      <c r="N31" s="9">
        <v>42488.0</v>
      </c>
    </row>
    <row r="32">
      <c r="A32" s="5">
        <v>31.0</v>
      </c>
      <c r="B32" s="5" t="s">
        <v>92</v>
      </c>
      <c r="C32" s="5" t="s">
        <v>21</v>
      </c>
      <c r="D32" s="5">
        <v>88.0</v>
      </c>
      <c r="E32" s="5">
        <v>10.0</v>
      </c>
      <c r="H32" s="5" t="s">
        <v>61</v>
      </c>
      <c r="I32" s="8">
        <v>46163.41306712963</v>
      </c>
      <c r="J32" s="5" t="s">
        <v>95</v>
      </c>
      <c r="K32" s="5">
        <v>58000.0</v>
      </c>
      <c r="L32" s="5">
        <v>0.0</v>
      </c>
      <c r="M32" s="5">
        <v>24000.0</v>
      </c>
      <c r="N32" s="9">
        <v>42895.0</v>
      </c>
      <c r="O32" s="5" t="s">
        <v>38</v>
      </c>
      <c r="P32" s="5" t="s">
        <v>26</v>
      </c>
      <c r="S32" s="5" t="s">
        <v>40</v>
      </c>
    </row>
    <row r="33">
      <c r="A33" s="5">
        <v>32.0</v>
      </c>
      <c r="B33" s="5" t="s">
        <v>187</v>
      </c>
      <c r="C33" s="5" t="s">
        <v>21</v>
      </c>
      <c r="E33" s="5">
        <v>10.0</v>
      </c>
      <c r="K33" s="5">
        <v>10.0</v>
      </c>
      <c r="N33" s="9">
        <v>42253.0</v>
      </c>
    </row>
    <row r="34">
      <c r="A34" s="5">
        <v>33.0</v>
      </c>
      <c r="B34" s="5" t="s">
        <v>98</v>
      </c>
      <c r="C34" s="5" t="s">
        <v>21</v>
      </c>
      <c r="E34" s="5">
        <v>10.0</v>
      </c>
      <c r="K34" s="5">
        <v>32000.0</v>
      </c>
      <c r="N34" s="9">
        <v>43857.0</v>
      </c>
    </row>
    <row r="35">
      <c r="A35" s="5">
        <v>34.0</v>
      </c>
      <c r="B35" s="5" t="s">
        <v>193</v>
      </c>
      <c r="C35" s="5" t="s">
        <v>21</v>
      </c>
      <c r="E35" s="5">
        <v>10.0</v>
      </c>
      <c r="K35" s="5">
        <v>43000.0</v>
      </c>
      <c r="N35" s="9">
        <v>43846.0</v>
      </c>
    </row>
    <row r="36">
      <c r="A36" s="5">
        <v>35.0</v>
      </c>
      <c r="B36" s="5" t="s">
        <v>196</v>
      </c>
      <c r="C36" s="5" t="s">
        <v>21</v>
      </c>
      <c r="E36" s="5">
        <v>10.0</v>
      </c>
      <c r="K36" s="5">
        <v>50.0</v>
      </c>
      <c r="N36" s="9">
        <v>44692.0</v>
      </c>
    </row>
    <row r="37">
      <c r="A37" s="5">
        <v>36.0</v>
      </c>
      <c r="B37" s="5" t="s">
        <v>199</v>
      </c>
      <c r="C37" s="5" t="s">
        <v>21</v>
      </c>
      <c r="E37" s="5">
        <v>10.0</v>
      </c>
      <c r="K37" s="5">
        <v>19000.0</v>
      </c>
      <c r="N37" s="9">
        <v>45939.0</v>
      </c>
    </row>
    <row r="38">
      <c r="A38" s="5">
        <v>37.0</v>
      </c>
      <c r="B38" s="5" t="s">
        <v>204</v>
      </c>
      <c r="C38" s="5" t="s">
        <v>21</v>
      </c>
      <c r="E38" s="5">
        <v>10.0</v>
      </c>
      <c r="K38" s="5">
        <v>80000.0</v>
      </c>
      <c r="N38" s="9">
        <v>46084.0</v>
      </c>
    </row>
    <row r="39">
      <c r="A39" s="5">
        <v>38.0</v>
      </c>
      <c r="B39" s="5" t="s">
        <v>207</v>
      </c>
      <c r="C39" s="5" t="s">
        <v>21</v>
      </c>
      <c r="E39" s="5">
        <v>10.0</v>
      </c>
      <c r="K39" s="5">
        <v>10.0</v>
      </c>
      <c r="N39" s="9">
        <v>42946.0</v>
      </c>
    </row>
    <row r="40">
      <c r="A40" s="5">
        <v>39.0</v>
      </c>
      <c r="B40" s="5" t="s">
        <v>102</v>
      </c>
      <c r="C40" s="5" t="s">
        <v>21</v>
      </c>
      <c r="E40" s="5">
        <v>10.0</v>
      </c>
      <c r="K40" s="5">
        <v>600.0</v>
      </c>
      <c r="N40" s="9">
        <v>42345.0</v>
      </c>
    </row>
    <row r="41">
      <c r="A41" s="5">
        <v>40.0</v>
      </c>
      <c r="B41" s="5" t="s">
        <v>213</v>
      </c>
      <c r="C41" s="5" t="s">
        <v>21</v>
      </c>
      <c r="E41" s="5">
        <v>10.0</v>
      </c>
      <c r="K41" s="5">
        <v>146000.0</v>
      </c>
      <c r="N41" s="9">
        <v>46118.0</v>
      </c>
    </row>
    <row r="42">
      <c r="A42" s="5">
        <v>41.0</v>
      </c>
      <c r="B42" s="5" t="s">
        <v>217</v>
      </c>
      <c r="C42" s="5" t="s">
        <v>21</v>
      </c>
      <c r="E42" s="5">
        <v>10.0</v>
      </c>
      <c r="K42" s="5">
        <v>10.0</v>
      </c>
      <c r="N42" s="9">
        <v>44692.0</v>
      </c>
    </row>
    <row r="43">
      <c r="A43" s="5">
        <v>42.0</v>
      </c>
      <c r="B43" s="5" t="s">
        <v>220</v>
      </c>
      <c r="C43" s="5" t="s">
        <v>21</v>
      </c>
      <c r="E43" s="5">
        <v>10.0</v>
      </c>
      <c r="K43" s="5">
        <v>8900.0</v>
      </c>
      <c r="N43" s="9">
        <v>44356.0</v>
      </c>
    </row>
    <row r="44">
      <c r="A44" s="5">
        <v>43.0</v>
      </c>
      <c r="B44" s="5" t="s">
        <v>106</v>
      </c>
      <c r="C44" s="5" t="s">
        <v>21</v>
      </c>
      <c r="D44" s="5">
        <v>86.0</v>
      </c>
      <c r="E44" s="5">
        <v>10.0</v>
      </c>
      <c r="H44" s="5" t="s">
        <v>42</v>
      </c>
      <c r="I44" s="8">
        <v>46076.74707175926</v>
      </c>
      <c r="K44" s="5">
        <v>173000.0</v>
      </c>
      <c r="L44" s="5">
        <v>150.0</v>
      </c>
      <c r="M44" s="5">
        <v>1050000.0</v>
      </c>
      <c r="N44" s="9">
        <v>42849.0</v>
      </c>
      <c r="O44" s="5" t="s">
        <v>69</v>
      </c>
      <c r="P44" s="5" t="s">
        <v>26</v>
      </c>
      <c r="S44" s="5" t="s">
        <v>45</v>
      </c>
    </row>
    <row r="45">
      <c r="A45" s="5">
        <v>44.0</v>
      </c>
      <c r="B45" s="5" t="s">
        <v>238</v>
      </c>
      <c r="C45" s="5" t="s">
        <v>21</v>
      </c>
      <c r="E45" s="5">
        <v>10.0</v>
      </c>
      <c r="K45" s="5">
        <v>31000.0</v>
      </c>
      <c r="N45" s="9">
        <v>43847.0</v>
      </c>
    </row>
    <row r="46">
      <c r="A46" s="5">
        <v>45.0</v>
      </c>
      <c r="B46" s="5" t="s">
        <v>241</v>
      </c>
      <c r="C46" s="5" t="s">
        <v>21</v>
      </c>
      <c r="E46" s="5">
        <v>10.0</v>
      </c>
      <c r="K46" s="5">
        <v>49000.0</v>
      </c>
      <c r="N46" s="9">
        <v>46094.0</v>
      </c>
    </row>
    <row r="47">
      <c r="A47" s="5">
        <v>46.0</v>
      </c>
      <c r="B47" s="5" t="s">
        <v>246</v>
      </c>
      <c r="C47" s="5" t="s">
        <v>21</v>
      </c>
      <c r="K47" s="5">
        <v>80.0</v>
      </c>
      <c r="N47" s="9">
        <v>45267.0</v>
      </c>
    </row>
    <row r="48">
      <c r="A48" s="5">
        <v>47.0</v>
      </c>
      <c r="B48" s="5" t="s">
        <v>249</v>
      </c>
      <c r="C48" s="5" t="s">
        <v>21</v>
      </c>
      <c r="K48" s="5">
        <v>300.0</v>
      </c>
      <c r="N48" s="9">
        <v>44525.0</v>
      </c>
    </row>
    <row r="49">
      <c r="A49" s="5">
        <v>48.0</v>
      </c>
      <c r="B49" s="5" t="s">
        <v>252</v>
      </c>
      <c r="C49" s="5" t="s">
        <v>21</v>
      </c>
      <c r="K49" s="5">
        <v>100.0</v>
      </c>
      <c r="N49" s="9">
        <v>45093.0</v>
      </c>
    </row>
    <row r="50">
      <c r="A50" s="5">
        <v>49.0</v>
      </c>
      <c r="B50" s="5" t="s">
        <v>255</v>
      </c>
      <c r="C50" s="5" t="s">
        <v>21</v>
      </c>
      <c r="K50" s="5">
        <v>800.0</v>
      </c>
      <c r="N50" s="9">
        <v>44926.0</v>
      </c>
    </row>
    <row r="51">
      <c r="A51" s="5">
        <v>50.0</v>
      </c>
      <c r="B51" s="5" t="s">
        <v>259</v>
      </c>
      <c r="C51" s="5" t="s">
        <v>21</v>
      </c>
      <c r="K51" s="5">
        <v>30.0</v>
      </c>
      <c r="N51" s="9">
        <v>46125.0</v>
      </c>
    </row>
    <row r="52">
      <c r="A52" s="5">
        <v>51.0</v>
      </c>
      <c r="B52" s="5" t="s">
        <v>263</v>
      </c>
      <c r="C52" s="5" t="s">
        <v>21</v>
      </c>
      <c r="K52" s="5">
        <v>600.0</v>
      </c>
      <c r="N52" s="9">
        <v>44564.0</v>
      </c>
    </row>
    <row r="53">
      <c r="A53" s="5">
        <v>52.0</v>
      </c>
      <c r="B53" s="5" t="s">
        <v>265</v>
      </c>
      <c r="C53" s="5" t="s">
        <v>21</v>
      </c>
      <c r="K53" s="5">
        <v>80.0</v>
      </c>
      <c r="N53" s="9">
        <v>45091.0</v>
      </c>
    </row>
    <row r="54">
      <c r="A54" s="5">
        <v>53.0</v>
      </c>
      <c r="B54" s="5" t="s">
        <v>268</v>
      </c>
      <c r="C54" s="5" t="s">
        <v>21</v>
      </c>
      <c r="K54" s="5">
        <v>400.0</v>
      </c>
      <c r="N54" s="9">
        <v>44648.0</v>
      </c>
    </row>
    <row r="55">
      <c r="A55" s="5">
        <v>54.0</v>
      </c>
      <c r="B55" s="5" t="s">
        <v>271</v>
      </c>
      <c r="C55" s="5" t="s">
        <v>21</v>
      </c>
      <c r="K55" s="5">
        <v>1000.0</v>
      </c>
      <c r="N55" s="9">
        <v>44563.0</v>
      </c>
    </row>
    <row r="56">
      <c r="A56" s="5">
        <v>55.0</v>
      </c>
      <c r="B56" s="5" t="s">
        <v>273</v>
      </c>
      <c r="C56" s="5" t="s">
        <v>21</v>
      </c>
      <c r="N56" s="9">
        <v>44494.0</v>
      </c>
    </row>
    <row r="57">
      <c r="A57" s="5">
        <v>56.0</v>
      </c>
      <c r="B57" s="5" t="s">
        <v>274</v>
      </c>
      <c r="C57" s="5" t="s">
        <v>21</v>
      </c>
      <c r="K57" s="5">
        <v>450.0</v>
      </c>
      <c r="N57" s="9">
        <v>45460.0</v>
      </c>
    </row>
    <row r="58">
      <c r="A58" s="5">
        <v>57.0</v>
      </c>
      <c r="B58" s="5" t="s">
        <v>276</v>
      </c>
      <c r="C58" s="5" t="s">
        <v>21</v>
      </c>
      <c r="K58" s="5">
        <v>300.0</v>
      </c>
      <c r="N58" s="9">
        <v>45539.0</v>
      </c>
    </row>
    <row r="59">
      <c r="A59" s="5">
        <v>58.0</v>
      </c>
      <c r="B59" s="5" t="s">
        <v>278</v>
      </c>
      <c r="C59" s="5" t="s">
        <v>21</v>
      </c>
      <c r="K59" s="5">
        <v>20.0</v>
      </c>
      <c r="N59" s="9">
        <v>44570.0</v>
      </c>
    </row>
    <row r="60">
      <c r="A60" s="5">
        <v>59.0</v>
      </c>
      <c r="B60" s="5" t="s">
        <v>279</v>
      </c>
      <c r="C60" s="5" t="s">
        <v>21</v>
      </c>
      <c r="K60" s="5">
        <v>2400.0</v>
      </c>
      <c r="N60" s="9">
        <v>44953.0</v>
      </c>
    </row>
    <row r="61">
      <c r="A61" s="5">
        <v>60.0</v>
      </c>
      <c r="B61" s="5" t="s">
        <v>281</v>
      </c>
      <c r="C61" s="5" t="s">
        <v>21</v>
      </c>
      <c r="K61" s="5">
        <v>200.0</v>
      </c>
      <c r="N61" s="9">
        <v>44526.0</v>
      </c>
    </row>
    <row r="62">
      <c r="A62" s="5">
        <v>61.0</v>
      </c>
      <c r="B62" s="5" t="s">
        <v>283</v>
      </c>
      <c r="C62" s="5" t="s">
        <v>21</v>
      </c>
      <c r="K62" s="5">
        <v>400.0</v>
      </c>
      <c r="N62" s="9">
        <v>43909.0</v>
      </c>
    </row>
    <row r="63">
      <c r="A63" s="5">
        <v>62.0</v>
      </c>
      <c r="B63" s="5" t="s">
        <v>286</v>
      </c>
      <c r="C63" s="5" t="s">
        <v>21</v>
      </c>
      <c r="K63" s="5">
        <v>10.0</v>
      </c>
      <c r="N63" s="9">
        <v>44665.0</v>
      </c>
    </row>
    <row r="64">
      <c r="A64" s="5">
        <v>63.0</v>
      </c>
      <c r="B64" s="5" t="s">
        <v>289</v>
      </c>
      <c r="C64" s="5" t="s">
        <v>21</v>
      </c>
      <c r="K64" s="5">
        <v>4300.0</v>
      </c>
      <c r="N64" s="9">
        <v>45717.0</v>
      </c>
    </row>
    <row r="65">
      <c r="A65" s="5">
        <v>64.0</v>
      </c>
      <c r="B65" s="5" t="s">
        <v>292</v>
      </c>
      <c r="C65" s="5" t="s">
        <v>21</v>
      </c>
      <c r="K65" s="5">
        <v>10.0</v>
      </c>
      <c r="N65" s="9">
        <v>44523.0</v>
      </c>
    </row>
    <row r="66">
      <c r="A66" s="5">
        <v>65.0</v>
      </c>
      <c r="B66" s="5" t="s">
        <v>294</v>
      </c>
      <c r="C66" s="5" t="s">
        <v>21</v>
      </c>
      <c r="K66" s="5">
        <v>150.0</v>
      </c>
      <c r="N66" s="9">
        <v>44905.0</v>
      </c>
    </row>
    <row r="67">
      <c r="A67" s="5">
        <v>66.0</v>
      </c>
      <c r="B67" s="5" t="s">
        <v>296</v>
      </c>
      <c r="C67" s="5" t="s">
        <v>21</v>
      </c>
      <c r="N67" s="9">
        <v>43930.0</v>
      </c>
    </row>
    <row r="68">
      <c r="A68" s="5">
        <v>67.0</v>
      </c>
      <c r="B68" s="5" t="s">
        <v>299</v>
      </c>
      <c r="C68" s="5" t="s">
        <v>21</v>
      </c>
      <c r="K68" s="5">
        <v>70.0</v>
      </c>
      <c r="N68" s="9">
        <v>44594.0</v>
      </c>
    </row>
    <row r="69">
      <c r="A69" s="5">
        <v>68.0</v>
      </c>
      <c r="B69" s="5" t="s">
        <v>302</v>
      </c>
      <c r="C69" s="5" t="s">
        <v>21</v>
      </c>
      <c r="K69" s="5">
        <v>90.0</v>
      </c>
      <c r="N69" s="9">
        <v>44984.0</v>
      </c>
    </row>
    <row r="70">
      <c r="A70" s="5">
        <v>69.0</v>
      </c>
      <c r="B70" s="5" t="s">
        <v>305</v>
      </c>
      <c r="C70" s="5" t="s">
        <v>21</v>
      </c>
      <c r="K70" s="5">
        <v>250.0</v>
      </c>
      <c r="N70" s="9">
        <v>44019.0</v>
      </c>
    </row>
    <row r="71">
      <c r="A71" s="5">
        <v>70.0</v>
      </c>
      <c r="B71" s="5" t="s">
        <v>307</v>
      </c>
      <c r="C71" s="5" t="s">
        <v>21</v>
      </c>
      <c r="K71" s="5">
        <v>1500.0</v>
      </c>
      <c r="N71" s="9">
        <v>43885.0</v>
      </c>
    </row>
    <row r="72">
      <c r="A72" s="5">
        <v>71.0</v>
      </c>
      <c r="B72" s="5" t="s">
        <v>310</v>
      </c>
      <c r="C72" s="5" t="s">
        <v>21</v>
      </c>
      <c r="K72" s="5">
        <v>70.0</v>
      </c>
      <c r="N72" s="9">
        <v>44210.0</v>
      </c>
    </row>
    <row r="73">
      <c r="A73" s="5">
        <v>72.0</v>
      </c>
      <c r="B73" s="5" t="s">
        <v>313</v>
      </c>
      <c r="C73" s="5" t="s">
        <v>21</v>
      </c>
      <c r="N73" s="9">
        <v>44553.0</v>
      </c>
    </row>
    <row r="74">
      <c r="A74" s="5">
        <v>73.0</v>
      </c>
      <c r="B74" s="5" t="s">
        <v>316</v>
      </c>
      <c r="C74" s="5" t="s">
        <v>21</v>
      </c>
      <c r="K74" s="5">
        <v>200.0</v>
      </c>
      <c r="N74" s="9">
        <v>45081.0</v>
      </c>
    </row>
    <row r="75">
      <c r="A75" s="5">
        <v>74.0</v>
      </c>
      <c r="B75" s="5" t="s">
        <v>319</v>
      </c>
      <c r="C75" s="5" t="s">
        <v>21</v>
      </c>
      <c r="K75" s="5">
        <v>3900.0</v>
      </c>
      <c r="N75" s="9">
        <v>45326.0</v>
      </c>
    </row>
    <row r="76">
      <c r="A76" s="5">
        <v>75.0</v>
      </c>
      <c r="B76" s="5" t="s">
        <v>322</v>
      </c>
      <c r="C76" s="5" t="s">
        <v>21</v>
      </c>
      <c r="K76" s="5">
        <v>80.0</v>
      </c>
      <c r="N76" s="9">
        <v>45309.0</v>
      </c>
    </row>
    <row r="77">
      <c r="A77" s="5">
        <v>76.0</v>
      </c>
      <c r="B77" s="5" t="s">
        <v>325</v>
      </c>
      <c r="C77" s="5" t="s">
        <v>21</v>
      </c>
      <c r="K77" s="5">
        <v>50.0</v>
      </c>
      <c r="N77" s="9">
        <v>44604.0</v>
      </c>
    </row>
    <row r="78">
      <c r="A78" s="5">
        <v>77.0</v>
      </c>
      <c r="B78" s="5" t="s">
        <v>328</v>
      </c>
      <c r="C78" s="5" t="s">
        <v>21</v>
      </c>
      <c r="K78" s="5">
        <v>300.0</v>
      </c>
      <c r="N78" s="9">
        <v>44591.0</v>
      </c>
    </row>
    <row r="79">
      <c r="A79" s="5">
        <v>78.0</v>
      </c>
      <c r="B79" s="5" t="s">
        <v>331</v>
      </c>
      <c r="C79" s="5" t="s">
        <v>21</v>
      </c>
      <c r="K79" s="5">
        <v>300.0</v>
      </c>
      <c r="N79" s="9">
        <v>44346.0</v>
      </c>
    </row>
    <row r="80">
      <c r="A80" s="5">
        <v>79.0</v>
      </c>
      <c r="B80" s="5" t="s">
        <v>334</v>
      </c>
      <c r="C80" s="5" t="s">
        <v>21</v>
      </c>
      <c r="K80" s="5">
        <v>1600.0</v>
      </c>
      <c r="N80" s="9">
        <v>44391.0</v>
      </c>
    </row>
    <row r="81">
      <c r="A81" s="5">
        <v>80.0</v>
      </c>
      <c r="B81" s="5" t="s">
        <v>337</v>
      </c>
      <c r="C81" s="5" t="s">
        <v>21</v>
      </c>
      <c r="K81" s="5">
        <v>350.0</v>
      </c>
      <c r="N81" s="9">
        <v>45350.0</v>
      </c>
    </row>
    <row r="82">
      <c r="A82" s="5">
        <v>81.0</v>
      </c>
      <c r="B82" s="5" t="s">
        <v>340</v>
      </c>
      <c r="C82" s="5" t="s">
        <v>21</v>
      </c>
      <c r="K82" s="5">
        <v>150.0</v>
      </c>
      <c r="N82" s="9">
        <v>44285.0</v>
      </c>
    </row>
    <row r="83">
      <c r="A83" s="5">
        <v>82.0</v>
      </c>
      <c r="B83" s="5" t="s">
        <v>346</v>
      </c>
      <c r="C83" s="5" t="s">
        <v>21</v>
      </c>
      <c r="K83" s="5">
        <v>7800.0</v>
      </c>
      <c r="N83" s="9">
        <v>44516.0</v>
      </c>
    </row>
    <row r="84">
      <c r="A84" s="5">
        <v>83.0</v>
      </c>
      <c r="B84" s="5" t="s">
        <v>350</v>
      </c>
      <c r="C84" s="5" t="s">
        <v>21</v>
      </c>
      <c r="K84" s="5">
        <v>400.0</v>
      </c>
      <c r="N84" s="9">
        <v>44574.0</v>
      </c>
    </row>
    <row r="85">
      <c r="A85" s="5">
        <v>84.0</v>
      </c>
      <c r="B85" s="5" t="s">
        <v>19</v>
      </c>
      <c r="C85" s="5" t="s">
        <v>21</v>
      </c>
      <c r="K85" s="5">
        <v>2200.0</v>
      </c>
      <c r="N85" s="9">
        <v>44555.0</v>
      </c>
    </row>
    <row r="86">
      <c r="A86" s="5">
        <v>85.0</v>
      </c>
      <c r="B86" s="5" t="s">
        <v>356</v>
      </c>
      <c r="C86" s="5" t="s">
        <v>21</v>
      </c>
      <c r="K86" s="5">
        <v>400.0</v>
      </c>
      <c r="N86" s="9">
        <v>44008.0</v>
      </c>
    </row>
    <row r="87">
      <c r="A87" s="5">
        <v>86.0</v>
      </c>
      <c r="B87" s="5" t="s">
        <v>360</v>
      </c>
      <c r="C87" s="5" t="s">
        <v>21</v>
      </c>
      <c r="K87" s="5">
        <v>1200.0</v>
      </c>
      <c r="N87" s="9">
        <v>43948.0</v>
      </c>
    </row>
    <row r="88">
      <c r="A88" s="5">
        <v>87.0</v>
      </c>
      <c r="B88" s="5" t="s">
        <v>363</v>
      </c>
      <c r="C88" s="5" t="s">
        <v>21</v>
      </c>
      <c r="K88" s="5">
        <v>800.0</v>
      </c>
      <c r="N88" s="9">
        <v>45740.0</v>
      </c>
    </row>
    <row r="89">
      <c r="A89" s="5">
        <v>88.0</v>
      </c>
      <c r="B89" s="5" t="s">
        <v>366</v>
      </c>
      <c r="C89" s="5" t="s">
        <v>21</v>
      </c>
      <c r="K89" s="5">
        <v>10.0</v>
      </c>
      <c r="N89" s="9">
        <v>44359.0</v>
      </c>
    </row>
    <row r="90">
      <c r="A90" s="5">
        <v>89.0</v>
      </c>
      <c r="B90" s="5" t="s">
        <v>369</v>
      </c>
      <c r="C90" s="5" t="s">
        <v>21</v>
      </c>
      <c r="N90" s="9">
        <v>44518.0</v>
      </c>
    </row>
    <row r="91">
      <c r="A91" s="5">
        <v>90.0</v>
      </c>
      <c r="B91" s="5" t="s">
        <v>372</v>
      </c>
      <c r="C91" s="5" t="s">
        <v>21</v>
      </c>
      <c r="K91" s="5">
        <v>150.0</v>
      </c>
      <c r="N91" s="9">
        <v>44318.0</v>
      </c>
    </row>
    <row r="92">
      <c r="A92" s="5">
        <v>91.0</v>
      </c>
      <c r="B92" s="5" t="s">
        <v>375</v>
      </c>
      <c r="C92" s="5" t="s">
        <v>21</v>
      </c>
      <c r="K92" s="5">
        <v>250.0</v>
      </c>
      <c r="N92" s="9">
        <v>44847.0</v>
      </c>
    </row>
    <row r="93">
      <c r="A93" s="5">
        <v>92.0</v>
      </c>
      <c r="B93" s="5" t="s">
        <v>378</v>
      </c>
      <c r="C93" s="5" t="s">
        <v>21</v>
      </c>
      <c r="K93" s="5">
        <v>500.0</v>
      </c>
      <c r="N93" s="9">
        <v>44694.0</v>
      </c>
    </row>
    <row r="94">
      <c r="A94" s="5">
        <v>93.0</v>
      </c>
      <c r="B94" s="5" t="s">
        <v>381</v>
      </c>
      <c r="C94" s="5" t="s">
        <v>21</v>
      </c>
      <c r="K94" s="5">
        <v>250.0</v>
      </c>
      <c r="N94" s="9">
        <v>45071.0</v>
      </c>
    </row>
    <row r="95">
      <c r="A95" s="5">
        <v>94.0</v>
      </c>
      <c r="B95" s="5" t="s">
        <v>384</v>
      </c>
      <c r="C95" s="5" t="s">
        <v>21</v>
      </c>
      <c r="K95" s="5">
        <v>1100.0</v>
      </c>
      <c r="N95" s="9">
        <v>44361.0</v>
      </c>
    </row>
    <row r="96">
      <c r="A96" s="5">
        <v>95.0</v>
      </c>
      <c r="B96" s="5" t="s">
        <v>386</v>
      </c>
      <c r="C96" s="5" t="s">
        <v>21</v>
      </c>
      <c r="K96" s="5">
        <v>250.0</v>
      </c>
      <c r="N96" s="9">
        <v>45106.0</v>
      </c>
    </row>
    <row r="97">
      <c r="A97" s="5">
        <v>96.0</v>
      </c>
      <c r="B97" s="5" t="s">
        <v>387</v>
      </c>
      <c r="C97" s="5" t="s">
        <v>21</v>
      </c>
      <c r="K97" s="5">
        <v>250.0</v>
      </c>
      <c r="N97" s="9">
        <v>44572.0</v>
      </c>
    </row>
    <row r="98">
      <c r="A98" s="5">
        <v>97.0</v>
      </c>
      <c r="B98" s="5" t="s">
        <v>389</v>
      </c>
      <c r="C98" s="5" t="s">
        <v>21</v>
      </c>
      <c r="K98" s="5">
        <v>250.0</v>
      </c>
      <c r="N98" s="9">
        <v>44575.0</v>
      </c>
    </row>
    <row r="99">
      <c r="A99" s="5">
        <v>98.0</v>
      </c>
      <c r="B99" s="5" t="s">
        <v>391</v>
      </c>
      <c r="C99" s="5" t="s">
        <v>21</v>
      </c>
      <c r="K99" s="5">
        <v>300.0</v>
      </c>
      <c r="N99" s="9">
        <v>44694.0</v>
      </c>
    </row>
    <row r="100">
      <c r="A100" s="5">
        <v>99.0</v>
      </c>
      <c r="B100" s="5" t="s">
        <v>394</v>
      </c>
      <c r="C100" s="5" t="s">
        <v>21</v>
      </c>
      <c r="N100" s="9">
        <v>44183.0</v>
      </c>
    </row>
    <row r="101">
      <c r="A101" s="5">
        <v>100.0</v>
      </c>
      <c r="B101" s="5" t="s">
        <v>397</v>
      </c>
      <c r="C101" s="5" t="s">
        <v>21</v>
      </c>
      <c r="K101" s="5">
        <v>6000.0</v>
      </c>
      <c r="N101" s="9">
        <v>45734.0</v>
      </c>
    </row>
    <row r="102">
      <c r="A102" s="5">
        <v>101.0</v>
      </c>
      <c r="B102" s="5" t="s">
        <v>400</v>
      </c>
      <c r="C102" s="5" t="s">
        <v>21</v>
      </c>
      <c r="K102" s="5">
        <v>50.0</v>
      </c>
      <c r="N102" s="9">
        <v>44160.0</v>
      </c>
    </row>
    <row r="103">
      <c r="A103" s="5">
        <v>102.0</v>
      </c>
      <c r="B103" s="5" t="s">
        <v>403</v>
      </c>
      <c r="C103" s="5" t="s">
        <v>21</v>
      </c>
      <c r="K103" s="5">
        <v>250.0</v>
      </c>
      <c r="N103" s="9">
        <v>45586.0</v>
      </c>
    </row>
    <row r="104">
      <c r="A104" s="5">
        <v>103.0</v>
      </c>
      <c r="B104" s="5" t="s">
        <v>406</v>
      </c>
      <c r="C104" s="5" t="s">
        <v>21</v>
      </c>
      <c r="K104" s="5">
        <v>70.0</v>
      </c>
      <c r="N104" s="9">
        <v>44672.0</v>
      </c>
    </row>
    <row r="105">
      <c r="A105" s="5">
        <v>104.0</v>
      </c>
      <c r="B105" s="5" t="s">
        <v>410</v>
      </c>
      <c r="C105" s="5" t="s">
        <v>21</v>
      </c>
      <c r="K105" s="5">
        <v>250.0</v>
      </c>
      <c r="N105" s="9">
        <v>44532.0</v>
      </c>
    </row>
    <row r="106">
      <c r="A106" s="5">
        <v>105.0</v>
      </c>
      <c r="B106" s="5" t="s">
        <v>413</v>
      </c>
      <c r="C106" s="5" t="s">
        <v>21</v>
      </c>
      <c r="N106" s="9">
        <v>44523.0</v>
      </c>
    </row>
    <row r="107">
      <c r="A107" s="5">
        <v>106.0</v>
      </c>
      <c r="B107" s="5" t="s">
        <v>415</v>
      </c>
      <c r="C107" s="5" t="s">
        <v>21</v>
      </c>
      <c r="K107" s="5">
        <v>200.0</v>
      </c>
      <c r="N107" s="9">
        <v>44584.0</v>
      </c>
    </row>
    <row r="108">
      <c r="A108" s="5">
        <v>107.0</v>
      </c>
      <c r="B108" s="5" t="s">
        <v>420</v>
      </c>
      <c r="C108" s="5" t="s">
        <v>21</v>
      </c>
      <c r="K108" s="5">
        <v>400.0</v>
      </c>
      <c r="N108" s="9">
        <v>44724.0</v>
      </c>
    </row>
    <row r="109">
      <c r="A109" s="5">
        <v>108.0</v>
      </c>
      <c r="B109" s="5" t="s">
        <v>423</v>
      </c>
      <c r="C109" s="5" t="s">
        <v>21</v>
      </c>
      <c r="K109" s="5">
        <v>6600.0</v>
      </c>
      <c r="N109" s="9">
        <v>45219.0</v>
      </c>
    </row>
    <row r="110">
      <c r="A110" s="5">
        <v>109.0</v>
      </c>
      <c r="B110" s="5" t="s">
        <v>427</v>
      </c>
      <c r="C110" s="5" t="s">
        <v>21</v>
      </c>
      <c r="K110" s="5">
        <v>100.0</v>
      </c>
      <c r="N110" s="9">
        <v>45078.0</v>
      </c>
    </row>
    <row r="111">
      <c r="A111" s="5">
        <v>110.0</v>
      </c>
      <c r="B111" s="5" t="s">
        <v>430</v>
      </c>
      <c r="C111" s="5" t="s">
        <v>21</v>
      </c>
      <c r="K111" s="5">
        <v>60.0</v>
      </c>
      <c r="N111" s="9">
        <v>44744.0</v>
      </c>
    </row>
    <row r="112">
      <c r="A112" s="5">
        <v>111.0</v>
      </c>
      <c r="B112" s="5" t="s">
        <v>434</v>
      </c>
      <c r="C112" s="5" t="s">
        <v>21</v>
      </c>
      <c r="K112" s="5">
        <v>1000.0</v>
      </c>
      <c r="N112" s="9">
        <v>45165.0</v>
      </c>
    </row>
    <row r="113">
      <c r="A113" s="5">
        <v>112.0</v>
      </c>
      <c r="B113" s="5" t="s">
        <v>437</v>
      </c>
      <c r="C113" s="5" t="s">
        <v>21</v>
      </c>
      <c r="K113" s="5">
        <v>800.0</v>
      </c>
      <c r="N113" s="9">
        <v>44556.0</v>
      </c>
    </row>
    <row r="114">
      <c r="A114" s="5">
        <v>113.0</v>
      </c>
      <c r="B114" s="5" t="s">
        <v>440</v>
      </c>
      <c r="C114" s="5" t="s">
        <v>21</v>
      </c>
      <c r="K114" s="5">
        <v>400.0</v>
      </c>
      <c r="N114" s="9">
        <v>45470.0</v>
      </c>
    </row>
    <row r="115">
      <c r="A115" s="5">
        <v>114.0</v>
      </c>
      <c r="B115" s="5" t="s">
        <v>443</v>
      </c>
      <c r="C115" s="5" t="s">
        <v>21</v>
      </c>
      <c r="K115" s="5">
        <v>300.0</v>
      </c>
      <c r="N115" s="9">
        <v>44545.0</v>
      </c>
    </row>
    <row r="116">
      <c r="A116" s="5">
        <v>115.0</v>
      </c>
      <c r="B116" s="5" t="s">
        <v>447</v>
      </c>
      <c r="C116" s="5" t="s">
        <v>21</v>
      </c>
      <c r="K116" s="5">
        <v>2700.0</v>
      </c>
      <c r="N116" s="9">
        <v>43892.0</v>
      </c>
    </row>
    <row r="117">
      <c r="A117" s="5">
        <v>116.0</v>
      </c>
      <c r="B117" s="5" t="s">
        <v>450</v>
      </c>
      <c r="C117" s="5" t="s">
        <v>21</v>
      </c>
      <c r="K117" s="5">
        <v>1200.0</v>
      </c>
      <c r="N117" s="9">
        <v>45593.0</v>
      </c>
    </row>
    <row r="118">
      <c r="A118" s="5">
        <v>117.0</v>
      </c>
      <c r="B118" s="5" t="s">
        <v>454</v>
      </c>
      <c r="C118" s="5" t="s">
        <v>21</v>
      </c>
      <c r="K118" s="5">
        <v>200.0</v>
      </c>
      <c r="N118" s="9">
        <v>44561.0</v>
      </c>
    </row>
    <row r="119">
      <c r="A119" s="5">
        <v>118.0</v>
      </c>
      <c r="B119" s="5" t="s">
        <v>458</v>
      </c>
      <c r="C119" s="5" t="s">
        <v>21</v>
      </c>
      <c r="K119" s="5">
        <v>700.0</v>
      </c>
      <c r="N119" s="9">
        <v>44517.0</v>
      </c>
    </row>
    <row r="120">
      <c r="A120" s="5">
        <v>119.0</v>
      </c>
      <c r="B120" s="5" t="s">
        <v>463</v>
      </c>
      <c r="C120" s="5" t="s">
        <v>21</v>
      </c>
      <c r="K120" s="5">
        <v>2200.0</v>
      </c>
      <c r="N120" s="9">
        <v>45165.0</v>
      </c>
    </row>
    <row r="121">
      <c r="A121" s="5">
        <v>120.0</v>
      </c>
      <c r="B121" s="5" t="s">
        <v>467</v>
      </c>
      <c r="C121" s="5" t="s">
        <v>21</v>
      </c>
      <c r="K121" s="5">
        <v>200.0</v>
      </c>
      <c r="N121" s="9">
        <v>44164.0</v>
      </c>
    </row>
    <row r="122">
      <c r="A122" s="5">
        <v>121.0</v>
      </c>
      <c r="B122" s="5" t="s">
        <v>470</v>
      </c>
      <c r="C122" s="5" t="s">
        <v>21</v>
      </c>
      <c r="K122" s="5">
        <v>300.0</v>
      </c>
      <c r="N122" s="9">
        <v>45170.0</v>
      </c>
    </row>
    <row r="123">
      <c r="A123" s="5">
        <v>122.0</v>
      </c>
      <c r="B123" s="5" t="s">
        <v>473</v>
      </c>
      <c r="C123" s="5" t="s">
        <v>21</v>
      </c>
      <c r="K123" s="5">
        <v>350.0</v>
      </c>
      <c r="N123" s="9">
        <v>44605.0</v>
      </c>
    </row>
    <row r="124">
      <c r="A124" s="5">
        <v>123.0</v>
      </c>
      <c r="B124" s="5" t="s">
        <v>475</v>
      </c>
      <c r="C124" s="5" t="s">
        <v>21</v>
      </c>
      <c r="K124" s="5">
        <v>150.0</v>
      </c>
      <c r="N124" s="9">
        <v>44632.0</v>
      </c>
    </row>
    <row r="125">
      <c r="A125" s="5">
        <v>124.0</v>
      </c>
      <c r="B125" s="5" t="s">
        <v>479</v>
      </c>
      <c r="C125" s="5" t="s">
        <v>21</v>
      </c>
      <c r="K125" s="5">
        <v>10.0</v>
      </c>
      <c r="N125" s="9">
        <v>44546.0</v>
      </c>
    </row>
    <row r="126">
      <c r="A126" s="5">
        <v>125.0</v>
      </c>
      <c r="B126" s="5" t="s">
        <v>482</v>
      </c>
      <c r="C126" s="5" t="s">
        <v>21</v>
      </c>
      <c r="K126" s="5">
        <v>350.0</v>
      </c>
      <c r="N126" s="9">
        <v>44415.0</v>
      </c>
    </row>
    <row r="127">
      <c r="A127" s="5">
        <v>126.0</v>
      </c>
      <c r="B127" s="5" t="s">
        <v>485</v>
      </c>
      <c r="C127" s="5" t="s">
        <v>21</v>
      </c>
      <c r="K127" s="5">
        <v>600.0</v>
      </c>
      <c r="N127" s="9">
        <v>44726.0</v>
      </c>
    </row>
    <row r="128">
      <c r="A128" s="5">
        <v>127.0</v>
      </c>
      <c r="B128" s="5" t="s">
        <v>489</v>
      </c>
      <c r="C128" s="5" t="s">
        <v>21</v>
      </c>
      <c r="K128" s="5">
        <v>450.0</v>
      </c>
      <c r="N128" s="9">
        <v>44733.0</v>
      </c>
    </row>
    <row r="129">
      <c r="A129" s="5">
        <v>128.0</v>
      </c>
      <c r="B129" s="5" t="s">
        <v>492</v>
      </c>
      <c r="C129" s="5" t="s">
        <v>21</v>
      </c>
      <c r="K129" s="5">
        <v>350.0</v>
      </c>
      <c r="N129" s="9">
        <v>44531.0</v>
      </c>
    </row>
    <row r="130">
      <c r="A130" s="5">
        <v>129.0</v>
      </c>
      <c r="B130" s="5" t="s">
        <v>494</v>
      </c>
      <c r="C130" s="5" t="s">
        <v>21</v>
      </c>
      <c r="K130" s="5">
        <v>1000.0</v>
      </c>
      <c r="N130" s="9">
        <v>44065.0</v>
      </c>
    </row>
    <row r="131">
      <c r="A131" s="5">
        <v>130.0</v>
      </c>
      <c r="B131" s="5" t="s">
        <v>498</v>
      </c>
      <c r="C131" s="5" t="s">
        <v>21</v>
      </c>
      <c r="K131" s="5">
        <v>14000.0</v>
      </c>
      <c r="N131" s="9">
        <v>44051.0</v>
      </c>
    </row>
    <row r="132">
      <c r="A132" s="5">
        <v>131.0</v>
      </c>
      <c r="B132" s="5" t="s">
        <v>500</v>
      </c>
      <c r="C132" s="5" t="s">
        <v>21</v>
      </c>
      <c r="K132" s="5">
        <v>20.0</v>
      </c>
      <c r="N132" s="9">
        <v>44558.0</v>
      </c>
    </row>
    <row r="133">
      <c r="A133" s="5">
        <v>132.0</v>
      </c>
      <c r="B133" s="5" t="s">
        <v>502</v>
      </c>
      <c r="C133" s="5" t="s">
        <v>21</v>
      </c>
      <c r="K133" s="5">
        <v>600.0</v>
      </c>
      <c r="N133" s="9">
        <v>44682.0</v>
      </c>
    </row>
    <row r="134">
      <c r="A134" s="5">
        <v>133.0</v>
      </c>
      <c r="B134" s="5" t="s">
        <v>504</v>
      </c>
      <c r="C134" s="5" t="s">
        <v>21</v>
      </c>
      <c r="K134" s="5">
        <v>30.0</v>
      </c>
      <c r="N134" s="9">
        <v>44636.0</v>
      </c>
    </row>
    <row r="135">
      <c r="A135" s="5">
        <v>134.0</v>
      </c>
      <c r="B135" s="5" t="s">
        <v>511</v>
      </c>
      <c r="C135" s="5" t="s">
        <v>21</v>
      </c>
      <c r="K135" s="5">
        <v>40.0</v>
      </c>
      <c r="N135" s="9">
        <v>44788.0</v>
      </c>
    </row>
    <row r="136">
      <c r="A136" s="5">
        <v>135.0</v>
      </c>
      <c r="B136" s="5" t="s">
        <v>513</v>
      </c>
      <c r="C136" s="5" t="s">
        <v>21</v>
      </c>
      <c r="K136" s="5">
        <v>150.0</v>
      </c>
      <c r="N136" s="9">
        <v>45429.0</v>
      </c>
    </row>
    <row r="137">
      <c r="A137" s="5">
        <v>136.0</v>
      </c>
      <c r="B137" s="5" t="s">
        <v>515</v>
      </c>
      <c r="C137" s="5" t="s">
        <v>21</v>
      </c>
      <c r="N137" s="9">
        <v>44523.0</v>
      </c>
    </row>
    <row r="138">
      <c r="A138" s="5">
        <v>137.0</v>
      </c>
      <c r="B138" s="5" t="s">
        <v>518</v>
      </c>
      <c r="C138" s="5" t="s">
        <v>21</v>
      </c>
      <c r="K138" s="5">
        <v>800.0</v>
      </c>
      <c r="N138" s="9">
        <v>44179.0</v>
      </c>
    </row>
    <row r="139">
      <c r="A139" s="5">
        <v>138.0</v>
      </c>
      <c r="B139" s="5" t="s">
        <v>520</v>
      </c>
      <c r="C139" s="5" t="s">
        <v>21</v>
      </c>
      <c r="N139" s="9">
        <v>44608.0</v>
      </c>
    </row>
    <row r="140">
      <c r="A140" s="5">
        <v>139.0</v>
      </c>
      <c r="B140" s="5" t="s">
        <v>522</v>
      </c>
      <c r="C140" s="5" t="s">
        <v>21</v>
      </c>
      <c r="K140" s="5">
        <v>100.0</v>
      </c>
      <c r="N140" s="9">
        <v>45645.0</v>
      </c>
    </row>
    <row r="141">
      <c r="A141" s="5">
        <v>140.0</v>
      </c>
      <c r="B141" s="5" t="s">
        <v>31</v>
      </c>
      <c r="C141" s="5" t="s">
        <v>21</v>
      </c>
      <c r="K141" s="5">
        <v>3000.0</v>
      </c>
      <c r="N141" s="9">
        <v>45143.0</v>
      </c>
    </row>
    <row r="142">
      <c r="A142" s="5">
        <v>141.0</v>
      </c>
      <c r="B142" s="5" t="s">
        <v>526</v>
      </c>
      <c r="C142" s="5" t="s">
        <v>21</v>
      </c>
      <c r="K142" s="5">
        <v>100.0</v>
      </c>
      <c r="N142" s="9">
        <v>43848.0</v>
      </c>
    </row>
    <row r="143">
      <c r="A143" s="5">
        <v>142.0</v>
      </c>
      <c r="B143" s="5" t="s">
        <v>530</v>
      </c>
      <c r="C143" s="5" t="s">
        <v>21</v>
      </c>
      <c r="K143" s="5">
        <v>300.0</v>
      </c>
      <c r="N143" s="9">
        <v>44565.0</v>
      </c>
    </row>
    <row r="144">
      <c r="A144" s="5">
        <v>143.0</v>
      </c>
      <c r="B144" s="5" t="s">
        <v>532</v>
      </c>
      <c r="C144" s="5" t="s">
        <v>21</v>
      </c>
      <c r="K144" s="5">
        <v>1200.0</v>
      </c>
      <c r="N144" s="9">
        <v>44865.0</v>
      </c>
    </row>
    <row r="145">
      <c r="A145" s="5">
        <v>144.0</v>
      </c>
      <c r="B145" s="5" t="s">
        <v>535</v>
      </c>
      <c r="C145" s="5" t="s">
        <v>21</v>
      </c>
      <c r="K145" s="5">
        <v>400.0</v>
      </c>
      <c r="N145" s="9">
        <v>44136.0</v>
      </c>
    </row>
    <row r="146">
      <c r="A146" s="5">
        <v>145.0</v>
      </c>
      <c r="B146" s="5" t="s">
        <v>537</v>
      </c>
      <c r="C146" s="5" t="s">
        <v>21</v>
      </c>
      <c r="K146" s="5">
        <v>70.0</v>
      </c>
      <c r="N146" s="9">
        <v>44378.0</v>
      </c>
    </row>
    <row r="147">
      <c r="A147" s="5">
        <v>146.0</v>
      </c>
      <c r="B147" s="5" t="s">
        <v>541</v>
      </c>
      <c r="C147" s="5" t="s">
        <v>21</v>
      </c>
      <c r="K147" s="5">
        <v>300.0</v>
      </c>
      <c r="N147" s="9">
        <v>44589.0</v>
      </c>
    </row>
    <row r="148">
      <c r="A148" s="5">
        <v>147.0</v>
      </c>
      <c r="B148" s="5" t="s">
        <v>544</v>
      </c>
      <c r="C148" s="5" t="s">
        <v>21</v>
      </c>
      <c r="K148" s="5">
        <v>500.0</v>
      </c>
      <c r="N148" s="9">
        <v>43913.0</v>
      </c>
    </row>
    <row r="149">
      <c r="A149" s="5">
        <v>148.0</v>
      </c>
      <c r="B149" s="5" t="s">
        <v>547</v>
      </c>
      <c r="C149" s="5" t="s">
        <v>21</v>
      </c>
      <c r="K149" s="5">
        <v>200.0</v>
      </c>
      <c r="N149" s="9">
        <v>44989.0</v>
      </c>
    </row>
    <row r="150">
      <c r="A150" s="5">
        <v>149.0</v>
      </c>
      <c r="B150" s="5" t="s">
        <v>548</v>
      </c>
      <c r="C150" s="5" t="s">
        <v>21</v>
      </c>
      <c r="K150" s="5">
        <v>150.0</v>
      </c>
      <c r="N150" s="9">
        <v>44628.0</v>
      </c>
    </row>
    <row r="151">
      <c r="A151" s="5">
        <v>150.0</v>
      </c>
      <c r="B151" s="5" t="s">
        <v>550</v>
      </c>
      <c r="C151" s="5" t="s">
        <v>21</v>
      </c>
      <c r="K151" s="5">
        <v>800.0</v>
      </c>
      <c r="N151" s="9">
        <v>43965.0</v>
      </c>
    </row>
    <row r="152">
      <c r="A152" s="5">
        <v>151.0</v>
      </c>
      <c r="B152" s="5" t="s">
        <v>553</v>
      </c>
      <c r="C152" s="5" t="s">
        <v>21</v>
      </c>
      <c r="K152" s="5">
        <v>900.0</v>
      </c>
      <c r="N152" s="9">
        <v>44714.0</v>
      </c>
    </row>
    <row r="153">
      <c r="A153" s="5">
        <v>152.0</v>
      </c>
      <c r="B153" s="5" t="s">
        <v>555</v>
      </c>
      <c r="C153" s="5" t="s">
        <v>21</v>
      </c>
      <c r="K153" s="5">
        <v>200.0</v>
      </c>
      <c r="N153" s="9">
        <v>44644.0</v>
      </c>
    </row>
    <row r="154">
      <c r="A154" s="5">
        <v>153.0</v>
      </c>
      <c r="B154" s="5" t="s">
        <v>557</v>
      </c>
      <c r="C154" s="5" t="s">
        <v>21</v>
      </c>
      <c r="K154" s="5">
        <v>1800.0</v>
      </c>
      <c r="N154" s="9">
        <v>44593.0</v>
      </c>
    </row>
    <row r="155">
      <c r="A155" s="5">
        <v>154.0</v>
      </c>
      <c r="B155" s="5" t="s">
        <v>559</v>
      </c>
      <c r="C155" s="5" t="s">
        <v>21</v>
      </c>
      <c r="K155" s="5">
        <v>250.0</v>
      </c>
      <c r="N155" s="9">
        <v>43877.0</v>
      </c>
    </row>
    <row r="156">
      <c r="A156" s="5">
        <v>155.0</v>
      </c>
      <c r="B156" s="5" t="s">
        <v>562</v>
      </c>
      <c r="C156" s="5" t="s">
        <v>21</v>
      </c>
      <c r="K156" s="5">
        <v>200.0</v>
      </c>
      <c r="N156" s="9">
        <v>44898.0</v>
      </c>
    </row>
    <row r="157">
      <c r="A157" s="5">
        <v>156.0</v>
      </c>
      <c r="B157" s="5" t="s">
        <v>564</v>
      </c>
      <c r="C157" s="5" t="s">
        <v>21</v>
      </c>
      <c r="K157" s="5">
        <v>90.0</v>
      </c>
      <c r="N157" s="9">
        <v>44536.0</v>
      </c>
    </row>
    <row r="158">
      <c r="A158" s="5">
        <v>157.0</v>
      </c>
      <c r="B158" s="5" t="s">
        <v>566</v>
      </c>
      <c r="C158" s="5" t="s">
        <v>21</v>
      </c>
      <c r="K158" s="5">
        <v>900.0</v>
      </c>
      <c r="N158" s="9">
        <v>44530.0</v>
      </c>
    </row>
    <row r="159">
      <c r="A159" s="5">
        <v>158.0</v>
      </c>
      <c r="B159" s="5" t="s">
        <v>569</v>
      </c>
      <c r="C159" s="5" t="s">
        <v>21</v>
      </c>
      <c r="K159" s="5">
        <v>150.0</v>
      </c>
      <c r="N159" s="9">
        <v>44648.0</v>
      </c>
    </row>
    <row r="160">
      <c r="A160" s="5">
        <v>159.0</v>
      </c>
      <c r="B160" s="5" t="s">
        <v>571</v>
      </c>
      <c r="C160" s="5" t="s">
        <v>21</v>
      </c>
      <c r="K160" s="5">
        <v>500.0</v>
      </c>
      <c r="N160" s="9">
        <v>44610.0</v>
      </c>
    </row>
    <row r="161">
      <c r="A161" s="5">
        <v>160.0</v>
      </c>
      <c r="B161" s="5" t="s">
        <v>573</v>
      </c>
      <c r="C161" s="5" t="s">
        <v>21</v>
      </c>
      <c r="K161" s="5">
        <v>60.0</v>
      </c>
      <c r="N161" s="9">
        <v>45342.0</v>
      </c>
    </row>
    <row r="162">
      <c r="A162" s="5">
        <v>161.0</v>
      </c>
      <c r="B162" s="5" t="s">
        <v>576</v>
      </c>
      <c r="C162" s="5" t="s">
        <v>21</v>
      </c>
      <c r="K162" s="5">
        <v>300.0</v>
      </c>
      <c r="N162" s="9">
        <v>44777.0</v>
      </c>
    </row>
    <row r="163">
      <c r="A163" s="5">
        <v>162.0</v>
      </c>
      <c r="B163" s="5" t="s">
        <v>578</v>
      </c>
      <c r="C163" s="5" t="s">
        <v>21</v>
      </c>
      <c r="K163" s="5">
        <v>1000.0</v>
      </c>
      <c r="N163" s="9">
        <v>45354.0</v>
      </c>
    </row>
    <row r="164">
      <c r="A164" s="5">
        <v>163.0</v>
      </c>
      <c r="B164" s="5" t="s">
        <v>581</v>
      </c>
      <c r="C164" s="5" t="s">
        <v>21</v>
      </c>
      <c r="K164" s="5">
        <v>150.0</v>
      </c>
      <c r="N164" s="9">
        <v>44572.0</v>
      </c>
    </row>
    <row r="165">
      <c r="A165" s="5">
        <v>164.0</v>
      </c>
      <c r="B165" s="5" t="s">
        <v>583</v>
      </c>
      <c r="C165" s="5" t="s">
        <v>21</v>
      </c>
      <c r="K165" s="5">
        <v>100.0</v>
      </c>
      <c r="N165" s="9">
        <v>45129.0</v>
      </c>
    </row>
    <row r="166">
      <c r="A166" s="5">
        <v>165.0</v>
      </c>
      <c r="B166" s="5" t="s">
        <v>585</v>
      </c>
      <c r="C166" s="5" t="s">
        <v>21</v>
      </c>
      <c r="K166" s="5">
        <v>100.0</v>
      </c>
      <c r="N166" s="9">
        <v>44101.0</v>
      </c>
    </row>
    <row r="167">
      <c r="A167" s="5">
        <v>166.0</v>
      </c>
      <c r="B167" s="5" t="s">
        <v>588</v>
      </c>
      <c r="C167" s="5" t="s">
        <v>21</v>
      </c>
      <c r="K167" s="5">
        <v>800.0</v>
      </c>
      <c r="N167" s="9">
        <v>45227.0</v>
      </c>
    </row>
    <row r="168">
      <c r="A168" s="5">
        <v>167.0</v>
      </c>
      <c r="B168" s="5" t="s">
        <v>590</v>
      </c>
      <c r="C168" s="5" t="s">
        <v>21</v>
      </c>
      <c r="K168" s="5">
        <v>1800.0</v>
      </c>
      <c r="N168" s="9">
        <v>43885.0</v>
      </c>
    </row>
    <row r="169">
      <c r="A169" s="5">
        <v>168.0</v>
      </c>
      <c r="B169" s="5" t="s">
        <v>593</v>
      </c>
      <c r="C169" s="5" t="s">
        <v>21</v>
      </c>
      <c r="K169" s="5">
        <v>600.0</v>
      </c>
      <c r="N169" s="9">
        <v>45270.0</v>
      </c>
    </row>
    <row r="170">
      <c r="A170" s="5">
        <v>169.0</v>
      </c>
      <c r="B170" s="5" t="s">
        <v>595</v>
      </c>
      <c r="C170" s="5" t="s">
        <v>21</v>
      </c>
      <c r="K170" s="5">
        <v>1200.0</v>
      </c>
      <c r="N170" s="9">
        <v>44282.0</v>
      </c>
    </row>
    <row r="171">
      <c r="A171" s="5">
        <v>170.0</v>
      </c>
      <c r="B171" s="5" t="s">
        <v>597</v>
      </c>
      <c r="C171" s="5" t="s">
        <v>21</v>
      </c>
      <c r="K171" s="5">
        <v>2900.0</v>
      </c>
      <c r="N171" s="9">
        <v>44126.0</v>
      </c>
    </row>
    <row r="172">
      <c r="A172" s="5">
        <v>171.0</v>
      </c>
      <c r="B172" s="5" t="s">
        <v>600</v>
      </c>
      <c r="C172" s="5" t="s">
        <v>21</v>
      </c>
      <c r="K172" s="5">
        <v>50.0</v>
      </c>
      <c r="N172" s="9">
        <v>44768.0</v>
      </c>
    </row>
    <row r="173">
      <c r="A173" s="5">
        <v>172.0</v>
      </c>
      <c r="B173" s="5" t="s">
        <v>602</v>
      </c>
      <c r="C173" s="5" t="s">
        <v>21</v>
      </c>
      <c r="K173" s="5">
        <v>100.0</v>
      </c>
      <c r="N173" s="9">
        <v>44656.0</v>
      </c>
    </row>
    <row r="174">
      <c r="A174" s="5">
        <v>173.0</v>
      </c>
      <c r="B174" s="5" t="s">
        <v>605</v>
      </c>
      <c r="C174" s="5" t="s">
        <v>21</v>
      </c>
      <c r="K174" s="5">
        <v>200.0</v>
      </c>
      <c r="N174" s="9">
        <v>45466.0</v>
      </c>
    </row>
    <row r="175">
      <c r="A175" s="5">
        <v>174.0</v>
      </c>
      <c r="B175" s="5" t="s">
        <v>607</v>
      </c>
      <c r="C175" s="5" t="s">
        <v>21</v>
      </c>
      <c r="K175" s="5">
        <v>200.0</v>
      </c>
      <c r="N175" s="9">
        <v>45565.0</v>
      </c>
    </row>
    <row r="176">
      <c r="A176" s="5">
        <v>175.0</v>
      </c>
      <c r="B176" s="5" t="s">
        <v>610</v>
      </c>
      <c r="C176" s="5" t="s">
        <v>21</v>
      </c>
      <c r="K176" s="5">
        <v>100.0</v>
      </c>
      <c r="N176" s="9">
        <v>45108.0</v>
      </c>
    </row>
    <row r="177">
      <c r="A177" s="5">
        <v>176.0</v>
      </c>
      <c r="B177" s="5" t="s">
        <v>613</v>
      </c>
      <c r="C177" s="5" t="s">
        <v>21</v>
      </c>
      <c r="K177" s="5">
        <v>2300.0</v>
      </c>
      <c r="N177" s="9">
        <v>43918.0</v>
      </c>
    </row>
    <row r="178">
      <c r="A178" s="5">
        <v>177.0</v>
      </c>
      <c r="B178" s="5" t="s">
        <v>616</v>
      </c>
      <c r="C178" s="5" t="s">
        <v>21</v>
      </c>
      <c r="K178" s="5">
        <v>300.0</v>
      </c>
      <c r="N178" s="9">
        <v>45091.0</v>
      </c>
    </row>
    <row r="179">
      <c r="A179" s="5">
        <v>178.0</v>
      </c>
      <c r="B179" s="5" t="s">
        <v>618</v>
      </c>
      <c r="C179" s="5" t="s">
        <v>21</v>
      </c>
      <c r="K179" s="5">
        <v>1700.0</v>
      </c>
      <c r="N179" s="9">
        <v>44106.0</v>
      </c>
    </row>
    <row r="180">
      <c r="A180" s="5">
        <v>179.0</v>
      </c>
      <c r="B180" s="5" t="s">
        <v>621</v>
      </c>
      <c r="C180" s="5" t="s">
        <v>21</v>
      </c>
      <c r="N180" s="9">
        <v>44539.0</v>
      </c>
    </row>
    <row r="181">
      <c r="A181" s="5">
        <v>180.0</v>
      </c>
      <c r="B181" s="5" t="s">
        <v>623</v>
      </c>
      <c r="C181" s="5" t="s">
        <v>21</v>
      </c>
      <c r="K181" s="5">
        <v>300.0</v>
      </c>
      <c r="N181" s="9">
        <v>44157.0</v>
      </c>
    </row>
    <row r="182">
      <c r="A182" s="5">
        <v>181.0</v>
      </c>
      <c r="B182" s="5" t="s">
        <v>626</v>
      </c>
      <c r="C182" s="5" t="s">
        <v>21</v>
      </c>
      <c r="N182" s="9">
        <v>44539.0</v>
      </c>
    </row>
    <row r="183">
      <c r="A183" s="5">
        <v>182.0</v>
      </c>
      <c r="B183" s="5" t="s">
        <v>628</v>
      </c>
      <c r="C183" s="5" t="s">
        <v>21</v>
      </c>
      <c r="K183" s="5">
        <v>700.0</v>
      </c>
      <c r="N183" s="9">
        <v>43843.0</v>
      </c>
    </row>
    <row r="184">
      <c r="A184" s="5">
        <v>183.0</v>
      </c>
      <c r="B184" s="5" t="s">
        <v>630</v>
      </c>
      <c r="C184" s="5" t="s">
        <v>21</v>
      </c>
      <c r="K184" s="5">
        <v>800.0</v>
      </c>
      <c r="N184" s="9">
        <v>44081.0</v>
      </c>
    </row>
    <row r="185">
      <c r="A185" s="5">
        <v>184.0</v>
      </c>
      <c r="B185" s="5" t="s">
        <v>633</v>
      </c>
      <c r="C185" s="5" t="s">
        <v>21</v>
      </c>
      <c r="K185" s="5">
        <v>200.0</v>
      </c>
      <c r="N185" s="9">
        <v>44546.0</v>
      </c>
    </row>
    <row r="186">
      <c r="A186" s="5">
        <v>185.0</v>
      </c>
      <c r="B186" s="5" t="s">
        <v>635</v>
      </c>
      <c r="C186" s="5" t="s">
        <v>21</v>
      </c>
      <c r="K186" s="5">
        <v>400.0</v>
      </c>
      <c r="N186" s="9">
        <v>44581.0</v>
      </c>
    </row>
    <row r="187">
      <c r="A187" s="5">
        <v>186.0</v>
      </c>
      <c r="B187" s="5" t="s">
        <v>637</v>
      </c>
      <c r="C187" s="5" t="s">
        <v>21</v>
      </c>
      <c r="N187" s="9">
        <v>45080.0</v>
      </c>
    </row>
    <row r="188">
      <c r="A188" s="5">
        <v>187.0</v>
      </c>
      <c r="B188" s="5" t="s">
        <v>639</v>
      </c>
      <c r="C188" s="5" t="s">
        <v>21</v>
      </c>
      <c r="K188" s="5">
        <v>200.0</v>
      </c>
      <c r="N188" s="9">
        <v>44403.0</v>
      </c>
    </row>
    <row r="189">
      <c r="A189" s="5">
        <v>188.0</v>
      </c>
      <c r="B189" s="5" t="s">
        <v>642</v>
      </c>
      <c r="C189" s="5" t="s">
        <v>21</v>
      </c>
      <c r="N189" s="9">
        <v>44734.0</v>
      </c>
    </row>
    <row r="190">
      <c r="A190" s="5">
        <v>189.0</v>
      </c>
      <c r="B190" s="5" t="s">
        <v>644</v>
      </c>
      <c r="C190" s="5" t="s">
        <v>21</v>
      </c>
      <c r="K190" s="5">
        <v>200.0</v>
      </c>
      <c r="N190" s="9">
        <v>44533.0</v>
      </c>
    </row>
    <row r="191">
      <c r="A191" s="5">
        <v>190.0</v>
      </c>
      <c r="B191" s="5" t="s">
        <v>647</v>
      </c>
      <c r="C191" s="5" t="s">
        <v>21</v>
      </c>
      <c r="K191" s="5">
        <v>2000.0</v>
      </c>
      <c r="N191" s="9">
        <v>44574.0</v>
      </c>
    </row>
    <row r="192">
      <c r="A192" s="5">
        <v>191.0</v>
      </c>
      <c r="B192" s="5" t="s">
        <v>650</v>
      </c>
      <c r="C192" s="5" t="s">
        <v>21</v>
      </c>
      <c r="K192" s="5">
        <v>150.0</v>
      </c>
      <c r="N192" s="9">
        <v>45249.0</v>
      </c>
    </row>
    <row r="193">
      <c r="A193" s="5">
        <v>192.0</v>
      </c>
      <c r="B193" s="5" t="s">
        <v>653</v>
      </c>
      <c r="C193" s="5" t="s">
        <v>21</v>
      </c>
      <c r="K193" s="5">
        <v>150.0</v>
      </c>
      <c r="N193" s="9">
        <v>45378.0</v>
      </c>
    </row>
    <row r="194">
      <c r="A194" s="5">
        <v>193.0</v>
      </c>
      <c r="B194" s="5" t="s">
        <v>656</v>
      </c>
      <c r="C194" s="5" t="s">
        <v>21</v>
      </c>
      <c r="K194" s="5">
        <v>400.0</v>
      </c>
      <c r="N194" s="9">
        <v>44028.0</v>
      </c>
    </row>
    <row r="195">
      <c r="A195" s="5">
        <v>194.0</v>
      </c>
      <c r="B195" s="5" t="s">
        <v>658</v>
      </c>
      <c r="C195" s="5" t="s">
        <v>21</v>
      </c>
      <c r="K195" s="5">
        <v>20.0</v>
      </c>
      <c r="N195" s="9">
        <v>45383.0</v>
      </c>
    </row>
    <row r="196">
      <c r="A196" s="5">
        <v>195.0</v>
      </c>
      <c r="B196" s="5" t="s">
        <v>661</v>
      </c>
      <c r="C196" s="5" t="s">
        <v>21</v>
      </c>
      <c r="K196" s="5">
        <v>700.0</v>
      </c>
      <c r="N196" s="9">
        <v>45185.0</v>
      </c>
    </row>
    <row r="197">
      <c r="A197" s="5">
        <v>196.0</v>
      </c>
      <c r="B197" s="5" t="s">
        <v>664</v>
      </c>
      <c r="C197" s="5" t="s">
        <v>21</v>
      </c>
      <c r="K197" s="5">
        <v>100.0</v>
      </c>
      <c r="N197" s="9">
        <v>44235.0</v>
      </c>
    </row>
    <row r="198">
      <c r="A198" s="5">
        <v>197.0</v>
      </c>
      <c r="B198" s="5" t="s">
        <v>666</v>
      </c>
      <c r="C198" s="5" t="s">
        <v>21</v>
      </c>
      <c r="K198" s="5">
        <v>350.0</v>
      </c>
      <c r="N198" s="9">
        <v>43974.0</v>
      </c>
    </row>
    <row r="199">
      <c r="A199" s="5">
        <v>198.0</v>
      </c>
      <c r="B199" s="5" t="s">
        <v>669</v>
      </c>
      <c r="C199" s="5" t="s">
        <v>21</v>
      </c>
      <c r="K199" s="5">
        <v>2700.0</v>
      </c>
      <c r="N199" s="9">
        <v>44291.0</v>
      </c>
    </row>
    <row r="200">
      <c r="A200" s="5">
        <v>199.0</v>
      </c>
      <c r="B200" s="5" t="s">
        <v>672</v>
      </c>
      <c r="C200" s="5" t="s">
        <v>21</v>
      </c>
      <c r="K200" s="5">
        <v>400.0</v>
      </c>
      <c r="N200" s="9">
        <v>43864.0</v>
      </c>
    </row>
    <row r="201">
      <c r="A201" s="5">
        <v>200.0</v>
      </c>
      <c r="B201" s="5" t="s">
        <v>674</v>
      </c>
      <c r="C201" s="5" t="s">
        <v>21</v>
      </c>
      <c r="K201" s="5">
        <v>600.0</v>
      </c>
      <c r="N201" s="9">
        <v>44732.0</v>
      </c>
    </row>
    <row r="202">
      <c r="A202" s="5">
        <v>201.0</v>
      </c>
      <c r="B202" s="5" t="s">
        <v>677</v>
      </c>
      <c r="C202" s="5" t="s">
        <v>21</v>
      </c>
      <c r="N202" s="9">
        <v>44518.0</v>
      </c>
    </row>
    <row r="203">
      <c r="A203" s="5">
        <v>202.0</v>
      </c>
      <c r="B203" s="5" t="s">
        <v>679</v>
      </c>
      <c r="C203" s="5" t="s">
        <v>21</v>
      </c>
      <c r="K203" s="5">
        <v>150.0</v>
      </c>
      <c r="N203" s="9">
        <v>44436.0</v>
      </c>
    </row>
    <row r="204">
      <c r="A204" s="5">
        <v>203.0</v>
      </c>
      <c r="B204" s="5" t="s">
        <v>681</v>
      </c>
      <c r="C204" s="5" t="s">
        <v>21</v>
      </c>
      <c r="K204" s="5">
        <v>90.0</v>
      </c>
      <c r="N204" s="9">
        <v>44516.0</v>
      </c>
    </row>
    <row r="205">
      <c r="A205" s="5">
        <v>204.0</v>
      </c>
      <c r="B205" s="5" t="s">
        <v>682</v>
      </c>
      <c r="C205" s="5" t="s">
        <v>21</v>
      </c>
      <c r="K205" s="5">
        <v>10.0</v>
      </c>
      <c r="N205" s="9">
        <v>44528.0</v>
      </c>
    </row>
    <row r="206">
      <c r="A206" s="5">
        <v>205.0</v>
      </c>
      <c r="B206" s="5" t="s">
        <v>683</v>
      </c>
      <c r="C206" s="5" t="s">
        <v>21</v>
      </c>
      <c r="K206" s="5">
        <v>350.0</v>
      </c>
      <c r="N206" s="9">
        <v>44577.0</v>
      </c>
    </row>
    <row r="207">
      <c r="A207" s="5">
        <v>206.0</v>
      </c>
      <c r="B207" s="5" t="s">
        <v>685</v>
      </c>
      <c r="C207" s="5" t="s">
        <v>21</v>
      </c>
      <c r="K207" s="5">
        <v>1600.0</v>
      </c>
      <c r="N207" s="9">
        <v>44134.0</v>
      </c>
    </row>
    <row r="208">
      <c r="A208" s="5">
        <v>207.0</v>
      </c>
      <c r="B208" s="5" t="s">
        <v>688</v>
      </c>
      <c r="C208" s="5" t="s">
        <v>21</v>
      </c>
      <c r="K208" s="5">
        <v>250.0</v>
      </c>
      <c r="N208" s="9">
        <v>44047.0</v>
      </c>
    </row>
    <row r="209">
      <c r="A209" s="5">
        <v>208.0</v>
      </c>
      <c r="B209" s="5" t="s">
        <v>690</v>
      </c>
      <c r="C209" s="5" t="s">
        <v>21</v>
      </c>
      <c r="K209" s="5">
        <v>1200.0</v>
      </c>
      <c r="N209" s="9">
        <v>44344.0</v>
      </c>
    </row>
    <row r="210">
      <c r="A210" s="5">
        <v>209.0</v>
      </c>
      <c r="B210" s="5" t="s">
        <v>693</v>
      </c>
      <c r="C210" s="5" t="s">
        <v>21</v>
      </c>
      <c r="K210" s="5">
        <v>300.0</v>
      </c>
      <c r="N210" s="9">
        <v>45554.0</v>
      </c>
    </row>
    <row r="211">
      <c r="A211" s="5">
        <v>210.0</v>
      </c>
      <c r="B211" s="5" t="s">
        <v>695</v>
      </c>
      <c r="C211" s="5" t="s">
        <v>21</v>
      </c>
      <c r="K211" s="5">
        <v>50.0</v>
      </c>
      <c r="N211" s="9">
        <v>45123.0</v>
      </c>
    </row>
    <row r="212">
      <c r="A212" s="5">
        <v>211.0</v>
      </c>
      <c r="B212" s="5" t="s">
        <v>697</v>
      </c>
      <c r="C212" s="5" t="s">
        <v>21</v>
      </c>
      <c r="K212" s="5">
        <v>200.0</v>
      </c>
      <c r="N212" s="9">
        <v>44188.0</v>
      </c>
    </row>
    <row r="213">
      <c r="A213" s="5">
        <v>212.0</v>
      </c>
      <c r="B213" s="5" t="s">
        <v>700</v>
      </c>
      <c r="C213" s="5" t="s">
        <v>21</v>
      </c>
      <c r="K213" s="5">
        <v>12000.0</v>
      </c>
      <c r="N213" s="9">
        <v>45060.0</v>
      </c>
    </row>
    <row r="214">
      <c r="A214" s="5">
        <v>213.0</v>
      </c>
      <c r="B214" s="5" t="s">
        <v>702</v>
      </c>
      <c r="C214" s="5" t="s">
        <v>21</v>
      </c>
      <c r="K214" s="5">
        <v>150.0</v>
      </c>
      <c r="N214" s="9">
        <v>44509.0</v>
      </c>
    </row>
    <row r="215">
      <c r="A215" s="5">
        <v>214.0</v>
      </c>
      <c r="B215" s="5" t="s">
        <v>704</v>
      </c>
      <c r="C215" s="5" t="s">
        <v>21</v>
      </c>
      <c r="K215" s="5">
        <v>150.0</v>
      </c>
      <c r="N215" s="9">
        <v>44819.0</v>
      </c>
    </row>
    <row r="216">
      <c r="A216" s="5">
        <v>215.0</v>
      </c>
      <c r="B216" s="5" t="s">
        <v>707</v>
      </c>
      <c r="C216" s="5" t="s">
        <v>21</v>
      </c>
      <c r="K216" s="5">
        <v>450.0</v>
      </c>
      <c r="N216" s="9">
        <v>45592.0</v>
      </c>
    </row>
    <row r="217">
      <c r="A217" s="5">
        <v>216.0</v>
      </c>
      <c r="B217" s="5" t="s">
        <v>709</v>
      </c>
      <c r="C217" s="5" t="s">
        <v>21</v>
      </c>
      <c r="K217" s="5">
        <v>350.0</v>
      </c>
      <c r="N217" s="9">
        <v>44580.0</v>
      </c>
    </row>
    <row r="218">
      <c r="A218" s="5">
        <v>217.0</v>
      </c>
      <c r="B218" s="5" t="s">
        <v>712</v>
      </c>
      <c r="C218" s="5" t="s">
        <v>21</v>
      </c>
      <c r="K218" s="5">
        <v>400.0</v>
      </c>
      <c r="N218" s="9">
        <v>44176.0</v>
      </c>
    </row>
    <row r="219">
      <c r="A219" s="5">
        <v>218.0</v>
      </c>
      <c r="B219" s="5" t="s">
        <v>714</v>
      </c>
      <c r="C219" s="5" t="s">
        <v>21</v>
      </c>
      <c r="N219" s="9">
        <v>44528.0</v>
      </c>
    </row>
    <row r="220">
      <c r="A220" s="5">
        <v>219.0</v>
      </c>
      <c r="B220" s="5" t="s">
        <v>717</v>
      </c>
      <c r="C220" s="5" t="s">
        <v>21</v>
      </c>
      <c r="K220" s="5">
        <v>150.0</v>
      </c>
      <c r="N220" s="9">
        <v>44390.0</v>
      </c>
    </row>
    <row r="221">
      <c r="A221" s="5">
        <v>220.0</v>
      </c>
      <c r="B221" s="5" t="s">
        <v>719</v>
      </c>
      <c r="C221" s="5" t="s">
        <v>21</v>
      </c>
      <c r="K221" s="5">
        <v>200.0</v>
      </c>
      <c r="N221" s="9">
        <v>45142.0</v>
      </c>
    </row>
    <row r="222">
      <c r="A222" s="5">
        <v>221.0</v>
      </c>
      <c r="B222" s="5" t="s">
        <v>721</v>
      </c>
      <c r="C222" s="5" t="s">
        <v>21</v>
      </c>
      <c r="K222" s="5">
        <v>150.0</v>
      </c>
      <c r="N222" s="9">
        <v>44985.0</v>
      </c>
    </row>
    <row r="223">
      <c r="A223" s="5">
        <v>222.0</v>
      </c>
      <c r="B223" s="5" t="s">
        <v>724</v>
      </c>
      <c r="C223" s="5" t="s">
        <v>21</v>
      </c>
      <c r="K223" s="5">
        <v>250.0</v>
      </c>
      <c r="N223" s="9">
        <v>44611.0</v>
      </c>
    </row>
    <row r="224">
      <c r="A224" s="5">
        <v>223.0</v>
      </c>
      <c r="B224" s="5" t="s">
        <v>726</v>
      </c>
      <c r="C224" s="5" t="s">
        <v>21</v>
      </c>
      <c r="K224" s="5">
        <v>30.0</v>
      </c>
      <c r="N224" s="9">
        <v>43842.0</v>
      </c>
    </row>
    <row r="225">
      <c r="A225" s="5">
        <v>224.0</v>
      </c>
      <c r="B225" s="5" t="s">
        <v>729</v>
      </c>
      <c r="C225" s="5" t="s">
        <v>21</v>
      </c>
      <c r="K225" s="5">
        <v>80.0</v>
      </c>
      <c r="N225" s="9">
        <v>45352.0</v>
      </c>
    </row>
    <row r="226">
      <c r="A226" s="5">
        <v>225.0</v>
      </c>
      <c r="B226" s="5" t="s">
        <v>731</v>
      </c>
      <c r="C226" s="5" t="s">
        <v>21</v>
      </c>
      <c r="K226" s="5">
        <v>100.0</v>
      </c>
      <c r="N226" s="9">
        <v>44755.0</v>
      </c>
    </row>
    <row r="227">
      <c r="A227" s="5">
        <v>226.0</v>
      </c>
      <c r="B227" s="5" t="s">
        <v>733</v>
      </c>
      <c r="C227" s="5" t="s">
        <v>21</v>
      </c>
      <c r="K227" s="5">
        <v>250.0</v>
      </c>
      <c r="N227" s="9">
        <v>44547.0</v>
      </c>
    </row>
    <row r="228">
      <c r="A228" s="5">
        <v>227.0</v>
      </c>
      <c r="B228" s="5" t="s">
        <v>736</v>
      </c>
      <c r="C228" s="5" t="s">
        <v>21</v>
      </c>
      <c r="K228" s="5">
        <v>100.0</v>
      </c>
      <c r="N228" s="9">
        <v>45597.0</v>
      </c>
    </row>
    <row r="229">
      <c r="A229" s="5">
        <v>228.0</v>
      </c>
      <c r="B229" s="5" t="s">
        <v>738</v>
      </c>
      <c r="C229" s="5" t="s">
        <v>21</v>
      </c>
      <c r="K229" s="5">
        <v>10.0</v>
      </c>
      <c r="N229" s="9">
        <v>43867.0</v>
      </c>
    </row>
    <row r="230">
      <c r="A230" s="5">
        <v>229.0</v>
      </c>
      <c r="B230" s="5" t="s">
        <v>740</v>
      </c>
      <c r="C230" s="5" t="s">
        <v>21</v>
      </c>
      <c r="K230" s="5">
        <v>900.0</v>
      </c>
      <c r="N230" s="9">
        <v>44210.0</v>
      </c>
    </row>
    <row r="231">
      <c r="A231" s="5">
        <v>230.0</v>
      </c>
      <c r="B231" s="5" t="s">
        <v>743</v>
      </c>
      <c r="C231" s="5" t="s">
        <v>21</v>
      </c>
      <c r="K231" s="5">
        <v>200.0</v>
      </c>
      <c r="N231" s="9">
        <v>44704.0</v>
      </c>
    </row>
    <row r="232">
      <c r="A232" s="5">
        <v>231.0</v>
      </c>
      <c r="B232" s="5" t="s">
        <v>745</v>
      </c>
      <c r="C232" s="5" t="s">
        <v>21</v>
      </c>
      <c r="K232" s="5">
        <v>150.0</v>
      </c>
      <c r="N232" s="9">
        <v>44074.0</v>
      </c>
    </row>
    <row r="233">
      <c r="A233" s="5">
        <v>232.0</v>
      </c>
      <c r="B233" s="5" t="s">
        <v>747</v>
      </c>
      <c r="C233" s="5" t="s">
        <v>21</v>
      </c>
      <c r="N233" s="9">
        <v>43949.0</v>
      </c>
    </row>
    <row r="234">
      <c r="A234" s="5">
        <v>233.0</v>
      </c>
      <c r="B234" s="5" t="s">
        <v>749</v>
      </c>
      <c r="C234" s="5" t="s">
        <v>21</v>
      </c>
      <c r="K234" s="5">
        <v>700.0</v>
      </c>
      <c r="N234" s="9">
        <v>44844.0</v>
      </c>
    </row>
    <row r="235">
      <c r="A235" s="5">
        <v>234.0</v>
      </c>
      <c r="B235" s="5" t="s">
        <v>751</v>
      </c>
      <c r="C235" s="5" t="s">
        <v>21</v>
      </c>
      <c r="K235" s="5">
        <v>1200.0</v>
      </c>
      <c r="N235" s="9">
        <v>44306.0</v>
      </c>
    </row>
    <row r="236">
      <c r="A236" s="5">
        <v>235.0</v>
      </c>
      <c r="B236" s="5" t="s">
        <v>756</v>
      </c>
      <c r="C236" s="5" t="s">
        <v>21</v>
      </c>
      <c r="K236" s="5">
        <v>600.0</v>
      </c>
      <c r="N236" s="9">
        <v>44172.0</v>
      </c>
    </row>
    <row r="237">
      <c r="A237" s="5">
        <v>236.0</v>
      </c>
      <c r="B237" s="5" t="s">
        <v>759</v>
      </c>
      <c r="C237" s="5" t="s">
        <v>21</v>
      </c>
      <c r="K237" s="5">
        <v>1200.0</v>
      </c>
      <c r="N237" s="9">
        <v>44543.0</v>
      </c>
    </row>
    <row r="238">
      <c r="A238" s="5">
        <v>237.0</v>
      </c>
      <c r="B238" s="5" t="s">
        <v>761</v>
      </c>
      <c r="C238" s="5" t="s">
        <v>21</v>
      </c>
      <c r="K238" s="5">
        <v>1000.0</v>
      </c>
      <c r="N238" s="9">
        <v>44785.0</v>
      </c>
    </row>
    <row r="239">
      <c r="A239" s="5">
        <v>238.0</v>
      </c>
      <c r="B239" s="5" t="s">
        <v>763</v>
      </c>
      <c r="C239" s="5" t="s">
        <v>21</v>
      </c>
      <c r="K239" s="5">
        <v>200.0</v>
      </c>
      <c r="N239" s="9">
        <v>44351.0</v>
      </c>
    </row>
    <row r="240">
      <c r="A240" s="5">
        <v>239.0</v>
      </c>
      <c r="B240" s="5" t="s">
        <v>765</v>
      </c>
      <c r="C240" s="5" t="s">
        <v>21</v>
      </c>
      <c r="K240" s="5">
        <v>90.0</v>
      </c>
      <c r="N240" s="9">
        <v>44427.0</v>
      </c>
    </row>
    <row r="241">
      <c r="A241" s="5">
        <v>240.0</v>
      </c>
      <c r="B241" s="5" t="s">
        <v>767</v>
      </c>
      <c r="C241" s="5" t="s">
        <v>21</v>
      </c>
      <c r="K241" s="5">
        <v>100.0</v>
      </c>
      <c r="N241" s="9">
        <v>45470.0</v>
      </c>
    </row>
    <row r="242">
      <c r="A242" s="5">
        <v>241.0</v>
      </c>
      <c r="B242" s="5" t="s">
        <v>773</v>
      </c>
      <c r="C242" s="5" t="s">
        <v>21</v>
      </c>
      <c r="K242" s="5">
        <v>250.0</v>
      </c>
      <c r="N242" s="9">
        <v>44686.0</v>
      </c>
    </row>
    <row r="243">
      <c r="A243" s="5">
        <v>242.0</v>
      </c>
      <c r="B243" s="5" t="s">
        <v>776</v>
      </c>
      <c r="C243" s="5" t="s">
        <v>21</v>
      </c>
      <c r="K243" s="5">
        <v>2200.0</v>
      </c>
      <c r="N243" s="9">
        <v>44219.0</v>
      </c>
    </row>
    <row r="244">
      <c r="A244" s="5">
        <v>243.0</v>
      </c>
      <c r="B244" s="5" t="s">
        <v>778</v>
      </c>
      <c r="C244" s="5" t="s">
        <v>21</v>
      </c>
      <c r="K244" s="5">
        <v>150.0</v>
      </c>
      <c r="N244" s="9">
        <v>43970.0</v>
      </c>
    </row>
    <row r="245">
      <c r="A245" s="5">
        <v>244.0</v>
      </c>
      <c r="B245" s="5" t="s">
        <v>780</v>
      </c>
      <c r="C245" s="5" t="s">
        <v>21</v>
      </c>
      <c r="K245" s="5">
        <v>200.0</v>
      </c>
      <c r="N245" s="9">
        <v>44725.0</v>
      </c>
    </row>
    <row r="246">
      <c r="A246" s="5">
        <v>245.0</v>
      </c>
      <c r="B246" s="5" t="s">
        <v>781</v>
      </c>
      <c r="C246" s="5" t="s">
        <v>21</v>
      </c>
      <c r="K246" s="5">
        <v>300.0</v>
      </c>
      <c r="N246" s="9">
        <v>45776.0</v>
      </c>
    </row>
    <row r="247">
      <c r="A247" s="5">
        <v>246.0</v>
      </c>
      <c r="B247" s="5" t="s">
        <v>784</v>
      </c>
      <c r="C247" s="5" t="s">
        <v>21</v>
      </c>
      <c r="K247" s="5">
        <v>600.0</v>
      </c>
      <c r="N247" s="9">
        <v>44542.0</v>
      </c>
    </row>
    <row r="248">
      <c r="A248" s="5">
        <v>247.0</v>
      </c>
      <c r="B248" s="5" t="s">
        <v>786</v>
      </c>
      <c r="C248" s="5" t="s">
        <v>21</v>
      </c>
      <c r="K248" s="5">
        <v>200.0</v>
      </c>
      <c r="N248" s="9">
        <v>44845.0</v>
      </c>
    </row>
    <row r="249">
      <c r="A249" s="5">
        <v>248.0</v>
      </c>
      <c r="B249" s="5" t="s">
        <v>789</v>
      </c>
      <c r="C249" s="5" t="s">
        <v>21</v>
      </c>
      <c r="K249" s="5">
        <v>70.0</v>
      </c>
      <c r="N249" s="9">
        <v>45345.0</v>
      </c>
    </row>
    <row r="250">
      <c r="A250" s="5">
        <v>249.0</v>
      </c>
      <c r="B250" s="5" t="s">
        <v>791</v>
      </c>
      <c r="C250" s="5" t="s">
        <v>21</v>
      </c>
      <c r="K250" s="5">
        <v>300.0</v>
      </c>
      <c r="N250" s="9">
        <v>44530.0</v>
      </c>
    </row>
    <row r="251">
      <c r="A251" s="5">
        <v>250.0</v>
      </c>
      <c r="B251" s="5" t="s">
        <v>794</v>
      </c>
      <c r="C251" s="5" t="s">
        <v>21</v>
      </c>
      <c r="K251" s="5">
        <v>150.0</v>
      </c>
      <c r="N251" s="9">
        <v>44713.0</v>
      </c>
    </row>
    <row r="252">
      <c r="A252" s="5">
        <v>251.0</v>
      </c>
      <c r="B252" s="5" t="s">
        <v>800</v>
      </c>
      <c r="C252" s="5" t="s">
        <v>21</v>
      </c>
      <c r="K252" s="5">
        <v>1000.0</v>
      </c>
      <c r="N252" s="9">
        <v>43951.0</v>
      </c>
    </row>
    <row r="253">
      <c r="A253" s="5">
        <v>252.0</v>
      </c>
      <c r="B253" s="5" t="s">
        <v>803</v>
      </c>
      <c r="C253" s="5" t="s">
        <v>21</v>
      </c>
      <c r="K253" s="5">
        <v>600.0</v>
      </c>
      <c r="N253" s="9">
        <v>44614.0</v>
      </c>
    </row>
    <row r="254">
      <c r="A254" s="5">
        <v>253.0</v>
      </c>
      <c r="B254" s="5" t="s">
        <v>808</v>
      </c>
      <c r="C254" s="5" t="s">
        <v>21</v>
      </c>
      <c r="K254" s="5">
        <v>100.0</v>
      </c>
      <c r="N254" s="9">
        <v>44047.0</v>
      </c>
    </row>
    <row r="255">
      <c r="A255" s="5">
        <v>254.0</v>
      </c>
      <c r="B255" s="5" t="s">
        <v>811</v>
      </c>
      <c r="C255" s="5" t="s">
        <v>21</v>
      </c>
      <c r="K255" s="5">
        <v>60.0</v>
      </c>
      <c r="N255" s="9">
        <v>43968.0</v>
      </c>
    </row>
    <row r="256">
      <c r="A256" s="5">
        <v>255.0</v>
      </c>
      <c r="B256" s="5" t="s">
        <v>816</v>
      </c>
      <c r="C256" s="5" t="s">
        <v>21</v>
      </c>
      <c r="K256" s="5">
        <v>300.0</v>
      </c>
      <c r="N256" s="9">
        <v>44543.0</v>
      </c>
    </row>
    <row r="257">
      <c r="A257" s="5">
        <v>256.0</v>
      </c>
      <c r="B257" s="5" t="s">
        <v>820</v>
      </c>
      <c r="C257" s="5" t="s">
        <v>21</v>
      </c>
      <c r="K257" s="5">
        <v>60.0</v>
      </c>
      <c r="N257" s="9">
        <v>44945.0</v>
      </c>
    </row>
    <row r="258">
      <c r="A258" s="5">
        <v>257.0</v>
      </c>
      <c r="B258" s="5" t="s">
        <v>824</v>
      </c>
      <c r="C258" s="5" t="s">
        <v>21</v>
      </c>
      <c r="K258" s="5">
        <v>150.0</v>
      </c>
      <c r="N258" s="9">
        <v>44972.0</v>
      </c>
    </row>
    <row r="259">
      <c r="A259" s="5">
        <v>258.0</v>
      </c>
      <c r="B259" s="5" t="s">
        <v>830</v>
      </c>
      <c r="C259" s="5" t="s">
        <v>21</v>
      </c>
      <c r="K259" s="5">
        <v>600.0</v>
      </c>
      <c r="N259" s="9">
        <v>44551.0</v>
      </c>
    </row>
    <row r="260">
      <c r="A260" s="5">
        <v>259.0</v>
      </c>
      <c r="B260" s="5" t="s">
        <v>833</v>
      </c>
      <c r="C260" s="5" t="s">
        <v>21</v>
      </c>
      <c r="K260" s="5">
        <v>700.0</v>
      </c>
      <c r="N260" s="9">
        <v>45154.0</v>
      </c>
    </row>
    <row r="261">
      <c r="A261" s="5">
        <v>260.0</v>
      </c>
      <c r="B261" s="5" t="s">
        <v>840</v>
      </c>
      <c r="C261" s="5" t="s">
        <v>21</v>
      </c>
      <c r="K261" s="5">
        <v>400.0</v>
      </c>
      <c r="N261" s="9">
        <v>45737.0</v>
      </c>
    </row>
    <row r="262">
      <c r="A262" s="5">
        <v>261.0</v>
      </c>
      <c r="B262" s="5" t="s">
        <v>844</v>
      </c>
      <c r="C262" s="5" t="s">
        <v>21</v>
      </c>
      <c r="K262" s="5">
        <v>400.0</v>
      </c>
      <c r="N262" s="9">
        <v>44578.0</v>
      </c>
    </row>
    <row r="263">
      <c r="A263" s="5">
        <v>262.0</v>
      </c>
      <c r="B263" s="5" t="s">
        <v>847</v>
      </c>
      <c r="C263" s="5" t="s">
        <v>21</v>
      </c>
      <c r="K263" s="5">
        <v>800.0</v>
      </c>
      <c r="N263" s="9">
        <v>45568.0</v>
      </c>
    </row>
    <row r="264">
      <c r="A264" s="5">
        <v>263.0</v>
      </c>
      <c r="B264" s="5" t="s">
        <v>851</v>
      </c>
      <c r="C264" s="5" t="s">
        <v>21</v>
      </c>
      <c r="K264" s="5">
        <v>150.0</v>
      </c>
      <c r="N264" s="9">
        <v>45461.0</v>
      </c>
    </row>
    <row r="265">
      <c r="A265" s="5">
        <v>264.0</v>
      </c>
      <c r="B265" s="5" t="s">
        <v>855</v>
      </c>
      <c r="C265" s="5" t="s">
        <v>21</v>
      </c>
      <c r="K265" s="5">
        <v>450.0</v>
      </c>
      <c r="N265" s="9">
        <v>44588.0</v>
      </c>
    </row>
    <row r="266">
      <c r="A266" s="5">
        <v>265.0</v>
      </c>
      <c r="B266" s="5" t="s">
        <v>858</v>
      </c>
      <c r="C266" s="5" t="s">
        <v>21</v>
      </c>
      <c r="K266" s="5">
        <v>700.0</v>
      </c>
      <c r="N266" s="9">
        <v>44067.0</v>
      </c>
    </row>
    <row r="267">
      <c r="A267" s="5">
        <v>266.0</v>
      </c>
      <c r="B267" s="5" t="s">
        <v>861</v>
      </c>
      <c r="C267" s="5" t="s">
        <v>21</v>
      </c>
      <c r="K267" s="5">
        <v>450.0</v>
      </c>
      <c r="N267" s="9">
        <v>44805.0</v>
      </c>
    </row>
    <row r="268">
      <c r="A268" s="5">
        <v>267.0</v>
      </c>
      <c r="B268" s="5" t="s">
        <v>865</v>
      </c>
      <c r="C268" s="5" t="s">
        <v>21</v>
      </c>
      <c r="K268" s="5">
        <v>1000.0</v>
      </c>
      <c r="N268" s="9">
        <v>44526.0</v>
      </c>
    </row>
    <row r="269">
      <c r="A269" s="5">
        <v>268.0</v>
      </c>
      <c r="B269" s="5" t="s">
        <v>868</v>
      </c>
      <c r="C269" s="5" t="s">
        <v>21</v>
      </c>
      <c r="K269" s="5">
        <v>50.0</v>
      </c>
      <c r="N269" s="9">
        <v>44399.0</v>
      </c>
    </row>
    <row r="270">
      <c r="A270" s="5">
        <v>269.0</v>
      </c>
      <c r="B270" s="5" t="s">
        <v>869</v>
      </c>
      <c r="C270" s="5" t="s">
        <v>21</v>
      </c>
      <c r="K270" s="5">
        <v>350.0</v>
      </c>
      <c r="N270" s="9">
        <v>45251.0</v>
      </c>
    </row>
    <row r="271">
      <c r="A271" s="5">
        <v>270.0</v>
      </c>
      <c r="B271" s="5" t="s">
        <v>871</v>
      </c>
      <c r="C271" s="5" t="s">
        <v>21</v>
      </c>
      <c r="K271" s="5">
        <v>600.0</v>
      </c>
      <c r="N271" s="9">
        <v>44652.0</v>
      </c>
    </row>
    <row r="272">
      <c r="A272" s="5">
        <v>271.0</v>
      </c>
      <c r="B272" s="5" t="s">
        <v>873</v>
      </c>
      <c r="C272" s="5" t="s">
        <v>21</v>
      </c>
      <c r="K272" s="5">
        <v>300.0</v>
      </c>
      <c r="N272" s="9">
        <v>45319.0</v>
      </c>
    </row>
    <row r="273">
      <c r="A273" s="5">
        <v>272.0</v>
      </c>
      <c r="B273" s="5" t="s">
        <v>875</v>
      </c>
      <c r="C273" s="5" t="s">
        <v>21</v>
      </c>
      <c r="K273" s="5">
        <v>150.0</v>
      </c>
      <c r="N273" s="9">
        <v>45260.0</v>
      </c>
    </row>
    <row r="274">
      <c r="A274" s="5">
        <v>273.0</v>
      </c>
      <c r="B274" s="5" t="s">
        <v>877</v>
      </c>
      <c r="C274" s="5" t="s">
        <v>21</v>
      </c>
      <c r="K274" s="5">
        <v>10.0</v>
      </c>
      <c r="N274" s="9">
        <v>44522.0</v>
      </c>
    </row>
    <row r="275">
      <c r="A275" s="5">
        <v>274.0</v>
      </c>
      <c r="B275" s="5" t="s">
        <v>878</v>
      </c>
      <c r="C275" s="5" t="s">
        <v>21</v>
      </c>
      <c r="K275" s="5">
        <v>200.0</v>
      </c>
      <c r="N275" s="9">
        <v>44318.0</v>
      </c>
    </row>
    <row r="276">
      <c r="A276" s="5">
        <v>275.0</v>
      </c>
      <c r="B276" s="5" t="s">
        <v>880</v>
      </c>
      <c r="C276" s="5" t="s">
        <v>21</v>
      </c>
      <c r="K276" s="5">
        <v>300.0</v>
      </c>
      <c r="N276" s="9">
        <v>45468.0</v>
      </c>
    </row>
    <row r="277">
      <c r="A277" s="5">
        <v>276.0</v>
      </c>
      <c r="B277" s="5" t="s">
        <v>882</v>
      </c>
      <c r="C277" s="5" t="s">
        <v>21</v>
      </c>
      <c r="K277" s="5">
        <v>350.0</v>
      </c>
      <c r="N277" s="9">
        <v>43933.0</v>
      </c>
    </row>
    <row r="278">
      <c r="A278" s="5">
        <v>277.0</v>
      </c>
      <c r="B278" s="5" t="s">
        <v>884</v>
      </c>
      <c r="C278" s="5" t="s">
        <v>21</v>
      </c>
      <c r="K278" s="5">
        <v>8200.0</v>
      </c>
      <c r="N278" s="9">
        <v>46085.0</v>
      </c>
    </row>
    <row r="279">
      <c r="A279" s="5">
        <v>278.0</v>
      </c>
      <c r="B279" s="5" t="s">
        <v>33</v>
      </c>
      <c r="C279" s="5" t="s">
        <v>21</v>
      </c>
      <c r="K279" s="5">
        <v>3100.0</v>
      </c>
      <c r="N279" s="9">
        <v>44670.0</v>
      </c>
    </row>
    <row r="280">
      <c r="A280" s="5">
        <v>279.0</v>
      </c>
      <c r="B280" s="5" t="s">
        <v>886</v>
      </c>
      <c r="C280" s="5" t="s">
        <v>21</v>
      </c>
      <c r="K280" s="5">
        <v>10.0</v>
      </c>
      <c r="N280" s="9">
        <v>44582.0</v>
      </c>
    </row>
    <row r="281">
      <c r="A281" s="5">
        <v>280.0</v>
      </c>
      <c r="B281" s="5" t="s">
        <v>891</v>
      </c>
      <c r="C281" s="5" t="s">
        <v>21</v>
      </c>
      <c r="K281" s="5">
        <v>700.0</v>
      </c>
      <c r="N281" s="9">
        <v>44235.0</v>
      </c>
    </row>
    <row r="282">
      <c r="A282" s="5">
        <v>281.0</v>
      </c>
      <c r="B282" s="5" t="s">
        <v>892</v>
      </c>
      <c r="C282" s="5" t="s">
        <v>21</v>
      </c>
      <c r="K282" s="5">
        <v>150.0</v>
      </c>
      <c r="N282" s="9">
        <v>44565.0</v>
      </c>
    </row>
    <row r="283">
      <c r="A283" s="5">
        <v>282.0</v>
      </c>
      <c r="B283" s="5" t="s">
        <v>895</v>
      </c>
      <c r="C283" s="5" t="s">
        <v>21</v>
      </c>
      <c r="K283" s="5">
        <v>10.0</v>
      </c>
      <c r="N283" s="9">
        <v>44864.0</v>
      </c>
    </row>
    <row r="284">
      <c r="A284" s="5">
        <v>283.0</v>
      </c>
      <c r="B284" s="5" t="s">
        <v>896</v>
      </c>
      <c r="C284" s="5" t="s">
        <v>21</v>
      </c>
      <c r="K284" s="5">
        <v>150.0</v>
      </c>
      <c r="N284" s="9">
        <v>44543.0</v>
      </c>
    </row>
    <row r="285">
      <c r="A285" s="5">
        <v>284.0</v>
      </c>
      <c r="B285" s="5" t="s">
        <v>898</v>
      </c>
      <c r="C285" s="5" t="s">
        <v>21</v>
      </c>
      <c r="K285" s="5">
        <v>100.0</v>
      </c>
      <c r="N285" s="9">
        <v>44965.0</v>
      </c>
    </row>
    <row r="286">
      <c r="A286" s="5">
        <v>285.0</v>
      </c>
      <c r="B286" s="5" t="s">
        <v>900</v>
      </c>
      <c r="C286" s="5" t="s">
        <v>21</v>
      </c>
      <c r="K286" s="5">
        <v>100.0</v>
      </c>
      <c r="N286" s="9">
        <v>44295.0</v>
      </c>
    </row>
    <row r="287">
      <c r="A287" s="5">
        <v>286.0</v>
      </c>
      <c r="B287" s="5" t="s">
        <v>901</v>
      </c>
      <c r="C287" s="5" t="s">
        <v>21</v>
      </c>
      <c r="K287" s="5">
        <v>900.0</v>
      </c>
      <c r="N287" s="9">
        <v>44531.0</v>
      </c>
    </row>
    <row r="288">
      <c r="A288" s="5">
        <v>287.0</v>
      </c>
      <c r="B288" s="5" t="s">
        <v>902</v>
      </c>
      <c r="C288" s="5" t="s">
        <v>21</v>
      </c>
      <c r="K288" s="5">
        <v>150.0</v>
      </c>
      <c r="N288" s="9">
        <v>44638.0</v>
      </c>
    </row>
    <row r="289">
      <c r="A289" s="5">
        <v>288.0</v>
      </c>
      <c r="B289" s="5" t="s">
        <v>903</v>
      </c>
      <c r="C289" s="5" t="s">
        <v>21</v>
      </c>
      <c r="K289" s="5">
        <v>700.0</v>
      </c>
      <c r="N289" s="9">
        <v>44745.0</v>
      </c>
    </row>
    <row r="290">
      <c r="A290" s="5">
        <v>289.0</v>
      </c>
      <c r="B290" s="5" t="s">
        <v>904</v>
      </c>
      <c r="C290" s="5" t="s">
        <v>21</v>
      </c>
      <c r="K290" s="5">
        <v>150.0</v>
      </c>
      <c r="N290" s="9">
        <v>45233.0</v>
      </c>
    </row>
    <row r="291">
      <c r="A291" s="5">
        <v>290.0</v>
      </c>
      <c r="B291" s="5" t="s">
        <v>906</v>
      </c>
      <c r="C291" s="5" t="s">
        <v>21</v>
      </c>
      <c r="K291" s="5">
        <v>400.0</v>
      </c>
      <c r="N291" s="9">
        <v>44299.0</v>
      </c>
    </row>
    <row r="292">
      <c r="A292" s="5">
        <v>291.0</v>
      </c>
      <c r="B292" s="5" t="s">
        <v>907</v>
      </c>
      <c r="C292" s="5" t="s">
        <v>21</v>
      </c>
      <c r="K292" s="5">
        <v>150.0</v>
      </c>
      <c r="N292" s="9">
        <v>44630.0</v>
      </c>
    </row>
    <row r="293">
      <c r="A293" s="5">
        <v>292.0</v>
      </c>
      <c r="B293" s="5" t="s">
        <v>909</v>
      </c>
      <c r="C293" s="5" t="s">
        <v>21</v>
      </c>
      <c r="K293" s="5">
        <v>200.0</v>
      </c>
      <c r="N293" s="9">
        <v>45312.0</v>
      </c>
    </row>
    <row r="294">
      <c r="A294" s="5">
        <v>293.0</v>
      </c>
      <c r="B294" s="5" t="s">
        <v>910</v>
      </c>
      <c r="C294" s="5" t="s">
        <v>21</v>
      </c>
      <c r="K294" s="5">
        <v>300.0</v>
      </c>
      <c r="N294" s="9">
        <v>45501.0</v>
      </c>
    </row>
    <row r="295">
      <c r="A295" s="5">
        <v>294.0</v>
      </c>
      <c r="B295" s="5" t="s">
        <v>912</v>
      </c>
      <c r="C295" s="5" t="s">
        <v>21</v>
      </c>
      <c r="K295" s="5">
        <v>20.0</v>
      </c>
      <c r="N295" s="9">
        <v>44047.0</v>
      </c>
    </row>
    <row r="296">
      <c r="A296" s="5">
        <v>295.0</v>
      </c>
      <c r="B296" s="5" t="s">
        <v>913</v>
      </c>
      <c r="C296" s="5" t="s">
        <v>21</v>
      </c>
      <c r="K296" s="5">
        <v>200.0</v>
      </c>
      <c r="N296" s="9">
        <v>44664.0</v>
      </c>
    </row>
    <row r="297">
      <c r="A297" s="5">
        <v>296.0</v>
      </c>
      <c r="B297" s="5" t="s">
        <v>914</v>
      </c>
      <c r="C297" s="5" t="s">
        <v>21</v>
      </c>
      <c r="K297" s="5">
        <v>40.0</v>
      </c>
      <c r="N297" s="9">
        <v>43926.0</v>
      </c>
    </row>
    <row r="298">
      <c r="A298" s="5">
        <v>297.0</v>
      </c>
      <c r="B298" s="5" t="s">
        <v>915</v>
      </c>
      <c r="C298" s="5" t="s">
        <v>21</v>
      </c>
      <c r="K298" s="5">
        <v>1000.0</v>
      </c>
      <c r="N298" s="9">
        <v>44251.0</v>
      </c>
    </row>
    <row r="299">
      <c r="A299" s="5">
        <v>298.0</v>
      </c>
      <c r="B299" s="5" t="s">
        <v>916</v>
      </c>
      <c r="C299" s="5" t="s">
        <v>21</v>
      </c>
      <c r="K299" s="5">
        <v>350.0</v>
      </c>
      <c r="N299" s="9">
        <v>44461.0</v>
      </c>
    </row>
    <row r="300">
      <c r="A300" s="5">
        <v>299.0</v>
      </c>
      <c r="B300" s="5" t="s">
        <v>917</v>
      </c>
      <c r="C300" s="5" t="s">
        <v>21</v>
      </c>
      <c r="K300" s="5">
        <v>100.0</v>
      </c>
      <c r="N300" s="9">
        <v>44702.0</v>
      </c>
    </row>
    <row r="301">
      <c r="A301" s="5">
        <v>300.0</v>
      </c>
      <c r="B301" s="5" t="s">
        <v>918</v>
      </c>
      <c r="C301" s="5" t="s">
        <v>21</v>
      </c>
      <c r="K301" s="5">
        <v>1700.0</v>
      </c>
      <c r="N301" s="9">
        <v>44572.0</v>
      </c>
    </row>
    <row r="302">
      <c r="A302" s="5">
        <v>301.0</v>
      </c>
      <c r="B302" s="5" t="s">
        <v>920</v>
      </c>
      <c r="C302" s="5" t="s">
        <v>21</v>
      </c>
      <c r="K302" s="5">
        <v>300.0</v>
      </c>
      <c r="N302" s="9">
        <v>44822.0</v>
      </c>
    </row>
    <row r="303">
      <c r="A303" s="5">
        <v>302.0</v>
      </c>
      <c r="B303" s="5" t="s">
        <v>921</v>
      </c>
      <c r="C303" s="5" t="s">
        <v>21</v>
      </c>
      <c r="K303" s="5">
        <v>200.0</v>
      </c>
      <c r="N303" s="9">
        <v>45062.0</v>
      </c>
    </row>
    <row r="304">
      <c r="A304" s="5">
        <v>303.0</v>
      </c>
      <c r="B304" s="5" t="s">
        <v>923</v>
      </c>
      <c r="C304" s="5" t="s">
        <v>21</v>
      </c>
      <c r="K304" s="5">
        <v>350.0</v>
      </c>
      <c r="N304" s="9">
        <v>44085.0</v>
      </c>
    </row>
    <row r="305">
      <c r="A305" s="5">
        <v>304.0</v>
      </c>
      <c r="B305" s="5" t="s">
        <v>925</v>
      </c>
      <c r="C305" s="5" t="s">
        <v>21</v>
      </c>
      <c r="K305" s="5">
        <v>250.0</v>
      </c>
      <c r="N305" s="9">
        <v>43930.0</v>
      </c>
    </row>
    <row r="306">
      <c r="A306" s="5">
        <v>305.0</v>
      </c>
      <c r="B306" s="5" t="s">
        <v>927</v>
      </c>
      <c r="C306" s="5" t="s">
        <v>21</v>
      </c>
      <c r="N306" s="9">
        <v>44564.0</v>
      </c>
    </row>
    <row r="307">
      <c r="A307" s="5">
        <v>306.0</v>
      </c>
      <c r="B307" s="5" t="s">
        <v>929</v>
      </c>
      <c r="C307" s="5" t="s">
        <v>21</v>
      </c>
      <c r="K307" s="5">
        <v>150.0</v>
      </c>
      <c r="N307" s="9">
        <v>44721.0</v>
      </c>
    </row>
    <row r="308">
      <c r="A308" s="5">
        <v>307.0</v>
      </c>
      <c r="B308" s="5" t="s">
        <v>930</v>
      </c>
      <c r="C308" s="5" t="s">
        <v>21</v>
      </c>
      <c r="K308" s="5">
        <v>2000.0</v>
      </c>
      <c r="N308" s="9">
        <v>43933.0</v>
      </c>
    </row>
    <row r="309">
      <c r="A309" s="5">
        <v>308.0</v>
      </c>
      <c r="B309" s="5" t="s">
        <v>932</v>
      </c>
      <c r="C309" s="5" t="s">
        <v>21</v>
      </c>
      <c r="K309" s="5">
        <v>350.0</v>
      </c>
      <c r="N309" s="9">
        <v>44843.0</v>
      </c>
    </row>
    <row r="310">
      <c r="A310" s="5">
        <v>309.0</v>
      </c>
      <c r="B310" s="5" t="s">
        <v>934</v>
      </c>
      <c r="C310" s="5" t="s">
        <v>21</v>
      </c>
      <c r="K310" s="5">
        <v>350.0</v>
      </c>
      <c r="N310" s="9">
        <v>44039.0</v>
      </c>
    </row>
    <row r="311">
      <c r="A311" s="5">
        <v>310.0</v>
      </c>
      <c r="B311" s="5" t="s">
        <v>935</v>
      </c>
      <c r="C311" s="5" t="s">
        <v>21</v>
      </c>
      <c r="K311" s="5">
        <v>2500.0</v>
      </c>
      <c r="N311" s="9">
        <v>45547.0</v>
      </c>
    </row>
    <row r="312">
      <c r="A312" s="5">
        <v>311.0</v>
      </c>
      <c r="B312" s="5" t="s">
        <v>937</v>
      </c>
      <c r="C312" s="5" t="s">
        <v>21</v>
      </c>
      <c r="K312" s="5">
        <v>300.0</v>
      </c>
      <c r="N312" s="9">
        <v>45289.0</v>
      </c>
    </row>
    <row r="313">
      <c r="A313" s="5">
        <v>312.0</v>
      </c>
      <c r="B313" s="5" t="s">
        <v>938</v>
      </c>
      <c r="C313" s="5" t="s">
        <v>21</v>
      </c>
      <c r="K313" s="5">
        <v>70.0</v>
      </c>
      <c r="N313" s="9">
        <v>45646.0</v>
      </c>
    </row>
    <row r="314">
      <c r="A314" s="5">
        <v>313.0</v>
      </c>
      <c r="B314" s="5" t="s">
        <v>940</v>
      </c>
      <c r="C314" s="5" t="s">
        <v>21</v>
      </c>
      <c r="N314" s="9">
        <v>45916.0</v>
      </c>
    </row>
    <row r="315">
      <c r="A315" s="5">
        <v>314.0</v>
      </c>
      <c r="B315" s="5" t="s">
        <v>943</v>
      </c>
      <c r="C315" s="5" t="s">
        <v>21</v>
      </c>
      <c r="K315" s="5">
        <v>100.0</v>
      </c>
      <c r="N315" s="9">
        <v>44693.0</v>
      </c>
    </row>
    <row r="316">
      <c r="A316" s="5">
        <v>315.0</v>
      </c>
      <c r="B316" s="5" t="s">
        <v>946</v>
      </c>
      <c r="C316" s="5" t="s">
        <v>21</v>
      </c>
      <c r="K316" s="5">
        <v>800.0</v>
      </c>
      <c r="N316" s="9">
        <v>43992.0</v>
      </c>
    </row>
    <row r="317">
      <c r="A317" s="5">
        <v>316.0</v>
      </c>
      <c r="B317" s="5" t="s">
        <v>947</v>
      </c>
      <c r="C317" s="5" t="s">
        <v>21</v>
      </c>
      <c r="K317" s="5">
        <v>150.0</v>
      </c>
      <c r="N317" s="9">
        <v>44031.0</v>
      </c>
    </row>
    <row r="318">
      <c r="A318" s="5">
        <v>317.0</v>
      </c>
      <c r="B318" s="5" t="s">
        <v>950</v>
      </c>
      <c r="C318" s="5" t="s">
        <v>21</v>
      </c>
      <c r="K318" s="5">
        <v>600.0</v>
      </c>
      <c r="N318" s="9">
        <v>44598.0</v>
      </c>
    </row>
    <row r="319">
      <c r="A319" s="5">
        <v>318.0</v>
      </c>
      <c r="B319" s="5" t="s">
        <v>951</v>
      </c>
      <c r="C319" s="5" t="s">
        <v>21</v>
      </c>
      <c r="K319" s="5">
        <v>1200.0</v>
      </c>
      <c r="N319" s="9">
        <v>44406.0</v>
      </c>
    </row>
    <row r="320">
      <c r="A320" s="5">
        <v>319.0</v>
      </c>
      <c r="B320" s="5" t="s">
        <v>952</v>
      </c>
      <c r="C320" s="5" t="s">
        <v>21</v>
      </c>
      <c r="K320" s="5">
        <v>600.0</v>
      </c>
      <c r="N320" s="9">
        <v>44499.0</v>
      </c>
    </row>
    <row r="321">
      <c r="A321" s="5">
        <v>320.0</v>
      </c>
      <c r="B321" s="5" t="s">
        <v>954</v>
      </c>
      <c r="C321" s="5" t="s">
        <v>21</v>
      </c>
      <c r="K321" s="5">
        <v>60.0</v>
      </c>
      <c r="N321" s="9">
        <v>45268.0</v>
      </c>
    </row>
    <row r="322">
      <c r="A322" s="5">
        <v>321.0</v>
      </c>
      <c r="B322" s="5" t="s">
        <v>956</v>
      </c>
      <c r="C322" s="5" t="s">
        <v>21</v>
      </c>
      <c r="K322" s="5">
        <v>150.0</v>
      </c>
      <c r="N322" s="9">
        <v>44926.0</v>
      </c>
    </row>
    <row r="323">
      <c r="A323" s="5">
        <v>322.0</v>
      </c>
      <c r="B323" s="5" t="s">
        <v>957</v>
      </c>
      <c r="C323" s="5" t="s">
        <v>21</v>
      </c>
      <c r="K323" s="5">
        <v>200.0</v>
      </c>
      <c r="N323" s="9">
        <v>44640.0</v>
      </c>
    </row>
    <row r="324">
      <c r="A324" s="5">
        <v>323.0</v>
      </c>
      <c r="B324" s="5" t="s">
        <v>958</v>
      </c>
      <c r="C324" s="5" t="s">
        <v>21</v>
      </c>
      <c r="K324" s="5">
        <v>100.0</v>
      </c>
      <c r="N324" s="9">
        <v>45070.0</v>
      </c>
    </row>
    <row r="325">
      <c r="A325" s="5">
        <v>324.0</v>
      </c>
      <c r="B325" s="5" t="s">
        <v>960</v>
      </c>
      <c r="C325" s="5" t="s">
        <v>21</v>
      </c>
      <c r="K325" s="5">
        <v>70.0</v>
      </c>
      <c r="N325" s="9">
        <v>45081.0</v>
      </c>
    </row>
    <row r="326">
      <c r="A326" s="5">
        <v>325.0</v>
      </c>
      <c r="B326" s="5" t="s">
        <v>962</v>
      </c>
      <c r="C326" s="5" t="s">
        <v>21</v>
      </c>
      <c r="K326" s="5">
        <v>1000.0</v>
      </c>
      <c r="N326" s="9">
        <v>45178.0</v>
      </c>
    </row>
    <row r="327">
      <c r="A327" s="5">
        <v>326.0</v>
      </c>
      <c r="B327" s="5" t="s">
        <v>964</v>
      </c>
      <c r="C327" s="5" t="s">
        <v>21</v>
      </c>
      <c r="K327" s="5">
        <v>50.0</v>
      </c>
      <c r="N327" s="9">
        <v>44516.0</v>
      </c>
    </row>
    <row r="328">
      <c r="A328" s="5">
        <v>327.0</v>
      </c>
      <c r="B328" s="5" t="s">
        <v>965</v>
      </c>
      <c r="C328" s="5" t="s">
        <v>21</v>
      </c>
      <c r="K328" s="5">
        <v>2300.0</v>
      </c>
      <c r="N328" s="9">
        <v>43908.0</v>
      </c>
    </row>
    <row r="329">
      <c r="A329" s="5">
        <v>328.0</v>
      </c>
      <c r="B329" s="5" t="s">
        <v>966</v>
      </c>
      <c r="C329" s="5" t="s">
        <v>21</v>
      </c>
      <c r="K329" s="5">
        <v>2400.0</v>
      </c>
      <c r="N329" s="9">
        <v>43862.0</v>
      </c>
    </row>
    <row r="330">
      <c r="A330" s="5">
        <v>329.0</v>
      </c>
      <c r="B330" s="5" t="s">
        <v>967</v>
      </c>
      <c r="C330" s="5" t="s">
        <v>21</v>
      </c>
      <c r="K330" s="5">
        <v>3000.0</v>
      </c>
      <c r="N330" s="9">
        <v>44028.0</v>
      </c>
    </row>
    <row r="331">
      <c r="A331" s="5">
        <v>330.0</v>
      </c>
      <c r="B331" s="5" t="s">
        <v>969</v>
      </c>
      <c r="C331" s="5" t="s">
        <v>21</v>
      </c>
      <c r="K331" s="5">
        <v>1300.0</v>
      </c>
      <c r="N331" s="9">
        <v>44640.0</v>
      </c>
    </row>
    <row r="332">
      <c r="A332" s="5">
        <v>331.0</v>
      </c>
      <c r="B332" s="5" t="s">
        <v>970</v>
      </c>
      <c r="C332" s="5" t="s">
        <v>21</v>
      </c>
      <c r="K332" s="5">
        <v>250.0</v>
      </c>
      <c r="N332" s="9">
        <v>44697.0</v>
      </c>
    </row>
    <row r="333">
      <c r="A333" s="5">
        <v>332.0</v>
      </c>
      <c r="B333" s="5" t="s">
        <v>972</v>
      </c>
      <c r="C333" s="5" t="s">
        <v>21</v>
      </c>
      <c r="K333" s="5">
        <v>1100.0</v>
      </c>
      <c r="N333" s="9">
        <v>45393.0</v>
      </c>
    </row>
    <row r="334">
      <c r="A334" s="5">
        <v>333.0</v>
      </c>
      <c r="B334" s="5" t="s">
        <v>973</v>
      </c>
      <c r="C334" s="5" t="s">
        <v>21</v>
      </c>
      <c r="K334" s="5">
        <v>300.0</v>
      </c>
      <c r="N334" s="9">
        <v>44655.0</v>
      </c>
    </row>
    <row r="335">
      <c r="A335" s="5">
        <v>334.0</v>
      </c>
      <c r="B335" s="5" t="s">
        <v>975</v>
      </c>
      <c r="C335" s="5" t="s">
        <v>21</v>
      </c>
      <c r="K335" s="5">
        <v>700.0</v>
      </c>
      <c r="N335" s="9">
        <v>44234.0</v>
      </c>
    </row>
    <row r="336">
      <c r="A336" s="5">
        <v>335.0</v>
      </c>
      <c r="B336" s="5" t="s">
        <v>976</v>
      </c>
      <c r="C336" s="5" t="s">
        <v>21</v>
      </c>
      <c r="K336" s="5">
        <v>500.0</v>
      </c>
      <c r="N336" s="9">
        <v>43849.0</v>
      </c>
    </row>
    <row r="337">
      <c r="A337" s="5">
        <v>336.0</v>
      </c>
      <c r="B337" s="5" t="s">
        <v>978</v>
      </c>
      <c r="C337" s="5" t="s">
        <v>21</v>
      </c>
      <c r="K337" s="5">
        <v>450.0</v>
      </c>
      <c r="N337" s="9">
        <v>44723.0</v>
      </c>
    </row>
    <row r="338">
      <c r="A338" s="5">
        <v>337.0</v>
      </c>
      <c r="B338" s="5" t="s">
        <v>980</v>
      </c>
      <c r="C338" s="5" t="s">
        <v>21</v>
      </c>
      <c r="K338" s="5">
        <v>350.0</v>
      </c>
      <c r="N338" s="9">
        <v>44538.0</v>
      </c>
    </row>
    <row r="339">
      <c r="A339" s="5">
        <v>338.0</v>
      </c>
      <c r="B339" s="5" t="s">
        <v>981</v>
      </c>
      <c r="C339" s="5" t="s">
        <v>21</v>
      </c>
      <c r="K339" s="5">
        <v>1000.0</v>
      </c>
      <c r="N339" s="9">
        <v>44239.0</v>
      </c>
    </row>
    <row r="340">
      <c r="A340" s="5">
        <v>339.0</v>
      </c>
      <c r="B340" s="5" t="s">
        <v>983</v>
      </c>
      <c r="C340" s="5" t="s">
        <v>21</v>
      </c>
      <c r="K340" s="5">
        <v>150.0</v>
      </c>
      <c r="N340" s="9">
        <v>44593.0</v>
      </c>
    </row>
    <row r="341">
      <c r="A341" s="5">
        <v>340.0</v>
      </c>
      <c r="B341" s="5" t="s">
        <v>984</v>
      </c>
      <c r="C341" s="5" t="s">
        <v>21</v>
      </c>
      <c r="K341" s="5">
        <v>800.0</v>
      </c>
      <c r="N341" s="9">
        <v>43854.0</v>
      </c>
    </row>
    <row r="342">
      <c r="A342" s="5">
        <v>341.0</v>
      </c>
      <c r="B342" s="5" t="s">
        <v>985</v>
      </c>
      <c r="C342" s="5" t="s">
        <v>21</v>
      </c>
      <c r="K342" s="5">
        <v>900.0</v>
      </c>
      <c r="N342" s="9">
        <v>45220.0</v>
      </c>
    </row>
    <row r="343">
      <c r="A343" s="5">
        <v>342.0</v>
      </c>
      <c r="B343" s="5" t="s">
        <v>987</v>
      </c>
      <c r="C343" s="5" t="s">
        <v>21</v>
      </c>
      <c r="K343" s="5">
        <v>700.0</v>
      </c>
      <c r="N343" s="9">
        <v>44127.0</v>
      </c>
    </row>
    <row r="344">
      <c r="A344" s="5">
        <v>343.0</v>
      </c>
      <c r="B344" s="5" t="s">
        <v>988</v>
      </c>
      <c r="C344" s="5" t="s">
        <v>21</v>
      </c>
      <c r="N344" s="9">
        <v>44543.0</v>
      </c>
    </row>
    <row r="345">
      <c r="A345" s="5">
        <v>344.0</v>
      </c>
      <c r="B345" s="5" t="s">
        <v>990</v>
      </c>
      <c r="C345" s="5" t="s">
        <v>21</v>
      </c>
      <c r="K345" s="5">
        <v>50.0</v>
      </c>
      <c r="N345" s="9">
        <v>43929.0</v>
      </c>
    </row>
    <row r="346">
      <c r="A346" s="5">
        <v>345.0</v>
      </c>
      <c r="B346" s="5" t="s">
        <v>991</v>
      </c>
      <c r="C346" s="5" t="s">
        <v>21</v>
      </c>
      <c r="K346" s="5">
        <v>450.0</v>
      </c>
      <c r="N346" s="9">
        <v>43840.0</v>
      </c>
    </row>
    <row r="347">
      <c r="A347" s="5">
        <v>346.0</v>
      </c>
      <c r="B347" s="5" t="s">
        <v>993</v>
      </c>
      <c r="C347" s="5" t="s">
        <v>21</v>
      </c>
      <c r="K347" s="5">
        <v>600.0</v>
      </c>
      <c r="N347" s="9">
        <v>44294.0</v>
      </c>
    </row>
    <row r="348">
      <c r="A348" s="5">
        <v>347.0</v>
      </c>
      <c r="B348" s="5" t="s">
        <v>994</v>
      </c>
      <c r="C348" s="5" t="s">
        <v>21</v>
      </c>
      <c r="K348" s="5">
        <v>600.0</v>
      </c>
      <c r="N348" s="9">
        <v>43844.0</v>
      </c>
    </row>
    <row r="349">
      <c r="A349" s="5">
        <v>348.0</v>
      </c>
      <c r="B349" s="5" t="s">
        <v>997</v>
      </c>
      <c r="C349" s="5" t="s">
        <v>21</v>
      </c>
      <c r="K349" s="5">
        <v>10.0</v>
      </c>
      <c r="N349" s="9">
        <v>44955.0</v>
      </c>
    </row>
    <row r="350">
      <c r="A350" s="5">
        <v>349.0</v>
      </c>
      <c r="B350" s="5" t="s">
        <v>999</v>
      </c>
      <c r="C350" s="5" t="s">
        <v>21</v>
      </c>
      <c r="K350" s="5">
        <v>1500.0</v>
      </c>
      <c r="N350" s="9">
        <v>44396.0</v>
      </c>
    </row>
    <row r="351">
      <c r="A351" s="5">
        <v>350.0</v>
      </c>
      <c r="B351" s="5" t="s">
        <v>1001</v>
      </c>
      <c r="C351" s="5" t="s">
        <v>21</v>
      </c>
      <c r="K351" s="5">
        <v>200.0</v>
      </c>
      <c r="N351" s="9">
        <v>44677.0</v>
      </c>
    </row>
    <row r="352">
      <c r="A352" s="5">
        <v>351.0</v>
      </c>
      <c r="B352" s="5" t="s">
        <v>1003</v>
      </c>
      <c r="C352" s="5" t="s">
        <v>21</v>
      </c>
      <c r="K352" s="5">
        <v>2700.0</v>
      </c>
      <c r="N352" s="9">
        <v>44550.0</v>
      </c>
    </row>
    <row r="353">
      <c r="A353" s="5">
        <v>352.0</v>
      </c>
      <c r="B353" s="5" t="s">
        <v>1005</v>
      </c>
      <c r="C353" s="5" t="s">
        <v>21</v>
      </c>
      <c r="K353" s="5">
        <v>60.0</v>
      </c>
      <c r="N353" s="9">
        <v>44837.0</v>
      </c>
    </row>
    <row r="354">
      <c r="A354" s="5">
        <v>353.0</v>
      </c>
      <c r="B354" s="5" t="s">
        <v>1007</v>
      </c>
      <c r="C354" s="5" t="s">
        <v>21</v>
      </c>
      <c r="K354" s="5">
        <v>80.0</v>
      </c>
      <c r="N354" s="9">
        <v>45526.0</v>
      </c>
    </row>
    <row r="355">
      <c r="A355" s="5">
        <v>354.0</v>
      </c>
      <c r="B355" s="5" t="s">
        <v>1009</v>
      </c>
      <c r="C355" s="5" t="s">
        <v>21</v>
      </c>
      <c r="K355" s="5">
        <v>150.0</v>
      </c>
      <c r="N355" s="9">
        <v>43911.0</v>
      </c>
    </row>
    <row r="356">
      <c r="A356" s="5">
        <v>355.0</v>
      </c>
      <c r="B356" s="5" t="s">
        <v>1011</v>
      </c>
      <c r="C356" s="5" t="s">
        <v>21</v>
      </c>
      <c r="K356" s="5">
        <v>250.0</v>
      </c>
      <c r="N356" s="9">
        <v>43916.0</v>
      </c>
    </row>
    <row r="357">
      <c r="A357" s="5">
        <v>356.0</v>
      </c>
      <c r="B357" s="5" t="s">
        <v>1013</v>
      </c>
      <c r="C357" s="5" t="s">
        <v>21</v>
      </c>
      <c r="K357" s="5">
        <v>50.0</v>
      </c>
      <c r="N357" s="9">
        <v>45309.0</v>
      </c>
    </row>
    <row r="358">
      <c r="A358" s="5">
        <v>357.0</v>
      </c>
      <c r="B358" s="5" t="s">
        <v>1014</v>
      </c>
      <c r="C358" s="5" t="s">
        <v>21</v>
      </c>
      <c r="K358" s="5">
        <v>300.0</v>
      </c>
      <c r="N358" s="9">
        <v>43991.0</v>
      </c>
    </row>
    <row r="359">
      <c r="A359" s="5">
        <v>358.0</v>
      </c>
      <c r="B359" s="5" t="s">
        <v>1016</v>
      </c>
      <c r="C359" s="5" t="s">
        <v>21</v>
      </c>
      <c r="K359" s="5">
        <v>300.0</v>
      </c>
      <c r="N359" s="9">
        <v>44971.0</v>
      </c>
    </row>
    <row r="360">
      <c r="A360" s="5">
        <v>359.0</v>
      </c>
      <c r="B360" s="5" t="s">
        <v>1018</v>
      </c>
      <c r="C360" s="5" t="s">
        <v>21</v>
      </c>
      <c r="K360" s="5">
        <v>250.0</v>
      </c>
      <c r="N360" s="9">
        <v>44191.0</v>
      </c>
    </row>
    <row r="361">
      <c r="A361" s="5">
        <v>360.0</v>
      </c>
      <c r="B361" s="5" t="s">
        <v>1020</v>
      </c>
      <c r="C361" s="5" t="s">
        <v>21</v>
      </c>
      <c r="K361" s="5">
        <v>200.0</v>
      </c>
      <c r="N361" s="9">
        <v>45347.0</v>
      </c>
    </row>
    <row r="362">
      <c r="A362" s="5">
        <v>361.0</v>
      </c>
      <c r="B362" s="5" t="s">
        <v>1022</v>
      </c>
      <c r="C362" s="5" t="s">
        <v>21</v>
      </c>
      <c r="K362" s="5">
        <v>450.0</v>
      </c>
      <c r="N362" s="9">
        <v>45144.0</v>
      </c>
    </row>
    <row r="363">
      <c r="A363" s="5">
        <v>362.0</v>
      </c>
      <c r="B363" s="5" t="s">
        <v>1023</v>
      </c>
      <c r="C363" s="5" t="s">
        <v>21</v>
      </c>
      <c r="K363" s="5">
        <v>400.0</v>
      </c>
      <c r="N363" s="9">
        <v>44666.0</v>
      </c>
    </row>
    <row r="364">
      <c r="A364" s="5">
        <v>363.0</v>
      </c>
      <c r="B364" s="5" t="s">
        <v>1024</v>
      </c>
      <c r="C364" s="5" t="s">
        <v>21</v>
      </c>
      <c r="K364" s="5">
        <v>1200.0</v>
      </c>
      <c r="N364" s="9">
        <v>44531.0</v>
      </c>
    </row>
    <row r="365">
      <c r="A365" s="5">
        <v>364.0</v>
      </c>
      <c r="B365" s="5" t="s">
        <v>1025</v>
      </c>
      <c r="C365" s="5" t="s">
        <v>21</v>
      </c>
      <c r="K365" s="5">
        <v>450.0</v>
      </c>
      <c r="N365" s="9">
        <v>44817.0</v>
      </c>
    </row>
    <row r="366">
      <c r="A366" s="5">
        <v>365.0</v>
      </c>
      <c r="B366" s="5" t="s">
        <v>1026</v>
      </c>
      <c r="C366" s="5" t="s">
        <v>21</v>
      </c>
      <c r="K366" s="5">
        <v>800.0</v>
      </c>
      <c r="N366" s="9">
        <v>43843.0</v>
      </c>
    </row>
    <row r="367">
      <c r="A367" s="5">
        <v>366.0</v>
      </c>
      <c r="B367" s="5" t="s">
        <v>1027</v>
      </c>
      <c r="C367" s="5" t="s">
        <v>21</v>
      </c>
      <c r="K367" s="5">
        <v>300.0</v>
      </c>
      <c r="N367" s="9">
        <v>44561.0</v>
      </c>
    </row>
    <row r="368">
      <c r="A368" s="5">
        <v>367.0</v>
      </c>
      <c r="B368" s="5" t="s">
        <v>1028</v>
      </c>
      <c r="C368" s="5" t="s">
        <v>21</v>
      </c>
      <c r="K368" s="5">
        <v>250.0</v>
      </c>
      <c r="N368" s="9">
        <v>45365.0</v>
      </c>
    </row>
    <row r="369">
      <c r="A369" s="5">
        <v>368.0</v>
      </c>
      <c r="B369" s="5" t="s">
        <v>1029</v>
      </c>
      <c r="C369" s="5" t="s">
        <v>21</v>
      </c>
      <c r="K369" s="5">
        <v>700.0</v>
      </c>
      <c r="N369" s="9">
        <v>44649.0</v>
      </c>
    </row>
    <row r="370">
      <c r="A370" s="5">
        <v>369.0</v>
      </c>
      <c r="B370" s="5" t="s">
        <v>1030</v>
      </c>
      <c r="C370" s="5" t="s">
        <v>21</v>
      </c>
      <c r="K370" s="5">
        <v>450.0</v>
      </c>
      <c r="N370" s="9">
        <v>44348.0</v>
      </c>
    </row>
    <row r="371">
      <c r="A371" s="5">
        <v>370.0</v>
      </c>
      <c r="B371" s="5" t="s">
        <v>1031</v>
      </c>
      <c r="C371" s="5" t="s">
        <v>21</v>
      </c>
      <c r="K371" s="5">
        <v>3700.0</v>
      </c>
      <c r="N371" s="9">
        <v>44032.0</v>
      </c>
    </row>
    <row r="372">
      <c r="A372" s="5">
        <v>371.0</v>
      </c>
      <c r="B372" s="5" t="s">
        <v>1032</v>
      </c>
      <c r="C372" s="5" t="s">
        <v>21</v>
      </c>
      <c r="K372" s="5">
        <v>700.0</v>
      </c>
      <c r="N372" s="9">
        <v>43857.0</v>
      </c>
    </row>
    <row r="373">
      <c r="A373" s="5">
        <v>372.0</v>
      </c>
      <c r="B373" s="5" t="s">
        <v>1033</v>
      </c>
      <c r="C373" s="5" t="s">
        <v>21</v>
      </c>
      <c r="K373" s="5">
        <v>40.0</v>
      </c>
      <c r="N373" s="9">
        <v>44849.0</v>
      </c>
    </row>
    <row r="374">
      <c r="A374" s="5">
        <v>373.0</v>
      </c>
      <c r="B374" s="5" t="s">
        <v>1034</v>
      </c>
      <c r="C374" s="5" t="s">
        <v>21</v>
      </c>
      <c r="K374" s="5">
        <v>200.0</v>
      </c>
      <c r="N374" s="9">
        <v>44523.0</v>
      </c>
    </row>
    <row r="375">
      <c r="A375" s="5">
        <v>374.0</v>
      </c>
      <c r="B375" s="5" t="s">
        <v>1035</v>
      </c>
      <c r="C375" s="5" t="s">
        <v>21</v>
      </c>
      <c r="K375" s="5">
        <v>90.0</v>
      </c>
      <c r="N375" s="9">
        <v>44565.0</v>
      </c>
    </row>
    <row r="376">
      <c r="A376" s="5">
        <v>375.0</v>
      </c>
      <c r="B376" s="5" t="s">
        <v>1036</v>
      </c>
      <c r="C376" s="5" t="s">
        <v>21</v>
      </c>
      <c r="K376" s="5">
        <v>60.0</v>
      </c>
      <c r="N376" s="9">
        <v>45142.0</v>
      </c>
    </row>
    <row r="377">
      <c r="A377" s="5">
        <v>376.0</v>
      </c>
      <c r="B377" s="5" t="s">
        <v>1037</v>
      </c>
      <c r="C377" s="5" t="s">
        <v>21</v>
      </c>
      <c r="K377" s="5">
        <v>50.0</v>
      </c>
      <c r="N377" s="9">
        <v>44921.0</v>
      </c>
    </row>
    <row r="378">
      <c r="A378" s="5">
        <v>377.0</v>
      </c>
      <c r="B378" s="5" t="s">
        <v>1038</v>
      </c>
      <c r="C378" s="5" t="s">
        <v>21</v>
      </c>
      <c r="K378" s="5">
        <v>90.0</v>
      </c>
      <c r="N378" s="9">
        <v>44732.0</v>
      </c>
    </row>
    <row r="379">
      <c r="A379" s="5">
        <v>378.0</v>
      </c>
      <c r="B379" s="5" t="s">
        <v>1039</v>
      </c>
      <c r="C379" s="5" t="s">
        <v>21</v>
      </c>
      <c r="K379" s="5">
        <v>250.0</v>
      </c>
      <c r="N379" s="9">
        <v>44544.0</v>
      </c>
    </row>
    <row r="380">
      <c r="A380" s="5">
        <v>379.0</v>
      </c>
      <c r="B380" s="5" t="s">
        <v>1040</v>
      </c>
      <c r="C380" s="5" t="s">
        <v>21</v>
      </c>
      <c r="K380" s="5">
        <v>90.0</v>
      </c>
      <c r="N380" s="9">
        <v>44598.0</v>
      </c>
    </row>
    <row r="381">
      <c r="A381" s="5">
        <v>380.0</v>
      </c>
      <c r="B381" s="5" t="s">
        <v>1041</v>
      </c>
      <c r="C381" s="5" t="s">
        <v>21</v>
      </c>
      <c r="K381" s="5">
        <v>200.0</v>
      </c>
      <c r="N381" s="9">
        <v>44340.0</v>
      </c>
    </row>
    <row r="382">
      <c r="A382" s="5">
        <v>381.0</v>
      </c>
      <c r="B382" s="5" t="s">
        <v>1042</v>
      </c>
      <c r="C382" s="5" t="s">
        <v>21</v>
      </c>
      <c r="K382" s="5">
        <v>1300.0</v>
      </c>
      <c r="N382" s="9">
        <v>43852.0</v>
      </c>
    </row>
    <row r="383">
      <c r="A383" s="5">
        <v>382.0</v>
      </c>
      <c r="B383" s="5" t="s">
        <v>1043</v>
      </c>
      <c r="C383" s="5" t="s">
        <v>21</v>
      </c>
      <c r="K383" s="5">
        <v>80.0</v>
      </c>
      <c r="N383" s="9">
        <v>44041.0</v>
      </c>
    </row>
    <row r="384">
      <c r="A384" s="5">
        <v>383.0</v>
      </c>
      <c r="B384" s="5" t="s">
        <v>1044</v>
      </c>
      <c r="C384" s="5" t="s">
        <v>21</v>
      </c>
      <c r="K384" s="5">
        <v>200.0</v>
      </c>
      <c r="N384" s="9">
        <v>44528.0</v>
      </c>
    </row>
    <row r="385">
      <c r="A385" s="5">
        <v>384.0</v>
      </c>
      <c r="B385" s="5" t="s">
        <v>1045</v>
      </c>
      <c r="C385" s="5" t="s">
        <v>21</v>
      </c>
      <c r="K385" s="5">
        <v>150.0</v>
      </c>
      <c r="N385" s="9">
        <v>45324.0</v>
      </c>
    </row>
    <row r="386">
      <c r="A386" s="5">
        <v>385.0</v>
      </c>
      <c r="B386" s="5" t="s">
        <v>1046</v>
      </c>
      <c r="C386" s="5" t="s">
        <v>21</v>
      </c>
      <c r="K386" s="5">
        <v>1000.0</v>
      </c>
      <c r="N386" s="9">
        <v>44545.0</v>
      </c>
    </row>
    <row r="387">
      <c r="A387" s="5">
        <v>386.0</v>
      </c>
      <c r="B387" s="5" t="s">
        <v>1047</v>
      </c>
      <c r="C387" s="5" t="s">
        <v>21</v>
      </c>
      <c r="K387" s="5">
        <v>150.0</v>
      </c>
      <c r="N387" s="9">
        <v>44346.0</v>
      </c>
    </row>
    <row r="388">
      <c r="A388" s="5">
        <v>387.0</v>
      </c>
      <c r="B388" s="5" t="s">
        <v>1048</v>
      </c>
      <c r="C388" s="5" t="s">
        <v>21</v>
      </c>
      <c r="K388" s="5">
        <v>200.0</v>
      </c>
      <c r="N388" s="9">
        <v>43871.0</v>
      </c>
    </row>
    <row r="389">
      <c r="A389" s="5">
        <v>388.0</v>
      </c>
      <c r="B389" s="5" t="s">
        <v>1049</v>
      </c>
      <c r="C389" s="5" t="s">
        <v>21</v>
      </c>
      <c r="K389" s="5">
        <v>300.0</v>
      </c>
      <c r="N389" s="9">
        <v>44340.0</v>
      </c>
    </row>
    <row r="390">
      <c r="A390" s="5">
        <v>389.0</v>
      </c>
      <c r="B390" s="5" t="s">
        <v>1050</v>
      </c>
      <c r="C390" s="5" t="s">
        <v>21</v>
      </c>
      <c r="K390" s="5">
        <v>200.0</v>
      </c>
      <c r="N390" s="9">
        <v>44545.0</v>
      </c>
    </row>
    <row r="391">
      <c r="A391" s="5">
        <v>390.0</v>
      </c>
      <c r="B391" s="5" t="s">
        <v>1051</v>
      </c>
      <c r="C391" s="5" t="s">
        <v>21</v>
      </c>
      <c r="K391" s="5">
        <v>50.0</v>
      </c>
      <c r="N391" s="9">
        <v>44990.0</v>
      </c>
    </row>
    <row r="392">
      <c r="A392" s="5">
        <v>391.0</v>
      </c>
      <c r="B392" s="5" t="s">
        <v>1052</v>
      </c>
      <c r="C392" s="5" t="s">
        <v>21</v>
      </c>
      <c r="K392" s="5">
        <v>300.0</v>
      </c>
      <c r="N392" s="9">
        <v>44218.0</v>
      </c>
    </row>
    <row r="393">
      <c r="A393" s="5">
        <v>392.0</v>
      </c>
      <c r="B393" s="5" t="s">
        <v>1053</v>
      </c>
      <c r="C393" s="5" t="s">
        <v>21</v>
      </c>
      <c r="K393" s="5">
        <v>10.0</v>
      </c>
      <c r="N393" s="9">
        <v>45317.0</v>
      </c>
    </row>
    <row r="394">
      <c r="A394" s="5">
        <v>393.0</v>
      </c>
      <c r="B394" s="5" t="s">
        <v>34</v>
      </c>
      <c r="C394" s="5" t="s">
        <v>21</v>
      </c>
      <c r="K394" s="5">
        <v>20.0</v>
      </c>
      <c r="N394" s="9">
        <v>45327.0</v>
      </c>
    </row>
    <row r="395">
      <c r="A395" s="5">
        <v>394.0</v>
      </c>
      <c r="B395" s="5" t="s">
        <v>1054</v>
      </c>
      <c r="C395" s="5" t="s">
        <v>21</v>
      </c>
      <c r="K395" s="5">
        <v>300.0</v>
      </c>
      <c r="N395" s="9">
        <v>44765.0</v>
      </c>
    </row>
    <row r="396">
      <c r="A396" s="5">
        <v>395.0</v>
      </c>
      <c r="B396" s="5" t="s">
        <v>1055</v>
      </c>
      <c r="C396" s="5" t="s">
        <v>21</v>
      </c>
      <c r="K396" s="5">
        <v>150.0</v>
      </c>
      <c r="N396" s="9">
        <v>44549.0</v>
      </c>
    </row>
    <row r="397">
      <c r="A397" s="5">
        <v>396.0</v>
      </c>
      <c r="B397" s="5" t="s">
        <v>1056</v>
      </c>
      <c r="C397" s="5" t="s">
        <v>21</v>
      </c>
      <c r="K397" s="5">
        <v>350.0</v>
      </c>
      <c r="N397" s="9">
        <v>44531.0</v>
      </c>
    </row>
    <row r="398">
      <c r="A398" s="5">
        <v>397.0</v>
      </c>
      <c r="B398" s="5" t="s">
        <v>1057</v>
      </c>
      <c r="C398" s="5" t="s">
        <v>21</v>
      </c>
      <c r="K398" s="5">
        <v>80.0</v>
      </c>
      <c r="N398" s="9">
        <v>44981.0</v>
      </c>
    </row>
    <row r="399">
      <c r="A399" s="5">
        <v>398.0</v>
      </c>
      <c r="B399" s="5" t="s">
        <v>1058</v>
      </c>
      <c r="C399" s="5" t="s">
        <v>21</v>
      </c>
      <c r="K399" s="5">
        <v>600.0</v>
      </c>
      <c r="N399" s="9">
        <v>44158.0</v>
      </c>
    </row>
    <row r="400">
      <c r="A400" s="5">
        <v>399.0</v>
      </c>
      <c r="B400" s="5" t="s">
        <v>1059</v>
      </c>
      <c r="C400" s="5" t="s">
        <v>21</v>
      </c>
      <c r="K400" s="5">
        <v>350.0</v>
      </c>
      <c r="N400" s="9">
        <v>44049.0</v>
      </c>
    </row>
    <row r="401">
      <c r="A401" s="5">
        <v>400.0</v>
      </c>
      <c r="B401" s="5" t="s">
        <v>1060</v>
      </c>
      <c r="C401" s="5" t="s">
        <v>21</v>
      </c>
      <c r="K401" s="5">
        <v>30.0</v>
      </c>
      <c r="N401" s="9">
        <v>44507.0</v>
      </c>
    </row>
    <row r="402">
      <c r="A402" s="5">
        <v>401.0</v>
      </c>
      <c r="B402" s="5" t="s">
        <v>1061</v>
      </c>
      <c r="C402" s="5" t="s">
        <v>21</v>
      </c>
      <c r="K402" s="5">
        <v>250.0</v>
      </c>
      <c r="N402" s="9">
        <v>43857.0</v>
      </c>
    </row>
    <row r="403">
      <c r="A403" s="5">
        <v>402.0</v>
      </c>
      <c r="B403" s="5" t="s">
        <v>110</v>
      </c>
      <c r="C403" s="5" t="s">
        <v>21</v>
      </c>
      <c r="K403" s="5">
        <v>600.0</v>
      </c>
      <c r="N403" s="9">
        <v>44579.0</v>
      </c>
    </row>
    <row r="404">
      <c r="A404" s="5">
        <v>403.0</v>
      </c>
      <c r="B404" s="5" t="s">
        <v>1062</v>
      </c>
      <c r="C404" s="5" t="s">
        <v>21</v>
      </c>
      <c r="K404" s="5">
        <v>150.0</v>
      </c>
      <c r="N404" s="9">
        <v>44529.0</v>
      </c>
    </row>
    <row r="405">
      <c r="A405" s="5">
        <v>404.0</v>
      </c>
      <c r="B405" s="5" t="s">
        <v>1063</v>
      </c>
      <c r="C405" s="5" t="s">
        <v>21</v>
      </c>
      <c r="K405" s="5">
        <v>900.0</v>
      </c>
      <c r="N405" s="9">
        <v>43930.0</v>
      </c>
    </row>
    <row r="406">
      <c r="A406" s="5">
        <v>405.0</v>
      </c>
      <c r="B406" s="5" t="s">
        <v>1064</v>
      </c>
      <c r="C406" s="5" t="s">
        <v>21</v>
      </c>
      <c r="N406" s="9">
        <v>44524.0</v>
      </c>
    </row>
    <row r="407">
      <c r="A407" s="5">
        <v>406.0</v>
      </c>
      <c r="B407" s="5" t="s">
        <v>1065</v>
      </c>
      <c r="C407" s="5" t="s">
        <v>21</v>
      </c>
      <c r="K407" s="5">
        <v>150.0</v>
      </c>
      <c r="N407" s="9">
        <v>44026.0</v>
      </c>
    </row>
    <row r="408">
      <c r="A408" s="5">
        <v>407.0</v>
      </c>
      <c r="B408" s="5" t="s">
        <v>1066</v>
      </c>
      <c r="C408" s="5" t="s">
        <v>21</v>
      </c>
      <c r="K408" s="5">
        <v>1400.0</v>
      </c>
      <c r="N408" s="9">
        <v>44534.0</v>
      </c>
    </row>
    <row r="409">
      <c r="A409" s="5">
        <v>408.0</v>
      </c>
      <c r="B409" s="5" t="s">
        <v>1067</v>
      </c>
      <c r="C409" s="5" t="s">
        <v>21</v>
      </c>
      <c r="K409" s="5">
        <v>500.0</v>
      </c>
      <c r="N409" s="9">
        <v>44582.0</v>
      </c>
    </row>
    <row r="410">
      <c r="A410" s="5">
        <v>409.0</v>
      </c>
      <c r="B410" s="5" t="s">
        <v>1068</v>
      </c>
      <c r="C410" s="5" t="s">
        <v>21</v>
      </c>
      <c r="K410" s="5">
        <v>50.0</v>
      </c>
      <c r="N410" s="9">
        <v>43908.0</v>
      </c>
    </row>
    <row r="411">
      <c r="A411" s="5">
        <v>410.0</v>
      </c>
      <c r="B411" s="5" t="s">
        <v>1069</v>
      </c>
      <c r="C411" s="5" t="s">
        <v>21</v>
      </c>
      <c r="K411" s="5">
        <v>1700.0</v>
      </c>
      <c r="N411" s="9">
        <v>44085.0</v>
      </c>
    </row>
    <row r="412">
      <c r="A412" s="5">
        <v>411.0</v>
      </c>
      <c r="B412" s="5" t="s">
        <v>1070</v>
      </c>
      <c r="C412" s="5" t="s">
        <v>21</v>
      </c>
      <c r="K412" s="5">
        <v>300.0</v>
      </c>
      <c r="N412" s="9">
        <v>43917.0</v>
      </c>
    </row>
    <row r="413">
      <c r="A413" s="5">
        <v>412.0</v>
      </c>
      <c r="B413" s="5" t="s">
        <v>1071</v>
      </c>
      <c r="C413" s="5" t="s">
        <v>21</v>
      </c>
      <c r="K413" s="5">
        <v>200.0</v>
      </c>
      <c r="N413" s="9">
        <v>44562.0</v>
      </c>
    </row>
    <row r="414">
      <c r="A414" s="5">
        <v>413.0</v>
      </c>
      <c r="B414" s="5" t="s">
        <v>1072</v>
      </c>
      <c r="C414" s="5" t="s">
        <v>21</v>
      </c>
      <c r="K414" s="5">
        <v>40.0</v>
      </c>
      <c r="N414" s="9">
        <v>44537.0</v>
      </c>
    </row>
    <row r="415">
      <c r="A415" s="5">
        <v>414.0</v>
      </c>
      <c r="B415" s="5" t="s">
        <v>1073</v>
      </c>
      <c r="C415" s="5" t="s">
        <v>21</v>
      </c>
      <c r="K415" s="5">
        <v>150.0</v>
      </c>
      <c r="N415" s="9">
        <v>44328.0</v>
      </c>
    </row>
    <row r="416">
      <c r="A416" s="5">
        <v>415.0</v>
      </c>
      <c r="B416" s="5" t="s">
        <v>1074</v>
      </c>
      <c r="C416" s="5" t="s">
        <v>21</v>
      </c>
      <c r="K416" s="5">
        <v>150.0</v>
      </c>
      <c r="N416" s="9">
        <v>45041.0</v>
      </c>
    </row>
    <row r="417">
      <c r="A417" s="5">
        <v>416.0</v>
      </c>
      <c r="B417" s="5" t="s">
        <v>1075</v>
      </c>
      <c r="C417" s="5" t="s">
        <v>21</v>
      </c>
      <c r="K417" s="5">
        <v>450.0</v>
      </c>
      <c r="N417" s="9">
        <v>43894.0</v>
      </c>
    </row>
    <row r="418">
      <c r="A418" s="5">
        <v>417.0</v>
      </c>
      <c r="B418" s="5" t="s">
        <v>1076</v>
      </c>
      <c r="C418" s="5" t="s">
        <v>21</v>
      </c>
      <c r="K418" s="5">
        <v>250.0</v>
      </c>
      <c r="N418" s="9">
        <v>44928.0</v>
      </c>
    </row>
    <row r="419">
      <c r="A419" s="5">
        <v>418.0</v>
      </c>
      <c r="B419" s="5" t="s">
        <v>1077</v>
      </c>
      <c r="C419" s="5" t="s">
        <v>21</v>
      </c>
      <c r="K419" s="5">
        <v>150.0</v>
      </c>
      <c r="N419" s="9">
        <v>45150.0</v>
      </c>
    </row>
    <row r="420">
      <c r="A420" s="5">
        <v>419.0</v>
      </c>
      <c r="B420" s="5" t="s">
        <v>1078</v>
      </c>
      <c r="C420" s="5" t="s">
        <v>21</v>
      </c>
      <c r="K420" s="5">
        <v>20.0</v>
      </c>
      <c r="N420" s="9">
        <v>45114.0</v>
      </c>
    </row>
    <row r="421">
      <c r="A421" s="5">
        <v>420.0</v>
      </c>
      <c r="B421" s="5" t="s">
        <v>1079</v>
      </c>
      <c r="C421" s="5" t="s">
        <v>21</v>
      </c>
      <c r="K421" s="5">
        <v>40.0</v>
      </c>
      <c r="N421" s="9">
        <v>45534.0</v>
      </c>
    </row>
    <row r="422">
      <c r="A422" s="5">
        <v>421.0</v>
      </c>
      <c r="B422" s="5" t="s">
        <v>1080</v>
      </c>
      <c r="C422" s="5" t="s">
        <v>21</v>
      </c>
      <c r="K422" s="5">
        <v>700.0</v>
      </c>
      <c r="N422" s="9">
        <v>43936.0</v>
      </c>
    </row>
    <row r="423">
      <c r="A423" s="5">
        <v>422.0</v>
      </c>
      <c r="B423" s="5" t="s">
        <v>1081</v>
      </c>
      <c r="C423" s="5" t="s">
        <v>21</v>
      </c>
      <c r="K423" s="5">
        <v>300.0</v>
      </c>
      <c r="N423" s="9">
        <v>44568.0</v>
      </c>
    </row>
    <row r="424">
      <c r="A424" s="5">
        <v>423.0</v>
      </c>
      <c r="B424" s="5" t="s">
        <v>1082</v>
      </c>
      <c r="C424" s="5" t="s">
        <v>21</v>
      </c>
      <c r="N424" s="9">
        <v>44585.0</v>
      </c>
    </row>
    <row r="425">
      <c r="A425" s="5">
        <v>424.0</v>
      </c>
      <c r="B425" s="5" t="s">
        <v>1083</v>
      </c>
      <c r="C425" s="5" t="s">
        <v>21</v>
      </c>
      <c r="K425" s="5">
        <v>250.0</v>
      </c>
      <c r="N425" s="9">
        <v>45739.0</v>
      </c>
    </row>
    <row r="426">
      <c r="A426" s="5">
        <v>425.0</v>
      </c>
      <c r="B426" s="5" t="s">
        <v>1084</v>
      </c>
      <c r="C426" s="5" t="s">
        <v>21</v>
      </c>
      <c r="K426" s="5">
        <v>150.0</v>
      </c>
      <c r="N426" s="9">
        <v>44863.0</v>
      </c>
    </row>
    <row r="427">
      <c r="A427" s="5">
        <v>426.0</v>
      </c>
      <c r="B427" s="5" t="s">
        <v>1085</v>
      </c>
      <c r="C427" s="5" t="s">
        <v>21</v>
      </c>
      <c r="K427" s="5">
        <v>500.0</v>
      </c>
      <c r="N427" s="9">
        <v>44149.0</v>
      </c>
    </row>
    <row r="428">
      <c r="A428" s="5">
        <v>427.0</v>
      </c>
      <c r="B428" s="5" t="s">
        <v>1086</v>
      </c>
      <c r="C428" s="5" t="s">
        <v>21</v>
      </c>
      <c r="K428" s="5">
        <v>900.0</v>
      </c>
      <c r="N428" s="9">
        <v>46093.0</v>
      </c>
    </row>
    <row r="429">
      <c r="A429" s="5">
        <v>428.0</v>
      </c>
      <c r="B429" s="5" t="s">
        <v>1087</v>
      </c>
      <c r="C429" s="5" t="s">
        <v>21</v>
      </c>
      <c r="K429" s="5">
        <v>450.0</v>
      </c>
      <c r="N429" s="9">
        <v>44017.0</v>
      </c>
    </row>
    <row r="430">
      <c r="A430" s="5">
        <v>429.0</v>
      </c>
      <c r="B430" s="5" t="s">
        <v>1088</v>
      </c>
      <c r="C430" s="5" t="s">
        <v>21</v>
      </c>
      <c r="K430" s="5">
        <v>7100.0</v>
      </c>
      <c r="N430" s="9">
        <v>43895.0</v>
      </c>
    </row>
    <row r="431">
      <c r="A431" s="5">
        <v>430.0</v>
      </c>
      <c r="B431" s="5" t="s">
        <v>1089</v>
      </c>
      <c r="C431" s="5" t="s">
        <v>21</v>
      </c>
      <c r="K431" s="5">
        <v>450.0</v>
      </c>
      <c r="N431" s="9">
        <v>44664.0</v>
      </c>
    </row>
    <row r="432">
      <c r="A432" s="5">
        <v>431.0</v>
      </c>
      <c r="B432" s="5" t="s">
        <v>113</v>
      </c>
      <c r="C432" s="5" t="s">
        <v>21</v>
      </c>
      <c r="K432" s="5">
        <v>3700.0</v>
      </c>
      <c r="N432" s="9">
        <v>44223.0</v>
      </c>
    </row>
    <row r="433">
      <c r="A433" s="5">
        <v>432.0</v>
      </c>
      <c r="B433" s="5" t="s">
        <v>1090</v>
      </c>
      <c r="C433" s="5" t="s">
        <v>21</v>
      </c>
      <c r="K433" s="5">
        <v>3400.0</v>
      </c>
      <c r="N433" s="9">
        <v>44497.0</v>
      </c>
      <c r="O433" s="5" t="s">
        <v>69</v>
      </c>
      <c r="P433" s="5" t="s">
        <v>26</v>
      </c>
      <c r="S433" s="5" t="s">
        <v>40</v>
      </c>
    </row>
    <row r="434">
      <c r="A434" s="5">
        <v>433.0</v>
      </c>
      <c r="B434" s="5" t="s">
        <v>1091</v>
      </c>
      <c r="C434" s="5" t="s">
        <v>21</v>
      </c>
      <c r="K434" s="5">
        <v>400.0</v>
      </c>
      <c r="N434" s="9">
        <v>44591.0</v>
      </c>
    </row>
    <row r="435">
      <c r="A435" s="5">
        <v>434.0</v>
      </c>
      <c r="B435" s="5" t="s">
        <v>1092</v>
      </c>
      <c r="C435" s="5" t="s">
        <v>21</v>
      </c>
      <c r="N435" s="9">
        <v>43845.0</v>
      </c>
    </row>
    <row r="436">
      <c r="A436" s="5">
        <v>435.0</v>
      </c>
      <c r="B436" s="5" t="s">
        <v>1093</v>
      </c>
      <c r="C436" s="5" t="s">
        <v>21</v>
      </c>
      <c r="K436" s="5">
        <v>8500.0</v>
      </c>
      <c r="N436" s="9">
        <v>43866.0</v>
      </c>
    </row>
    <row r="437">
      <c r="A437" s="5">
        <v>436.0</v>
      </c>
      <c r="B437" s="5" t="s">
        <v>1094</v>
      </c>
      <c r="C437" s="5" t="s">
        <v>21</v>
      </c>
      <c r="K437" s="5">
        <v>11000.0</v>
      </c>
      <c r="N437" s="9">
        <v>44071.0</v>
      </c>
    </row>
    <row r="438">
      <c r="A438" s="5">
        <v>437.0</v>
      </c>
      <c r="B438" s="5" t="s">
        <v>1095</v>
      </c>
      <c r="C438" s="5" t="s">
        <v>21</v>
      </c>
      <c r="K438" s="5">
        <v>100.0</v>
      </c>
      <c r="N438" s="9">
        <v>44738.0</v>
      </c>
    </row>
    <row r="439">
      <c r="A439" s="5">
        <v>438.0</v>
      </c>
      <c r="B439" s="5" t="s">
        <v>1096</v>
      </c>
      <c r="C439" s="5" t="s">
        <v>21</v>
      </c>
      <c r="K439" s="5">
        <v>1100.0</v>
      </c>
      <c r="N439" s="9">
        <v>44266.0</v>
      </c>
    </row>
    <row r="440">
      <c r="A440" s="5">
        <v>439.0</v>
      </c>
      <c r="B440" s="5" t="s">
        <v>1097</v>
      </c>
      <c r="C440" s="5" t="s">
        <v>21</v>
      </c>
      <c r="K440" s="5">
        <v>90.0</v>
      </c>
      <c r="N440" s="9">
        <v>45447.0</v>
      </c>
    </row>
    <row r="441">
      <c r="A441" s="5">
        <v>440.0</v>
      </c>
      <c r="B441" s="5" t="s">
        <v>1098</v>
      </c>
      <c r="C441" s="5" t="s">
        <v>21</v>
      </c>
      <c r="K441" s="5">
        <v>30.0</v>
      </c>
      <c r="N441" s="9">
        <v>44590.0</v>
      </c>
    </row>
    <row r="442">
      <c r="A442" s="5">
        <v>441.0</v>
      </c>
      <c r="B442" s="5" t="s">
        <v>1099</v>
      </c>
      <c r="C442" s="5" t="s">
        <v>21</v>
      </c>
      <c r="K442" s="5">
        <v>18000.0</v>
      </c>
      <c r="N442" s="9">
        <v>43876.0</v>
      </c>
    </row>
    <row r="443">
      <c r="A443" s="5">
        <v>442.0</v>
      </c>
      <c r="B443" s="5" t="s">
        <v>1100</v>
      </c>
      <c r="C443" s="5" t="s">
        <v>21</v>
      </c>
      <c r="K443" s="5">
        <v>300.0</v>
      </c>
      <c r="N443" s="9">
        <v>44364.0</v>
      </c>
    </row>
    <row r="444">
      <c r="A444" s="5">
        <v>443.0</v>
      </c>
      <c r="B444" s="5" t="s">
        <v>1101</v>
      </c>
      <c r="C444" s="5" t="s">
        <v>21</v>
      </c>
      <c r="K444" s="5">
        <v>400.0</v>
      </c>
      <c r="N444" s="9">
        <v>44558.0</v>
      </c>
    </row>
    <row r="445">
      <c r="A445" s="5">
        <v>444.0</v>
      </c>
      <c r="B445" s="5" t="s">
        <v>1102</v>
      </c>
      <c r="C445" s="5" t="s">
        <v>21</v>
      </c>
      <c r="N445" s="9">
        <v>44528.0</v>
      </c>
    </row>
    <row r="446">
      <c r="A446" s="5">
        <v>445.0</v>
      </c>
      <c r="B446" s="5" t="s">
        <v>1103</v>
      </c>
      <c r="C446" s="5" t="s">
        <v>21</v>
      </c>
      <c r="N446" s="9">
        <v>44698.0</v>
      </c>
    </row>
    <row r="447">
      <c r="A447" s="5">
        <v>446.0</v>
      </c>
      <c r="B447" s="5" t="s">
        <v>1104</v>
      </c>
      <c r="C447" s="5" t="s">
        <v>21</v>
      </c>
      <c r="K447" s="5">
        <v>20.0</v>
      </c>
      <c r="N447" s="9">
        <v>44202.0</v>
      </c>
    </row>
    <row r="448">
      <c r="A448" s="5">
        <v>447.0</v>
      </c>
      <c r="B448" s="5" t="s">
        <v>1105</v>
      </c>
      <c r="C448" s="5" t="s">
        <v>21</v>
      </c>
      <c r="K448" s="5">
        <v>200.0</v>
      </c>
      <c r="N448" s="9">
        <v>44582.0</v>
      </c>
    </row>
    <row r="449">
      <c r="A449" s="5">
        <v>448.0</v>
      </c>
      <c r="B449" s="5" t="s">
        <v>1106</v>
      </c>
      <c r="C449" s="5" t="s">
        <v>21</v>
      </c>
      <c r="K449" s="5">
        <v>100.0</v>
      </c>
      <c r="N449" s="9">
        <v>44625.0</v>
      </c>
    </row>
    <row r="450">
      <c r="A450" s="5">
        <v>449.0</v>
      </c>
      <c r="B450" s="5" t="s">
        <v>1107</v>
      </c>
      <c r="C450" s="5" t="s">
        <v>21</v>
      </c>
      <c r="K450" s="5">
        <v>700.0</v>
      </c>
      <c r="N450" s="9">
        <v>44343.0</v>
      </c>
    </row>
    <row r="451">
      <c r="A451" s="5">
        <v>450.0</v>
      </c>
      <c r="B451" s="5" t="s">
        <v>1108</v>
      </c>
      <c r="C451" s="5" t="s">
        <v>21</v>
      </c>
      <c r="K451" s="5">
        <v>400.0</v>
      </c>
      <c r="N451" s="9">
        <v>44581.0</v>
      </c>
    </row>
    <row r="452">
      <c r="A452" s="5">
        <v>451.0</v>
      </c>
      <c r="B452" s="5" t="s">
        <v>1109</v>
      </c>
      <c r="C452" s="5" t="s">
        <v>21</v>
      </c>
      <c r="K452" s="5">
        <v>4800.0</v>
      </c>
      <c r="N452" s="9">
        <v>43929.0</v>
      </c>
    </row>
    <row r="453">
      <c r="A453" s="5">
        <v>452.0</v>
      </c>
      <c r="B453" s="5" t="s">
        <v>1110</v>
      </c>
      <c r="C453" s="5" t="s">
        <v>21</v>
      </c>
      <c r="K453" s="5">
        <v>60.0</v>
      </c>
      <c r="N453" s="9">
        <v>45208.0</v>
      </c>
    </row>
    <row r="454">
      <c r="A454" s="5">
        <v>453.0</v>
      </c>
      <c r="B454" s="5" t="s">
        <v>1111</v>
      </c>
      <c r="C454" s="5" t="s">
        <v>21</v>
      </c>
      <c r="K454" s="5">
        <v>4600.0</v>
      </c>
      <c r="N454" s="9">
        <v>43997.0</v>
      </c>
    </row>
    <row r="455">
      <c r="A455" s="5">
        <v>454.0</v>
      </c>
      <c r="B455" s="5" t="s">
        <v>1112</v>
      </c>
      <c r="C455" s="5" t="s">
        <v>21</v>
      </c>
      <c r="K455" s="5">
        <v>100.0</v>
      </c>
      <c r="N455" s="9">
        <v>45668.0</v>
      </c>
    </row>
    <row r="456">
      <c r="A456" s="5">
        <v>455.0</v>
      </c>
      <c r="B456" s="5" t="s">
        <v>1113</v>
      </c>
      <c r="C456" s="5" t="s">
        <v>21</v>
      </c>
      <c r="K456" s="5">
        <v>250.0</v>
      </c>
      <c r="N456" s="9">
        <v>44811.0</v>
      </c>
    </row>
    <row r="457">
      <c r="A457" s="5">
        <v>456.0</v>
      </c>
      <c r="B457" s="5" t="s">
        <v>1114</v>
      </c>
      <c r="C457" s="5" t="s">
        <v>21</v>
      </c>
      <c r="K457" s="5">
        <v>70.0</v>
      </c>
      <c r="N457" s="9">
        <v>45158.0</v>
      </c>
    </row>
    <row r="458">
      <c r="A458" s="5">
        <v>457.0</v>
      </c>
      <c r="B458" s="5" t="s">
        <v>1115</v>
      </c>
      <c r="C458" s="5" t="s">
        <v>21</v>
      </c>
      <c r="K458" s="5">
        <v>250.0</v>
      </c>
      <c r="N458" s="9">
        <v>44893.0</v>
      </c>
    </row>
    <row r="459">
      <c r="A459" s="5">
        <v>458.0</v>
      </c>
      <c r="B459" s="5" t="s">
        <v>1116</v>
      </c>
      <c r="C459" s="5" t="s">
        <v>21</v>
      </c>
      <c r="K459" s="5">
        <v>80.0</v>
      </c>
      <c r="N459" s="9">
        <v>44258.0</v>
      </c>
    </row>
    <row r="460">
      <c r="A460" s="5">
        <v>459.0</v>
      </c>
      <c r="B460" s="5" t="s">
        <v>1117</v>
      </c>
      <c r="C460" s="5" t="s">
        <v>21</v>
      </c>
      <c r="N460" s="9">
        <v>44756.0</v>
      </c>
    </row>
    <row r="461">
      <c r="A461" s="5">
        <v>460.0</v>
      </c>
      <c r="B461" s="5" t="s">
        <v>1118</v>
      </c>
      <c r="C461" s="5" t="s">
        <v>21</v>
      </c>
      <c r="K461" s="5">
        <v>100.0</v>
      </c>
      <c r="N461" s="9">
        <v>44595.0</v>
      </c>
    </row>
    <row r="462">
      <c r="A462" s="5">
        <v>461.0</v>
      </c>
      <c r="B462" s="5" t="s">
        <v>1119</v>
      </c>
      <c r="C462" s="5" t="s">
        <v>21</v>
      </c>
      <c r="K462" s="5">
        <v>700.0</v>
      </c>
      <c r="N462" s="9">
        <v>43965.0</v>
      </c>
    </row>
    <row r="463">
      <c r="A463" s="5">
        <v>462.0</v>
      </c>
      <c r="B463" s="5" t="s">
        <v>1120</v>
      </c>
      <c r="C463" s="5" t="s">
        <v>21</v>
      </c>
      <c r="K463" s="5">
        <v>3200.0</v>
      </c>
      <c r="N463" s="9">
        <v>44336.0</v>
      </c>
    </row>
    <row r="464">
      <c r="A464" s="5">
        <v>463.0</v>
      </c>
      <c r="B464" s="5" t="s">
        <v>1121</v>
      </c>
      <c r="C464" s="5" t="s">
        <v>21</v>
      </c>
      <c r="K464" s="5">
        <v>400.0</v>
      </c>
      <c r="N464" s="9">
        <v>44010.0</v>
      </c>
    </row>
    <row r="465">
      <c r="A465" s="5">
        <v>464.0</v>
      </c>
      <c r="B465" s="5" t="s">
        <v>1122</v>
      </c>
      <c r="C465" s="5" t="s">
        <v>21</v>
      </c>
      <c r="K465" s="5">
        <v>400.0</v>
      </c>
      <c r="N465" s="9">
        <v>44346.0</v>
      </c>
    </row>
    <row r="466">
      <c r="A466" s="5">
        <v>465.0</v>
      </c>
      <c r="B466" s="5" t="s">
        <v>1123</v>
      </c>
      <c r="C466" s="5" t="s">
        <v>21</v>
      </c>
      <c r="K466" s="5">
        <v>300.0</v>
      </c>
      <c r="N466" s="9">
        <v>45102.0</v>
      </c>
    </row>
    <row r="467">
      <c r="A467" s="5">
        <v>466.0</v>
      </c>
      <c r="B467" s="5" t="s">
        <v>1124</v>
      </c>
      <c r="C467" s="5" t="s">
        <v>21</v>
      </c>
      <c r="K467" s="5">
        <v>3600.0</v>
      </c>
      <c r="N467" s="9">
        <v>44438.0</v>
      </c>
    </row>
    <row r="468">
      <c r="A468" s="5">
        <v>467.0</v>
      </c>
      <c r="B468" s="5" t="s">
        <v>1125</v>
      </c>
      <c r="C468" s="5" t="s">
        <v>21</v>
      </c>
      <c r="K468" s="5">
        <v>1500.0</v>
      </c>
      <c r="N468" s="9">
        <v>43857.0</v>
      </c>
    </row>
    <row r="469">
      <c r="A469" s="5">
        <v>468.0</v>
      </c>
      <c r="B469" s="5" t="s">
        <v>1126</v>
      </c>
      <c r="C469" s="5" t="s">
        <v>21</v>
      </c>
      <c r="K469" s="5">
        <v>350.0</v>
      </c>
      <c r="N469" s="9">
        <v>44565.0</v>
      </c>
    </row>
    <row r="470">
      <c r="A470" s="5">
        <v>469.0</v>
      </c>
      <c r="B470" s="5" t="s">
        <v>1127</v>
      </c>
      <c r="C470" s="5" t="s">
        <v>21</v>
      </c>
      <c r="K470" s="5">
        <v>3800.0</v>
      </c>
      <c r="N470" s="9">
        <v>43888.0</v>
      </c>
    </row>
    <row r="471">
      <c r="A471" s="5">
        <v>470.0</v>
      </c>
      <c r="B471" s="5" t="s">
        <v>1128</v>
      </c>
      <c r="C471" s="5" t="s">
        <v>21</v>
      </c>
      <c r="K471" s="5">
        <v>1500.0</v>
      </c>
      <c r="N471" s="9">
        <v>44629.0</v>
      </c>
    </row>
    <row r="472">
      <c r="A472" s="5">
        <v>471.0</v>
      </c>
      <c r="B472" s="5" t="s">
        <v>1129</v>
      </c>
      <c r="C472" s="5" t="s">
        <v>21</v>
      </c>
      <c r="K472" s="5">
        <v>450.0</v>
      </c>
      <c r="N472" s="9">
        <v>45578.0</v>
      </c>
    </row>
    <row r="473">
      <c r="A473" s="5">
        <v>472.0</v>
      </c>
      <c r="B473" s="5" t="s">
        <v>1130</v>
      </c>
      <c r="C473" s="5" t="s">
        <v>21</v>
      </c>
      <c r="K473" s="5">
        <v>600.0</v>
      </c>
      <c r="N473" s="9">
        <v>44601.0</v>
      </c>
    </row>
    <row r="474">
      <c r="A474" s="5">
        <v>473.0</v>
      </c>
      <c r="B474" s="5" t="s">
        <v>1131</v>
      </c>
      <c r="C474" s="5" t="s">
        <v>21</v>
      </c>
      <c r="K474" s="5">
        <v>1000.0</v>
      </c>
      <c r="N474" s="9">
        <v>44905.0</v>
      </c>
    </row>
    <row r="475">
      <c r="A475" s="5">
        <v>474.0</v>
      </c>
      <c r="B475" s="5" t="s">
        <v>1132</v>
      </c>
      <c r="C475" s="5" t="s">
        <v>21</v>
      </c>
      <c r="K475" s="5">
        <v>800.0</v>
      </c>
      <c r="N475" s="9">
        <v>44564.0</v>
      </c>
    </row>
    <row r="476">
      <c r="A476" s="5">
        <v>475.0</v>
      </c>
      <c r="B476" s="5" t="s">
        <v>1133</v>
      </c>
      <c r="C476" s="5" t="s">
        <v>21</v>
      </c>
      <c r="K476" s="5">
        <v>1200.0</v>
      </c>
      <c r="N476" s="9">
        <v>44595.0</v>
      </c>
    </row>
    <row r="477">
      <c r="A477" s="5">
        <v>476.0</v>
      </c>
      <c r="B477" s="5" t="s">
        <v>1134</v>
      </c>
      <c r="C477" s="5" t="s">
        <v>21</v>
      </c>
      <c r="K477" s="5">
        <v>1500.0</v>
      </c>
      <c r="N477" s="9">
        <v>44552.0</v>
      </c>
    </row>
    <row r="478">
      <c r="A478" s="5">
        <v>477.0</v>
      </c>
      <c r="B478" s="5" t="s">
        <v>1135</v>
      </c>
      <c r="C478" s="5" t="s">
        <v>21</v>
      </c>
      <c r="K478" s="5">
        <v>150.0</v>
      </c>
      <c r="N478" s="9">
        <v>44536.0</v>
      </c>
    </row>
    <row r="479">
      <c r="A479" s="5">
        <v>478.0</v>
      </c>
      <c r="B479" s="5" t="s">
        <v>1136</v>
      </c>
      <c r="C479" s="5" t="s">
        <v>21</v>
      </c>
      <c r="K479" s="5">
        <v>700.0</v>
      </c>
      <c r="N479" s="9">
        <v>44650.0</v>
      </c>
    </row>
    <row r="480">
      <c r="A480" s="5">
        <v>479.0</v>
      </c>
      <c r="B480" s="5" t="s">
        <v>1137</v>
      </c>
      <c r="C480" s="5" t="s">
        <v>21</v>
      </c>
      <c r="K480" s="5">
        <v>3600.0</v>
      </c>
      <c r="N480" s="9">
        <v>45257.0</v>
      </c>
    </row>
    <row r="481">
      <c r="A481" s="5">
        <v>480.0</v>
      </c>
      <c r="B481" s="5" t="s">
        <v>1138</v>
      </c>
      <c r="C481" s="5" t="s">
        <v>21</v>
      </c>
      <c r="K481" s="5">
        <v>9600.0</v>
      </c>
      <c r="N481" s="9">
        <v>43851.0</v>
      </c>
    </row>
    <row r="482">
      <c r="A482" s="5">
        <v>481.0</v>
      </c>
      <c r="B482" s="5" t="s">
        <v>1139</v>
      </c>
      <c r="C482" s="5" t="s">
        <v>21</v>
      </c>
      <c r="K482" s="5">
        <v>500.0</v>
      </c>
      <c r="N482" s="9">
        <v>44707.0</v>
      </c>
    </row>
    <row r="483">
      <c r="A483" s="5">
        <v>482.0</v>
      </c>
      <c r="B483" s="5" t="s">
        <v>1140</v>
      </c>
      <c r="C483" s="5" t="s">
        <v>21</v>
      </c>
      <c r="K483" s="5">
        <v>50.0</v>
      </c>
      <c r="N483" s="9">
        <v>44570.0</v>
      </c>
    </row>
    <row r="484">
      <c r="A484" s="5">
        <v>483.0</v>
      </c>
      <c r="B484" s="5" t="s">
        <v>1141</v>
      </c>
      <c r="C484" s="5" t="s">
        <v>21</v>
      </c>
      <c r="K484" s="5">
        <v>150.0</v>
      </c>
      <c r="N484" s="9">
        <v>44744.0</v>
      </c>
    </row>
    <row r="485">
      <c r="A485" s="5">
        <v>484.0</v>
      </c>
      <c r="B485" s="5" t="s">
        <v>1142</v>
      </c>
      <c r="C485" s="5" t="s">
        <v>21</v>
      </c>
      <c r="K485" s="5">
        <v>250.0</v>
      </c>
      <c r="N485" s="9">
        <v>44519.0</v>
      </c>
    </row>
    <row r="486">
      <c r="A486" s="5">
        <v>485.0</v>
      </c>
      <c r="B486" s="5" t="s">
        <v>1143</v>
      </c>
      <c r="C486" s="5" t="s">
        <v>21</v>
      </c>
      <c r="K486" s="5">
        <v>200.0</v>
      </c>
      <c r="N486" s="9">
        <v>44353.0</v>
      </c>
    </row>
    <row r="487">
      <c r="A487" s="5">
        <v>486.0</v>
      </c>
      <c r="B487" s="5" t="s">
        <v>1144</v>
      </c>
      <c r="C487" s="5" t="s">
        <v>21</v>
      </c>
      <c r="K487" s="5">
        <v>1700.0</v>
      </c>
      <c r="N487" s="9">
        <v>43867.0</v>
      </c>
    </row>
    <row r="488">
      <c r="A488" s="5">
        <v>487.0</v>
      </c>
      <c r="B488" s="5" t="s">
        <v>1145</v>
      </c>
      <c r="C488" s="5" t="s">
        <v>21</v>
      </c>
      <c r="K488" s="5">
        <v>40.0</v>
      </c>
      <c r="N488" s="9">
        <v>44518.0</v>
      </c>
    </row>
    <row r="489">
      <c r="A489" s="5">
        <v>488.0</v>
      </c>
      <c r="B489" s="5" t="s">
        <v>1146</v>
      </c>
      <c r="C489" s="5" t="s">
        <v>21</v>
      </c>
      <c r="K489" s="5">
        <v>200.0</v>
      </c>
      <c r="N489" s="9">
        <v>44721.0</v>
      </c>
    </row>
    <row r="490">
      <c r="A490" s="5">
        <v>489.0</v>
      </c>
      <c r="B490" s="5" t="s">
        <v>1147</v>
      </c>
      <c r="C490" s="5" t="s">
        <v>21</v>
      </c>
      <c r="K490" s="5">
        <v>600.0</v>
      </c>
      <c r="N490" s="9">
        <v>44549.0</v>
      </c>
    </row>
    <row r="491">
      <c r="A491" s="5">
        <v>490.0</v>
      </c>
      <c r="B491" s="5" t="s">
        <v>1148</v>
      </c>
      <c r="C491" s="5" t="s">
        <v>21</v>
      </c>
      <c r="K491" s="5">
        <v>350.0</v>
      </c>
      <c r="N491" s="9">
        <v>44729.0</v>
      </c>
    </row>
    <row r="492">
      <c r="A492" s="5">
        <v>491.0</v>
      </c>
      <c r="B492" s="5" t="s">
        <v>1149</v>
      </c>
      <c r="C492" s="5" t="s">
        <v>21</v>
      </c>
      <c r="K492" s="5">
        <v>150.0</v>
      </c>
      <c r="N492" s="9">
        <v>44649.0</v>
      </c>
    </row>
    <row r="493">
      <c r="A493" s="5">
        <v>492.0</v>
      </c>
      <c r="B493" s="5" t="s">
        <v>1150</v>
      </c>
      <c r="C493" s="5" t="s">
        <v>21</v>
      </c>
      <c r="K493" s="5">
        <v>300.0</v>
      </c>
      <c r="N493" s="9">
        <v>44517.0</v>
      </c>
    </row>
    <row r="494">
      <c r="A494" s="5">
        <v>493.0</v>
      </c>
      <c r="B494" s="5" t="s">
        <v>1151</v>
      </c>
      <c r="C494" s="5" t="s">
        <v>21</v>
      </c>
      <c r="K494" s="5">
        <v>250.0</v>
      </c>
      <c r="N494" s="9">
        <v>44560.0</v>
      </c>
    </row>
    <row r="495">
      <c r="A495" s="5">
        <v>494.0</v>
      </c>
      <c r="B495" s="5" t="s">
        <v>1152</v>
      </c>
      <c r="C495" s="5" t="s">
        <v>21</v>
      </c>
      <c r="K495" s="5">
        <v>250.0</v>
      </c>
      <c r="N495" s="9">
        <v>44007.0</v>
      </c>
    </row>
    <row r="496">
      <c r="A496" s="5">
        <v>495.0</v>
      </c>
      <c r="B496" s="5" t="s">
        <v>1153</v>
      </c>
      <c r="C496" s="5" t="s">
        <v>21</v>
      </c>
      <c r="K496" s="5">
        <v>30.0</v>
      </c>
      <c r="N496" s="9">
        <v>44707.0</v>
      </c>
    </row>
    <row r="497">
      <c r="A497" s="5">
        <v>496.0</v>
      </c>
      <c r="B497" s="5" t="s">
        <v>1154</v>
      </c>
      <c r="C497" s="5" t="s">
        <v>21</v>
      </c>
      <c r="K497" s="5">
        <v>90.0</v>
      </c>
      <c r="N497" s="9">
        <v>44397.0</v>
      </c>
    </row>
    <row r="498">
      <c r="A498" s="5">
        <v>497.0</v>
      </c>
      <c r="B498" s="5" t="s">
        <v>1155</v>
      </c>
      <c r="C498" s="5" t="s">
        <v>21</v>
      </c>
      <c r="K498" s="5">
        <v>300.0</v>
      </c>
      <c r="N498" s="9">
        <v>45567.0</v>
      </c>
    </row>
    <row r="499">
      <c r="A499" s="5">
        <v>498.0</v>
      </c>
      <c r="B499" s="5" t="s">
        <v>1156</v>
      </c>
      <c r="C499" s="5" t="s">
        <v>21</v>
      </c>
      <c r="K499" s="5">
        <v>200.0</v>
      </c>
      <c r="N499" s="9">
        <v>44995.0</v>
      </c>
    </row>
    <row r="500">
      <c r="A500" s="5">
        <v>499.0</v>
      </c>
      <c r="B500" s="5" t="s">
        <v>1157</v>
      </c>
      <c r="C500" s="5" t="s">
        <v>21</v>
      </c>
      <c r="K500" s="5">
        <v>800.0</v>
      </c>
      <c r="N500" s="9">
        <v>44804.0</v>
      </c>
    </row>
    <row r="501">
      <c r="A501" s="5">
        <v>500.0</v>
      </c>
      <c r="B501" s="5" t="s">
        <v>1158</v>
      </c>
      <c r="C501" s="5" t="s">
        <v>21</v>
      </c>
      <c r="N501" s="9">
        <v>44524.0</v>
      </c>
    </row>
    <row r="502">
      <c r="A502" s="5">
        <v>501.0</v>
      </c>
      <c r="B502" s="5" t="s">
        <v>1159</v>
      </c>
      <c r="C502" s="5" t="s">
        <v>21</v>
      </c>
      <c r="K502" s="5">
        <v>20.0</v>
      </c>
      <c r="N502" s="9">
        <v>44669.0</v>
      </c>
    </row>
    <row r="503">
      <c r="A503" s="5">
        <v>502.0</v>
      </c>
      <c r="B503" s="5" t="s">
        <v>1160</v>
      </c>
      <c r="C503" s="5" t="s">
        <v>21</v>
      </c>
      <c r="K503" s="5">
        <v>40.0</v>
      </c>
      <c r="N503" s="9">
        <v>44610.0</v>
      </c>
    </row>
    <row r="504">
      <c r="A504" s="5">
        <v>503.0</v>
      </c>
      <c r="B504" s="5" t="s">
        <v>1161</v>
      </c>
      <c r="C504" s="5" t="s">
        <v>21</v>
      </c>
      <c r="K504" s="5">
        <v>10.0</v>
      </c>
      <c r="N504" s="9">
        <v>44540.0</v>
      </c>
    </row>
    <row r="505">
      <c r="A505" s="5">
        <v>504.0</v>
      </c>
      <c r="B505" s="5" t="s">
        <v>1162</v>
      </c>
      <c r="C505" s="5" t="s">
        <v>21</v>
      </c>
      <c r="K505" s="5">
        <v>1500.0</v>
      </c>
      <c r="N505" s="9">
        <v>44571.0</v>
      </c>
    </row>
    <row r="506">
      <c r="A506" s="5">
        <v>505.0</v>
      </c>
      <c r="B506" s="5" t="s">
        <v>1163</v>
      </c>
      <c r="C506" s="5" t="s">
        <v>21</v>
      </c>
      <c r="K506" s="5">
        <v>10.0</v>
      </c>
      <c r="N506" s="9">
        <v>44047.0</v>
      </c>
    </row>
    <row r="507">
      <c r="A507" s="5">
        <v>506.0</v>
      </c>
      <c r="B507" s="5" t="s">
        <v>1164</v>
      </c>
      <c r="C507" s="5" t="s">
        <v>21</v>
      </c>
      <c r="K507" s="5">
        <v>350.0</v>
      </c>
      <c r="N507" s="9">
        <v>44536.0</v>
      </c>
    </row>
    <row r="508">
      <c r="A508" s="5">
        <v>507.0</v>
      </c>
      <c r="B508" s="5" t="s">
        <v>1165</v>
      </c>
      <c r="C508" s="5" t="s">
        <v>21</v>
      </c>
      <c r="K508" s="5">
        <v>100.0</v>
      </c>
      <c r="N508" s="9">
        <v>44287.0</v>
      </c>
    </row>
    <row r="509">
      <c r="A509" s="5">
        <v>508.0</v>
      </c>
      <c r="B509" s="5" t="s">
        <v>1166</v>
      </c>
      <c r="C509" s="5" t="s">
        <v>21</v>
      </c>
      <c r="K509" s="5">
        <v>1300.0</v>
      </c>
      <c r="N509" s="9">
        <v>44031.0</v>
      </c>
    </row>
    <row r="510">
      <c r="A510" s="5">
        <v>509.0</v>
      </c>
      <c r="B510" s="5" t="s">
        <v>1167</v>
      </c>
      <c r="C510" s="5" t="s">
        <v>21</v>
      </c>
      <c r="K510" s="5">
        <v>1600.0</v>
      </c>
      <c r="N510" s="9">
        <v>44300.0</v>
      </c>
    </row>
    <row r="511">
      <c r="A511" s="5">
        <v>510.0</v>
      </c>
      <c r="B511" s="5" t="s">
        <v>1168</v>
      </c>
      <c r="C511" s="5" t="s">
        <v>21</v>
      </c>
      <c r="K511" s="5">
        <v>300.0</v>
      </c>
      <c r="N511" s="9">
        <v>44396.0</v>
      </c>
    </row>
    <row r="512">
      <c r="A512" s="5">
        <v>511.0</v>
      </c>
      <c r="B512" s="5" t="s">
        <v>1169</v>
      </c>
      <c r="C512" s="5" t="s">
        <v>21</v>
      </c>
      <c r="K512" s="5">
        <v>1000.0</v>
      </c>
      <c r="N512" s="9">
        <v>43893.0</v>
      </c>
    </row>
    <row r="513">
      <c r="A513" s="5">
        <v>512.0</v>
      </c>
      <c r="B513" s="5" t="s">
        <v>1170</v>
      </c>
      <c r="C513" s="5" t="s">
        <v>21</v>
      </c>
      <c r="K513" s="5">
        <v>250.0</v>
      </c>
      <c r="N513" s="9">
        <v>45017.0</v>
      </c>
    </row>
    <row r="514">
      <c r="A514" s="5">
        <v>513.0</v>
      </c>
      <c r="B514" s="5" t="s">
        <v>1171</v>
      </c>
      <c r="C514" s="5" t="s">
        <v>21</v>
      </c>
      <c r="K514" s="5">
        <v>600.0</v>
      </c>
      <c r="N514" s="9">
        <v>44677.0</v>
      </c>
    </row>
    <row r="515">
      <c r="A515" s="5">
        <v>514.0</v>
      </c>
      <c r="B515" s="5" t="s">
        <v>1172</v>
      </c>
      <c r="C515" s="5" t="s">
        <v>21</v>
      </c>
      <c r="K515" s="5">
        <v>80.0</v>
      </c>
      <c r="N515" s="9">
        <v>44170.0</v>
      </c>
    </row>
    <row r="516">
      <c r="A516" s="5">
        <v>515.0</v>
      </c>
      <c r="B516" s="5" t="s">
        <v>1173</v>
      </c>
      <c r="C516" s="5" t="s">
        <v>21</v>
      </c>
      <c r="K516" s="5">
        <v>500.0</v>
      </c>
      <c r="N516" s="9">
        <v>44541.0</v>
      </c>
    </row>
    <row r="517">
      <c r="A517" s="5">
        <v>516.0</v>
      </c>
      <c r="B517" s="5" t="s">
        <v>1174</v>
      </c>
      <c r="C517" s="5" t="s">
        <v>21</v>
      </c>
      <c r="K517" s="5">
        <v>200.0</v>
      </c>
      <c r="N517" s="9">
        <v>44273.0</v>
      </c>
    </row>
    <row r="518">
      <c r="A518" s="5">
        <v>517.0</v>
      </c>
      <c r="B518" s="5" t="s">
        <v>1175</v>
      </c>
      <c r="C518" s="5" t="s">
        <v>21</v>
      </c>
      <c r="N518" s="9">
        <v>44508.0</v>
      </c>
    </row>
    <row r="519">
      <c r="A519" s="5">
        <v>518.0</v>
      </c>
      <c r="B519" s="5" t="s">
        <v>1176</v>
      </c>
      <c r="C519" s="5" t="s">
        <v>21</v>
      </c>
      <c r="K519" s="5">
        <v>200.0</v>
      </c>
      <c r="N519" s="9">
        <v>44499.0</v>
      </c>
    </row>
    <row r="520">
      <c r="A520" s="5">
        <v>519.0</v>
      </c>
      <c r="B520" s="5" t="s">
        <v>1177</v>
      </c>
      <c r="C520" s="5" t="s">
        <v>21</v>
      </c>
      <c r="K520" s="5">
        <v>250.0</v>
      </c>
      <c r="N520" s="9">
        <v>44147.0</v>
      </c>
    </row>
    <row r="521">
      <c r="A521" s="5">
        <v>520.0</v>
      </c>
      <c r="B521" s="5" t="s">
        <v>1178</v>
      </c>
      <c r="C521" s="5" t="s">
        <v>21</v>
      </c>
      <c r="K521" s="5">
        <v>400.0</v>
      </c>
      <c r="N521" s="9">
        <v>44065.0</v>
      </c>
    </row>
    <row r="522">
      <c r="A522" s="5">
        <v>521.0</v>
      </c>
      <c r="B522" s="5" t="s">
        <v>1179</v>
      </c>
      <c r="C522" s="5" t="s">
        <v>21</v>
      </c>
      <c r="K522" s="5">
        <v>40.0</v>
      </c>
      <c r="N522" s="9">
        <v>45039.0</v>
      </c>
    </row>
    <row r="523">
      <c r="A523" s="5">
        <v>522.0</v>
      </c>
      <c r="B523" s="5" t="s">
        <v>1180</v>
      </c>
      <c r="C523" s="5" t="s">
        <v>21</v>
      </c>
      <c r="K523" s="5">
        <v>70.0</v>
      </c>
      <c r="N523" s="9">
        <v>45558.0</v>
      </c>
    </row>
    <row r="524">
      <c r="A524" s="5">
        <v>523.0</v>
      </c>
      <c r="B524" s="5" t="s">
        <v>1181</v>
      </c>
      <c r="C524" s="5" t="s">
        <v>21</v>
      </c>
      <c r="K524" s="5">
        <v>200.0</v>
      </c>
      <c r="N524" s="9">
        <v>44535.0</v>
      </c>
    </row>
    <row r="525">
      <c r="A525" s="5">
        <v>524.0</v>
      </c>
      <c r="B525" s="5" t="s">
        <v>1182</v>
      </c>
      <c r="C525" s="5" t="s">
        <v>21</v>
      </c>
      <c r="K525" s="5">
        <v>700.0</v>
      </c>
      <c r="N525" s="9">
        <v>44527.0</v>
      </c>
    </row>
    <row r="526">
      <c r="A526" s="5">
        <v>525.0</v>
      </c>
      <c r="B526" s="5" t="s">
        <v>1183</v>
      </c>
      <c r="C526" s="5" t="s">
        <v>21</v>
      </c>
      <c r="K526" s="5">
        <v>800.0</v>
      </c>
      <c r="N526" s="9">
        <v>44164.0</v>
      </c>
    </row>
    <row r="527">
      <c r="A527" s="5">
        <v>526.0</v>
      </c>
      <c r="B527" s="5" t="s">
        <v>1184</v>
      </c>
      <c r="C527" s="5" t="s">
        <v>21</v>
      </c>
      <c r="K527" s="5">
        <v>250.0</v>
      </c>
      <c r="N527" s="9">
        <v>45385.0</v>
      </c>
    </row>
    <row r="528">
      <c r="A528" s="5">
        <v>527.0</v>
      </c>
      <c r="B528" s="5" t="s">
        <v>1185</v>
      </c>
      <c r="C528" s="5" t="s">
        <v>21</v>
      </c>
      <c r="K528" s="5">
        <v>450.0</v>
      </c>
      <c r="N528" s="9">
        <v>44515.0</v>
      </c>
    </row>
    <row r="529">
      <c r="A529" s="5">
        <v>528.0</v>
      </c>
      <c r="B529" s="5" t="s">
        <v>1186</v>
      </c>
      <c r="C529" s="5" t="s">
        <v>21</v>
      </c>
      <c r="K529" s="5">
        <v>30.0</v>
      </c>
      <c r="N529" s="9">
        <v>44533.0</v>
      </c>
    </row>
    <row r="530">
      <c r="A530" s="5">
        <v>529.0</v>
      </c>
      <c r="B530" s="5" t="s">
        <v>1187</v>
      </c>
      <c r="C530" s="5" t="s">
        <v>21</v>
      </c>
      <c r="K530" s="5">
        <v>700.0</v>
      </c>
      <c r="N530" s="9">
        <v>44084.0</v>
      </c>
    </row>
    <row r="531">
      <c r="A531" s="5">
        <v>530.0</v>
      </c>
      <c r="B531" s="5" t="s">
        <v>1188</v>
      </c>
      <c r="C531" s="5" t="s">
        <v>21</v>
      </c>
      <c r="K531" s="5">
        <v>700.0</v>
      </c>
      <c r="N531" s="9">
        <v>44974.0</v>
      </c>
    </row>
    <row r="532">
      <c r="A532" s="5">
        <v>531.0</v>
      </c>
      <c r="B532" s="5" t="s">
        <v>1189</v>
      </c>
      <c r="C532" s="5" t="s">
        <v>21</v>
      </c>
      <c r="K532" s="5">
        <v>1200.0</v>
      </c>
      <c r="N532" s="9">
        <v>44579.0</v>
      </c>
    </row>
    <row r="533">
      <c r="A533" s="5">
        <v>532.0</v>
      </c>
      <c r="B533" s="5" t="s">
        <v>1190</v>
      </c>
      <c r="C533" s="5" t="s">
        <v>21</v>
      </c>
      <c r="K533" s="5">
        <v>500.0</v>
      </c>
      <c r="N533" s="9">
        <v>44680.0</v>
      </c>
    </row>
    <row r="534">
      <c r="A534" s="5">
        <v>533.0</v>
      </c>
      <c r="B534" s="5" t="s">
        <v>1191</v>
      </c>
      <c r="C534" s="5" t="s">
        <v>21</v>
      </c>
      <c r="K534" s="5">
        <v>600.0</v>
      </c>
      <c r="N534" s="9">
        <v>43864.0</v>
      </c>
    </row>
    <row r="535">
      <c r="A535" s="5">
        <v>534.0</v>
      </c>
      <c r="B535" s="5" t="s">
        <v>37</v>
      </c>
      <c r="C535" s="5" t="s">
        <v>21</v>
      </c>
      <c r="K535" s="5">
        <v>100.0</v>
      </c>
      <c r="N535" s="9">
        <v>44346.0</v>
      </c>
    </row>
    <row r="536">
      <c r="A536" s="5">
        <v>535.0</v>
      </c>
      <c r="B536" s="5" t="s">
        <v>1192</v>
      </c>
      <c r="C536" s="5" t="s">
        <v>21</v>
      </c>
      <c r="N536" s="9">
        <v>44578.0</v>
      </c>
    </row>
    <row r="537">
      <c r="A537" s="5">
        <v>536.0</v>
      </c>
      <c r="B537" s="5" t="s">
        <v>1193</v>
      </c>
      <c r="C537" s="5" t="s">
        <v>21</v>
      </c>
      <c r="K537" s="5">
        <v>700.0</v>
      </c>
      <c r="N537" s="9">
        <v>44918.0</v>
      </c>
    </row>
    <row r="538">
      <c r="A538" s="5">
        <v>537.0</v>
      </c>
      <c r="B538" s="5" t="s">
        <v>1194</v>
      </c>
      <c r="C538" s="5" t="s">
        <v>21</v>
      </c>
      <c r="K538" s="5">
        <v>200.0</v>
      </c>
      <c r="N538" s="9">
        <v>44567.0</v>
      </c>
    </row>
    <row r="539">
      <c r="A539" s="5">
        <v>538.0</v>
      </c>
      <c r="B539" s="5" t="s">
        <v>1195</v>
      </c>
      <c r="C539" s="5" t="s">
        <v>21</v>
      </c>
      <c r="K539" s="5">
        <v>100.0</v>
      </c>
      <c r="N539" s="9">
        <v>44541.0</v>
      </c>
    </row>
    <row r="540">
      <c r="A540" s="5">
        <v>539.0</v>
      </c>
      <c r="B540" s="5" t="s">
        <v>1196</v>
      </c>
      <c r="C540" s="5" t="s">
        <v>21</v>
      </c>
      <c r="K540" s="5">
        <v>90.0</v>
      </c>
      <c r="N540" s="9">
        <v>44662.0</v>
      </c>
    </row>
    <row r="541">
      <c r="A541" s="5">
        <v>540.0</v>
      </c>
      <c r="B541" s="5" t="s">
        <v>1197</v>
      </c>
      <c r="C541" s="5" t="s">
        <v>21</v>
      </c>
      <c r="K541" s="5">
        <v>150.0</v>
      </c>
      <c r="N541" s="9">
        <v>44560.0</v>
      </c>
    </row>
    <row r="542">
      <c r="A542" s="5">
        <v>541.0</v>
      </c>
      <c r="B542" s="5" t="s">
        <v>1198</v>
      </c>
      <c r="C542" s="5" t="s">
        <v>21</v>
      </c>
      <c r="K542" s="5">
        <v>2300.0</v>
      </c>
      <c r="N542" s="9">
        <v>44051.0</v>
      </c>
    </row>
    <row r="543">
      <c r="A543" s="5">
        <v>542.0</v>
      </c>
      <c r="B543" s="5" t="s">
        <v>1199</v>
      </c>
      <c r="C543" s="5" t="s">
        <v>21</v>
      </c>
      <c r="K543" s="5">
        <v>900.0</v>
      </c>
      <c r="N543" s="9">
        <v>43849.0</v>
      </c>
    </row>
    <row r="544">
      <c r="A544" s="5">
        <v>543.0</v>
      </c>
      <c r="B544" s="5" t="s">
        <v>1200</v>
      </c>
      <c r="C544" s="5" t="s">
        <v>21</v>
      </c>
      <c r="K544" s="5">
        <v>100.0</v>
      </c>
      <c r="N544" s="9">
        <v>44207.0</v>
      </c>
    </row>
    <row r="545">
      <c r="A545" s="5">
        <v>544.0</v>
      </c>
      <c r="B545" s="5" t="s">
        <v>1201</v>
      </c>
      <c r="C545" s="5" t="s">
        <v>21</v>
      </c>
      <c r="K545" s="5">
        <v>200.0</v>
      </c>
      <c r="N545" s="9">
        <v>44544.0</v>
      </c>
    </row>
    <row r="546">
      <c r="A546" s="5">
        <v>545.0</v>
      </c>
      <c r="B546" s="5" t="s">
        <v>1202</v>
      </c>
      <c r="C546" s="5" t="s">
        <v>21</v>
      </c>
      <c r="K546" s="5">
        <v>500.0</v>
      </c>
      <c r="N546" s="9">
        <v>45610.0</v>
      </c>
    </row>
    <row r="547">
      <c r="A547" s="5">
        <v>546.0</v>
      </c>
      <c r="B547" s="5" t="s">
        <v>1203</v>
      </c>
      <c r="C547" s="5" t="s">
        <v>21</v>
      </c>
      <c r="K547" s="5">
        <v>500.0</v>
      </c>
      <c r="N547" s="9">
        <v>44409.0</v>
      </c>
    </row>
    <row r="548">
      <c r="A548" s="5">
        <v>547.0</v>
      </c>
      <c r="B548" s="5" t="s">
        <v>1204</v>
      </c>
      <c r="C548" s="5" t="s">
        <v>21</v>
      </c>
      <c r="K548" s="5">
        <v>200.0</v>
      </c>
      <c r="N548" s="9">
        <v>45201.0</v>
      </c>
    </row>
    <row r="549">
      <c r="A549" s="5">
        <v>548.0</v>
      </c>
      <c r="B549" s="5" t="s">
        <v>1205</v>
      </c>
      <c r="C549" s="5" t="s">
        <v>21</v>
      </c>
      <c r="K549" s="5">
        <v>10.0</v>
      </c>
      <c r="N549" s="9">
        <v>44890.0</v>
      </c>
    </row>
    <row r="550">
      <c r="A550" s="5">
        <v>549.0</v>
      </c>
      <c r="B550" s="5" t="s">
        <v>1206</v>
      </c>
      <c r="C550" s="5" t="s">
        <v>21</v>
      </c>
      <c r="N550" s="9">
        <v>44572.0</v>
      </c>
    </row>
    <row r="551">
      <c r="A551" s="5">
        <v>550.0</v>
      </c>
      <c r="B551" s="5" t="s">
        <v>1207</v>
      </c>
      <c r="C551" s="5" t="s">
        <v>21</v>
      </c>
      <c r="K551" s="5">
        <v>1100.0</v>
      </c>
      <c r="N551" s="9">
        <v>45214.0</v>
      </c>
    </row>
    <row r="552">
      <c r="A552" s="5">
        <v>551.0</v>
      </c>
      <c r="B552" s="5" t="s">
        <v>1208</v>
      </c>
      <c r="C552" s="5" t="s">
        <v>21</v>
      </c>
      <c r="K552" s="5">
        <v>150.0</v>
      </c>
      <c r="N552" s="9">
        <v>44082.0</v>
      </c>
    </row>
    <row r="553">
      <c r="A553" s="5">
        <v>552.0</v>
      </c>
      <c r="B553" s="5" t="s">
        <v>1209</v>
      </c>
      <c r="C553" s="5" t="s">
        <v>21</v>
      </c>
      <c r="K553" s="5">
        <v>150.0</v>
      </c>
      <c r="N553" s="9">
        <v>44612.0</v>
      </c>
    </row>
    <row r="554">
      <c r="A554" s="5">
        <v>553.0</v>
      </c>
      <c r="B554" s="5" t="s">
        <v>1210</v>
      </c>
      <c r="C554" s="5" t="s">
        <v>21</v>
      </c>
      <c r="K554" s="5">
        <v>40.0</v>
      </c>
      <c r="N554" s="9">
        <v>44274.0</v>
      </c>
    </row>
    <row r="555">
      <c r="A555" s="5">
        <v>554.0</v>
      </c>
      <c r="B555" s="5" t="s">
        <v>1211</v>
      </c>
      <c r="C555" s="5" t="s">
        <v>21</v>
      </c>
      <c r="K555" s="5">
        <v>1200.0</v>
      </c>
      <c r="N555" s="9">
        <v>44728.0</v>
      </c>
    </row>
    <row r="556">
      <c r="A556" s="5">
        <v>555.0</v>
      </c>
      <c r="B556" s="5" t="s">
        <v>1212</v>
      </c>
      <c r="C556" s="5" t="s">
        <v>21</v>
      </c>
      <c r="K556" s="5">
        <v>3600.0</v>
      </c>
      <c r="N556" s="9">
        <v>43989.0</v>
      </c>
    </row>
    <row r="557">
      <c r="A557" s="5">
        <v>556.0</v>
      </c>
      <c r="B557" s="5" t="s">
        <v>1213</v>
      </c>
      <c r="C557" s="5" t="s">
        <v>21</v>
      </c>
      <c r="K557" s="5">
        <v>350.0</v>
      </c>
      <c r="N557" s="9">
        <v>44191.0</v>
      </c>
    </row>
    <row r="558">
      <c r="A558" s="5">
        <v>557.0</v>
      </c>
      <c r="B558" s="5" t="s">
        <v>1214</v>
      </c>
      <c r="C558" s="5" t="s">
        <v>21</v>
      </c>
      <c r="K558" s="5">
        <v>500.0</v>
      </c>
      <c r="N558" s="9">
        <v>44772.0</v>
      </c>
    </row>
    <row r="559">
      <c r="A559" s="5">
        <v>558.0</v>
      </c>
      <c r="B559" s="5" t="s">
        <v>1215</v>
      </c>
      <c r="C559" s="5" t="s">
        <v>21</v>
      </c>
      <c r="K559" s="5">
        <v>350.0</v>
      </c>
      <c r="N559" s="9">
        <v>44406.0</v>
      </c>
    </row>
    <row r="560">
      <c r="A560" s="5">
        <v>559.0</v>
      </c>
      <c r="B560" s="5" t="s">
        <v>1216</v>
      </c>
      <c r="C560" s="5" t="s">
        <v>21</v>
      </c>
      <c r="K560" s="5">
        <v>450.0</v>
      </c>
      <c r="N560" s="9">
        <v>45245.0</v>
      </c>
    </row>
    <row r="561">
      <c r="A561" s="5">
        <v>560.0</v>
      </c>
      <c r="B561" s="5" t="s">
        <v>1217</v>
      </c>
      <c r="C561" s="5" t="s">
        <v>21</v>
      </c>
      <c r="K561" s="5">
        <v>200.0</v>
      </c>
      <c r="N561" s="9">
        <v>44298.0</v>
      </c>
    </row>
    <row r="562">
      <c r="A562" s="5">
        <v>561.0</v>
      </c>
      <c r="B562" s="5" t="s">
        <v>1218</v>
      </c>
      <c r="C562" s="5" t="s">
        <v>21</v>
      </c>
      <c r="K562" s="5">
        <v>200.0</v>
      </c>
      <c r="N562" s="9">
        <v>44602.0</v>
      </c>
    </row>
    <row r="563">
      <c r="A563" s="5">
        <v>562.0</v>
      </c>
      <c r="B563" s="5" t="s">
        <v>1219</v>
      </c>
      <c r="C563" s="5" t="s">
        <v>21</v>
      </c>
      <c r="K563" s="5">
        <v>250.0</v>
      </c>
      <c r="N563" s="9">
        <v>45079.0</v>
      </c>
    </row>
    <row r="564">
      <c r="A564" s="5">
        <v>563.0</v>
      </c>
      <c r="B564" s="5" t="s">
        <v>1220</v>
      </c>
      <c r="C564" s="5" t="s">
        <v>21</v>
      </c>
      <c r="K564" s="5">
        <v>600.0</v>
      </c>
      <c r="N564" s="9">
        <v>43994.0</v>
      </c>
    </row>
    <row r="565">
      <c r="A565" s="5">
        <v>564.0</v>
      </c>
      <c r="B565" s="5" t="s">
        <v>1221</v>
      </c>
      <c r="C565" s="5" t="s">
        <v>21</v>
      </c>
      <c r="K565" s="5">
        <v>2100.0</v>
      </c>
      <c r="N565" s="9">
        <v>44400.0</v>
      </c>
    </row>
    <row r="566">
      <c r="A566" s="5">
        <v>565.0</v>
      </c>
      <c r="B566" s="5" t="s">
        <v>1222</v>
      </c>
      <c r="C566" s="5" t="s">
        <v>21</v>
      </c>
      <c r="K566" s="5">
        <v>800.0</v>
      </c>
      <c r="N566" s="9">
        <v>45148.0</v>
      </c>
    </row>
    <row r="567">
      <c r="A567" s="5">
        <v>566.0</v>
      </c>
      <c r="B567" s="5" t="s">
        <v>1223</v>
      </c>
      <c r="C567" s="5" t="s">
        <v>21</v>
      </c>
      <c r="K567" s="5">
        <v>300.0</v>
      </c>
      <c r="N567" s="9">
        <v>44546.0</v>
      </c>
    </row>
    <row r="568">
      <c r="A568" s="5">
        <v>567.0</v>
      </c>
      <c r="B568" s="5" t="s">
        <v>1224</v>
      </c>
      <c r="C568" s="5" t="s">
        <v>21</v>
      </c>
      <c r="K568" s="5">
        <v>600.0</v>
      </c>
      <c r="N568" s="9">
        <v>44461.0</v>
      </c>
    </row>
    <row r="569">
      <c r="A569" s="5">
        <v>568.0</v>
      </c>
      <c r="B569" s="5" t="s">
        <v>1225</v>
      </c>
      <c r="C569" s="5" t="s">
        <v>21</v>
      </c>
      <c r="K569" s="5">
        <v>20.0</v>
      </c>
      <c r="N569" s="9">
        <v>45565.0</v>
      </c>
    </row>
    <row r="570">
      <c r="A570" s="5">
        <v>569.0</v>
      </c>
      <c r="B570" s="5" t="s">
        <v>1226</v>
      </c>
      <c r="C570" s="5" t="s">
        <v>21</v>
      </c>
      <c r="K570" s="5">
        <v>1300.0</v>
      </c>
      <c r="N570" s="9">
        <v>44190.0</v>
      </c>
    </row>
    <row r="571">
      <c r="A571" s="5">
        <v>570.0</v>
      </c>
      <c r="B571" s="5" t="s">
        <v>1227</v>
      </c>
      <c r="C571" s="5" t="s">
        <v>21</v>
      </c>
      <c r="K571" s="5">
        <v>1900.0</v>
      </c>
      <c r="N571" s="9">
        <v>44534.0</v>
      </c>
    </row>
    <row r="572">
      <c r="A572" s="5">
        <v>571.0</v>
      </c>
      <c r="B572" s="5" t="s">
        <v>1228</v>
      </c>
      <c r="C572" s="5" t="s">
        <v>21</v>
      </c>
      <c r="K572" s="5">
        <v>50.0</v>
      </c>
      <c r="N572" s="9">
        <v>44754.0</v>
      </c>
    </row>
    <row r="573">
      <c r="A573" s="5">
        <v>572.0</v>
      </c>
      <c r="B573" s="5" t="s">
        <v>1229</v>
      </c>
      <c r="C573" s="5" t="s">
        <v>21</v>
      </c>
      <c r="K573" s="5">
        <v>600.0</v>
      </c>
      <c r="N573" s="9">
        <v>45280.0</v>
      </c>
    </row>
    <row r="574">
      <c r="A574" s="5">
        <v>573.0</v>
      </c>
      <c r="B574" s="5" t="s">
        <v>1230</v>
      </c>
      <c r="C574" s="5" t="s">
        <v>21</v>
      </c>
      <c r="K574" s="5">
        <v>400.0</v>
      </c>
      <c r="N574" s="9">
        <v>45793.0</v>
      </c>
    </row>
    <row r="575">
      <c r="A575" s="5">
        <v>574.0</v>
      </c>
      <c r="B575" s="5" t="s">
        <v>1231</v>
      </c>
      <c r="C575" s="5" t="s">
        <v>21</v>
      </c>
      <c r="K575" s="5">
        <v>600.0</v>
      </c>
      <c r="N575" s="9">
        <v>45677.0</v>
      </c>
    </row>
    <row r="576">
      <c r="A576" s="5">
        <v>575.0</v>
      </c>
      <c r="B576" s="5" t="s">
        <v>1232</v>
      </c>
      <c r="C576" s="5" t="s">
        <v>21</v>
      </c>
      <c r="K576" s="5">
        <v>1000.0</v>
      </c>
      <c r="N576" s="9">
        <v>44465.0</v>
      </c>
    </row>
    <row r="577">
      <c r="A577" s="5">
        <v>576.0</v>
      </c>
      <c r="B577" s="5" t="s">
        <v>1233</v>
      </c>
      <c r="C577" s="5" t="s">
        <v>21</v>
      </c>
      <c r="K577" s="5">
        <v>20.0</v>
      </c>
      <c r="N577" s="9">
        <v>44842.0</v>
      </c>
    </row>
    <row r="578">
      <c r="A578" s="5">
        <v>577.0</v>
      </c>
      <c r="B578" s="5" t="s">
        <v>1234</v>
      </c>
      <c r="C578" s="5" t="s">
        <v>21</v>
      </c>
      <c r="K578" s="5">
        <v>600.0</v>
      </c>
      <c r="N578" s="9">
        <v>43879.0</v>
      </c>
    </row>
    <row r="579">
      <c r="A579" s="5">
        <v>578.0</v>
      </c>
      <c r="B579" s="5" t="s">
        <v>1235</v>
      </c>
      <c r="C579" s="5" t="s">
        <v>21</v>
      </c>
      <c r="N579" s="9">
        <v>44519.0</v>
      </c>
    </row>
    <row r="580">
      <c r="A580" s="5">
        <v>579.0</v>
      </c>
      <c r="B580" s="5" t="s">
        <v>1236</v>
      </c>
      <c r="C580" s="5" t="s">
        <v>21</v>
      </c>
      <c r="N580" s="9">
        <v>44518.0</v>
      </c>
    </row>
    <row r="581">
      <c r="A581" s="5">
        <v>580.0</v>
      </c>
      <c r="B581" s="5" t="s">
        <v>1237</v>
      </c>
      <c r="C581" s="5" t="s">
        <v>21</v>
      </c>
      <c r="K581" s="5">
        <v>80.0</v>
      </c>
      <c r="N581" s="9">
        <v>44636.0</v>
      </c>
    </row>
    <row r="582">
      <c r="A582" s="5">
        <v>581.0</v>
      </c>
      <c r="B582" s="5" t="s">
        <v>1238</v>
      </c>
      <c r="C582" s="5" t="s">
        <v>21</v>
      </c>
      <c r="K582" s="5">
        <v>700.0</v>
      </c>
      <c r="N582" s="9">
        <v>44331.0</v>
      </c>
    </row>
    <row r="583">
      <c r="A583" s="5">
        <v>582.0</v>
      </c>
      <c r="B583" s="5" t="s">
        <v>1239</v>
      </c>
      <c r="C583" s="5" t="s">
        <v>21</v>
      </c>
      <c r="K583" s="5">
        <v>1100.0</v>
      </c>
      <c r="N583" s="9">
        <v>44564.0</v>
      </c>
    </row>
    <row r="584">
      <c r="A584" s="5">
        <v>583.0</v>
      </c>
      <c r="B584" s="5" t="s">
        <v>1240</v>
      </c>
      <c r="C584" s="5" t="s">
        <v>21</v>
      </c>
      <c r="K584" s="5">
        <v>800.0</v>
      </c>
      <c r="N584" s="9">
        <v>44398.0</v>
      </c>
    </row>
    <row r="585">
      <c r="A585" s="5">
        <v>584.0</v>
      </c>
      <c r="B585" s="5" t="s">
        <v>1241</v>
      </c>
      <c r="C585" s="5" t="s">
        <v>21</v>
      </c>
      <c r="K585" s="5">
        <v>100.0</v>
      </c>
      <c r="N585" s="9">
        <v>44677.0</v>
      </c>
    </row>
    <row r="586">
      <c r="A586" s="5">
        <v>585.0</v>
      </c>
      <c r="B586" s="5" t="s">
        <v>1242</v>
      </c>
      <c r="C586" s="5" t="s">
        <v>21</v>
      </c>
      <c r="K586" s="5">
        <v>250.0</v>
      </c>
      <c r="N586" s="9">
        <v>44519.0</v>
      </c>
    </row>
    <row r="587">
      <c r="A587" s="5">
        <v>586.0</v>
      </c>
      <c r="B587" s="5" t="s">
        <v>1243</v>
      </c>
      <c r="C587" s="5" t="s">
        <v>21</v>
      </c>
      <c r="N587" s="9">
        <v>44587.0</v>
      </c>
    </row>
    <row r="588">
      <c r="A588" s="5">
        <v>587.0</v>
      </c>
      <c r="B588" s="5" t="s">
        <v>1244</v>
      </c>
      <c r="C588" s="5" t="s">
        <v>21</v>
      </c>
      <c r="K588" s="5">
        <v>150.0</v>
      </c>
      <c r="N588" s="9">
        <v>44124.0</v>
      </c>
    </row>
    <row r="589">
      <c r="A589" s="5">
        <v>588.0</v>
      </c>
      <c r="B589" s="5" t="s">
        <v>1245</v>
      </c>
      <c r="C589" s="5" t="s">
        <v>21</v>
      </c>
      <c r="K589" s="5">
        <v>350.0</v>
      </c>
      <c r="N589" s="9">
        <v>44021.0</v>
      </c>
    </row>
    <row r="590">
      <c r="A590" s="5">
        <v>589.0</v>
      </c>
      <c r="B590" s="5" t="s">
        <v>1246</v>
      </c>
      <c r="C590" s="5" t="s">
        <v>21</v>
      </c>
      <c r="K590" s="5">
        <v>90.0</v>
      </c>
      <c r="N590" s="9">
        <v>44768.0</v>
      </c>
    </row>
    <row r="591">
      <c r="A591" s="5">
        <v>590.0</v>
      </c>
      <c r="B591" s="5" t="s">
        <v>1247</v>
      </c>
      <c r="C591" s="5" t="s">
        <v>21</v>
      </c>
      <c r="K591" s="5">
        <v>3200.0</v>
      </c>
      <c r="N591" s="9">
        <v>45186.0</v>
      </c>
    </row>
    <row r="592">
      <c r="A592" s="5">
        <v>591.0</v>
      </c>
      <c r="B592" s="5" t="s">
        <v>1248</v>
      </c>
      <c r="C592" s="5" t="s">
        <v>21</v>
      </c>
      <c r="K592" s="5">
        <v>1300.0</v>
      </c>
      <c r="N592" s="9">
        <v>44540.0</v>
      </c>
    </row>
    <row r="593">
      <c r="A593" s="5">
        <v>592.0</v>
      </c>
      <c r="B593" s="5" t="s">
        <v>1249</v>
      </c>
      <c r="C593" s="5" t="s">
        <v>21</v>
      </c>
      <c r="K593" s="5">
        <v>100.0</v>
      </c>
      <c r="N593" s="9">
        <v>43849.0</v>
      </c>
    </row>
    <row r="594">
      <c r="A594" s="5">
        <v>593.0</v>
      </c>
      <c r="B594" s="5" t="s">
        <v>1250</v>
      </c>
      <c r="C594" s="5" t="s">
        <v>21</v>
      </c>
      <c r="K594" s="5">
        <v>80.0</v>
      </c>
      <c r="N594" s="9">
        <v>44990.0</v>
      </c>
    </row>
    <row r="595">
      <c r="A595" s="5">
        <v>594.0</v>
      </c>
      <c r="B595" s="5" t="s">
        <v>1251</v>
      </c>
      <c r="C595" s="5" t="s">
        <v>21</v>
      </c>
      <c r="N595" s="9">
        <v>44532.0</v>
      </c>
    </row>
    <row r="596">
      <c r="A596" s="5">
        <v>595.0</v>
      </c>
      <c r="B596" s="5" t="s">
        <v>1252</v>
      </c>
      <c r="C596" s="5" t="s">
        <v>21</v>
      </c>
      <c r="K596" s="5">
        <v>150.0</v>
      </c>
      <c r="N596" s="9">
        <v>43954.0</v>
      </c>
    </row>
    <row r="597">
      <c r="A597" s="5">
        <v>596.0</v>
      </c>
      <c r="B597" s="5" t="s">
        <v>1253</v>
      </c>
      <c r="C597" s="5" t="s">
        <v>21</v>
      </c>
      <c r="K597" s="5">
        <v>90.0</v>
      </c>
      <c r="N597" s="9">
        <v>44573.0</v>
      </c>
    </row>
    <row r="598">
      <c r="A598" s="5">
        <v>597.0</v>
      </c>
      <c r="B598" s="5" t="s">
        <v>1254</v>
      </c>
      <c r="C598" s="5" t="s">
        <v>21</v>
      </c>
      <c r="K598" s="5">
        <v>250.0</v>
      </c>
      <c r="N598" s="9">
        <v>44676.0</v>
      </c>
    </row>
    <row r="599">
      <c r="A599" s="5">
        <v>598.0</v>
      </c>
      <c r="B599" s="5" t="s">
        <v>1255</v>
      </c>
      <c r="C599" s="5" t="s">
        <v>21</v>
      </c>
      <c r="K599" s="5">
        <v>10.0</v>
      </c>
      <c r="N599" s="9">
        <v>44683.0</v>
      </c>
    </row>
    <row r="600">
      <c r="A600" s="5">
        <v>599.0</v>
      </c>
      <c r="B600" s="5" t="s">
        <v>1256</v>
      </c>
      <c r="C600" s="5" t="s">
        <v>21</v>
      </c>
      <c r="K600" s="5">
        <v>450.0</v>
      </c>
      <c r="N600" s="9">
        <v>44430.0</v>
      </c>
    </row>
    <row r="601">
      <c r="A601" s="5">
        <v>600.0</v>
      </c>
      <c r="B601" s="5" t="s">
        <v>1257</v>
      </c>
      <c r="C601" s="5" t="s">
        <v>21</v>
      </c>
      <c r="K601" s="5">
        <v>50.0</v>
      </c>
      <c r="N601" s="9">
        <v>45739.0</v>
      </c>
    </row>
    <row r="602">
      <c r="A602" s="5">
        <v>601.0</v>
      </c>
      <c r="B602" s="5" t="s">
        <v>1258</v>
      </c>
      <c r="C602" s="5" t="s">
        <v>21</v>
      </c>
      <c r="K602" s="5">
        <v>300.0</v>
      </c>
      <c r="N602" s="9">
        <v>45093.0</v>
      </c>
    </row>
    <row r="603">
      <c r="A603" s="5">
        <v>602.0</v>
      </c>
      <c r="B603" s="5" t="s">
        <v>1259</v>
      </c>
      <c r="C603" s="5" t="s">
        <v>21</v>
      </c>
      <c r="K603" s="5">
        <v>2300.0</v>
      </c>
      <c r="N603" s="9">
        <v>44318.0</v>
      </c>
    </row>
    <row r="604">
      <c r="A604" s="5">
        <v>603.0</v>
      </c>
      <c r="B604" s="5" t="s">
        <v>1260</v>
      </c>
      <c r="C604" s="5" t="s">
        <v>21</v>
      </c>
      <c r="K604" s="5">
        <v>200.0</v>
      </c>
      <c r="N604" s="9">
        <v>44653.0</v>
      </c>
    </row>
    <row r="605">
      <c r="A605" s="5">
        <v>604.0</v>
      </c>
      <c r="B605" s="5" t="s">
        <v>1261</v>
      </c>
      <c r="C605" s="5" t="s">
        <v>21</v>
      </c>
      <c r="K605" s="5">
        <v>250.0</v>
      </c>
      <c r="N605" s="9">
        <v>44532.0</v>
      </c>
    </row>
    <row r="606">
      <c r="A606" s="5">
        <v>605.0</v>
      </c>
      <c r="B606" s="5" t="s">
        <v>1262</v>
      </c>
      <c r="C606" s="5" t="s">
        <v>21</v>
      </c>
      <c r="K606" s="5">
        <v>30.0</v>
      </c>
      <c r="N606" s="9">
        <v>44727.0</v>
      </c>
    </row>
    <row r="607">
      <c r="A607" s="5">
        <v>606.0</v>
      </c>
      <c r="B607" s="5" t="s">
        <v>1263</v>
      </c>
      <c r="C607" s="5" t="s">
        <v>21</v>
      </c>
      <c r="K607" s="5">
        <v>70.0</v>
      </c>
      <c r="N607" s="9">
        <v>43861.0</v>
      </c>
    </row>
    <row r="608">
      <c r="A608" s="5">
        <v>607.0</v>
      </c>
      <c r="B608" s="5" t="s">
        <v>1264</v>
      </c>
      <c r="C608" s="5" t="s">
        <v>21</v>
      </c>
      <c r="K608" s="5">
        <v>600.0</v>
      </c>
      <c r="N608" s="9">
        <v>44635.0</v>
      </c>
    </row>
    <row r="609">
      <c r="A609" s="5">
        <v>608.0</v>
      </c>
      <c r="B609" s="5" t="s">
        <v>1265</v>
      </c>
      <c r="C609" s="5" t="s">
        <v>21</v>
      </c>
      <c r="K609" s="5">
        <v>150.0</v>
      </c>
      <c r="N609" s="9">
        <v>44520.0</v>
      </c>
    </row>
    <row r="610">
      <c r="A610" s="5">
        <v>609.0</v>
      </c>
      <c r="B610" s="5" t="s">
        <v>1266</v>
      </c>
      <c r="C610" s="5" t="s">
        <v>21</v>
      </c>
      <c r="K610" s="5">
        <v>1000.0</v>
      </c>
      <c r="N610" s="9">
        <v>44629.0</v>
      </c>
    </row>
    <row r="611">
      <c r="A611" s="5">
        <v>610.0</v>
      </c>
      <c r="B611" s="5" t="s">
        <v>1267</v>
      </c>
      <c r="C611" s="5" t="s">
        <v>21</v>
      </c>
      <c r="K611" s="5">
        <v>300.0</v>
      </c>
      <c r="N611" s="9">
        <v>44352.0</v>
      </c>
    </row>
    <row r="612">
      <c r="A612" s="5">
        <v>611.0</v>
      </c>
      <c r="B612" s="5" t="s">
        <v>1268</v>
      </c>
      <c r="C612" s="5" t="s">
        <v>21</v>
      </c>
      <c r="K612" s="5">
        <v>4600.0</v>
      </c>
      <c r="N612" s="9">
        <v>44649.0</v>
      </c>
    </row>
    <row r="613">
      <c r="A613" s="5">
        <v>612.0</v>
      </c>
      <c r="B613" s="5" t="s">
        <v>1269</v>
      </c>
      <c r="C613" s="5" t="s">
        <v>21</v>
      </c>
      <c r="K613" s="5">
        <v>70.0</v>
      </c>
      <c r="N613" s="9">
        <v>44782.0</v>
      </c>
    </row>
    <row r="614">
      <c r="A614" s="5">
        <v>613.0</v>
      </c>
      <c r="B614" s="5" t="s">
        <v>1270</v>
      </c>
      <c r="C614" s="5" t="s">
        <v>21</v>
      </c>
      <c r="K614" s="5">
        <v>100.0</v>
      </c>
      <c r="N614" s="9">
        <v>44772.0</v>
      </c>
    </row>
    <row r="615">
      <c r="A615" s="5">
        <v>614.0</v>
      </c>
      <c r="B615" s="5" t="s">
        <v>1271</v>
      </c>
      <c r="C615" s="5" t="s">
        <v>21</v>
      </c>
      <c r="K615" s="5">
        <v>400.0</v>
      </c>
      <c r="N615" s="9">
        <v>44529.0</v>
      </c>
    </row>
    <row r="616">
      <c r="A616" s="5">
        <v>615.0</v>
      </c>
      <c r="B616" s="5" t="s">
        <v>1272</v>
      </c>
      <c r="C616" s="5" t="s">
        <v>21</v>
      </c>
      <c r="K616" s="5">
        <v>900.0</v>
      </c>
      <c r="N616" s="9">
        <v>44520.0</v>
      </c>
    </row>
    <row r="617">
      <c r="A617" s="5">
        <v>616.0</v>
      </c>
      <c r="B617" s="5" t="s">
        <v>1273</v>
      </c>
      <c r="C617" s="5" t="s">
        <v>21</v>
      </c>
      <c r="K617" s="5">
        <v>200.0</v>
      </c>
      <c r="N617" s="9">
        <v>44807.0</v>
      </c>
    </row>
    <row r="618">
      <c r="A618" s="5">
        <v>617.0</v>
      </c>
      <c r="B618" s="5" t="s">
        <v>1274</v>
      </c>
      <c r="C618" s="5" t="s">
        <v>21</v>
      </c>
      <c r="N618" s="9">
        <v>44517.0</v>
      </c>
    </row>
    <row r="619">
      <c r="A619" s="5">
        <v>618.0</v>
      </c>
      <c r="B619" s="5" t="s">
        <v>1275</v>
      </c>
      <c r="C619" s="5" t="s">
        <v>21</v>
      </c>
      <c r="K619" s="5">
        <v>100.0</v>
      </c>
      <c r="N619" s="9">
        <v>44418.0</v>
      </c>
    </row>
    <row r="620">
      <c r="A620" s="5">
        <v>619.0</v>
      </c>
      <c r="B620" s="5" t="s">
        <v>1276</v>
      </c>
      <c r="C620" s="5" t="s">
        <v>21</v>
      </c>
      <c r="K620" s="5">
        <v>300.0</v>
      </c>
      <c r="N620" s="9">
        <v>44036.0</v>
      </c>
    </row>
    <row r="621">
      <c r="A621" s="5">
        <v>620.0</v>
      </c>
      <c r="B621" s="5" t="s">
        <v>1277</v>
      </c>
      <c r="C621" s="5" t="s">
        <v>21</v>
      </c>
      <c r="K621" s="5">
        <v>450.0</v>
      </c>
      <c r="N621" s="9">
        <v>44257.0</v>
      </c>
    </row>
    <row r="622">
      <c r="A622" s="5">
        <v>621.0</v>
      </c>
      <c r="B622" s="5" t="s">
        <v>1278</v>
      </c>
      <c r="C622" s="5" t="s">
        <v>21</v>
      </c>
      <c r="K622" s="5">
        <v>50.0</v>
      </c>
      <c r="N622" s="9">
        <v>43946.0</v>
      </c>
    </row>
    <row r="623">
      <c r="A623" s="5">
        <v>622.0</v>
      </c>
      <c r="B623" s="5" t="s">
        <v>1279</v>
      </c>
      <c r="C623" s="5" t="s">
        <v>21</v>
      </c>
      <c r="K623" s="5">
        <v>250.0</v>
      </c>
      <c r="N623" s="9">
        <v>45562.0</v>
      </c>
    </row>
    <row r="624">
      <c r="A624" s="5">
        <v>623.0</v>
      </c>
      <c r="B624" s="5" t="s">
        <v>1280</v>
      </c>
      <c r="C624" s="5" t="s">
        <v>21</v>
      </c>
      <c r="K624" s="5">
        <v>4700.0</v>
      </c>
      <c r="N624" s="9">
        <v>44095.0</v>
      </c>
    </row>
    <row r="625">
      <c r="A625" s="5">
        <v>624.0</v>
      </c>
      <c r="B625" s="5" t="s">
        <v>1281</v>
      </c>
      <c r="C625" s="5" t="s">
        <v>21</v>
      </c>
      <c r="K625" s="5">
        <v>1800.0</v>
      </c>
      <c r="N625" s="9">
        <v>44331.0</v>
      </c>
    </row>
    <row r="626">
      <c r="A626" s="5">
        <v>625.0</v>
      </c>
      <c r="B626" s="5" t="s">
        <v>1282</v>
      </c>
      <c r="C626" s="5" t="s">
        <v>21</v>
      </c>
      <c r="K626" s="5">
        <v>600.0</v>
      </c>
      <c r="N626" s="9">
        <v>44534.0</v>
      </c>
    </row>
    <row r="627">
      <c r="A627" s="5">
        <v>626.0</v>
      </c>
      <c r="B627" s="5" t="s">
        <v>1283</v>
      </c>
      <c r="C627" s="5" t="s">
        <v>21</v>
      </c>
      <c r="N627" s="9">
        <v>44538.0</v>
      </c>
    </row>
    <row r="628">
      <c r="A628" s="5">
        <v>627.0</v>
      </c>
      <c r="B628" s="5" t="s">
        <v>1284</v>
      </c>
      <c r="C628" s="5" t="s">
        <v>21</v>
      </c>
      <c r="K628" s="5">
        <v>700.0</v>
      </c>
      <c r="N628" s="9">
        <v>44137.0</v>
      </c>
    </row>
    <row r="629">
      <c r="A629" s="5">
        <v>628.0</v>
      </c>
      <c r="B629" s="5" t="s">
        <v>1285</v>
      </c>
      <c r="C629" s="5" t="s">
        <v>21</v>
      </c>
      <c r="K629" s="5">
        <v>10000.0</v>
      </c>
      <c r="N629" s="9">
        <v>45025.0</v>
      </c>
    </row>
    <row r="630">
      <c r="A630" s="5">
        <v>629.0</v>
      </c>
      <c r="B630" s="5" t="s">
        <v>1286</v>
      </c>
      <c r="C630" s="5" t="s">
        <v>21</v>
      </c>
      <c r="K630" s="5">
        <v>250.0</v>
      </c>
      <c r="N630" s="9">
        <v>44532.0</v>
      </c>
    </row>
    <row r="631">
      <c r="A631" s="5">
        <v>630.0</v>
      </c>
      <c r="B631" s="5" t="s">
        <v>1287</v>
      </c>
      <c r="C631" s="5" t="s">
        <v>21</v>
      </c>
      <c r="K631" s="5">
        <v>400.0</v>
      </c>
      <c r="N631" s="9">
        <v>44984.0</v>
      </c>
    </row>
    <row r="632">
      <c r="A632" s="5">
        <v>631.0</v>
      </c>
      <c r="B632" s="5" t="s">
        <v>1288</v>
      </c>
      <c r="C632" s="5" t="s">
        <v>21</v>
      </c>
      <c r="K632" s="5">
        <v>500.0</v>
      </c>
      <c r="N632" s="9">
        <v>44322.0</v>
      </c>
    </row>
    <row r="633">
      <c r="A633" s="5">
        <v>632.0</v>
      </c>
      <c r="B633" s="5" t="s">
        <v>1289</v>
      </c>
      <c r="C633" s="5" t="s">
        <v>21</v>
      </c>
      <c r="N633" s="9">
        <v>44531.0</v>
      </c>
    </row>
    <row r="634">
      <c r="A634" s="5">
        <v>633.0</v>
      </c>
      <c r="B634" s="5" t="s">
        <v>1290</v>
      </c>
      <c r="C634" s="5" t="s">
        <v>21</v>
      </c>
      <c r="K634" s="5">
        <v>100.0</v>
      </c>
      <c r="N634" s="9">
        <v>44282.0</v>
      </c>
    </row>
    <row r="635">
      <c r="A635" s="5">
        <v>634.0</v>
      </c>
      <c r="B635" s="5" t="s">
        <v>1291</v>
      </c>
      <c r="C635" s="5" t="s">
        <v>21</v>
      </c>
      <c r="K635" s="5">
        <v>300.0</v>
      </c>
      <c r="N635" s="9">
        <v>44626.0</v>
      </c>
    </row>
    <row r="636">
      <c r="A636" s="5">
        <v>635.0</v>
      </c>
      <c r="B636" s="5" t="s">
        <v>1292</v>
      </c>
      <c r="C636" s="5" t="s">
        <v>21</v>
      </c>
      <c r="K636" s="5">
        <v>250.0</v>
      </c>
      <c r="N636" s="9">
        <v>45046.0</v>
      </c>
    </row>
    <row r="637">
      <c r="A637" s="5">
        <v>636.0</v>
      </c>
      <c r="B637" s="5" t="s">
        <v>1293</v>
      </c>
      <c r="C637" s="5" t="s">
        <v>21</v>
      </c>
      <c r="K637" s="5">
        <v>10.0</v>
      </c>
      <c r="N637" s="9">
        <v>44582.0</v>
      </c>
    </row>
    <row r="638">
      <c r="A638" s="5">
        <v>637.0</v>
      </c>
      <c r="B638" s="5" t="s">
        <v>1294</v>
      </c>
      <c r="C638" s="5" t="s">
        <v>21</v>
      </c>
      <c r="K638" s="5">
        <v>500.0</v>
      </c>
      <c r="N638" s="9">
        <v>44862.0</v>
      </c>
    </row>
    <row r="639">
      <c r="A639" s="5">
        <v>638.0</v>
      </c>
      <c r="B639" s="5" t="s">
        <v>1295</v>
      </c>
      <c r="C639" s="5" t="s">
        <v>21</v>
      </c>
      <c r="K639" s="5">
        <v>300.0</v>
      </c>
      <c r="N639" s="9">
        <v>45149.0</v>
      </c>
    </row>
    <row r="640">
      <c r="A640" s="5">
        <v>639.0</v>
      </c>
      <c r="B640" s="5" t="s">
        <v>1296</v>
      </c>
      <c r="C640" s="5" t="s">
        <v>21</v>
      </c>
      <c r="N640" s="9">
        <v>44197.0</v>
      </c>
    </row>
    <row r="641">
      <c r="A641" s="5">
        <v>640.0</v>
      </c>
      <c r="B641" s="5" t="s">
        <v>1297</v>
      </c>
      <c r="C641" s="5" t="s">
        <v>21</v>
      </c>
      <c r="N641" s="9">
        <v>44494.0</v>
      </c>
    </row>
    <row r="642">
      <c r="A642" s="5">
        <v>641.0</v>
      </c>
      <c r="B642" s="5" t="s">
        <v>1298</v>
      </c>
      <c r="C642" s="5" t="s">
        <v>21</v>
      </c>
      <c r="K642" s="5">
        <v>10.0</v>
      </c>
      <c r="N642" s="9">
        <v>44118.0</v>
      </c>
    </row>
    <row r="643">
      <c r="A643" s="5">
        <v>642.0</v>
      </c>
      <c r="B643" s="5" t="s">
        <v>1299</v>
      </c>
      <c r="C643" s="5" t="s">
        <v>21</v>
      </c>
      <c r="K643" s="5">
        <v>1200.0</v>
      </c>
      <c r="N643" s="9">
        <v>45544.0</v>
      </c>
    </row>
    <row r="644">
      <c r="A644" s="5">
        <v>643.0</v>
      </c>
      <c r="B644" s="5" t="s">
        <v>1300</v>
      </c>
      <c r="C644" s="5" t="s">
        <v>21</v>
      </c>
      <c r="K644" s="5">
        <v>200.0</v>
      </c>
      <c r="N644" s="9">
        <v>44794.0</v>
      </c>
    </row>
    <row r="645">
      <c r="A645" s="5">
        <v>644.0</v>
      </c>
      <c r="B645" s="5" t="s">
        <v>1301</v>
      </c>
      <c r="C645" s="5" t="s">
        <v>21</v>
      </c>
      <c r="K645" s="5">
        <v>3000.0</v>
      </c>
      <c r="N645" s="9">
        <v>44510.0</v>
      </c>
    </row>
    <row r="646">
      <c r="A646" s="5">
        <v>645.0</v>
      </c>
      <c r="B646" s="5" t="s">
        <v>1302</v>
      </c>
      <c r="C646" s="5" t="s">
        <v>21</v>
      </c>
      <c r="K646" s="5">
        <v>250.0</v>
      </c>
      <c r="N646" s="9">
        <v>44520.0</v>
      </c>
    </row>
    <row r="647">
      <c r="A647" s="5">
        <v>646.0</v>
      </c>
      <c r="B647" s="5" t="s">
        <v>1303</v>
      </c>
      <c r="C647" s="5" t="s">
        <v>21</v>
      </c>
      <c r="K647" s="5">
        <v>20.0</v>
      </c>
      <c r="N647" s="9">
        <v>44503.0</v>
      </c>
    </row>
    <row r="648">
      <c r="A648" s="5">
        <v>647.0</v>
      </c>
      <c r="B648" s="5" t="s">
        <v>1304</v>
      </c>
      <c r="C648" s="5" t="s">
        <v>21</v>
      </c>
      <c r="K648" s="5">
        <v>100.0</v>
      </c>
      <c r="N648" s="9">
        <v>44752.0</v>
      </c>
    </row>
    <row r="649">
      <c r="A649" s="5">
        <v>648.0</v>
      </c>
      <c r="B649" s="5" t="s">
        <v>1305</v>
      </c>
      <c r="C649" s="5" t="s">
        <v>21</v>
      </c>
      <c r="K649" s="5">
        <v>1200.0</v>
      </c>
      <c r="N649" s="9">
        <v>44250.0</v>
      </c>
    </row>
    <row r="650">
      <c r="A650" s="5">
        <v>649.0</v>
      </c>
      <c r="B650" s="5" t="s">
        <v>1306</v>
      </c>
      <c r="C650" s="5" t="s">
        <v>21</v>
      </c>
      <c r="K650" s="5">
        <v>250.0</v>
      </c>
      <c r="N650" s="9">
        <v>44571.0</v>
      </c>
    </row>
    <row r="651">
      <c r="A651" s="5">
        <v>650.0</v>
      </c>
      <c r="B651" s="5" t="s">
        <v>1307</v>
      </c>
      <c r="C651" s="5" t="s">
        <v>21</v>
      </c>
      <c r="K651" s="5">
        <v>100.0</v>
      </c>
      <c r="N651" s="9">
        <v>44615.0</v>
      </c>
    </row>
    <row r="652">
      <c r="A652" s="5">
        <v>651.0</v>
      </c>
      <c r="B652" s="5" t="s">
        <v>1308</v>
      </c>
      <c r="C652" s="5" t="s">
        <v>21</v>
      </c>
      <c r="N652" s="9">
        <v>44572.0</v>
      </c>
    </row>
    <row r="653">
      <c r="A653" s="5">
        <v>652.0</v>
      </c>
      <c r="B653" s="5" t="s">
        <v>1309</v>
      </c>
      <c r="C653" s="5" t="s">
        <v>21</v>
      </c>
      <c r="K653" s="5">
        <v>200.0</v>
      </c>
      <c r="N653" s="9">
        <v>44392.0</v>
      </c>
    </row>
    <row r="654">
      <c r="A654" s="5">
        <v>653.0</v>
      </c>
      <c r="B654" s="5" t="s">
        <v>1310</v>
      </c>
      <c r="C654" s="5" t="s">
        <v>21</v>
      </c>
      <c r="K654" s="5">
        <v>1000.0</v>
      </c>
      <c r="N654" s="9">
        <v>44407.0</v>
      </c>
    </row>
    <row r="655">
      <c r="A655" s="5">
        <v>654.0</v>
      </c>
      <c r="B655" s="5" t="s">
        <v>1311</v>
      </c>
      <c r="C655" s="5" t="s">
        <v>21</v>
      </c>
      <c r="K655" s="5">
        <v>7700.0</v>
      </c>
      <c r="N655" s="9">
        <v>45942.0</v>
      </c>
    </row>
    <row r="656">
      <c r="A656" s="5">
        <v>655.0</v>
      </c>
      <c r="B656" s="5" t="s">
        <v>1312</v>
      </c>
      <c r="C656" s="5" t="s">
        <v>21</v>
      </c>
      <c r="K656" s="5">
        <v>100.0</v>
      </c>
      <c r="N656" s="9">
        <v>44866.0</v>
      </c>
    </row>
    <row r="657">
      <c r="A657" s="5">
        <v>656.0</v>
      </c>
      <c r="B657" s="5" t="s">
        <v>1313</v>
      </c>
      <c r="C657" s="5" t="s">
        <v>21</v>
      </c>
      <c r="N657" s="9">
        <v>44536.0</v>
      </c>
    </row>
    <row r="658">
      <c r="A658" s="5">
        <v>657.0</v>
      </c>
      <c r="B658" s="5" t="s">
        <v>1314</v>
      </c>
      <c r="C658" s="5" t="s">
        <v>21</v>
      </c>
      <c r="K658" s="5">
        <v>4100.0</v>
      </c>
      <c r="N658" s="9">
        <v>43968.0</v>
      </c>
    </row>
    <row r="659">
      <c r="A659" s="5">
        <v>658.0</v>
      </c>
      <c r="B659" s="5" t="s">
        <v>1315</v>
      </c>
      <c r="C659" s="5" t="s">
        <v>21</v>
      </c>
      <c r="K659" s="5">
        <v>300.0</v>
      </c>
      <c r="N659" s="9">
        <v>44710.0</v>
      </c>
    </row>
    <row r="660">
      <c r="A660" s="5">
        <v>659.0</v>
      </c>
      <c r="B660" s="5" t="s">
        <v>1316</v>
      </c>
      <c r="C660" s="5" t="s">
        <v>21</v>
      </c>
      <c r="K660" s="5">
        <v>800.0</v>
      </c>
      <c r="N660" s="9">
        <v>44145.0</v>
      </c>
    </row>
    <row r="661">
      <c r="A661" s="5">
        <v>660.0</v>
      </c>
      <c r="B661" s="5" t="s">
        <v>1317</v>
      </c>
      <c r="C661" s="5" t="s">
        <v>21</v>
      </c>
      <c r="K661" s="5">
        <v>150.0</v>
      </c>
      <c r="N661" s="9">
        <v>44549.0</v>
      </c>
    </row>
    <row r="662">
      <c r="A662" s="5">
        <v>661.0</v>
      </c>
      <c r="B662" s="5" t="s">
        <v>1318</v>
      </c>
      <c r="C662" s="5" t="s">
        <v>21</v>
      </c>
      <c r="K662" s="5">
        <v>1700.0</v>
      </c>
      <c r="N662" s="9">
        <v>44530.0</v>
      </c>
    </row>
    <row r="663">
      <c r="A663" s="5">
        <v>662.0</v>
      </c>
      <c r="B663" s="5" t="s">
        <v>1319</v>
      </c>
      <c r="C663" s="5" t="s">
        <v>21</v>
      </c>
      <c r="K663" s="5">
        <v>200.0</v>
      </c>
      <c r="N663" s="9">
        <v>44287.0</v>
      </c>
    </row>
    <row r="664">
      <c r="A664" s="5">
        <v>663.0</v>
      </c>
      <c r="B664" s="5" t="s">
        <v>1320</v>
      </c>
      <c r="C664" s="5" t="s">
        <v>21</v>
      </c>
      <c r="K664" s="5">
        <v>50.0</v>
      </c>
      <c r="N664" s="9">
        <v>44796.0</v>
      </c>
    </row>
    <row r="665">
      <c r="A665" s="5">
        <v>664.0</v>
      </c>
      <c r="B665" s="5" t="s">
        <v>1321</v>
      </c>
      <c r="C665" s="5" t="s">
        <v>21</v>
      </c>
      <c r="K665" s="5">
        <v>70.0</v>
      </c>
      <c r="N665" s="9">
        <v>44330.0</v>
      </c>
    </row>
    <row r="666">
      <c r="A666" s="5">
        <v>665.0</v>
      </c>
      <c r="B666" s="5" t="s">
        <v>1322</v>
      </c>
      <c r="C666" s="5" t="s">
        <v>21</v>
      </c>
      <c r="K666" s="5">
        <v>150.0</v>
      </c>
      <c r="N666" s="9">
        <v>44863.0</v>
      </c>
    </row>
    <row r="667">
      <c r="A667" s="5">
        <v>666.0</v>
      </c>
      <c r="B667" s="5" t="s">
        <v>1323</v>
      </c>
      <c r="C667" s="5" t="s">
        <v>21</v>
      </c>
      <c r="K667" s="5">
        <v>500.0</v>
      </c>
      <c r="N667" s="9">
        <v>45162.0</v>
      </c>
    </row>
    <row r="668">
      <c r="A668" s="5">
        <v>667.0</v>
      </c>
      <c r="B668" s="5" t="s">
        <v>1324</v>
      </c>
      <c r="C668" s="5" t="s">
        <v>21</v>
      </c>
      <c r="K668" s="5">
        <v>600.0</v>
      </c>
      <c r="N668" s="9">
        <v>44329.0</v>
      </c>
    </row>
    <row r="669">
      <c r="A669" s="5">
        <v>668.0</v>
      </c>
      <c r="B669" s="5" t="s">
        <v>1325</v>
      </c>
      <c r="C669" s="5" t="s">
        <v>21</v>
      </c>
      <c r="K669" s="5">
        <v>20.0</v>
      </c>
      <c r="N669" s="9">
        <v>44595.0</v>
      </c>
    </row>
    <row r="670">
      <c r="A670" s="5">
        <v>669.0</v>
      </c>
      <c r="B670" s="5" t="s">
        <v>39</v>
      </c>
      <c r="C670" s="5" t="s">
        <v>21</v>
      </c>
      <c r="K670" s="5">
        <v>30.0</v>
      </c>
      <c r="N670" s="9">
        <v>44667.0</v>
      </c>
    </row>
    <row r="671">
      <c r="A671" s="5">
        <v>670.0</v>
      </c>
      <c r="B671" s="5" t="s">
        <v>1326</v>
      </c>
      <c r="C671" s="5" t="s">
        <v>21</v>
      </c>
      <c r="K671" s="5">
        <v>1000.0</v>
      </c>
      <c r="N671" s="9">
        <v>45613.0</v>
      </c>
    </row>
    <row r="672">
      <c r="A672" s="5">
        <v>671.0</v>
      </c>
      <c r="B672" s="5" t="s">
        <v>1327</v>
      </c>
      <c r="C672" s="5" t="s">
        <v>21</v>
      </c>
      <c r="K672" s="5">
        <v>150.0</v>
      </c>
      <c r="N672" s="9">
        <v>44930.0</v>
      </c>
    </row>
    <row r="673">
      <c r="A673" s="5">
        <v>672.0</v>
      </c>
      <c r="B673" s="5" t="s">
        <v>1328</v>
      </c>
      <c r="C673" s="5" t="s">
        <v>21</v>
      </c>
      <c r="K673" s="5">
        <v>3800.0</v>
      </c>
      <c r="N673" s="9">
        <v>43878.0</v>
      </c>
    </row>
    <row r="674">
      <c r="A674" s="5">
        <v>673.0</v>
      </c>
      <c r="B674" s="5" t="s">
        <v>1329</v>
      </c>
      <c r="C674" s="5" t="s">
        <v>21</v>
      </c>
      <c r="K674" s="5">
        <v>10.0</v>
      </c>
      <c r="N674" s="9">
        <v>43848.0</v>
      </c>
    </row>
    <row r="675">
      <c r="A675" s="5">
        <v>674.0</v>
      </c>
      <c r="B675" s="5" t="s">
        <v>1330</v>
      </c>
      <c r="C675" s="5" t="s">
        <v>21</v>
      </c>
      <c r="K675" s="5">
        <v>70.0</v>
      </c>
      <c r="N675" s="9">
        <v>44269.0</v>
      </c>
    </row>
    <row r="676">
      <c r="A676" s="5">
        <v>675.0</v>
      </c>
      <c r="B676" s="5" t="s">
        <v>116</v>
      </c>
      <c r="C676" s="5" t="s">
        <v>21</v>
      </c>
      <c r="K676" s="5">
        <v>12000.0</v>
      </c>
      <c r="N676" s="9">
        <v>43855.0</v>
      </c>
    </row>
    <row r="677">
      <c r="A677" s="5">
        <v>676.0</v>
      </c>
      <c r="B677" s="5" t="s">
        <v>1331</v>
      </c>
      <c r="C677" s="5" t="s">
        <v>21</v>
      </c>
      <c r="K677" s="5">
        <v>27000.0</v>
      </c>
      <c r="N677" s="9">
        <v>43851.0</v>
      </c>
    </row>
    <row r="678">
      <c r="A678" s="5">
        <v>677.0</v>
      </c>
      <c r="B678" s="5" t="s">
        <v>1332</v>
      </c>
      <c r="C678" s="5" t="s">
        <v>21</v>
      </c>
      <c r="K678" s="5">
        <v>1800.0</v>
      </c>
      <c r="N678" s="9">
        <v>44358.0</v>
      </c>
    </row>
    <row r="679">
      <c r="A679" s="5">
        <v>678.0</v>
      </c>
      <c r="B679" s="5" t="s">
        <v>1333</v>
      </c>
      <c r="C679" s="5" t="s">
        <v>21</v>
      </c>
      <c r="K679" s="5">
        <v>6900.0</v>
      </c>
      <c r="N679" s="9">
        <v>43906.0</v>
      </c>
    </row>
    <row r="680">
      <c r="A680" s="5">
        <v>679.0</v>
      </c>
      <c r="B680" s="5" t="s">
        <v>1334</v>
      </c>
      <c r="C680" s="5" t="s">
        <v>21</v>
      </c>
      <c r="K680" s="5">
        <v>30.0</v>
      </c>
      <c r="N680" s="9">
        <v>45403.0</v>
      </c>
    </row>
    <row r="681">
      <c r="A681" s="5">
        <v>680.0</v>
      </c>
      <c r="B681" s="5" t="s">
        <v>1335</v>
      </c>
      <c r="C681" s="5" t="s">
        <v>21</v>
      </c>
      <c r="K681" s="5">
        <v>60.0</v>
      </c>
      <c r="N681" s="9">
        <v>44921.0</v>
      </c>
    </row>
    <row r="682">
      <c r="A682" s="5">
        <v>681.0</v>
      </c>
      <c r="B682" s="5" t="s">
        <v>1336</v>
      </c>
      <c r="C682" s="5" t="s">
        <v>21</v>
      </c>
      <c r="K682" s="5">
        <v>450.0</v>
      </c>
      <c r="N682" s="9">
        <v>44926.0</v>
      </c>
    </row>
    <row r="683">
      <c r="A683" s="5">
        <v>682.0</v>
      </c>
      <c r="B683" s="5" t="s">
        <v>1337</v>
      </c>
      <c r="C683" s="5" t="s">
        <v>21</v>
      </c>
      <c r="K683" s="5">
        <v>3500.0</v>
      </c>
      <c r="N683" s="9">
        <v>44531.0</v>
      </c>
    </row>
    <row r="684">
      <c r="A684" s="5">
        <v>683.0</v>
      </c>
      <c r="B684" s="5" t="s">
        <v>1338</v>
      </c>
      <c r="C684" s="5" t="s">
        <v>21</v>
      </c>
      <c r="K684" s="5">
        <v>80.0</v>
      </c>
      <c r="N684" s="9">
        <v>44847.0</v>
      </c>
    </row>
    <row r="685">
      <c r="A685" s="5">
        <v>684.0</v>
      </c>
      <c r="B685" s="5" t="s">
        <v>1339</v>
      </c>
      <c r="C685" s="5" t="s">
        <v>21</v>
      </c>
      <c r="K685" s="5">
        <v>250.0</v>
      </c>
      <c r="N685" s="9">
        <v>44162.0</v>
      </c>
    </row>
    <row r="686">
      <c r="A686" s="5">
        <v>685.0</v>
      </c>
      <c r="B686" s="5" t="s">
        <v>1340</v>
      </c>
      <c r="C686" s="5" t="s">
        <v>21</v>
      </c>
      <c r="K686" s="5">
        <v>20.0</v>
      </c>
      <c r="N686" s="9">
        <v>44143.0</v>
      </c>
    </row>
    <row r="687">
      <c r="A687" s="5">
        <v>686.0</v>
      </c>
      <c r="B687" s="5" t="s">
        <v>1341</v>
      </c>
      <c r="C687" s="5" t="s">
        <v>21</v>
      </c>
      <c r="K687" s="5">
        <v>400.0</v>
      </c>
      <c r="N687" s="9">
        <v>43918.0</v>
      </c>
    </row>
    <row r="688">
      <c r="A688" s="5">
        <v>687.0</v>
      </c>
      <c r="B688" s="5" t="s">
        <v>1342</v>
      </c>
      <c r="C688" s="5" t="s">
        <v>21</v>
      </c>
      <c r="K688" s="5">
        <v>450.0</v>
      </c>
      <c r="N688" s="9">
        <v>44380.0</v>
      </c>
    </row>
    <row r="689">
      <c r="A689" s="5">
        <v>688.0</v>
      </c>
      <c r="B689" s="5" t="s">
        <v>1343</v>
      </c>
      <c r="C689" s="5" t="s">
        <v>21</v>
      </c>
      <c r="K689" s="5">
        <v>2800.0</v>
      </c>
      <c r="N689" s="9">
        <v>44752.0</v>
      </c>
    </row>
    <row r="690">
      <c r="A690" s="5">
        <v>689.0</v>
      </c>
      <c r="B690" s="5" t="s">
        <v>1344</v>
      </c>
      <c r="C690" s="5" t="s">
        <v>21</v>
      </c>
      <c r="K690" s="5">
        <v>60.0</v>
      </c>
      <c r="N690" s="9">
        <v>45103.0</v>
      </c>
    </row>
    <row r="691">
      <c r="A691" s="5">
        <v>690.0</v>
      </c>
      <c r="B691" s="5" t="s">
        <v>1345</v>
      </c>
      <c r="C691" s="5" t="s">
        <v>21</v>
      </c>
      <c r="K691" s="5">
        <v>150.0</v>
      </c>
      <c r="N691" s="9">
        <v>44858.0</v>
      </c>
    </row>
    <row r="692">
      <c r="A692" s="5">
        <v>691.0</v>
      </c>
      <c r="B692" s="5" t="s">
        <v>1346</v>
      </c>
      <c r="C692" s="5" t="s">
        <v>21</v>
      </c>
      <c r="K692" s="5">
        <v>150.0</v>
      </c>
      <c r="N692" s="9">
        <v>44860.0</v>
      </c>
    </row>
    <row r="693">
      <c r="A693" s="5">
        <v>692.0</v>
      </c>
      <c r="B693" s="5" t="s">
        <v>1347</v>
      </c>
      <c r="C693" s="5" t="s">
        <v>21</v>
      </c>
      <c r="K693" s="5">
        <v>2200.0</v>
      </c>
      <c r="N693" s="9">
        <v>44160.0</v>
      </c>
    </row>
    <row r="694">
      <c r="A694" s="5">
        <v>693.0</v>
      </c>
      <c r="B694" s="5" t="s">
        <v>1348</v>
      </c>
      <c r="C694" s="5" t="s">
        <v>21</v>
      </c>
      <c r="K694" s="5">
        <v>350.0</v>
      </c>
      <c r="N694" s="9">
        <v>44554.0</v>
      </c>
    </row>
    <row r="695">
      <c r="A695" s="5">
        <v>694.0</v>
      </c>
      <c r="B695" s="5" t="s">
        <v>1349</v>
      </c>
      <c r="C695" s="5" t="s">
        <v>21</v>
      </c>
      <c r="K695" s="5">
        <v>80.0</v>
      </c>
      <c r="N695" s="9">
        <v>44685.0</v>
      </c>
    </row>
    <row r="696">
      <c r="A696" s="5">
        <v>695.0</v>
      </c>
      <c r="B696" s="5" t="s">
        <v>1350</v>
      </c>
      <c r="C696" s="5" t="s">
        <v>21</v>
      </c>
      <c r="K696" s="5">
        <v>70.0</v>
      </c>
      <c r="N696" s="9">
        <v>44359.0</v>
      </c>
    </row>
    <row r="697">
      <c r="A697" s="5">
        <v>696.0</v>
      </c>
      <c r="B697" s="5" t="s">
        <v>1351</v>
      </c>
      <c r="C697" s="5" t="s">
        <v>21</v>
      </c>
      <c r="K697" s="5">
        <v>1000.0</v>
      </c>
      <c r="N697" s="9">
        <v>44513.0</v>
      </c>
    </row>
    <row r="698">
      <c r="A698" s="5">
        <v>697.0</v>
      </c>
      <c r="B698" s="5" t="s">
        <v>1352</v>
      </c>
      <c r="C698" s="5" t="s">
        <v>21</v>
      </c>
      <c r="K698" s="5">
        <v>500.0</v>
      </c>
      <c r="N698" s="9">
        <v>44134.0</v>
      </c>
    </row>
    <row r="699">
      <c r="A699" s="5">
        <v>698.0</v>
      </c>
      <c r="B699" s="5" t="s">
        <v>1353</v>
      </c>
      <c r="C699" s="5" t="s">
        <v>21</v>
      </c>
      <c r="K699" s="5">
        <v>300.0</v>
      </c>
      <c r="N699" s="9">
        <v>44725.0</v>
      </c>
    </row>
    <row r="700">
      <c r="A700" s="5">
        <v>699.0</v>
      </c>
      <c r="B700" s="5" t="s">
        <v>1354</v>
      </c>
      <c r="C700" s="5" t="s">
        <v>21</v>
      </c>
      <c r="K700" s="5">
        <v>2600.0</v>
      </c>
      <c r="N700" s="9">
        <v>43968.0</v>
      </c>
    </row>
    <row r="701">
      <c r="A701" s="5">
        <v>700.0</v>
      </c>
      <c r="B701" s="5" t="s">
        <v>1355</v>
      </c>
      <c r="C701" s="5" t="s">
        <v>21</v>
      </c>
      <c r="K701" s="5">
        <v>1800.0</v>
      </c>
      <c r="N701" s="9">
        <v>44548.0</v>
      </c>
    </row>
    <row r="702">
      <c r="A702" s="5">
        <v>701.0</v>
      </c>
      <c r="B702" s="5" t="s">
        <v>1356</v>
      </c>
      <c r="C702" s="5" t="s">
        <v>21</v>
      </c>
      <c r="K702" s="5">
        <v>600.0</v>
      </c>
      <c r="N702" s="9">
        <v>44693.0</v>
      </c>
    </row>
    <row r="703">
      <c r="A703" s="5">
        <v>702.0</v>
      </c>
      <c r="B703" s="5" t="s">
        <v>1357</v>
      </c>
      <c r="C703" s="5" t="s">
        <v>21</v>
      </c>
      <c r="K703" s="5">
        <v>350.0</v>
      </c>
      <c r="N703" s="9">
        <v>44634.0</v>
      </c>
    </row>
    <row r="704">
      <c r="A704" s="5">
        <v>703.0</v>
      </c>
      <c r="B704" s="5" t="s">
        <v>1358</v>
      </c>
      <c r="C704" s="5" t="s">
        <v>21</v>
      </c>
      <c r="K704" s="5">
        <v>800.0</v>
      </c>
      <c r="N704" s="9">
        <v>43879.0</v>
      </c>
    </row>
    <row r="705">
      <c r="A705" s="5">
        <v>704.0</v>
      </c>
      <c r="B705" s="5" t="s">
        <v>1359</v>
      </c>
      <c r="C705" s="5" t="s">
        <v>21</v>
      </c>
      <c r="K705" s="5">
        <v>50.0</v>
      </c>
      <c r="N705" s="9">
        <v>44530.0</v>
      </c>
    </row>
    <row r="706">
      <c r="A706" s="5">
        <v>705.0</v>
      </c>
      <c r="B706" s="5" t="s">
        <v>1360</v>
      </c>
      <c r="C706" s="5" t="s">
        <v>21</v>
      </c>
      <c r="K706" s="5">
        <v>14000.0</v>
      </c>
      <c r="N706" s="9">
        <v>44097.0</v>
      </c>
    </row>
    <row r="707">
      <c r="A707" s="5">
        <v>706.0</v>
      </c>
      <c r="B707" s="5" t="s">
        <v>1361</v>
      </c>
      <c r="C707" s="5" t="s">
        <v>21</v>
      </c>
      <c r="K707" s="5">
        <v>100.0</v>
      </c>
      <c r="N707" s="9">
        <v>44975.0</v>
      </c>
    </row>
    <row r="708">
      <c r="A708" s="5">
        <v>707.0</v>
      </c>
      <c r="B708" s="5" t="s">
        <v>1362</v>
      </c>
      <c r="C708" s="5" t="s">
        <v>21</v>
      </c>
      <c r="K708" s="5">
        <v>34000.0</v>
      </c>
      <c r="N708" s="9">
        <v>44959.0</v>
      </c>
    </row>
    <row r="709">
      <c r="A709" s="5">
        <v>708.0</v>
      </c>
      <c r="B709" s="5" t="s">
        <v>1363</v>
      </c>
      <c r="C709" s="5" t="s">
        <v>21</v>
      </c>
      <c r="K709" s="5">
        <v>2700.0</v>
      </c>
      <c r="N709" s="9">
        <v>43940.0</v>
      </c>
    </row>
    <row r="710">
      <c r="A710" s="5">
        <v>709.0</v>
      </c>
      <c r="B710" s="5" t="s">
        <v>1364</v>
      </c>
      <c r="C710" s="5" t="s">
        <v>21</v>
      </c>
      <c r="K710" s="5">
        <v>450.0</v>
      </c>
      <c r="N710" s="9">
        <v>44491.0</v>
      </c>
    </row>
    <row r="711">
      <c r="A711" s="5">
        <v>710.0</v>
      </c>
      <c r="B711" s="5" t="s">
        <v>1365</v>
      </c>
      <c r="C711" s="5" t="s">
        <v>21</v>
      </c>
      <c r="K711" s="5">
        <v>700.0</v>
      </c>
      <c r="N711" s="9">
        <v>44616.0</v>
      </c>
    </row>
    <row r="712">
      <c r="A712" s="5">
        <v>711.0</v>
      </c>
      <c r="B712" s="5" t="s">
        <v>1366</v>
      </c>
      <c r="C712" s="5" t="s">
        <v>21</v>
      </c>
      <c r="K712" s="5">
        <v>150.0</v>
      </c>
      <c r="N712" s="9">
        <v>44635.0</v>
      </c>
    </row>
    <row r="713">
      <c r="A713" s="5">
        <v>712.0</v>
      </c>
      <c r="B713" s="5" t="s">
        <v>1367</v>
      </c>
      <c r="C713" s="5" t="s">
        <v>21</v>
      </c>
      <c r="K713" s="5">
        <v>100.0</v>
      </c>
      <c r="N713" s="9">
        <v>44736.0</v>
      </c>
    </row>
    <row r="714">
      <c r="A714" s="5">
        <v>713.0</v>
      </c>
      <c r="B714" s="5" t="s">
        <v>1368</v>
      </c>
      <c r="C714" s="5" t="s">
        <v>21</v>
      </c>
      <c r="K714" s="5">
        <v>1200.0</v>
      </c>
      <c r="N714" s="9">
        <v>44710.0</v>
      </c>
    </row>
    <row r="715">
      <c r="A715" s="5">
        <v>714.0</v>
      </c>
      <c r="B715" s="5" t="s">
        <v>1369</v>
      </c>
      <c r="C715" s="5" t="s">
        <v>21</v>
      </c>
      <c r="K715" s="5">
        <v>250.0</v>
      </c>
      <c r="N715" s="9">
        <v>44382.0</v>
      </c>
    </row>
    <row r="716">
      <c r="A716" s="5">
        <v>715.0</v>
      </c>
      <c r="B716" s="5" t="s">
        <v>1370</v>
      </c>
      <c r="C716" s="5" t="s">
        <v>21</v>
      </c>
      <c r="K716" s="5">
        <v>7800.0</v>
      </c>
      <c r="N716" s="9">
        <v>44452.0</v>
      </c>
    </row>
    <row r="717">
      <c r="A717" s="5">
        <v>716.0</v>
      </c>
      <c r="B717" s="5" t="s">
        <v>1371</v>
      </c>
      <c r="C717" s="5" t="s">
        <v>21</v>
      </c>
      <c r="N717" s="9">
        <v>44456.0</v>
      </c>
    </row>
    <row r="718">
      <c r="A718" s="5">
        <v>717.0</v>
      </c>
      <c r="B718" s="5" t="s">
        <v>1372</v>
      </c>
      <c r="C718" s="5" t="s">
        <v>21</v>
      </c>
      <c r="K718" s="5">
        <v>1300.0</v>
      </c>
      <c r="N718" s="9">
        <v>45018.0</v>
      </c>
    </row>
    <row r="719">
      <c r="A719" s="5">
        <v>718.0</v>
      </c>
      <c r="B719" s="5" t="s">
        <v>1373</v>
      </c>
      <c r="C719" s="5" t="s">
        <v>21</v>
      </c>
      <c r="K719" s="5">
        <v>10.0</v>
      </c>
      <c r="N719" s="9">
        <v>45039.0</v>
      </c>
    </row>
    <row r="720">
      <c r="A720" s="5">
        <v>719.0</v>
      </c>
      <c r="B720" s="5" t="s">
        <v>1374</v>
      </c>
      <c r="C720" s="5" t="s">
        <v>21</v>
      </c>
      <c r="K720" s="5">
        <v>8200.0</v>
      </c>
      <c r="N720" s="9">
        <v>44580.0</v>
      </c>
    </row>
    <row r="721">
      <c r="A721" s="5">
        <v>720.0</v>
      </c>
      <c r="B721" s="5" t="s">
        <v>1375</v>
      </c>
      <c r="C721" s="5" t="s">
        <v>21</v>
      </c>
      <c r="K721" s="5">
        <v>2000.0</v>
      </c>
      <c r="N721" s="9">
        <v>44191.0</v>
      </c>
    </row>
    <row r="722">
      <c r="A722" s="5">
        <v>721.0</v>
      </c>
      <c r="B722" s="5" t="s">
        <v>1376</v>
      </c>
      <c r="C722" s="5" t="s">
        <v>21</v>
      </c>
      <c r="K722" s="5">
        <v>2700.0</v>
      </c>
      <c r="N722" s="9">
        <v>44532.0</v>
      </c>
    </row>
    <row r="723">
      <c r="A723" s="5">
        <v>722.0</v>
      </c>
      <c r="B723" s="5" t="s">
        <v>1377</v>
      </c>
      <c r="C723" s="5" t="s">
        <v>21</v>
      </c>
      <c r="K723" s="5">
        <v>150.0</v>
      </c>
      <c r="N723" s="9">
        <v>45251.0</v>
      </c>
    </row>
    <row r="724">
      <c r="A724" s="5">
        <v>723.0</v>
      </c>
      <c r="B724" s="5" t="s">
        <v>1378</v>
      </c>
      <c r="C724" s="5" t="s">
        <v>21</v>
      </c>
      <c r="K724" s="5">
        <v>60.0</v>
      </c>
      <c r="N724" s="9">
        <v>44626.0</v>
      </c>
    </row>
    <row r="725">
      <c r="A725" s="5">
        <v>724.0</v>
      </c>
      <c r="B725" s="5" t="s">
        <v>1379</v>
      </c>
      <c r="C725" s="5" t="s">
        <v>21</v>
      </c>
      <c r="K725" s="5">
        <v>800.0</v>
      </c>
      <c r="N725" s="9">
        <v>45060.0</v>
      </c>
    </row>
    <row r="726">
      <c r="A726" s="5">
        <v>725.0</v>
      </c>
      <c r="B726" s="5" t="s">
        <v>1380</v>
      </c>
      <c r="C726" s="5" t="s">
        <v>21</v>
      </c>
      <c r="K726" s="5">
        <v>900.0</v>
      </c>
      <c r="N726" s="9">
        <v>44430.0</v>
      </c>
    </row>
    <row r="727">
      <c r="A727" s="5">
        <v>726.0</v>
      </c>
      <c r="B727" s="5" t="s">
        <v>1381</v>
      </c>
      <c r="C727" s="5" t="s">
        <v>21</v>
      </c>
      <c r="K727" s="5">
        <v>600.0</v>
      </c>
      <c r="N727" s="9">
        <v>44340.0</v>
      </c>
    </row>
    <row r="728">
      <c r="A728" s="5">
        <v>727.0</v>
      </c>
      <c r="B728" s="5" t="s">
        <v>1382</v>
      </c>
      <c r="C728" s="5" t="s">
        <v>21</v>
      </c>
      <c r="K728" s="5">
        <v>700.0</v>
      </c>
      <c r="N728" s="9">
        <v>44000.0</v>
      </c>
    </row>
    <row r="729">
      <c r="A729" s="5">
        <v>728.0</v>
      </c>
      <c r="B729" s="5" t="s">
        <v>1383</v>
      </c>
      <c r="C729" s="5" t="s">
        <v>21</v>
      </c>
      <c r="K729" s="5">
        <v>200.0</v>
      </c>
      <c r="N729" s="9">
        <v>44156.0</v>
      </c>
    </row>
    <row r="730">
      <c r="A730" s="5">
        <v>729.0</v>
      </c>
      <c r="B730" s="5" t="s">
        <v>1384</v>
      </c>
      <c r="C730" s="5" t="s">
        <v>21</v>
      </c>
      <c r="K730" s="5">
        <v>200.0</v>
      </c>
      <c r="N730" s="9">
        <v>44519.0</v>
      </c>
    </row>
    <row r="731">
      <c r="A731" s="5">
        <v>730.0</v>
      </c>
      <c r="B731" s="5" t="s">
        <v>1385</v>
      </c>
      <c r="C731" s="5" t="s">
        <v>21</v>
      </c>
      <c r="K731" s="5">
        <v>200.0</v>
      </c>
      <c r="N731" s="9">
        <v>43882.0</v>
      </c>
    </row>
    <row r="732">
      <c r="A732" s="5">
        <v>731.0</v>
      </c>
      <c r="B732" s="5" t="s">
        <v>1386</v>
      </c>
      <c r="C732" s="5" t="s">
        <v>21</v>
      </c>
      <c r="K732" s="5">
        <v>450.0</v>
      </c>
      <c r="N732" s="9">
        <v>43919.0</v>
      </c>
    </row>
    <row r="733">
      <c r="A733" s="5">
        <v>732.0</v>
      </c>
      <c r="B733" s="5" t="s">
        <v>1387</v>
      </c>
      <c r="C733" s="5" t="s">
        <v>21</v>
      </c>
      <c r="K733" s="5">
        <v>300.0</v>
      </c>
      <c r="N733" s="9">
        <v>44313.0</v>
      </c>
    </row>
    <row r="734">
      <c r="A734" s="5">
        <v>733.0</v>
      </c>
      <c r="B734" s="5" t="s">
        <v>1388</v>
      </c>
      <c r="C734" s="5" t="s">
        <v>21</v>
      </c>
      <c r="K734" s="5">
        <v>350.0</v>
      </c>
      <c r="N734" s="9">
        <v>44697.0</v>
      </c>
    </row>
    <row r="735">
      <c r="A735" s="5">
        <v>734.0</v>
      </c>
      <c r="B735" s="5" t="s">
        <v>1389</v>
      </c>
      <c r="C735" s="5" t="s">
        <v>21</v>
      </c>
      <c r="K735" s="5">
        <v>100.0</v>
      </c>
      <c r="N735" s="9">
        <v>45132.0</v>
      </c>
    </row>
    <row r="736">
      <c r="A736" s="5">
        <v>735.0</v>
      </c>
      <c r="B736" s="5" t="s">
        <v>1390</v>
      </c>
      <c r="C736" s="5" t="s">
        <v>21</v>
      </c>
      <c r="K736" s="5">
        <v>300.0</v>
      </c>
      <c r="N736" s="9">
        <v>44725.0</v>
      </c>
    </row>
    <row r="737">
      <c r="A737" s="5">
        <v>736.0</v>
      </c>
      <c r="B737" s="5" t="s">
        <v>1391</v>
      </c>
      <c r="C737" s="5" t="s">
        <v>21</v>
      </c>
      <c r="K737" s="5">
        <v>700.0</v>
      </c>
      <c r="N737" s="9">
        <v>44574.0</v>
      </c>
    </row>
    <row r="738">
      <c r="A738" s="5">
        <v>737.0</v>
      </c>
      <c r="B738" s="5" t="s">
        <v>1392</v>
      </c>
      <c r="C738" s="5" t="s">
        <v>21</v>
      </c>
      <c r="K738" s="5">
        <v>70.0</v>
      </c>
      <c r="N738" s="9">
        <v>44371.0</v>
      </c>
    </row>
    <row r="739">
      <c r="A739" s="5">
        <v>738.0</v>
      </c>
      <c r="B739" s="5" t="s">
        <v>1393</v>
      </c>
      <c r="C739" s="5" t="s">
        <v>21</v>
      </c>
      <c r="K739" s="5">
        <v>400.0</v>
      </c>
      <c r="N739" s="9">
        <v>44518.0</v>
      </c>
    </row>
    <row r="740">
      <c r="A740" s="5">
        <v>739.0</v>
      </c>
      <c r="B740" s="5" t="s">
        <v>1394</v>
      </c>
      <c r="C740" s="5" t="s">
        <v>21</v>
      </c>
      <c r="K740" s="5">
        <v>350.0</v>
      </c>
      <c r="N740" s="9">
        <v>44912.0</v>
      </c>
    </row>
    <row r="741">
      <c r="A741" s="5">
        <v>740.0</v>
      </c>
      <c r="B741" s="5" t="s">
        <v>1395</v>
      </c>
      <c r="C741" s="5" t="s">
        <v>21</v>
      </c>
      <c r="K741" s="5">
        <v>80.0</v>
      </c>
      <c r="N741" s="9">
        <v>44791.0</v>
      </c>
    </row>
    <row r="742">
      <c r="A742" s="5">
        <v>741.0</v>
      </c>
      <c r="B742" s="5" t="s">
        <v>1396</v>
      </c>
      <c r="C742" s="5" t="s">
        <v>21</v>
      </c>
      <c r="K742" s="5">
        <v>150.0</v>
      </c>
      <c r="N742" s="9">
        <v>44597.0</v>
      </c>
    </row>
    <row r="743">
      <c r="A743" s="5">
        <v>742.0</v>
      </c>
      <c r="B743" s="5" t="s">
        <v>1397</v>
      </c>
      <c r="C743" s="5" t="s">
        <v>21</v>
      </c>
      <c r="K743" s="5">
        <v>200.0</v>
      </c>
      <c r="N743" s="9">
        <v>44605.0</v>
      </c>
    </row>
    <row r="744">
      <c r="A744" s="5">
        <v>743.0</v>
      </c>
      <c r="B744" s="5" t="s">
        <v>1398</v>
      </c>
      <c r="C744" s="5" t="s">
        <v>21</v>
      </c>
      <c r="K744" s="5">
        <v>250.0</v>
      </c>
      <c r="N744" s="9">
        <v>44555.0</v>
      </c>
    </row>
    <row r="745">
      <c r="A745" s="5">
        <v>744.0</v>
      </c>
      <c r="B745" s="5" t="s">
        <v>41</v>
      </c>
      <c r="C745" s="5" t="s">
        <v>21</v>
      </c>
      <c r="K745" s="5">
        <v>200.0</v>
      </c>
      <c r="N745" s="9">
        <v>45100.0</v>
      </c>
    </row>
    <row r="746">
      <c r="A746" s="5">
        <v>745.0</v>
      </c>
      <c r="B746" s="5" t="s">
        <v>1399</v>
      </c>
      <c r="C746" s="5" t="s">
        <v>21</v>
      </c>
      <c r="K746" s="5">
        <v>450.0</v>
      </c>
      <c r="N746" s="9">
        <v>45728.0</v>
      </c>
    </row>
    <row r="747">
      <c r="A747" s="5">
        <v>746.0</v>
      </c>
      <c r="B747" s="5" t="s">
        <v>1400</v>
      </c>
      <c r="C747" s="5" t="s">
        <v>21</v>
      </c>
      <c r="K747" s="5">
        <v>1500.0</v>
      </c>
      <c r="N747" s="9">
        <v>44682.0</v>
      </c>
    </row>
    <row r="748">
      <c r="A748" s="5">
        <v>747.0</v>
      </c>
      <c r="B748" s="5" t="s">
        <v>1401</v>
      </c>
      <c r="C748" s="5" t="s">
        <v>21</v>
      </c>
      <c r="K748" s="5">
        <v>1300.0</v>
      </c>
      <c r="N748" s="9">
        <v>44106.0</v>
      </c>
    </row>
    <row r="749">
      <c r="A749" s="5">
        <v>748.0</v>
      </c>
      <c r="B749" s="5" t="s">
        <v>1402</v>
      </c>
      <c r="C749" s="5" t="s">
        <v>21</v>
      </c>
      <c r="K749" s="5">
        <v>500.0</v>
      </c>
      <c r="N749" s="9">
        <v>44585.0</v>
      </c>
    </row>
    <row r="750">
      <c r="A750" s="5">
        <v>749.0</v>
      </c>
      <c r="B750" s="5" t="s">
        <v>1403</v>
      </c>
      <c r="C750" s="5" t="s">
        <v>21</v>
      </c>
      <c r="K750" s="5">
        <v>450.0</v>
      </c>
      <c r="N750" s="9">
        <v>43904.0</v>
      </c>
    </row>
    <row r="751">
      <c r="A751" s="5">
        <v>750.0</v>
      </c>
      <c r="B751" s="5" t="s">
        <v>1404</v>
      </c>
      <c r="C751" s="5" t="s">
        <v>21</v>
      </c>
      <c r="K751" s="5">
        <v>350.0</v>
      </c>
      <c r="N751" s="9">
        <v>45087.0</v>
      </c>
    </row>
    <row r="752">
      <c r="A752" s="5">
        <v>751.0</v>
      </c>
      <c r="B752" s="5" t="s">
        <v>1405</v>
      </c>
      <c r="C752" s="5" t="s">
        <v>21</v>
      </c>
      <c r="K752" s="5">
        <v>800.0</v>
      </c>
      <c r="N752" s="9">
        <v>44532.0</v>
      </c>
    </row>
    <row r="753">
      <c r="A753" s="5">
        <v>752.0</v>
      </c>
      <c r="B753" s="5" t="s">
        <v>1406</v>
      </c>
      <c r="C753" s="5" t="s">
        <v>21</v>
      </c>
      <c r="K753" s="5">
        <v>70.0</v>
      </c>
      <c r="N753" s="9">
        <v>44421.0</v>
      </c>
    </row>
    <row r="754">
      <c r="A754" s="5">
        <v>753.0</v>
      </c>
      <c r="B754" s="5" t="s">
        <v>1407</v>
      </c>
      <c r="C754" s="5" t="s">
        <v>21</v>
      </c>
      <c r="K754" s="5">
        <v>300.0</v>
      </c>
      <c r="N754" s="9">
        <v>44550.0</v>
      </c>
    </row>
    <row r="755">
      <c r="A755" s="5">
        <v>754.0</v>
      </c>
      <c r="B755" s="5" t="s">
        <v>1408</v>
      </c>
      <c r="C755" s="5" t="s">
        <v>21</v>
      </c>
      <c r="K755" s="5">
        <v>600.0</v>
      </c>
      <c r="N755" s="9">
        <v>44698.0</v>
      </c>
    </row>
    <row r="756">
      <c r="A756" s="5">
        <v>755.0</v>
      </c>
      <c r="B756" s="5" t="s">
        <v>1409</v>
      </c>
      <c r="C756" s="5" t="s">
        <v>21</v>
      </c>
      <c r="K756" s="5">
        <v>300.0</v>
      </c>
      <c r="N756" s="9">
        <v>44268.0</v>
      </c>
    </row>
    <row r="757">
      <c r="A757" s="5">
        <v>756.0</v>
      </c>
      <c r="B757" s="5" t="s">
        <v>1410</v>
      </c>
      <c r="C757" s="5" t="s">
        <v>21</v>
      </c>
      <c r="K757" s="5">
        <v>60.0</v>
      </c>
      <c r="N757" s="9">
        <v>45072.0</v>
      </c>
    </row>
    <row r="758">
      <c r="A758" s="5">
        <v>757.0</v>
      </c>
      <c r="B758" s="5" t="s">
        <v>1411</v>
      </c>
      <c r="C758" s="5" t="s">
        <v>21</v>
      </c>
      <c r="K758" s="5">
        <v>1300.0</v>
      </c>
      <c r="N758" s="9">
        <v>44533.0</v>
      </c>
    </row>
    <row r="759">
      <c r="A759" s="5">
        <v>758.0</v>
      </c>
      <c r="B759" s="5" t="s">
        <v>1412</v>
      </c>
      <c r="C759" s="5" t="s">
        <v>21</v>
      </c>
      <c r="K759" s="5">
        <v>30.0</v>
      </c>
      <c r="N759" s="9">
        <v>44335.0</v>
      </c>
    </row>
    <row r="760">
      <c r="A760" s="5">
        <v>759.0</v>
      </c>
      <c r="B760" s="5" t="s">
        <v>1413</v>
      </c>
      <c r="C760" s="5" t="s">
        <v>21</v>
      </c>
      <c r="K760" s="5">
        <v>200.0</v>
      </c>
      <c r="N760" s="9">
        <v>45214.0</v>
      </c>
    </row>
    <row r="761">
      <c r="A761" s="5">
        <v>760.0</v>
      </c>
      <c r="B761" s="5" t="s">
        <v>1414</v>
      </c>
      <c r="C761" s="5" t="s">
        <v>21</v>
      </c>
      <c r="K761" s="5">
        <v>10.0</v>
      </c>
      <c r="N761" s="9">
        <v>44621.0</v>
      </c>
    </row>
    <row r="762">
      <c r="A762" s="5">
        <v>761.0</v>
      </c>
      <c r="B762" s="5" t="s">
        <v>1415</v>
      </c>
      <c r="C762" s="5" t="s">
        <v>21</v>
      </c>
      <c r="K762" s="5">
        <v>250.0</v>
      </c>
      <c r="N762" s="9">
        <v>44614.0</v>
      </c>
    </row>
    <row r="763">
      <c r="A763" s="5">
        <v>762.0</v>
      </c>
      <c r="B763" s="5" t="s">
        <v>1416</v>
      </c>
      <c r="C763" s="5" t="s">
        <v>21</v>
      </c>
      <c r="K763" s="5">
        <v>800.0</v>
      </c>
      <c r="N763" s="9">
        <v>44104.0</v>
      </c>
    </row>
    <row r="764">
      <c r="A764" s="5">
        <v>763.0</v>
      </c>
      <c r="B764" s="5" t="s">
        <v>1417</v>
      </c>
      <c r="C764" s="5" t="s">
        <v>21</v>
      </c>
      <c r="K764" s="5">
        <v>3600.0</v>
      </c>
      <c r="N764" s="9">
        <v>44537.0</v>
      </c>
    </row>
    <row r="765">
      <c r="A765" s="5">
        <v>764.0</v>
      </c>
      <c r="B765" s="5" t="s">
        <v>1418</v>
      </c>
      <c r="C765" s="5" t="s">
        <v>21</v>
      </c>
      <c r="K765" s="5">
        <v>2200.0</v>
      </c>
      <c r="N765" s="9">
        <v>44537.0</v>
      </c>
    </row>
    <row r="766">
      <c r="A766" s="5">
        <v>765.0</v>
      </c>
      <c r="B766" s="5" t="s">
        <v>1419</v>
      </c>
      <c r="C766" s="5" t="s">
        <v>21</v>
      </c>
      <c r="K766" s="5">
        <v>350.0</v>
      </c>
      <c r="N766" s="9">
        <v>45074.0</v>
      </c>
    </row>
    <row r="767">
      <c r="A767" s="5">
        <v>766.0</v>
      </c>
      <c r="B767" s="5" t="s">
        <v>1420</v>
      </c>
      <c r="C767" s="5" t="s">
        <v>21</v>
      </c>
      <c r="K767" s="5">
        <v>3000.0</v>
      </c>
      <c r="N767" s="9">
        <v>43956.0</v>
      </c>
    </row>
    <row r="768">
      <c r="A768" s="5">
        <v>767.0</v>
      </c>
      <c r="B768" s="5" t="s">
        <v>1421</v>
      </c>
      <c r="C768" s="5" t="s">
        <v>21</v>
      </c>
      <c r="K768" s="5">
        <v>4600.0</v>
      </c>
      <c r="N768" s="9">
        <v>44174.0</v>
      </c>
    </row>
    <row r="769">
      <c r="A769" s="5">
        <v>768.0</v>
      </c>
      <c r="B769" s="5" t="s">
        <v>1422</v>
      </c>
      <c r="C769" s="5" t="s">
        <v>21</v>
      </c>
      <c r="K769" s="5">
        <v>900.0</v>
      </c>
      <c r="N769" s="9">
        <v>44321.0</v>
      </c>
    </row>
    <row r="770">
      <c r="A770" s="5">
        <v>769.0</v>
      </c>
      <c r="B770" s="5" t="s">
        <v>1423</v>
      </c>
      <c r="C770" s="5" t="s">
        <v>21</v>
      </c>
      <c r="K770" s="5">
        <v>300.0</v>
      </c>
      <c r="N770" s="9">
        <v>44809.0</v>
      </c>
    </row>
    <row r="771">
      <c r="A771" s="5">
        <v>770.0</v>
      </c>
      <c r="B771" s="5" t="s">
        <v>1424</v>
      </c>
      <c r="C771" s="5" t="s">
        <v>21</v>
      </c>
      <c r="K771" s="5">
        <v>3800.0</v>
      </c>
      <c r="N771" s="9">
        <v>43855.0</v>
      </c>
    </row>
    <row r="772">
      <c r="A772" s="5">
        <v>771.0</v>
      </c>
      <c r="B772" s="5" t="s">
        <v>1425</v>
      </c>
      <c r="C772" s="5" t="s">
        <v>21</v>
      </c>
      <c r="K772" s="5">
        <v>400.0</v>
      </c>
      <c r="N772" s="9">
        <v>44053.0</v>
      </c>
    </row>
    <row r="773">
      <c r="A773" s="5">
        <v>772.0</v>
      </c>
      <c r="B773" s="5" t="s">
        <v>1426</v>
      </c>
      <c r="C773" s="5" t="s">
        <v>21</v>
      </c>
      <c r="K773" s="5">
        <v>80.0</v>
      </c>
      <c r="N773" s="9">
        <v>45130.0</v>
      </c>
    </row>
    <row r="774">
      <c r="A774" s="5">
        <v>773.0</v>
      </c>
      <c r="B774" s="5" t="s">
        <v>1427</v>
      </c>
      <c r="C774" s="5" t="s">
        <v>21</v>
      </c>
      <c r="K774" s="5">
        <v>150.0</v>
      </c>
      <c r="N774" s="9">
        <v>45198.0</v>
      </c>
    </row>
    <row r="775">
      <c r="A775" s="5">
        <v>774.0</v>
      </c>
      <c r="B775" s="5" t="s">
        <v>1428</v>
      </c>
      <c r="C775" s="5" t="s">
        <v>21</v>
      </c>
      <c r="K775" s="5">
        <v>150.0</v>
      </c>
      <c r="N775" s="9">
        <v>44143.0</v>
      </c>
    </row>
    <row r="776">
      <c r="A776" s="5">
        <v>775.0</v>
      </c>
      <c r="B776" s="5" t="s">
        <v>1429</v>
      </c>
      <c r="C776" s="5" t="s">
        <v>21</v>
      </c>
      <c r="K776" s="5">
        <v>200.0</v>
      </c>
      <c r="N776" s="9">
        <v>45203.0</v>
      </c>
    </row>
    <row r="777">
      <c r="A777" s="5">
        <v>776.0</v>
      </c>
      <c r="B777" s="5" t="s">
        <v>1430</v>
      </c>
      <c r="C777" s="5" t="s">
        <v>21</v>
      </c>
      <c r="K777" s="5">
        <v>1000.0</v>
      </c>
      <c r="N777" s="9">
        <v>44325.0</v>
      </c>
    </row>
    <row r="778">
      <c r="A778" s="5">
        <v>777.0</v>
      </c>
      <c r="B778" s="5" t="s">
        <v>1431</v>
      </c>
      <c r="C778" s="5" t="s">
        <v>21</v>
      </c>
      <c r="K778" s="5">
        <v>250.0</v>
      </c>
      <c r="N778" s="9">
        <v>45436.0</v>
      </c>
    </row>
    <row r="779">
      <c r="A779" s="5">
        <v>778.0</v>
      </c>
      <c r="B779" s="5" t="s">
        <v>1432</v>
      </c>
      <c r="C779" s="5" t="s">
        <v>21</v>
      </c>
      <c r="K779" s="5">
        <v>500.0</v>
      </c>
      <c r="N779" s="9">
        <v>44552.0</v>
      </c>
    </row>
    <row r="780">
      <c r="A780" s="5">
        <v>779.0</v>
      </c>
      <c r="B780" s="5" t="s">
        <v>1433</v>
      </c>
      <c r="C780" s="5" t="s">
        <v>21</v>
      </c>
      <c r="K780" s="5">
        <v>700.0</v>
      </c>
      <c r="N780" s="9">
        <v>44520.0</v>
      </c>
    </row>
    <row r="781">
      <c r="A781" s="5">
        <v>780.0</v>
      </c>
      <c r="B781" s="5" t="s">
        <v>1434</v>
      </c>
      <c r="C781" s="5" t="s">
        <v>21</v>
      </c>
      <c r="K781" s="5">
        <v>400.0</v>
      </c>
      <c r="N781" s="9">
        <v>44309.0</v>
      </c>
    </row>
    <row r="782">
      <c r="A782" s="5">
        <v>781.0</v>
      </c>
      <c r="B782" s="5" t="s">
        <v>1435</v>
      </c>
      <c r="C782" s="5" t="s">
        <v>21</v>
      </c>
      <c r="K782" s="5">
        <v>1100.0</v>
      </c>
      <c r="N782" s="9">
        <v>45310.0</v>
      </c>
    </row>
    <row r="783">
      <c r="A783" s="5">
        <v>782.0</v>
      </c>
      <c r="B783" s="5" t="s">
        <v>1436</v>
      </c>
      <c r="C783" s="5" t="s">
        <v>21</v>
      </c>
      <c r="K783" s="5">
        <v>300.0</v>
      </c>
      <c r="N783" s="9">
        <v>45051.0</v>
      </c>
    </row>
    <row r="784">
      <c r="A784" s="5">
        <v>783.0</v>
      </c>
      <c r="B784" s="5" t="s">
        <v>1437</v>
      </c>
      <c r="C784" s="5" t="s">
        <v>21</v>
      </c>
      <c r="N784" s="9">
        <v>44723.0</v>
      </c>
    </row>
    <row r="785">
      <c r="A785" s="5">
        <v>784.0</v>
      </c>
      <c r="B785" s="5" t="s">
        <v>1438</v>
      </c>
      <c r="C785" s="5" t="s">
        <v>21</v>
      </c>
      <c r="N785" s="9">
        <v>44554.0</v>
      </c>
    </row>
    <row r="786">
      <c r="A786" s="5">
        <v>785.0</v>
      </c>
      <c r="B786" s="5" t="s">
        <v>1439</v>
      </c>
      <c r="C786" s="5" t="s">
        <v>21</v>
      </c>
      <c r="K786" s="5">
        <v>350.0</v>
      </c>
      <c r="N786" s="9">
        <v>44317.0</v>
      </c>
    </row>
    <row r="787">
      <c r="A787" s="5">
        <v>786.0</v>
      </c>
      <c r="B787" s="5" t="s">
        <v>1440</v>
      </c>
      <c r="C787" s="5" t="s">
        <v>21</v>
      </c>
      <c r="N787" s="9">
        <v>44518.0</v>
      </c>
    </row>
    <row r="788">
      <c r="A788" s="5">
        <v>787.0</v>
      </c>
      <c r="B788" s="5" t="s">
        <v>1441</v>
      </c>
      <c r="C788" s="5" t="s">
        <v>21</v>
      </c>
      <c r="K788" s="5">
        <v>100.0</v>
      </c>
      <c r="N788" s="9">
        <v>44898.0</v>
      </c>
    </row>
    <row r="789">
      <c r="A789" s="5">
        <v>788.0</v>
      </c>
      <c r="B789" s="5" t="s">
        <v>1442</v>
      </c>
      <c r="C789" s="5" t="s">
        <v>21</v>
      </c>
      <c r="K789" s="5">
        <v>900.0</v>
      </c>
      <c r="N789" s="9">
        <v>43968.0</v>
      </c>
    </row>
    <row r="790">
      <c r="A790" s="5">
        <v>789.0</v>
      </c>
      <c r="B790" s="5" t="s">
        <v>1443</v>
      </c>
      <c r="C790" s="5" t="s">
        <v>21</v>
      </c>
      <c r="K790" s="5">
        <v>250.0</v>
      </c>
      <c r="N790" s="9">
        <v>44655.0</v>
      </c>
    </row>
    <row r="791">
      <c r="A791" s="5">
        <v>790.0</v>
      </c>
      <c r="B791" s="5" t="s">
        <v>1444</v>
      </c>
      <c r="C791" s="5" t="s">
        <v>21</v>
      </c>
      <c r="K791" s="5">
        <v>300.0</v>
      </c>
      <c r="N791" s="9">
        <v>44175.0</v>
      </c>
    </row>
    <row r="792">
      <c r="A792" s="5">
        <v>791.0</v>
      </c>
      <c r="B792" s="5" t="s">
        <v>1445</v>
      </c>
      <c r="C792" s="5" t="s">
        <v>21</v>
      </c>
      <c r="K792" s="5">
        <v>300.0</v>
      </c>
      <c r="N792" s="9">
        <v>44858.0</v>
      </c>
    </row>
    <row r="793">
      <c r="A793" s="5">
        <v>792.0</v>
      </c>
      <c r="B793" s="5" t="s">
        <v>1446</v>
      </c>
      <c r="C793" s="5" t="s">
        <v>21</v>
      </c>
      <c r="K793" s="5">
        <v>1500.0</v>
      </c>
      <c r="N793" s="9">
        <v>44255.0</v>
      </c>
    </row>
    <row r="794">
      <c r="A794" s="5">
        <v>793.0</v>
      </c>
      <c r="B794" s="5" t="s">
        <v>1447</v>
      </c>
      <c r="C794" s="5" t="s">
        <v>21</v>
      </c>
      <c r="K794" s="5">
        <v>500.0</v>
      </c>
      <c r="N794" s="9">
        <v>45255.0</v>
      </c>
    </row>
    <row r="795">
      <c r="A795" s="5">
        <v>794.0</v>
      </c>
      <c r="B795" s="5" t="s">
        <v>1448</v>
      </c>
      <c r="C795" s="5" t="s">
        <v>21</v>
      </c>
      <c r="K795" s="5">
        <v>80.0</v>
      </c>
      <c r="N795" s="9">
        <v>44579.0</v>
      </c>
    </row>
    <row r="796">
      <c r="A796" s="5">
        <v>795.0</v>
      </c>
      <c r="B796" s="5" t="s">
        <v>1449</v>
      </c>
      <c r="C796" s="5" t="s">
        <v>21</v>
      </c>
      <c r="K796" s="5">
        <v>250.0</v>
      </c>
      <c r="N796" s="9">
        <v>44809.0</v>
      </c>
    </row>
    <row r="797">
      <c r="A797" s="5">
        <v>796.0</v>
      </c>
      <c r="B797" s="5" t="s">
        <v>1450</v>
      </c>
      <c r="C797" s="5" t="s">
        <v>21</v>
      </c>
      <c r="K797" s="5">
        <v>400.0</v>
      </c>
      <c r="N797" s="9">
        <v>44265.0</v>
      </c>
    </row>
    <row r="798">
      <c r="A798" s="5">
        <v>797.0</v>
      </c>
      <c r="B798" s="5" t="s">
        <v>1451</v>
      </c>
      <c r="C798" s="5" t="s">
        <v>21</v>
      </c>
      <c r="K798" s="5">
        <v>100.0</v>
      </c>
      <c r="N798" s="9">
        <v>44355.0</v>
      </c>
    </row>
    <row r="799">
      <c r="A799" s="5">
        <v>798.0</v>
      </c>
      <c r="B799" s="5" t="s">
        <v>1452</v>
      </c>
      <c r="C799" s="5" t="s">
        <v>21</v>
      </c>
      <c r="K799" s="5">
        <v>8400.0</v>
      </c>
      <c r="N799" s="9">
        <v>43953.0</v>
      </c>
    </row>
    <row r="800">
      <c r="A800" s="5">
        <v>799.0</v>
      </c>
      <c r="B800" s="5" t="s">
        <v>1453</v>
      </c>
      <c r="C800" s="5" t="s">
        <v>21</v>
      </c>
      <c r="K800" s="5">
        <v>150.0</v>
      </c>
      <c r="N800" s="9">
        <v>44176.0</v>
      </c>
    </row>
    <row r="801">
      <c r="A801" s="5">
        <v>800.0</v>
      </c>
      <c r="B801" s="5" t="s">
        <v>1454</v>
      </c>
      <c r="C801" s="5" t="s">
        <v>21</v>
      </c>
      <c r="K801" s="5">
        <v>300.0</v>
      </c>
      <c r="N801" s="9">
        <v>45414.0</v>
      </c>
    </row>
    <row r="802">
      <c r="A802" s="5">
        <v>801.0</v>
      </c>
      <c r="B802" s="5" t="s">
        <v>1455</v>
      </c>
      <c r="C802" s="5" t="s">
        <v>21</v>
      </c>
      <c r="K802" s="5">
        <v>2100.0</v>
      </c>
      <c r="N802" s="9">
        <v>45762.0</v>
      </c>
    </row>
    <row r="803">
      <c r="A803" s="5">
        <v>802.0</v>
      </c>
      <c r="B803" s="5" t="s">
        <v>1456</v>
      </c>
      <c r="C803" s="5" t="s">
        <v>21</v>
      </c>
      <c r="K803" s="5">
        <v>70.0</v>
      </c>
      <c r="N803" s="9">
        <v>44889.0</v>
      </c>
    </row>
    <row r="804">
      <c r="A804" s="5">
        <v>803.0</v>
      </c>
      <c r="B804" s="5" t="s">
        <v>1457</v>
      </c>
      <c r="C804" s="5" t="s">
        <v>21</v>
      </c>
      <c r="K804" s="5">
        <v>1000.0</v>
      </c>
      <c r="N804" s="9">
        <v>44582.0</v>
      </c>
    </row>
    <row r="805">
      <c r="A805" s="5">
        <v>804.0</v>
      </c>
      <c r="B805" s="5" t="s">
        <v>1458</v>
      </c>
      <c r="C805" s="5" t="s">
        <v>21</v>
      </c>
      <c r="K805" s="5">
        <v>40.0</v>
      </c>
      <c r="N805" s="9">
        <v>45707.0</v>
      </c>
    </row>
    <row r="806">
      <c r="A806" s="5">
        <v>805.0</v>
      </c>
      <c r="B806" s="5" t="s">
        <v>1459</v>
      </c>
      <c r="C806" s="5" t="s">
        <v>21</v>
      </c>
      <c r="K806" s="5">
        <v>500.0</v>
      </c>
      <c r="N806" s="9">
        <v>44596.0</v>
      </c>
    </row>
    <row r="807">
      <c r="A807" s="5">
        <v>806.0</v>
      </c>
      <c r="B807" s="5" t="s">
        <v>1460</v>
      </c>
      <c r="C807" s="5" t="s">
        <v>21</v>
      </c>
      <c r="K807" s="5">
        <v>6000.0</v>
      </c>
      <c r="N807" s="9">
        <v>43908.0</v>
      </c>
    </row>
    <row r="808">
      <c r="A808" s="5">
        <v>807.0</v>
      </c>
      <c r="B808" s="5" t="s">
        <v>1461</v>
      </c>
      <c r="C808" s="5" t="s">
        <v>21</v>
      </c>
      <c r="K808" s="5">
        <v>350.0</v>
      </c>
      <c r="N808" s="9">
        <v>44592.0</v>
      </c>
    </row>
    <row r="809">
      <c r="A809" s="5">
        <v>808.0</v>
      </c>
      <c r="B809" s="5" t="s">
        <v>1462</v>
      </c>
      <c r="C809" s="5" t="s">
        <v>21</v>
      </c>
      <c r="K809" s="5">
        <v>100.0</v>
      </c>
      <c r="N809" s="9">
        <v>44551.0</v>
      </c>
    </row>
    <row r="810">
      <c r="A810" s="5">
        <v>809.0</v>
      </c>
      <c r="B810" s="5" t="s">
        <v>1463</v>
      </c>
      <c r="C810" s="5" t="s">
        <v>21</v>
      </c>
      <c r="K810" s="5">
        <v>450.0</v>
      </c>
      <c r="N810" s="9">
        <v>44548.0</v>
      </c>
    </row>
    <row r="811">
      <c r="A811" s="5">
        <v>810.0</v>
      </c>
      <c r="B811" s="5" t="s">
        <v>1464</v>
      </c>
      <c r="C811" s="5" t="s">
        <v>21</v>
      </c>
      <c r="K811" s="5">
        <v>250.0</v>
      </c>
      <c r="N811" s="9">
        <v>45165.0</v>
      </c>
    </row>
    <row r="812">
      <c r="A812" s="5">
        <v>811.0</v>
      </c>
      <c r="B812" s="5" t="s">
        <v>1465</v>
      </c>
      <c r="C812" s="5" t="s">
        <v>21</v>
      </c>
      <c r="K812" s="5">
        <v>300.0</v>
      </c>
      <c r="N812" s="9">
        <v>44383.0</v>
      </c>
    </row>
    <row r="813">
      <c r="A813" s="5">
        <v>812.0</v>
      </c>
      <c r="B813" s="5" t="s">
        <v>1466</v>
      </c>
      <c r="C813" s="5" t="s">
        <v>21</v>
      </c>
      <c r="K813" s="5">
        <v>350.0</v>
      </c>
      <c r="N813" s="9">
        <v>45164.0</v>
      </c>
    </row>
    <row r="814">
      <c r="A814" s="5">
        <v>813.0</v>
      </c>
      <c r="B814" s="5" t="s">
        <v>1467</v>
      </c>
      <c r="C814" s="5" t="s">
        <v>21</v>
      </c>
      <c r="K814" s="5">
        <v>250.0</v>
      </c>
      <c r="N814" s="9">
        <v>44763.0</v>
      </c>
    </row>
    <row r="815">
      <c r="A815" s="5">
        <v>814.0</v>
      </c>
      <c r="B815" s="5" t="s">
        <v>1468</v>
      </c>
      <c r="C815" s="5" t="s">
        <v>21</v>
      </c>
      <c r="K815" s="5">
        <v>350.0</v>
      </c>
      <c r="N815" s="9">
        <v>45327.0</v>
      </c>
    </row>
    <row r="816">
      <c r="A816" s="5">
        <v>815.0</v>
      </c>
      <c r="B816" s="5" t="s">
        <v>1469</v>
      </c>
      <c r="C816" s="5" t="s">
        <v>21</v>
      </c>
      <c r="K816" s="5">
        <v>250.0</v>
      </c>
      <c r="N816" s="9">
        <v>45565.0</v>
      </c>
    </row>
    <row r="817">
      <c r="A817" s="5">
        <v>816.0</v>
      </c>
      <c r="B817" s="5" t="s">
        <v>1470</v>
      </c>
      <c r="C817" s="5" t="s">
        <v>21</v>
      </c>
      <c r="K817" s="5">
        <v>200.0</v>
      </c>
      <c r="N817" s="9">
        <v>44533.0</v>
      </c>
    </row>
    <row r="818">
      <c r="A818" s="5">
        <v>817.0</v>
      </c>
      <c r="B818" s="5" t="s">
        <v>1471</v>
      </c>
      <c r="C818" s="5" t="s">
        <v>21</v>
      </c>
      <c r="K818" s="5">
        <v>30.0</v>
      </c>
      <c r="N818" s="9">
        <v>45090.0</v>
      </c>
    </row>
    <row r="819">
      <c r="A819" s="5">
        <v>818.0</v>
      </c>
      <c r="B819" s="5" t="s">
        <v>1472</v>
      </c>
      <c r="C819" s="5" t="s">
        <v>21</v>
      </c>
      <c r="K819" s="5">
        <v>150.0</v>
      </c>
      <c r="N819" s="9">
        <v>44527.0</v>
      </c>
    </row>
    <row r="820">
      <c r="A820" s="5">
        <v>819.0</v>
      </c>
      <c r="B820" s="5" t="s">
        <v>1473</v>
      </c>
      <c r="C820" s="5" t="s">
        <v>21</v>
      </c>
      <c r="K820" s="5">
        <v>500.0</v>
      </c>
      <c r="N820" s="9">
        <v>44986.0</v>
      </c>
    </row>
    <row r="821">
      <c r="A821" s="5">
        <v>820.0</v>
      </c>
      <c r="B821" s="5" t="s">
        <v>1474</v>
      </c>
      <c r="C821" s="5" t="s">
        <v>21</v>
      </c>
      <c r="K821" s="5">
        <v>1400.0</v>
      </c>
      <c r="N821" s="9">
        <v>44316.0</v>
      </c>
    </row>
    <row r="822">
      <c r="A822" s="5">
        <v>821.0</v>
      </c>
      <c r="B822" s="5" t="s">
        <v>1475</v>
      </c>
      <c r="C822" s="5" t="s">
        <v>21</v>
      </c>
      <c r="K822" s="5">
        <v>900.0</v>
      </c>
      <c r="N822" s="9">
        <v>44617.0</v>
      </c>
    </row>
    <row r="823">
      <c r="A823" s="5">
        <v>822.0</v>
      </c>
      <c r="B823" s="5" t="s">
        <v>1476</v>
      </c>
      <c r="C823" s="5" t="s">
        <v>21</v>
      </c>
      <c r="K823" s="5">
        <v>600.0</v>
      </c>
      <c r="N823" s="9">
        <v>44636.0</v>
      </c>
    </row>
    <row r="824">
      <c r="A824" s="5">
        <v>823.0</v>
      </c>
      <c r="B824" s="5" t="s">
        <v>1477</v>
      </c>
      <c r="C824" s="5" t="s">
        <v>21</v>
      </c>
      <c r="K824" s="5">
        <v>2100.0</v>
      </c>
      <c r="N824" s="9">
        <v>44656.0</v>
      </c>
    </row>
    <row r="825">
      <c r="A825" s="5">
        <v>824.0</v>
      </c>
      <c r="B825" s="5" t="s">
        <v>1478</v>
      </c>
      <c r="C825" s="5" t="s">
        <v>21</v>
      </c>
      <c r="K825" s="5">
        <v>50.0</v>
      </c>
      <c r="N825" s="9">
        <v>45154.0</v>
      </c>
    </row>
    <row r="826">
      <c r="A826" s="5">
        <v>825.0</v>
      </c>
      <c r="B826" s="5" t="s">
        <v>1479</v>
      </c>
      <c r="C826" s="5" t="s">
        <v>21</v>
      </c>
      <c r="K826" s="5">
        <v>30.0</v>
      </c>
      <c r="N826" s="9">
        <v>43952.0</v>
      </c>
    </row>
    <row r="827">
      <c r="A827" s="5">
        <v>826.0</v>
      </c>
      <c r="B827" s="5" t="s">
        <v>1480</v>
      </c>
      <c r="C827" s="5" t="s">
        <v>21</v>
      </c>
      <c r="K827" s="5">
        <v>90.0</v>
      </c>
      <c r="N827" s="9">
        <v>44537.0</v>
      </c>
    </row>
    <row r="828">
      <c r="A828" s="5">
        <v>827.0</v>
      </c>
      <c r="B828" s="5" t="s">
        <v>1481</v>
      </c>
      <c r="C828" s="5" t="s">
        <v>21</v>
      </c>
      <c r="K828" s="5">
        <v>1000.0</v>
      </c>
      <c r="N828" s="9">
        <v>44225.0</v>
      </c>
    </row>
    <row r="829">
      <c r="A829" s="5">
        <v>828.0</v>
      </c>
      <c r="B829" s="5" t="s">
        <v>1482</v>
      </c>
      <c r="C829" s="5" t="s">
        <v>21</v>
      </c>
      <c r="K829" s="5">
        <v>150.0</v>
      </c>
      <c r="N829" s="9">
        <v>44586.0</v>
      </c>
    </row>
    <row r="830">
      <c r="A830" s="5">
        <v>829.0</v>
      </c>
      <c r="B830" s="5" t="s">
        <v>1483</v>
      </c>
      <c r="C830" s="5" t="s">
        <v>21</v>
      </c>
      <c r="K830" s="5">
        <v>900.0</v>
      </c>
      <c r="N830" s="9">
        <v>44369.0</v>
      </c>
    </row>
    <row r="831">
      <c r="A831" s="5">
        <v>830.0</v>
      </c>
      <c r="B831" s="5" t="s">
        <v>1484</v>
      </c>
      <c r="C831" s="5" t="s">
        <v>21</v>
      </c>
      <c r="K831" s="5">
        <v>700.0</v>
      </c>
      <c r="N831" s="9">
        <v>44710.0</v>
      </c>
    </row>
    <row r="832">
      <c r="A832" s="5">
        <v>831.0</v>
      </c>
      <c r="B832" s="5" t="s">
        <v>1485</v>
      </c>
      <c r="C832" s="5" t="s">
        <v>21</v>
      </c>
      <c r="K832" s="5">
        <v>600.0</v>
      </c>
      <c r="N832" s="9">
        <v>45460.0</v>
      </c>
    </row>
    <row r="833">
      <c r="A833" s="5">
        <v>832.0</v>
      </c>
      <c r="B833" s="5" t="s">
        <v>1486</v>
      </c>
      <c r="C833" s="5" t="s">
        <v>21</v>
      </c>
      <c r="K833" s="5">
        <v>20.0</v>
      </c>
      <c r="N833" s="9">
        <v>44561.0</v>
      </c>
    </row>
    <row r="834">
      <c r="A834" s="5">
        <v>833.0</v>
      </c>
      <c r="B834" s="5" t="s">
        <v>1487</v>
      </c>
      <c r="C834" s="5" t="s">
        <v>21</v>
      </c>
      <c r="K834" s="5">
        <v>300.0</v>
      </c>
      <c r="N834" s="9">
        <v>44647.0</v>
      </c>
    </row>
    <row r="835">
      <c r="A835" s="5">
        <v>834.0</v>
      </c>
      <c r="B835" s="5" t="s">
        <v>1488</v>
      </c>
      <c r="C835" s="5" t="s">
        <v>21</v>
      </c>
      <c r="K835" s="5">
        <v>800.0</v>
      </c>
      <c r="N835" s="9">
        <v>44246.0</v>
      </c>
    </row>
    <row r="836">
      <c r="A836" s="5">
        <v>835.0</v>
      </c>
      <c r="B836" s="5" t="s">
        <v>1489</v>
      </c>
      <c r="C836" s="5" t="s">
        <v>21</v>
      </c>
      <c r="K836" s="5">
        <v>200.0</v>
      </c>
      <c r="N836" s="9">
        <v>44699.0</v>
      </c>
    </row>
    <row r="837">
      <c r="A837" s="5">
        <v>836.0</v>
      </c>
      <c r="B837" s="5" t="s">
        <v>1490</v>
      </c>
      <c r="C837" s="5" t="s">
        <v>21</v>
      </c>
      <c r="K837" s="5">
        <v>200.0</v>
      </c>
      <c r="N837" s="9">
        <v>44028.0</v>
      </c>
    </row>
    <row r="838">
      <c r="A838" s="5">
        <v>837.0</v>
      </c>
      <c r="B838" s="5" t="s">
        <v>1491</v>
      </c>
      <c r="C838" s="5" t="s">
        <v>21</v>
      </c>
      <c r="K838" s="5">
        <v>1000.0</v>
      </c>
      <c r="N838" s="9">
        <v>44049.0</v>
      </c>
    </row>
    <row r="839">
      <c r="A839" s="5">
        <v>838.0</v>
      </c>
      <c r="B839" s="5" t="s">
        <v>43</v>
      </c>
      <c r="C839" s="5" t="s">
        <v>21</v>
      </c>
      <c r="K839" s="5">
        <v>200.0</v>
      </c>
      <c r="N839" s="9">
        <v>44381.0</v>
      </c>
    </row>
    <row r="840">
      <c r="A840" s="5">
        <v>839.0</v>
      </c>
      <c r="B840" s="5" t="s">
        <v>1492</v>
      </c>
      <c r="C840" s="5" t="s">
        <v>21</v>
      </c>
      <c r="K840" s="5">
        <v>500.0</v>
      </c>
      <c r="N840" s="9">
        <v>44412.0</v>
      </c>
    </row>
    <row r="841">
      <c r="A841" s="5">
        <v>840.0</v>
      </c>
      <c r="B841" s="5" t="s">
        <v>1493</v>
      </c>
      <c r="C841" s="5" t="s">
        <v>21</v>
      </c>
      <c r="K841" s="5">
        <v>100.0</v>
      </c>
      <c r="N841" s="9">
        <v>44541.0</v>
      </c>
    </row>
    <row r="842">
      <c r="A842" s="5">
        <v>841.0</v>
      </c>
      <c r="B842" s="5" t="s">
        <v>1494</v>
      </c>
      <c r="C842" s="5" t="s">
        <v>21</v>
      </c>
      <c r="K842" s="5">
        <v>150.0</v>
      </c>
      <c r="N842" s="9">
        <v>44634.0</v>
      </c>
    </row>
    <row r="843">
      <c r="A843" s="5">
        <v>842.0</v>
      </c>
      <c r="B843" s="5" t="s">
        <v>1495</v>
      </c>
      <c r="C843" s="5" t="s">
        <v>21</v>
      </c>
      <c r="K843" s="5">
        <v>200.0</v>
      </c>
      <c r="N843" s="9">
        <v>45285.0</v>
      </c>
    </row>
    <row r="844">
      <c r="A844" s="5">
        <v>843.0</v>
      </c>
      <c r="B844" s="5" t="s">
        <v>1496</v>
      </c>
      <c r="C844" s="5" t="s">
        <v>21</v>
      </c>
      <c r="K844" s="5">
        <v>400.0</v>
      </c>
      <c r="N844" s="9">
        <v>44419.0</v>
      </c>
    </row>
    <row r="845">
      <c r="A845" s="5">
        <v>844.0</v>
      </c>
      <c r="B845" s="5" t="s">
        <v>1497</v>
      </c>
      <c r="C845" s="5" t="s">
        <v>21</v>
      </c>
      <c r="K845" s="5">
        <v>400.0</v>
      </c>
      <c r="N845" s="9">
        <v>44549.0</v>
      </c>
    </row>
    <row r="846">
      <c r="A846" s="5">
        <v>845.0</v>
      </c>
      <c r="B846" s="5" t="s">
        <v>1498</v>
      </c>
      <c r="C846" s="5" t="s">
        <v>21</v>
      </c>
      <c r="K846" s="5">
        <v>70.0</v>
      </c>
      <c r="N846" s="9">
        <v>44279.0</v>
      </c>
    </row>
    <row r="847">
      <c r="A847" s="5">
        <v>846.0</v>
      </c>
      <c r="B847" s="5" t="s">
        <v>1499</v>
      </c>
      <c r="C847" s="5" t="s">
        <v>21</v>
      </c>
      <c r="K847" s="5">
        <v>300.0</v>
      </c>
      <c r="N847" s="9">
        <v>45672.0</v>
      </c>
    </row>
    <row r="848">
      <c r="A848" s="5">
        <v>847.0</v>
      </c>
      <c r="B848" s="5" t="s">
        <v>1500</v>
      </c>
      <c r="C848" s="5" t="s">
        <v>21</v>
      </c>
      <c r="K848" s="5">
        <v>700.0</v>
      </c>
      <c r="N848" s="9">
        <v>44533.0</v>
      </c>
    </row>
    <row r="849">
      <c r="A849" s="5">
        <v>848.0</v>
      </c>
      <c r="B849" s="5" t="s">
        <v>1501</v>
      </c>
      <c r="C849" s="5" t="s">
        <v>21</v>
      </c>
      <c r="K849" s="5">
        <v>3800.0</v>
      </c>
      <c r="N849" s="9">
        <v>44119.0</v>
      </c>
    </row>
    <row r="850">
      <c r="A850" s="5">
        <v>849.0</v>
      </c>
      <c r="B850" s="5" t="s">
        <v>1502</v>
      </c>
      <c r="C850" s="5" t="s">
        <v>21</v>
      </c>
      <c r="N850" s="9">
        <v>43882.0</v>
      </c>
    </row>
    <row r="851">
      <c r="A851" s="5">
        <v>850.0</v>
      </c>
      <c r="B851" s="5" t="s">
        <v>1503</v>
      </c>
      <c r="C851" s="5" t="s">
        <v>21</v>
      </c>
      <c r="K851" s="5">
        <v>200.0</v>
      </c>
      <c r="N851" s="9">
        <v>44686.0</v>
      </c>
    </row>
    <row r="852">
      <c r="A852" s="5">
        <v>851.0</v>
      </c>
      <c r="B852" s="5" t="s">
        <v>1504</v>
      </c>
      <c r="C852" s="5" t="s">
        <v>21</v>
      </c>
      <c r="K852" s="5">
        <v>350.0</v>
      </c>
      <c r="N852" s="9">
        <v>44758.0</v>
      </c>
    </row>
    <row r="853">
      <c r="A853" s="5">
        <v>852.0</v>
      </c>
      <c r="B853" s="5" t="s">
        <v>1505</v>
      </c>
      <c r="C853" s="5" t="s">
        <v>21</v>
      </c>
      <c r="N853" s="9">
        <v>44620.0</v>
      </c>
    </row>
    <row r="854">
      <c r="A854" s="5">
        <v>853.0</v>
      </c>
      <c r="B854" s="5" t="s">
        <v>44</v>
      </c>
      <c r="C854" s="5" t="s">
        <v>21</v>
      </c>
      <c r="K854" s="5">
        <v>800.0</v>
      </c>
      <c r="N854" s="9">
        <v>44626.0</v>
      </c>
    </row>
    <row r="855">
      <c r="A855" s="5">
        <v>854.0</v>
      </c>
      <c r="B855" s="5" t="s">
        <v>1506</v>
      </c>
      <c r="C855" s="5" t="s">
        <v>21</v>
      </c>
      <c r="K855" s="5">
        <v>1100.0</v>
      </c>
      <c r="N855" s="9">
        <v>45020.0</v>
      </c>
    </row>
    <row r="856">
      <c r="A856" s="5">
        <v>855.0</v>
      </c>
      <c r="B856" s="5" t="s">
        <v>1507</v>
      </c>
      <c r="C856" s="5" t="s">
        <v>21</v>
      </c>
      <c r="K856" s="5">
        <v>400.0</v>
      </c>
      <c r="N856" s="9">
        <v>44573.0</v>
      </c>
    </row>
    <row r="857">
      <c r="A857" s="5">
        <v>856.0</v>
      </c>
      <c r="B857" s="5" t="s">
        <v>1508</v>
      </c>
      <c r="C857" s="5" t="s">
        <v>21</v>
      </c>
      <c r="K857" s="5">
        <v>200.0</v>
      </c>
      <c r="N857" s="9">
        <v>45146.0</v>
      </c>
    </row>
    <row r="858">
      <c r="A858" s="5">
        <v>857.0</v>
      </c>
      <c r="B858" s="5" t="s">
        <v>1509</v>
      </c>
      <c r="C858" s="5" t="s">
        <v>21</v>
      </c>
      <c r="K858" s="5">
        <v>800.0</v>
      </c>
      <c r="N858" s="9">
        <v>44565.0</v>
      </c>
    </row>
    <row r="859">
      <c r="A859" s="5">
        <v>858.0</v>
      </c>
      <c r="B859" s="5" t="s">
        <v>1510</v>
      </c>
      <c r="C859" s="5" t="s">
        <v>21</v>
      </c>
      <c r="K859" s="5">
        <v>1600.0</v>
      </c>
      <c r="N859" s="9">
        <v>43972.0</v>
      </c>
    </row>
    <row r="860">
      <c r="A860" s="5">
        <v>859.0</v>
      </c>
      <c r="B860" s="5" t="s">
        <v>1511</v>
      </c>
      <c r="C860" s="5" t="s">
        <v>21</v>
      </c>
      <c r="K860" s="5">
        <v>600.0</v>
      </c>
      <c r="N860" s="9">
        <v>44740.0</v>
      </c>
    </row>
    <row r="861">
      <c r="A861" s="5">
        <v>860.0</v>
      </c>
      <c r="B861" s="5" t="s">
        <v>1512</v>
      </c>
      <c r="C861" s="5" t="s">
        <v>21</v>
      </c>
      <c r="K861" s="5">
        <v>400.0</v>
      </c>
      <c r="N861" s="9">
        <v>44748.0</v>
      </c>
    </row>
    <row r="862">
      <c r="A862" s="5">
        <v>861.0</v>
      </c>
      <c r="B862" s="5" t="s">
        <v>1513</v>
      </c>
      <c r="C862" s="5" t="s">
        <v>21</v>
      </c>
      <c r="K862" s="5">
        <v>90.0</v>
      </c>
      <c r="N862" s="9">
        <v>43880.0</v>
      </c>
    </row>
    <row r="863">
      <c r="A863" s="5">
        <v>862.0</v>
      </c>
      <c r="B863" s="5" t="s">
        <v>1514</v>
      </c>
      <c r="C863" s="5" t="s">
        <v>21</v>
      </c>
      <c r="K863" s="5">
        <v>350.0</v>
      </c>
      <c r="N863" s="9">
        <v>43981.0</v>
      </c>
    </row>
    <row r="864">
      <c r="A864" s="5">
        <v>863.0</v>
      </c>
      <c r="B864" s="5" t="s">
        <v>1515</v>
      </c>
      <c r="C864" s="5" t="s">
        <v>21</v>
      </c>
      <c r="K864" s="5">
        <v>300.0</v>
      </c>
      <c r="N864" s="9">
        <v>44614.0</v>
      </c>
    </row>
    <row r="865">
      <c r="A865" s="5">
        <v>864.0</v>
      </c>
      <c r="B865" s="5" t="s">
        <v>1516</v>
      </c>
      <c r="C865" s="5" t="s">
        <v>21</v>
      </c>
      <c r="K865" s="5">
        <v>100.0</v>
      </c>
      <c r="N865" s="9">
        <v>44634.0</v>
      </c>
    </row>
    <row r="866">
      <c r="A866" s="5">
        <v>865.0</v>
      </c>
      <c r="B866" s="5" t="s">
        <v>1517</v>
      </c>
      <c r="C866" s="5" t="s">
        <v>21</v>
      </c>
      <c r="K866" s="5">
        <v>150.0</v>
      </c>
      <c r="N866" s="9">
        <v>44602.0</v>
      </c>
    </row>
    <row r="867">
      <c r="A867" s="5">
        <v>866.0</v>
      </c>
      <c r="B867" s="5" t="s">
        <v>1518</v>
      </c>
      <c r="C867" s="5" t="s">
        <v>21</v>
      </c>
      <c r="K867" s="5">
        <v>300.0</v>
      </c>
      <c r="N867" s="9">
        <v>44839.0</v>
      </c>
    </row>
    <row r="868">
      <c r="A868" s="5">
        <v>867.0</v>
      </c>
      <c r="B868" s="5" t="s">
        <v>1519</v>
      </c>
      <c r="C868" s="5" t="s">
        <v>21</v>
      </c>
      <c r="K868" s="5">
        <v>1400.0</v>
      </c>
      <c r="N868" s="9">
        <v>43992.0</v>
      </c>
    </row>
    <row r="869">
      <c r="A869" s="5">
        <v>868.0</v>
      </c>
      <c r="B869" s="5" t="s">
        <v>1520</v>
      </c>
      <c r="C869" s="5" t="s">
        <v>21</v>
      </c>
      <c r="K869" s="5">
        <v>100.0</v>
      </c>
      <c r="N869" s="9">
        <v>44116.0</v>
      </c>
    </row>
    <row r="870">
      <c r="A870" s="5">
        <v>869.0</v>
      </c>
      <c r="B870" s="5" t="s">
        <v>1521</v>
      </c>
      <c r="C870" s="5" t="s">
        <v>21</v>
      </c>
      <c r="K870" s="5">
        <v>70.0</v>
      </c>
      <c r="N870" s="9">
        <v>45145.0</v>
      </c>
    </row>
    <row r="871">
      <c r="A871" s="5">
        <v>870.0</v>
      </c>
      <c r="B871" s="5" t="s">
        <v>1522</v>
      </c>
      <c r="C871" s="5" t="s">
        <v>21</v>
      </c>
      <c r="K871" s="5">
        <v>150.0</v>
      </c>
      <c r="N871" s="9">
        <v>44541.0</v>
      </c>
    </row>
    <row r="872">
      <c r="A872" s="5">
        <v>871.0</v>
      </c>
      <c r="B872" s="5" t="s">
        <v>1523</v>
      </c>
      <c r="C872" s="5" t="s">
        <v>21</v>
      </c>
      <c r="N872" s="9">
        <v>45245.0</v>
      </c>
    </row>
    <row r="873">
      <c r="A873" s="5">
        <v>872.0</v>
      </c>
      <c r="B873" s="5" t="s">
        <v>1524</v>
      </c>
      <c r="C873" s="5" t="s">
        <v>21</v>
      </c>
      <c r="K873" s="5">
        <v>1100.0</v>
      </c>
      <c r="N873" s="9">
        <v>44534.0</v>
      </c>
    </row>
    <row r="874">
      <c r="A874" s="5">
        <v>873.0</v>
      </c>
      <c r="B874" s="5" t="s">
        <v>1525</v>
      </c>
      <c r="C874" s="5" t="s">
        <v>21</v>
      </c>
      <c r="K874" s="5">
        <v>700.0</v>
      </c>
      <c r="N874" s="9">
        <v>44673.0</v>
      </c>
    </row>
    <row r="875">
      <c r="A875" s="5">
        <v>874.0</v>
      </c>
      <c r="B875" s="5" t="s">
        <v>1526</v>
      </c>
      <c r="C875" s="5" t="s">
        <v>21</v>
      </c>
      <c r="K875" s="5">
        <v>2200.0</v>
      </c>
      <c r="N875" s="9">
        <v>44530.0</v>
      </c>
    </row>
    <row r="876">
      <c r="A876" s="5">
        <v>875.0</v>
      </c>
      <c r="B876" s="5" t="s">
        <v>1527</v>
      </c>
      <c r="C876" s="5" t="s">
        <v>21</v>
      </c>
      <c r="K876" s="5">
        <v>250.0</v>
      </c>
      <c r="N876" s="9">
        <v>44597.0</v>
      </c>
    </row>
    <row r="877">
      <c r="A877" s="5">
        <v>876.0</v>
      </c>
      <c r="B877" s="5" t="s">
        <v>1528</v>
      </c>
      <c r="C877" s="5" t="s">
        <v>21</v>
      </c>
      <c r="K877" s="5">
        <v>150.0</v>
      </c>
      <c r="N877" s="9">
        <v>44577.0</v>
      </c>
    </row>
    <row r="878">
      <c r="A878" s="5">
        <v>877.0</v>
      </c>
      <c r="B878" s="5" t="s">
        <v>1529</v>
      </c>
      <c r="C878" s="5" t="s">
        <v>21</v>
      </c>
      <c r="K878" s="5">
        <v>30.0</v>
      </c>
      <c r="N878" s="9">
        <v>45513.0</v>
      </c>
    </row>
    <row r="879">
      <c r="A879" s="5">
        <v>878.0</v>
      </c>
      <c r="B879" s="5" t="s">
        <v>1530</v>
      </c>
      <c r="C879" s="5" t="s">
        <v>21</v>
      </c>
      <c r="K879" s="5">
        <v>250.0</v>
      </c>
      <c r="N879" s="9">
        <v>44673.0</v>
      </c>
    </row>
    <row r="880">
      <c r="A880" s="5">
        <v>879.0</v>
      </c>
      <c r="B880" s="5" t="s">
        <v>1531</v>
      </c>
      <c r="C880" s="5" t="s">
        <v>21</v>
      </c>
      <c r="K880" s="5">
        <v>200.0</v>
      </c>
      <c r="N880" s="9">
        <v>44588.0</v>
      </c>
    </row>
    <row r="881">
      <c r="A881" s="5">
        <v>880.0</v>
      </c>
      <c r="B881" s="5" t="s">
        <v>1532</v>
      </c>
      <c r="C881" s="5" t="s">
        <v>21</v>
      </c>
      <c r="K881" s="5">
        <v>3300.0</v>
      </c>
      <c r="N881" s="9">
        <v>44077.0</v>
      </c>
    </row>
    <row r="882">
      <c r="A882" s="5">
        <v>881.0</v>
      </c>
      <c r="B882" s="5" t="s">
        <v>1533</v>
      </c>
      <c r="C882" s="5" t="s">
        <v>21</v>
      </c>
      <c r="K882" s="5">
        <v>450.0</v>
      </c>
      <c r="N882" s="9">
        <v>44838.0</v>
      </c>
    </row>
    <row r="883">
      <c r="A883" s="5">
        <v>882.0</v>
      </c>
      <c r="B883" s="5" t="s">
        <v>1534</v>
      </c>
      <c r="C883" s="5" t="s">
        <v>21</v>
      </c>
      <c r="K883" s="5">
        <v>100.0</v>
      </c>
      <c r="N883" s="9">
        <v>44277.0</v>
      </c>
    </row>
    <row r="884">
      <c r="A884" s="5">
        <v>883.0</v>
      </c>
      <c r="B884" s="5" t="s">
        <v>1535</v>
      </c>
      <c r="C884" s="5" t="s">
        <v>21</v>
      </c>
      <c r="K884" s="5">
        <v>600.0</v>
      </c>
      <c r="N884" s="9">
        <v>45270.0</v>
      </c>
    </row>
    <row r="885">
      <c r="A885" s="5">
        <v>884.0</v>
      </c>
      <c r="B885" s="5" t="s">
        <v>1536</v>
      </c>
      <c r="C885" s="5" t="s">
        <v>21</v>
      </c>
      <c r="K885" s="5">
        <v>200.0</v>
      </c>
      <c r="N885" s="9">
        <v>45140.0</v>
      </c>
    </row>
    <row r="886">
      <c r="A886" s="5">
        <v>885.0</v>
      </c>
      <c r="B886" s="5" t="s">
        <v>1537</v>
      </c>
      <c r="C886" s="5" t="s">
        <v>21</v>
      </c>
      <c r="K886" s="5">
        <v>150.0</v>
      </c>
      <c r="N886" s="9">
        <v>45445.0</v>
      </c>
    </row>
    <row r="887">
      <c r="A887" s="5">
        <v>886.0</v>
      </c>
      <c r="B887" s="5" t="s">
        <v>1538</v>
      </c>
      <c r="C887" s="5" t="s">
        <v>21</v>
      </c>
      <c r="K887" s="5">
        <v>40.0</v>
      </c>
      <c r="N887" s="9">
        <v>44736.0</v>
      </c>
    </row>
    <row r="888">
      <c r="A888" s="5">
        <v>887.0</v>
      </c>
      <c r="B888" s="5" t="s">
        <v>1539</v>
      </c>
      <c r="C888" s="5" t="s">
        <v>21</v>
      </c>
      <c r="K888" s="5">
        <v>40.0</v>
      </c>
      <c r="N888" s="9">
        <v>44305.0</v>
      </c>
    </row>
    <row r="889">
      <c r="A889" s="5">
        <v>888.0</v>
      </c>
      <c r="B889" s="5" t="s">
        <v>1540</v>
      </c>
      <c r="C889" s="5" t="s">
        <v>21</v>
      </c>
      <c r="K889" s="5">
        <v>14000.0</v>
      </c>
      <c r="N889" s="9">
        <v>44552.0</v>
      </c>
    </row>
    <row r="890">
      <c r="A890" s="5">
        <v>889.0</v>
      </c>
      <c r="B890" s="5" t="s">
        <v>1541</v>
      </c>
      <c r="C890" s="5" t="s">
        <v>21</v>
      </c>
      <c r="K890" s="5">
        <v>100.0</v>
      </c>
      <c r="N890" s="9">
        <v>44725.0</v>
      </c>
    </row>
    <row r="891">
      <c r="A891" s="5">
        <v>890.0</v>
      </c>
      <c r="B891" s="5" t="s">
        <v>1542</v>
      </c>
      <c r="C891" s="5" t="s">
        <v>21</v>
      </c>
      <c r="K891" s="5">
        <v>150.0</v>
      </c>
      <c r="N891" s="9">
        <v>44026.0</v>
      </c>
    </row>
    <row r="892">
      <c r="A892" s="5">
        <v>891.0</v>
      </c>
      <c r="B892" s="5" t="s">
        <v>1543</v>
      </c>
      <c r="C892" s="5" t="s">
        <v>21</v>
      </c>
      <c r="K892" s="5">
        <v>200.0</v>
      </c>
      <c r="N892" s="9">
        <v>44656.0</v>
      </c>
    </row>
    <row r="893">
      <c r="A893" s="5">
        <v>892.0</v>
      </c>
      <c r="B893" s="5" t="s">
        <v>1544</v>
      </c>
      <c r="C893" s="5" t="s">
        <v>21</v>
      </c>
      <c r="K893" s="5">
        <v>150.0</v>
      </c>
      <c r="N893" s="9">
        <v>44556.0</v>
      </c>
    </row>
    <row r="894">
      <c r="A894" s="5">
        <v>893.0</v>
      </c>
      <c r="B894" s="5" t="s">
        <v>1545</v>
      </c>
      <c r="C894" s="5" t="s">
        <v>21</v>
      </c>
      <c r="K894" s="5">
        <v>200.0</v>
      </c>
      <c r="N894" s="9">
        <v>44270.0</v>
      </c>
    </row>
    <row r="895">
      <c r="A895" s="5">
        <v>894.0</v>
      </c>
      <c r="B895" s="5" t="s">
        <v>1546</v>
      </c>
      <c r="C895" s="5" t="s">
        <v>21</v>
      </c>
      <c r="K895" s="5">
        <v>400.0</v>
      </c>
      <c r="N895" s="9">
        <v>44397.0</v>
      </c>
    </row>
    <row r="896">
      <c r="A896" s="5">
        <v>895.0</v>
      </c>
      <c r="B896" s="5" t="s">
        <v>1547</v>
      </c>
      <c r="C896" s="5" t="s">
        <v>21</v>
      </c>
      <c r="K896" s="5">
        <v>4600.0</v>
      </c>
      <c r="N896" s="9">
        <v>44119.0</v>
      </c>
    </row>
    <row r="897">
      <c r="A897" s="5">
        <v>896.0</v>
      </c>
      <c r="B897" s="5" t="s">
        <v>1548</v>
      </c>
      <c r="C897" s="5" t="s">
        <v>21</v>
      </c>
      <c r="K897" s="5">
        <v>200.0</v>
      </c>
      <c r="N897" s="9">
        <v>45086.0</v>
      </c>
    </row>
    <row r="898">
      <c r="A898" s="5">
        <v>897.0</v>
      </c>
      <c r="B898" s="5" t="s">
        <v>1549</v>
      </c>
      <c r="C898" s="5" t="s">
        <v>21</v>
      </c>
      <c r="K898" s="5">
        <v>200.0</v>
      </c>
      <c r="N898" s="9">
        <v>44873.0</v>
      </c>
    </row>
    <row r="899">
      <c r="A899" s="5">
        <v>898.0</v>
      </c>
      <c r="B899" s="5" t="s">
        <v>1550</v>
      </c>
      <c r="C899" s="5" t="s">
        <v>21</v>
      </c>
      <c r="K899" s="5">
        <v>600.0</v>
      </c>
      <c r="N899" s="9">
        <v>44531.0</v>
      </c>
    </row>
    <row r="900">
      <c r="A900" s="5">
        <v>899.0</v>
      </c>
      <c r="B900" s="5" t="s">
        <v>1551</v>
      </c>
      <c r="C900" s="5" t="s">
        <v>21</v>
      </c>
      <c r="K900" s="5">
        <v>10.0</v>
      </c>
      <c r="N900" s="9">
        <v>44951.0</v>
      </c>
    </row>
    <row r="901">
      <c r="A901" s="5">
        <v>900.0</v>
      </c>
      <c r="B901" s="5" t="s">
        <v>1552</v>
      </c>
      <c r="C901" s="5" t="s">
        <v>21</v>
      </c>
      <c r="K901" s="5">
        <v>200.0</v>
      </c>
      <c r="N901" s="9">
        <v>44572.0</v>
      </c>
    </row>
    <row r="902">
      <c r="A902" s="5">
        <v>901.0</v>
      </c>
      <c r="B902" s="5" t="s">
        <v>1553</v>
      </c>
      <c r="C902" s="5" t="s">
        <v>21</v>
      </c>
      <c r="K902" s="5">
        <v>40.0</v>
      </c>
      <c r="N902" s="9">
        <v>44594.0</v>
      </c>
    </row>
    <row r="903">
      <c r="A903" s="5">
        <v>902.0</v>
      </c>
      <c r="B903" s="5" t="s">
        <v>1554</v>
      </c>
      <c r="C903" s="5" t="s">
        <v>21</v>
      </c>
      <c r="K903" s="5">
        <v>600.0</v>
      </c>
      <c r="N903" s="9">
        <v>43894.0</v>
      </c>
    </row>
    <row r="904">
      <c r="A904" s="5">
        <v>903.0</v>
      </c>
      <c r="B904" s="5" t="s">
        <v>1555</v>
      </c>
      <c r="C904" s="5" t="s">
        <v>21</v>
      </c>
      <c r="K904" s="5">
        <v>10.0</v>
      </c>
      <c r="N904" s="9">
        <v>44729.0</v>
      </c>
    </row>
    <row r="905">
      <c r="A905" s="5">
        <v>904.0</v>
      </c>
      <c r="B905" s="5" t="s">
        <v>1556</v>
      </c>
      <c r="C905" s="5" t="s">
        <v>21</v>
      </c>
      <c r="K905" s="5">
        <v>400.0</v>
      </c>
      <c r="N905" s="9">
        <v>44779.0</v>
      </c>
    </row>
    <row r="906">
      <c r="A906" s="5">
        <v>905.0</v>
      </c>
      <c r="B906" s="5" t="s">
        <v>1557</v>
      </c>
      <c r="C906" s="5" t="s">
        <v>21</v>
      </c>
      <c r="K906" s="5">
        <v>70.0</v>
      </c>
      <c r="N906" s="9">
        <v>44557.0</v>
      </c>
    </row>
    <row r="907">
      <c r="A907" s="5">
        <v>906.0</v>
      </c>
      <c r="B907" s="5" t="s">
        <v>1558</v>
      </c>
      <c r="C907" s="5" t="s">
        <v>21</v>
      </c>
      <c r="K907" s="5">
        <v>6200.0</v>
      </c>
      <c r="N907" s="9">
        <v>45147.0</v>
      </c>
    </row>
    <row r="908">
      <c r="A908" s="5">
        <v>907.0</v>
      </c>
      <c r="B908" s="5" t="s">
        <v>1559</v>
      </c>
      <c r="C908" s="5" t="s">
        <v>21</v>
      </c>
      <c r="K908" s="5">
        <v>500.0</v>
      </c>
      <c r="N908" s="9">
        <v>44520.0</v>
      </c>
    </row>
    <row r="909">
      <c r="A909" s="5">
        <v>908.0</v>
      </c>
      <c r="B909" s="5" t="s">
        <v>1560</v>
      </c>
      <c r="C909" s="5" t="s">
        <v>21</v>
      </c>
      <c r="K909" s="5">
        <v>300.0</v>
      </c>
      <c r="N909" s="9">
        <v>45099.0</v>
      </c>
    </row>
    <row r="910">
      <c r="A910" s="5">
        <v>909.0</v>
      </c>
      <c r="B910" s="5" t="s">
        <v>1561</v>
      </c>
      <c r="C910" s="5" t="s">
        <v>21</v>
      </c>
      <c r="K910" s="5">
        <v>80.0</v>
      </c>
      <c r="N910" s="9">
        <v>44531.0</v>
      </c>
    </row>
    <row r="911">
      <c r="A911" s="5">
        <v>910.0</v>
      </c>
      <c r="B911" s="5" t="s">
        <v>1562</v>
      </c>
      <c r="C911" s="5" t="s">
        <v>21</v>
      </c>
      <c r="K911" s="5">
        <v>1000.0</v>
      </c>
      <c r="N911" s="9">
        <v>44393.0</v>
      </c>
    </row>
    <row r="912">
      <c r="A912" s="5">
        <v>911.0</v>
      </c>
      <c r="B912" s="5" t="s">
        <v>1563</v>
      </c>
      <c r="C912" s="5" t="s">
        <v>21</v>
      </c>
      <c r="K912" s="5">
        <v>300.0</v>
      </c>
      <c r="N912" s="9">
        <v>44544.0</v>
      </c>
    </row>
    <row r="913">
      <c r="A913" s="5">
        <v>912.0</v>
      </c>
      <c r="B913" s="5" t="s">
        <v>1564</v>
      </c>
      <c r="C913" s="5" t="s">
        <v>21</v>
      </c>
      <c r="K913" s="5">
        <v>80.0</v>
      </c>
      <c r="N913" s="9">
        <v>44592.0</v>
      </c>
    </row>
    <row r="914">
      <c r="A914" s="5">
        <v>913.0</v>
      </c>
      <c r="B914" s="5" t="s">
        <v>1565</v>
      </c>
      <c r="C914" s="5" t="s">
        <v>21</v>
      </c>
      <c r="K914" s="5">
        <v>1200.0</v>
      </c>
      <c r="N914" s="9">
        <v>44747.0</v>
      </c>
    </row>
    <row r="915">
      <c r="A915" s="5">
        <v>914.0</v>
      </c>
      <c r="B915" s="5" t="s">
        <v>1566</v>
      </c>
      <c r="C915" s="5" t="s">
        <v>21</v>
      </c>
      <c r="K915" s="5">
        <v>8100.0</v>
      </c>
      <c r="N915" s="9">
        <v>46087.0</v>
      </c>
    </row>
    <row r="916">
      <c r="A916" s="5">
        <v>915.0</v>
      </c>
      <c r="B916" s="5" t="s">
        <v>1567</v>
      </c>
      <c r="C916" s="5" t="s">
        <v>21</v>
      </c>
      <c r="K916" s="5">
        <v>150.0</v>
      </c>
      <c r="N916" s="9">
        <v>43877.0</v>
      </c>
    </row>
    <row r="917">
      <c r="A917" s="5">
        <v>916.0</v>
      </c>
      <c r="B917" s="5" t="s">
        <v>1568</v>
      </c>
      <c r="C917" s="5" t="s">
        <v>21</v>
      </c>
      <c r="K917" s="5">
        <v>1800.0</v>
      </c>
      <c r="N917" s="9">
        <v>44253.0</v>
      </c>
    </row>
    <row r="918">
      <c r="A918" s="5">
        <v>917.0</v>
      </c>
      <c r="B918" s="5" t="s">
        <v>1569</v>
      </c>
      <c r="C918" s="5" t="s">
        <v>21</v>
      </c>
      <c r="K918" s="5">
        <v>150.0</v>
      </c>
      <c r="N918" s="9">
        <v>45207.0</v>
      </c>
    </row>
    <row r="919">
      <c r="A919" s="5">
        <v>918.0</v>
      </c>
      <c r="B919" s="5" t="s">
        <v>1570</v>
      </c>
      <c r="C919" s="5" t="s">
        <v>21</v>
      </c>
      <c r="K919" s="5">
        <v>300.0</v>
      </c>
      <c r="N919" s="9">
        <v>44553.0</v>
      </c>
    </row>
    <row r="920">
      <c r="A920" s="5">
        <v>919.0</v>
      </c>
      <c r="B920" s="5" t="s">
        <v>1571</v>
      </c>
      <c r="C920" s="5" t="s">
        <v>21</v>
      </c>
      <c r="K920" s="5">
        <v>200.0</v>
      </c>
      <c r="N920" s="9">
        <v>45573.0</v>
      </c>
    </row>
    <row r="921">
      <c r="A921" s="5">
        <v>920.0</v>
      </c>
      <c r="B921" s="5" t="s">
        <v>1572</v>
      </c>
      <c r="C921" s="5" t="s">
        <v>21</v>
      </c>
      <c r="K921" s="5">
        <v>600.0</v>
      </c>
      <c r="N921" s="9">
        <v>44655.0</v>
      </c>
    </row>
    <row r="922">
      <c r="A922" s="5">
        <v>921.0</v>
      </c>
      <c r="B922" s="5" t="s">
        <v>1573</v>
      </c>
      <c r="C922" s="5" t="s">
        <v>21</v>
      </c>
      <c r="K922" s="5">
        <v>30.0</v>
      </c>
      <c r="N922" s="9">
        <v>44575.0</v>
      </c>
    </row>
    <row r="923">
      <c r="A923" s="5">
        <v>922.0</v>
      </c>
      <c r="B923" s="5" t="s">
        <v>1574</v>
      </c>
      <c r="C923" s="5" t="s">
        <v>21</v>
      </c>
      <c r="K923" s="5">
        <v>350.0</v>
      </c>
      <c r="N923" s="9">
        <v>43857.0</v>
      </c>
    </row>
    <row r="924">
      <c r="A924" s="5">
        <v>923.0</v>
      </c>
      <c r="B924" s="5" t="s">
        <v>1575</v>
      </c>
      <c r="C924" s="5" t="s">
        <v>21</v>
      </c>
      <c r="K924" s="5">
        <v>30.0</v>
      </c>
      <c r="N924" s="9">
        <v>45104.0</v>
      </c>
    </row>
    <row r="925">
      <c r="A925" s="5">
        <v>924.0</v>
      </c>
      <c r="B925" s="5" t="s">
        <v>1576</v>
      </c>
      <c r="C925" s="5" t="s">
        <v>21</v>
      </c>
      <c r="N925" s="9">
        <v>44595.0</v>
      </c>
    </row>
    <row r="926">
      <c r="A926" s="5">
        <v>925.0</v>
      </c>
      <c r="B926" s="5" t="s">
        <v>1577</v>
      </c>
      <c r="C926" s="5" t="s">
        <v>21</v>
      </c>
      <c r="K926" s="5">
        <v>600.0</v>
      </c>
      <c r="N926" s="9">
        <v>44402.0</v>
      </c>
    </row>
    <row r="927">
      <c r="A927" s="5">
        <v>926.0</v>
      </c>
      <c r="B927" s="5" t="s">
        <v>1578</v>
      </c>
      <c r="C927" s="5" t="s">
        <v>21</v>
      </c>
      <c r="K927" s="5">
        <v>150.0</v>
      </c>
      <c r="N927" s="9">
        <v>44750.0</v>
      </c>
    </row>
    <row r="928">
      <c r="A928" s="5">
        <v>927.0</v>
      </c>
      <c r="B928" s="5" t="s">
        <v>1579</v>
      </c>
      <c r="C928" s="5" t="s">
        <v>21</v>
      </c>
      <c r="K928" s="5">
        <v>200.0</v>
      </c>
      <c r="N928" s="9">
        <v>44597.0</v>
      </c>
    </row>
    <row r="929">
      <c r="A929" s="5">
        <v>928.0</v>
      </c>
      <c r="B929" s="5" t="s">
        <v>1580</v>
      </c>
      <c r="C929" s="5" t="s">
        <v>21</v>
      </c>
      <c r="K929" s="5">
        <v>1100.0</v>
      </c>
      <c r="N929" s="9">
        <v>44638.0</v>
      </c>
    </row>
    <row r="930">
      <c r="A930" s="5">
        <v>929.0</v>
      </c>
      <c r="B930" s="5" t="s">
        <v>1581</v>
      </c>
      <c r="C930" s="5" t="s">
        <v>21</v>
      </c>
      <c r="K930" s="5">
        <v>40.0</v>
      </c>
      <c r="N930" s="9">
        <v>44842.0</v>
      </c>
    </row>
    <row r="931">
      <c r="A931" s="5">
        <v>930.0</v>
      </c>
      <c r="B931" s="5" t="s">
        <v>1582</v>
      </c>
      <c r="C931" s="5" t="s">
        <v>21</v>
      </c>
      <c r="K931" s="5">
        <v>122000.0</v>
      </c>
      <c r="N931" s="9">
        <v>46093.0</v>
      </c>
    </row>
    <row r="932">
      <c r="A932" s="5">
        <v>931.0</v>
      </c>
      <c r="B932" s="5" t="s">
        <v>1583</v>
      </c>
      <c r="C932" s="5" t="s">
        <v>21</v>
      </c>
      <c r="K932" s="5">
        <v>400.0</v>
      </c>
      <c r="N932" s="9">
        <v>43912.0</v>
      </c>
    </row>
    <row r="933">
      <c r="A933" s="5">
        <v>932.0</v>
      </c>
      <c r="B933" s="5" t="s">
        <v>1584</v>
      </c>
      <c r="C933" s="5" t="s">
        <v>21</v>
      </c>
      <c r="K933" s="5">
        <v>300.0</v>
      </c>
      <c r="N933" s="9">
        <v>44724.0</v>
      </c>
    </row>
    <row r="934">
      <c r="A934" s="5">
        <v>933.0</v>
      </c>
      <c r="B934" s="5" t="s">
        <v>1585</v>
      </c>
      <c r="C934" s="5" t="s">
        <v>21</v>
      </c>
      <c r="K934" s="5">
        <v>80.0</v>
      </c>
      <c r="N934" s="9">
        <v>44714.0</v>
      </c>
    </row>
    <row r="935">
      <c r="A935" s="5">
        <v>934.0</v>
      </c>
      <c r="B935" s="5" t="s">
        <v>1586</v>
      </c>
      <c r="C935" s="5" t="s">
        <v>21</v>
      </c>
      <c r="K935" s="5">
        <v>24000.0</v>
      </c>
      <c r="N935" s="9">
        <v>43860.0</v>
      </c>
    </row>
    <row r="936">
      <c r="A936" s="5">
        <v>935.0</v>
      </c>
      <c r="B936" s="5" t="s">
        <v>1587</v>
      </c>
      <c r="C936" s="5" t="s">
        <v>21</v>
      </c>
      <c r="K936" s="5">
        <v>200.0</v>
      </c>
      <c r="N936" s="9">
        <v>45084.0</v>
      </c>
    </row>
    <row r="937">
      <c r="A937" s="5">
        <v>936.0</v>
      </c>
      <c r="B937" s="5" t="s">
        <v>1588</v>
      </c>
      <c r="C937" s="5" t="s">
        <v>21</v>
      </c>
      <c r="K937" s="5">
        <v>80.0</v>
      </c>
      <c r="N937" s="9">
        <v>45364.0</v>
      </c>
    </row>
    <row r="938">
      <c r="A938" s="5">
        <v>937.0</v>
      </c>
      <c r="B938" s="5" t="s">
        <v>1589</v>
      </c>
      <c r="C938" s="5" t="s">
        <v>21</v>
      </c>
      <c r="K938" s="5">
        <v>60.0</v>
      </c>
      <c r="N938" s="9">
        <v>44518.0</v>
      </c>
    </row>
    <row r="939">
      <c r="A939" s="5">
        <v>938.0</v>
      </c>
      <c r="B939" s="5" t="s">
        <v>1590</v>
      </c>
      <c r="C939" s="5" t="s">
        <v>21</v>
      </c>
      <c r="K939" s="5">
        <v>250.0</v>
      </c>
      <c r="N939" s="9">
        <v>44556.0</v>
      </c>
    </row>
    <row r="940">
      <c r="A940" s="5">
        <v>939.0</v>
      </c>
      <c r="B940" s="5" t="s">
        <v>1591</v>
      </c>
      <c r="C940" s="5" t="s">
        <v>21</v>
      </c>
      <c r="K940" s="5">
        <v>50.0</v>
      </c>
      <c r="N940" s="9">
        <v>44602.0</v>
      </c>
    </row>
    <row r="941">
      <c r="A941" s="5">
        <v>940.0</v>
      </c>
      <c r="B941" s="5" t="s">
        <v>1592</v>
      </c>
      <c r="C941" s="5" t="s">
        <v>21</v>
      </c>
      <c r="K941" s="5">
        <v>250.0</v>
      </c>
      <c r="N941" s="9">
        <v>44554.0</v>
      </c>
    </row>
    <row r="942">
      <c r="A942" s="5">
        <v>941.0</v>
      </c>
      <c r="B942" s="5" t="s">
        <v>1593</v>
      </c>
      <c r="C942" s="5" t="s">
        <v>21</v>
      </c>
      <c r="K942" s="5">
        <v>450.0</v>
      </c>
      <c r="N942" s="9">
        <v>45565.0</v>
      </c>
    </row>
    <row r="943">
      <c r="A943" s="5">
        <v>942.0</v>
      </c>
      <c r="B943" s="5" t="s">
        <v>1594</v>
      </c>
      <c r="C943" s="5" t="s">
        <v>21</v>
      </c>
      <c r="K943" s="5">
        <v>1500.0</v>
      </c>
      <c r="N943" s="9">
        <v>44437.0</v>
      </c>
    </row>
    <row r="944">
      <c r="A944" s="5">
        <v>943.0</v>
      </c>
      <c r="B944" s="5" t="s">
        <v>1595</v>
      </c>
      <c r="C944" s="5" t="s">
        <v>21</v>
      </c>
      <c r="K944" s="5">
        <v>70.0</v>
      </c>
      <c r="N944" s="9">
        <v>45022.0</v>
      </c>
    </row>
    <row r="945">
      <c r="A945" s="5">
        <v>944.0</v>
      </c>
      <c r="B945" s="5" t="s">
        <v>1596</v>
      </c>
      <c r="C945" s="5" t="s">
        <v>21</v>
      </c>
      <c r="K945" s="5">
        <v>50.0</v>
      </c>
      <c r="N945" s="9">
        <v>44660.0</v>
      </c>
    </row>
    <row r="946">
      <c r="A946" s="5">
        <v>945.0</v>
      </c>
      <c r="B946" s="5" t="s">
        <v>1597</v>
      </c>
      <c r="C946" s="5" t="s">
        <v>21</v>
      </c>
      <c r="K946" s="5">
        <v>30.0</v>
      </c>
      <c r="N946" s="9">
        <v>44380.0</v>
      </c>
    </row>
    <row r="947">
      <c r="A947" s="5">
        <v>946.0</v>
      </c>
      <c r="B947" s="5" t="s">
        <v>1598</v>
      </c>
      <c r="C947" s="5" t="s">
        <v>21</v>
      </c>
      <c r="K947" s="5">
        <v>250.0</v>
      </c>
      <c r="N947" s="9">
        <v>44566.0</v>
      </c>
    </row>
    <row r="948">
      <c r="A948" s="5">
        <v>947.0</v>
      </c>
      <c r="B948" s="5" t="s">
        <v>1599</v>
      </c>
      <c r="C948" s="5" t="s">
        <v>21</v>
      </c>
      <c r="K948" s="5">
        <v>40.0</v>
      </c>
      <c r="N948" s="9">
        <v>44609.0</v>
      </c>
    </row>
    <row r="949">
      <c r="A949" s="5">
        <v>948.0</v>
      </c>
      <c r="B949" s="5" t="s">
        <v>1600</v>
      </c>
      <c r="C949" s="5" t="s">
        <v>21</v>
      </c>
      <c r="K949" s="5">
        <v>250.0</v>
      </c>
      <c r="N949" s="9">
        <v>44012.0</v>
      </c>
    </row>
    <row r="950">
      <c r="A950" s="5">
        <v>949.0</v>
      </c>
      <c r="B950" s="5" t="s">
        <v>1601</v>
      </c>
      <c r="C950" s="5" t="s">
        <v>21</v>
      </c>
      <c r="K950" s="5">
        <v>300.0</v>
      </c>
      <c r="N950" s="9">
        <v>44515.0</v>
      </c>
    </row>
    <row r="951">
      <c r="A951" s="5">
        <v>950.0</v>
      </c>
      <c r="B951" s="5" t="s">
        <v>1602</v>
      </c>
      <c r="C951" s="5" t="s">
        <v>21</v>
      </c>
      <c r="K951" s="5">
        <v>1900.0</v>
      </c>
      <c r="N951" s="9">
        <v>44503.0</v>
      </c>
    </row>
    <row r="952">
      <c r="A952" s="5">
        <v>951.0</v>
      </c>
      <c r="B952" s="5" t="s">
        <v>1603</v>
      </c>
      <c r="C952" s="5" t="s">
        <v>21</v>
      </c>
      <c r="K952" s="5">
        <v>2800.0</v>
      </c>
      <c r="N952" s="9">
        <v>43937.0</v>
      </c>
    </row>
    <row r="953">
      <c r="A953" s="5">
        <v>952.0</v>
      </c>
      <c r="B953" s="5" t="s">
        <v>1604</v>
      </c>
      <c r="C953" s="5" t="s">
        <v>21</v>
      </c>
      <c r="K953" s="5">
        <v>2000.0</v>
      </c>
      <c r="N953" s="9">
        <v>45102.0</v>
      </c>
    </row>
    <row r="954">
      <c r="A954" s="5">
        <v>953.0</v>
      </c>
      <c r="B954" s="5" t="s">
        <v>1605</v>
      </c>
      <c r="C954" s="5" t="s">
        <v>21</v>
      </c>
      <c r="K954" s="5">
        <v>700.0</v>
      </c>
      <c r="N954" s="9">
        <v>44410.0</v>
      </c>
    </row>
    <row r="955">
      <c r="A955" s="5">
        <v>954.0</v>
      </c>
      <c r="B955" s="5" t="s">
        <v>1606</v>
      </c>
      <c r="C955" s="5" t="s">
        <v>21</v>
      </c>
      <c r="K955" s="5">
        <v>4400.0</v>
      </c>
      <c r="N955" s="9">
        <v>44541.0</v>
      </c>
    </row>
    <row r="956">
      <c r="A956" s="5">
        <v>955.0</v>
      </c>
      <c r="B956" s="5" t="s">
        <v>1607</v>
      </c>
      <c r="C956" s="5" t="s">
        <v>21</v>
      </c>
      <c r="K956" s="5">
        <v>450.0</v>
      </c>
      <c r="N956" s="9">
        <v>44598.0</v>
      </c>
    </row>
    <row r="957">
      <c r="A957" s="5">
        <v>956.0</v>
      </c>
      <c r="B957" s="5" t="s">
        <v>1608</v>
      </c>
      <c r="C957" s="5" t="s">
        <v>21</v>
      </c>
      <c r="K957" s="5">
        <v>2700.0</v>
      </c>
      <c r="N957" s="9">
        <v>44891.0</v>
      </c>
    </row>
    <row r="958">
      <c r="A958" s="5">
        <v>957.0</v>
      </c>
      <c r="B958" s="5" t="s">
        <v>1609</v>
      </c>
      <c r="C958" s="5" t="s">
        <v>21</v>
      </c>
      <c r="K958" s="5">
        <v>250.0</v>
      </c>
      <c r="N958" s="9">
        <v>44517.0</v>
      </c>
    </row>
    <row r="959">
      <c r="A959" s="5">
        <v>958.0</v>
      </c>
      <c r="B959" s="5" t="s">
        <v>46</v>
      </c>
      <c r="C959" s="5" t="s">
        <v>21</v>
      </c>
      <c r="K959" s="5">
        <v>20.0</v>
      </c>
      <c r="N959" s="9">
        <v>44530.0</v>
      </c>
    </row>
    <row r="960">
      <c r="A960" s="5">
        <v>959.0</v>
      </c>
      <c r="B960" s="5" t="s">
        <v>1610</v>
      </c>
      <c r="C960" s="5" t="s">
        <v>21</v>
      </c>
      <c r="K960" s="5">
        <v>1000.0</v>
      </c>
      <c r="N960" s="9">
        <v>44287.0</v>
      </c>
    </row>
    <row r="961">
      <c r="A961" s="5">
        <v>960.0</v>
      </c>
      <c r="B961" s="5" t="s">
        <v>1611</v>
      </c>
      <c r="C961" s="5" t="s">
        <v>21</v>
      </c>
      <c r="K961" s="5">
        <v>2600.0</v>
      </c>
      <c r="N961" s="9">
        <v>44602.0</v>
      </c>
    </row>
    <row r="962">
      <c r="A962" s="5">
        <v>961.0</v>
      </c>
      <c r="B962" s="5" t="s">
        <v>1612</v>
      </c>
      <c r="C962" s="5" t="s">
        <v>21</v>
      </c>
      <c r="K962" s="5">
        <v>100.0</v>
      </c>
      <c r="N962" s="9">
        <v>44425.0</v>
      </c>
    </row>
    <row r="963">
      <c r="A963" s="5">
        <v>962.0</v>
      </c>
      <c r="B963" s="5" t="s">
        <v>1613</v>
      </c>
      <c r="C963" s="5" t="s">
        <v>21</v>
      </c>
      <c r="K963" s="5">
        <v>100.0</v>
      </c>
      <c r="N963" s="9">
        <v>45061.0</v>
      </c>
    </row>
    <row r="964">
      <c r="A964" s="5">
        <v>963.0</v>
      </c>
      <c r="B964" s="5" t="s">
        <v>1614</v>
      </c>
      <c r="C964" s="5" t="s">
        <v>21</v>
      </c>
      <c r="K964" s="5">
        <v>150.0</v>
      </c>
      <c r="N964" s="9">
        <v>44440.0</v>
      </c>
    </row>
    <row r="965">
      <c r="A965" s="5">
        <v>964.0</v>
      </c>
      <c r="B965" s="5" t="s">
        <v>1615</v>
      </c>
      <c r="C965" s="5" t="s">
        <v>21</v>
      </c>
      <c r="K965" s="5">
        <v>2600.0</v>
      </c>
      <c r="N965" s="9">
        <v>44274.0</v>
      </c>
    </row>
    <row r="966">
      <c r="A966" s="5">
        <v>965.0</v>
      </c>
      <c r="B966" s="5" t="s">
        <v>1616</v>
      </c>
      <c r="C966" s="5" t="s">
        <v>21</v>
      </c>
      <c r="K966" s="5">
        <v>10.0</v>
      </c>
      <c r="N966" s="9">
        <v>45142.0</v>
      </c>
    </row>
    <row r="967">
      <c r="A967" s="5">
        <v>966.0</v>
      </c>
      <c r="B967" s="5" t="s">
        <v>1617</v>
      </c>
      <c r="C967" s="5" t="s">
        <v>21</v>
      </c>
      <c r="K967" s="5">
        <v>200.0</v>
      </c>
      <c r="N967" s="9">
        <v>45357.0</v>
      </c>
    </row>
    <row r="968">
      <c r="A968" s="5">
        <v>967.0</v>
      </c>
      <c r="B968" s="5" t="s">
        <v>124</v>
      </c>
      <c r="C968" s="5" t="s">
        <v>21</v>
      </c>
      <c r="K968" s="5">
        <v>2300.0</v>
      </c>
      <c r="N968" s="9">
        <v>44253.0</v>
      </c>
    </row>
    <row r="969">
      <c r="A969" s="5">
        <v>968.0</v>
      </c>
      <c r="B969" s="5" t="s">
        <v>1618</v>
      </c>
      <c r="C969" s="5" t="s">
        <v>21</v>
      </c>
      <c r="K969" s="5">
        <v>300.0</v>
      </c>
      <c r="N969" s="9">
        <v>45115.0</v>
      </c>
    </row>
    <row r="970">
      <c r="A970" s="5">
        <v>969.0</v>
      </c>
      <c r="B970" s="5" t="s">
        <v>1619</v>
      </c>
      <c r="C970" s="5" t="s">
        <v>21</v>
      </c>
      <c r="N970" s="9">
        <v>44519.0</v>
      </c>
    </row>
    <row r="971">
      <c r="A971" s="5">
        <v>970.0</v>
      </c>
      <c r="B971" s="5" t="s">
        <v>1620</v>
      </c>
      <c r="C971" s="5" t="s">
        <v>21</v>
      </c>
      <c r="K971" s="5">
        <v>2400.0</v>
      </c>
      <c r="N971" s="9">
        <v>44373.0</v>
      </c>
    </row>
    <row r="972">
      <c r="A972" s="5">
        <v>971.0</v>
      </c>
      <c r="B972" s="5" t="s">
        <v>1621</v>
      </c>
      <c r="C972" s="5" t="s">
        <v>21</v>
      </c>
      <c r="K972" s="5">
        <v>1500.0</v>
      </c>
      <c r="N972" s="9">
        <v>44416.0</v>
      </c>
    </row>
    <row r="973">
      <c r="A973" s="5">
        <v>972.0</v>
      </c>
      <c r="B973" s="5" t="s">
        <v>1622</v>
      </c>
      <c r="C973" s="5" t="s">
        <v>21</v>
      </c>
      <c r="K973" s="5">
        <v>500.0</v>
      </c>
      <c r="N973" s="9">
        <v>45350.0</v>
      </c>
    </row>
    <row r="974">
      <c r="A974" s="5">
        <v>973.0</v>
      </c>
      <c r="B974" s="5" t="s">
        <v>1623</v>
      </c>
      <c r="C974" s="5" t="s">
        <v>21</v>
      </c>
      <c r="K974" s="5">
        <v>600.0</v>
      </c>
      <c r="N974" s="9">
        <v>44812.0</v>
      </c>
    </row>
    <row r="975">
      <c r="A975" s="5">
        <v>974.0</v>
      </c>
      <c r="B975" s="5" t="s">
        <v>1624</v>
      </c>
      <c r="C975" s="5" t="s">
        <v>21</v>
      </c>
      <c r="K975" s="5">
        <v>150.0</v>
      </c>
      <c r="N975" s="9">
        <v>44087.0</v>
      </c>
    </row>
    <row r="976">
      <c r="A976" s="5">
        <v>975.0</v>
      </c>
      <c r="B976" s="5" t="s">
        <v>1625</v>
      </c>
      <c r="C976" s="5" t="s">
        <v>21</v>
      </c>
      <c r="N976" s="9">
        <v>44568.0</v>
      </c>
    </row>
    <row r="977">
      <c r="A977" s="5">
        <v>976.0</v>
      </c>
      <c r="B977" s="5" t="s">
        <v>1626</v>
      </c>
      <c r="C977" s="5" t="s">
        <v>21</v>
      </c>
      <c r="K977" s="5">
        <v>2500.0</v>
      </c>
      <c r="N977" s="9">
        <v>44526.0</v>
      </c>
    </row>
    <row r="978">
      <c r="A978" s="5">
        <v>977.0</v>
      </c>
      <c r="B978" s="5" t="s">
        <v>1627</v>
      </c>
      <c r="C978" s="5" t="s">
        <v>21</v>
      </c>
      <c r="K978" s="5">
        <v>350.0</v>
      </c>
      <c r="N978" s="9">
        <v>45268.0</v>
      </c>
    </row>
    <row r="979">
      <c r="A979" s="5">
        <v>978.0</v>
      </c>
      <c r="B979" s="5" t="s">
        <v>1628</v>
      </c>
      <c r="C979" s="5" t="s">
        <v>21</v>
      </c>
      <c r="K979" s="5">
        <v>10.0</v>
      </c>
      <c r="N979" s="9">
        <v>44772.0</v>
      </c>
    </row>
    <row r="980">
      <c r="A980" s="5">
        <v>979.0</v>
      </c>
      <c r="B980" s="5" t="s">
        <v>1629</v>
      </c>
      <c r="C980" s="5" t="s">
        <v>21</v>
      </c>
      <c r="K980" s="5">
        <v>1000.0</v>
      </c>
      <c r="N980" s="9">
        <v>44609.0</v>
      </c>
    </row>
    <row r="981">
      <c r="A981" s="5">
        <v>980.0</v>
      </c>
      <c r="B981" s="5" t="s">
        <v>1630</v>
      </c>
      <c r="C981" s="5" t="s">
        <v>21</v>
      </c>
      <c r="K981" s="5">
        <v>150.0</v>
      </c>
      <c r="N981" s="9">
        <v>45023.0</v>
      </c>
    </row>
    <row r="982">
      <c r="A982" s="5">
        <v>981.0</v>
      </c>
      <c r="B982" s="5" t="s">
        <v>1631</v>
      </c>
      <c r="C982" s="5" t="s">
        <v>21</v>
      </c>
      <c r="K982" s="5">
        <v>10.0</v>
      </c>
      <c r="N982" s="9">
        <v>44463.0</v>
      </c>
    </row>
    <row r="983">
      <c r="A983" s="5">
        <v>982.0</v>
      </c>
      <c r="B983" s="5" t="s">
        <v>1632</v>
      </c>
      <c r="C983" s="5" t="s">
        <v>21</v>
      </c>
      <c r="K983" s="5">
        <v>40.0</v>
      </c>
      <c r="N983" s="9">
        <v>44116.0</v>
      </c>
    </row>
    <row r="984">
      <c r="A984" s="5">
        <v>983.0</v>
      </c>
      <c r="B984" s="5" t="s">
        <v>1633</v>
      </c>
      <c r="C984" s="5" t="s">
        <v>21</v>
      </c>
      <c r="K984" s="5">
        <v>250.0</v>
      </c>
      <c r="N984" s="9">
        <v>44560.0</v>
      </c>
    </row>
    <row r="985">
      <c r="A985" s="5">
        <v>984.0</v>
      </c>
      <c r="B985" s="5" t="s">
        <v>1634</v>
      </c>
      <c r="C985" s="5" t="s">
        <v>21</v>
      </c>
      <c r="K985" s="5">
        <v>150.0</v>
      </c>
      <c r="N985" s="9">
        <v>45071.0</v>
      </c>
    </row>
    <row r="986">
      <c r="A986" s="5">
        <v>985.0</v>
      </c>
      <c r="B986" s="5" t="s">
        <v>1635</v>
      </c>
      <c r="C986" s="5" t="s">
        <v>21</v>
      </c>
      <c r="K986" s="5">
        <v>600.0</v>
      </c>
      <c r="N986" s="9">
        <v>44721.0</v>
      </c>
    </row>
    <row r="987">
      <c r="A987" s="5">
        <v>986.0</v>
      </c>
      <c r="B987" s="5" t="s">
        <v>1636</v>
      </c>
      <c r="C987" s="5" t="s">
        <v>21</v>
      </c>
      <c r="K987" s="5">
        <v>1400.0</v>
      </c>
      <c r="N987" s="9">
        <v>44603.0</v>
      </c>
    </row>
    <row r="988">
      <c r="A988" s="5">
        <v>987.0</v>
      </c>
      <c r="B988" s="5" t="s">
        <v>1637</v>
      </c>
      <c r="C988" s="5" t="s">
        <v>21</v>
      </c>
      <c r="K988" s="5">
        <v>200.0</v>
      </c>
      <c r="N988" s="9">
        <v>44001.0</v>
      </c>
    </row>
    <row r="989">
      <c r="A989" s="5">
        <v>988.0</v>
      </c>
      <c r="B989" s="5" t="s">
        <v>1638</v>
      </c>
      <c r="C989" s="5" t="s">
        <v>21</v>
      </c>
      <c r="K989" s="5">
        <v>900.0</v>
      </c>
      <c r="N989" s="9">
        <v>45498.0</v>
      </c>
    </row>
    <row r="990">
      <c r="A990" s="5">
        <v>989.0</v>
      </c>
      <c r="B990" s="5" t="s">
        <v>1639</v>
      </c>
      <c r="C990" s="5" t="s">
        <v>21</v>
      </c>
      <c r="K990" s="5">
        <v>9700.0</v>
      </c>
      <c r="N990" s="9">
        <v>44699.0</v>
      </c>
    </row>
    <row r="991">
      <c r="A991" s="5">
        <v>990.0</v>
      </c>
      <c r="B991" s="5" t="s">
        <v>1640</v>
      </c>
      <c r="C991" s="5" t="s">
        <v>21</v>
      </c>
      <c r="K991" s="5">
        <v>150.0</v>
      </c>
      <c r="N991" s="9">
        <v>44884.0</v>
      </c>
    </row>
    <row r="992">
      <c r="A992" s="5">
        <v>991.0</v>
      </c>
      <c r="B992" s="5" t="s">
        <v>1641</v>
      </c>
      <c r="C992" s="5" t="s">
        <v>21</v>
      </c>
      <c r="K992" s="5">
        <v>17000.0</v>
      </c>
      <c r="N992" s="9">
        <v>44024.0</v>
      </c>
    </row>
    <row r="993">
      <c r="A993" s="5">
        <v>992.0</v>
      </c>
      <c r="B993" s="5" t="s">
        <v>1642</v>
      </c>
      <c r="C993" s="5" t="s">
        <v>21</v>
      </c>
      <c r="K993" s="5">
        <v>100.0</v>
      </c>
      <c r="N993" s="9">
        <v>45132.0</v>
      </c>
    </row>
    <row r="994">
      <c r="A994" s="5">
        <v>993.0</v>
      </c>
      <c r="B994" s="5" t="s">
        <v>1643</v>
      </c>
      <c r="C994" s="5" t="s">
        <v>21</v>
      </c>
      <c r="K994" s="5">
        <v>200.0</v>
      </c>
      <c r="N994" s="9">
        <v>44521.0</v>
      </c>
    </row>
    <row r="995">
      <c r="A995" s="5">
        <v>994.0</v>
      </c>
      <c r="B995" s="5" t="s">
        <v>1644</v>
      </c>
      <c r="C995" s="5" t="s">
        <v>21</v>
      </c>
      <c r="K995" s="5">
        <v>20.0</v>
      </c>
      <c r="N995" s="9">
        <v>44617.0</v>
      </c>
    </row>
    <row r="996">
      <c r="A996" s="5">
        <v>995.0</v>
      </c>
      <c r="B996" s="5" t="s">
        <v>1645</v>
      </c>
      <c r="C996" s="5" t="s">
        <v>21</v>
      </c>
      <c r="K996" s="5">
        <v>200.0</v>
      </c>
      <c r="N996" s="9">
        <v>45476.0</v>
      </c>
    </row>
    <row r="997">
      <c r="A997" s="5">
        <v>996.0</v>
      </c>
      <c r="B997" s="5" t="s">
        <v>1646</v>
      </c>
      <c r="C997" s="5" t="s">
        <v>21</v>
      </c>
      <c r="K997" s="5">
        <v>150.0</v>
      </c>
      <c r="N997" s="9">
        <v>44385.0</v>
      </c>
    </row>
    <row r="998">
      <c r="A998" s="5">
        <v>997.0</v>
      </c>
      <c r="B998" s="5" t="s">
        <v>1647</v>
      </c>
      <c r="C998" s="5" t="s">
        <v>21</v>
      </c>
      <c r="K998" s="5">
        <v>100.0</v>
      </c>
      <c r="N998" s="9">
        <v>44491.0</v>
      </c>
    </row>
    <row r="999">
      <c r="A999" s="5">
        <v>998.0</v>
      </c>
      <c r="B999" s="5" t="s">
        <v>1648</v>
      </c>
      <c r="C999" s="5" t="s">
        <v>21</v>
      </c>
      <c r="K999" s="5">
        <v>700.0</v>
      </c>
      <c r="N999" s="9">
        <v>44554.0</v>
      </c>
    </row>
    <row r="1000">
      <c r="A1000" s="5">
        <v>999.0</v>
      </c>
      <c r="B1000" s="5" t="s">
        <v>1649</v>
      </c>
      <c r="C1000" s="5" t="s">
        <v>21</v>
      </c>
      <c r="N1000" s="9">
        <v>44519.0</v>
      </c>
    </row>
    <row r="1001">
      <c r="A1001" s="5">
        <v>1000.0</v>
      </c>
      <c r="B1001" s="5" t="s">
        <v>1650</v>
      </c>
      <c r="C1001" s="5" t="s">
        <v>21</v>
      </c>
      <c r="K1001" s="5">
        <v>40.0</v>
      </c>
      <c r="N1001" s="9">
        <v>44683.0</v>
      </c>
    </row>
    <row r="1002">
      <c r="A1002" s="5">
        <v>1001.0</v>
      </c>
      <c r="B1002" s="5" t="s">
        <v>1651</v>
      </c>
      <c r="C1002" s="5" t="s">
        <v>21</v>
      </c>
      <c r="K1002" s="5">
        <v>60.0</v>
      </c>
      <c r="N1002" s="9">
        <v>44473.0</v>
      </c>
    </row>
    <row r="1003">
      <c r="A1003" s="5">
        <v>1002.0</v>
      </c>
      <c r="B1003" s="5" t="s">
        <v>49</v>
      </c>
      <c r="C1003" s="5" t="s">
        <v>21</v>
      </c>
      <c r="K1003" s="5">
        <v>1100.0</v>
      </c>
      <c r="N1003" s="9">
        <v>44833.0</v>
      </c>
    </row>
    <row r="1004">
      <c r="A1004" s="5">
        <v>1003.0</v>
      </c>
      <c r="B1004" s="5" t="s">
        <v>1652</v>
      </c>
      <c r="C1004" s="5" t="s">
        <v>21</v>
      </c>
      <c r="K1004" s="5">
        <v>700.0</v>
      </c>
      <c r="N1004" s="9">
        <v>44522.0</v>
      </c>
    </row>
    <row r="1005">
      <c r="A1005" s="5">
        <v>1004.0</v>
      </c>
      <c r="B1005" s="5" t="s">
        <v>1653</v>
      </c>
      <c r="C1005" s="5" t="s">
        <v>21</v>
      </c>
      <c r="K1005" s="5">
        <v>700.0</v>
      </c>
      <c r="N1005" s="9">
        <v>43932.0</v>
      </c>
    </row>
    <row r="1006">
      <c r="A1006" s="5">
        <v>1005.0</v>
      </c>
      <c r="B1006" s="5" t="s">
        <v>1654</v>
      </c>
      <c r="C1006" s="5" t="s">
        <v>21</v>
      </c>
      <c r="K1006" s="5">
        <v>20.0</v>
      </c>
      <c r="N1006" s="9">
        <v>44595.0</v>
      </c>
    </row>
    <row r="1007">
      <c r="A1007" s="5">
        <v>1006.0</v>
      </c>
      <c r="B1007" s="5" t="s">
        <v>1655</v>
      </c>
      <c r="C1007" s="5" t="s">
        <v>21</v>
      </c>
      <c r="K1007" s="5">
        <v>600.0</v>
      </c>
      <c r="N1007" s="9">
        <v>44678.0</v>
      </c>
    </row>
    <row r="1008">
      <c r="A1008" s="5">
        <v>1007.0</v>
      </c>
      <c r="B1008" s="5" t="s">
        <v>1656</v>
      </c>
      <c r="C1008" s="5" t="s">
        <v>21</v>
      </c>
      <c r="K1008" s="5">
        <v>250.0</v>
      </c>
      <c r="N1008" s="9">
        <v>44658.0</v>
      </c>
    </row>
    <row r="1009">
      <c r="A1009" s="5">
        <v>1008.0</v>
      </c>
      <c r="B1009" s="5" t="s">
        <v>1657</v>
      </c>
      <c r="C1009" s="5" t="s">
        <v>21</v>
      </c>
      <c r="K1009" s="5">
        <v>100.0</v>
      </c>
      <c r="N1009" s="9">
        <v>44692.0</v>
      </c>
    </row>
    <row r="1010">
      <c r="A1010" s="5">
        <v>1009.0</v>
      </c>
      <c r="B1010" s="5" t="s">
        <v>1658</v>
      </c>
      <c r="C1010" s="5" t="s">
        <v>21</v>
      </c>
      <c r="N1010" s="9">
        <v>45313.0</v>
      </c>
    </row>
    <row r="1011">
      <c r="A1011" s="5">
        <v>1010.0</v>
      </c>
      <c r="B1011" s="5" t="s">
        <v>1659</v>
      </c>
      <c r="C1011" s="5" t="s">
        <v>21</v>
      </c>
      <c r="K1011" s="5">
        <v>800.0</v>
      </c>
      <c r="N1011" s="9">
        <v>44549.0</v>
      </c>
    </row>
    <row r="1012">
      <c r="A1012" s="5">
        <v>1011.0</v>
      </c>
      <c r="B1012" s="5" t="s">
        <v>1660</v>
      </c>
      <c r="C1012" s="5" t="s">
        <v>21</v>
      </c>
      <c r="N1012" s="9">
        <v>44565.0</v>
      </c>
    </row>
    <row r="1013">
      <c r="A1013" s="5">
        <v>1012.0</v>
      </c>
      <c r="B1013" s="5" t="s">
        <v>1661</v>
      </c>
      <c r="C1013" s="5" t="s">
        <v>21</v>
      </c>
      <c r="K1013" s="5">
        <v>600.0</v>
      </c>
      <c r="N1013" s="9">
        <v>44553.0</v>
      </c>
    </row>
    <row r="1014">
      <c r="A1014" s="5">
        <v>1013.0</v>
      </c>
      <c r="B1014" s="5" t="s">
        <v>1662</v>
      </c>
      <c r="C1014" s="5" t="s">
        <v>21</v>
      </c>
      <c r="K1014" s="5">
        <v>150.0</v>
      </c>
      <c r="N1014" s="9">
        <v>44999.0</v>
      </c>
    </row>
    <row r="1015">
      <c r="A1015" s="5">
        <v>1014.0</v>
      </c>
      <c r="B1015" s="5" t="s">
        <v>1663</v>
      </c>
      <c r="C1015" s="5" t="s">
        <v>21</v>
      </c>
      <c r="K1015" s="5">
        <v>200.0</v>
      </c>
      <c r="N1015" s="9">
        <v>44323.0</v>
      </c>
    </row>
    <row r="1016">
      <c r="A1016" s="5">
        <v>1015.0</v>
      </c>
      <c r="B1016" s="5" t="s">
        <v>1664</v>
      </c>
      <c r="C1016" s="5" t="s">
        <v>21</v>
      </c>
      <c r="K1016" s="5">
        <v>70.0</v>
      </c>
      <c r="N1016" s="9">
        <v>44212.0</v>
      </c>
    </row>
    <row r="1017">
      <c r="A1017" s="5">
        <v>1016.0</v>
      </c>
      <c r="B1017" s="5" t="s">
        <v>1665</v>
      </c>
      <c r="C1017" s="5" t="s">
        <v>21</v>
      </c>
      <c r="K1017" s="5">
        <v>90.0</v>
      </c>
      <c r="N1017" s="9">
        <v>44582.0</v>
      </c>
    </row>
    <row r="1018">
      <c r="A1018" s="5">
        <v>1017.0</v>
      </c>
      <c r="B1018" s="5" t="s">
        <v>1666</v>
      </c>
      <c r="C1018" s="5" t="s">
        <v>21</v>
      </c>
      <c r="K1018" s="5">
        <v>6500.0</v>
      </c>
      <c r="N1018" s="9">
        <v>43881.0</v>
      </c>
    </row>
    <row r="1019">
      <c r="A1019" s="5">
        <v>1018.0</v>
      </c>
      <c r="B1019" s="5" t="s">
        <v>1667</v>
      </c>
      <c r="C1019" s="5" t="s">
        <v>21</v>
      </c>
      <c r="K1019" s="5">
        <v>4400.0</v>
      </c>
      <c r="N1019" s="9">
        <v>43876.0</v>
      </c>
    </row>
    <row r="1020">
      <c r="A1020" s="5">
        <v>1019.0</v>
      </c>
      <c r="B1020" s="5" t="s">
        <v>1668</v>
      </c>
      <c r="C1020" s="5" t="s">
        <v>21</v>
      </c>
      <c r="K1020" s="5">
        <v>5300.0</v>
      </c>
      <c r="N1020" s="9">
        <v>44028.0</v>
      </c>
    </row>
    <row r="1021">
      <c r="A1021" s="5">
        <v>1020.0</v>
      </c>
      <c r="B1021" s="5" t="s">
        <v>1669</v>
      </c>
      <c r="C1021" s="5" t="s">
        <v>21</v>
      </c>
      <c r="K1021" s="5">
        <v>90.0</v>
      </c>
      <c r="N1021" s="9">
        <v>45846.0</v>
      </c>
    </row>
    <row r="1022">
      <c r="A1022" s="5">
        <v>1021.0</v>
      </c>
      <c r="B1022" s="5" t="s">
        <v>1670</v>
      </c>
      <c r="C1022" s="5" t="s">
        <v>21</v>
      </c>
      <c r="N1022" s="9">
        <v>44658.0</v>
      </c>
    </row>
    <row r="1023">
      <c r="A1023" s="5">
        <v>1022.0</v>
      </c>
      <c r="B1023" s="5" t="s">
        <v>1671</v>
      </c>
      <c r="C1023" s="5" t="s">
        <v>21</v>
      </c>
      <c r="K1023" s="5">
        <v>200.0</v>
      </c>
      <c r="N1023" s="9">
        <v>44514.0</v>
      </c>
    </row>
    <row r="1024">
      <c r="A1024" s="5">
        <v>1023.0</v>
      </c>
      <c r="B1024" s="5" t="s">
        <v>1672</v>
      </c>
      <c r="C1024" s="5" t="s">
        <v>21</v>
      </c>
      <c r="K1024" s="5">
        <v>80.0</v>
      </c>
      <c r="N1024" s="9">
        <v>45130.0</v>
      </c>
    </row>
    <row r="1025">
      <c r="A1025" s="5">
        <v>1024.0</v>
      </c>
      <c r="B1025" s="5" t="s">
        <v>1673</v>
      </c>
      <c r="C1025" s="5" t="s">
        <v>21</v>
      </c>
      <c r="K1025" s="5">
        <v>1100.0</v>
      </c>
      <c r="N1025" s="9">
        <v>44405.0</v>
      </c>
    </row>
    <row r="1026">
      <c r="A1026" s="5">
        <v>1025.0</v>
      </c>
      <c r="B1026" s="5" t="s">
        <v>1674</v>
      </c>
      <c r="C1026" s="5" t="s">
        <v>21</v>
      </c>
      <c r="K1026" s="5">
        <v>1500.0</v>
      </c>
      <c r="N1026" s="9">
        <v>45399.0</v>
      </c>
    </row>
    <row r="1027">
      <c r="A1027" s="5">
        <v>1026.0</v>
      </c>
      <c r="B1027" s="5" t="s">
        <v>1675</v>
      </c>
      <c r="C1027" s="5" t="s">
        <v>21</v>
      </c>
      <c r="K1027" s="5">
        <v>100.0</v>
      </c>
      <c r="N1027" s="9">
        <v>44885.0</v>
      </c>
    </row>
    <row r="1028">
      <c r="A1028" s="5">
        <v>1027.0</v>
      </c>
      <c r="B1028" s="5" t="s">
        <v>1676</v>
      </c>
      <c r="C1028" s="5" t="s">
        <v>21</v>
      </c>
      <c r="K1028" s="5">
        <v>90.0</v>
      </c>
      <c r="N1028" s="9">
        <v>43957.0</v>
      </c>
    </row>
    <row r="1029">
      <c r="A1029" s="5">
        <v>1028.0</v>
      </c>
      <c r="B1029" s="5" t="s">
        <v>1677</v>
      </c>
      <c r="C1029" s="5" t="s">
        <v>21</v>
      </c>
      <c r="K1029" s="5">
        <v>250.0</v>
      </c>
      <c r="N1029" s="9">
        <v>44277.0</v>
      </c>
    </row>
    <row r="1030">
      <c r="A1030" s="5">
        <v>1029.0</v>
      </c>
      <c r="B1030" s="5" t="s">
        <v>1678</v>
      </c>
      <c r="C1030" s="5" t="s">
        <v>21</v>
      </c>
      <c r="K1030" s="5">
        <v>400.0</v>
      </c>
      <c r="N1030" s="9">
        <v>44603.0</v>
      </c>
    </row>
    <row r="1031">
      <c r="A1031" s="5">
        <v>1030.0</v>
      </c>
      <c r="B1031" s="5" t="s">
        <v>1679</v>
      </c>
      <c r="C1031" s="5" t="s">
        <v>21</v>
      </c>
      <c r="K1031" s="5">
        <v>500.0</v>
      </c>
      <c r="N1031" s="9">
        <v>44219.0</v>
      </c>
    </row>
    <row r="1032">
      <c r="A1032" s="5">
        <v>1031.0</v>
      </c>
      <c r="B1032" s="5" t="s">
        <v>1680</v>
      </c>
      <c r="C1032" s="5" t="s">
        <v>21</v>
      </c>
      <c r="K1032" s="5">
        <v>60.0</v>
      </c>
      <c r="N1032" s="9">
        <v>44529.0</v>
      </c>
    </row>
    <row r="1033">
      <c r="A1033" s="5">
        <v>1032.0</v>
      </c>
      <c r="B1033" s="5" t="s">
        <v>1681</v>
      </c>
      <c r="C1033" s="5" t="s">
        <v>21</v>
      </c>
      <c r="K1033" s="5">
        <v>350.0</v>
      </c>
      <c r="N1033" s="9">
        <v>44718.0</v>
      </c>
    </row>
    <row r="1034">
      <c r="A1034" s="5">
        <v>1033.0</v>
      </c>
      <c r="B1034" s="5" t="s">
        <v>1682</v>
      </c>
      <c r="C1034" s="5" t="s">
        <v>21</v>
      </c>
      <c r="K1034" s="5">
        <v>500.0</v>
      </c>
      <c r="N1034" s="9">
        <v>44578.0</v>
      </c>
    </row>
    <row r="1035">
      <c r="A1035" s="5">
        <v>1034.0</v>
      </c>
      <c r="B1035" s="5" t="s">
        <v>1683</v>
      </c>
      <c r="C1035" s="5" t="s">
        <v>21</v>
      </c>
      <c r="K1035" s="5">
        <v>80.0</v>
      </c>
      <c r="N1035" s="9">
        <v>44435.0</v>
      </c>
    </row>
    <row r="1036">
      <c r="A1036" s="5">
        <v>1035.0</v>
      </c>
      <c r="B1036" s="5" t="s">
        <v>1684</v>
      </c>
      <c r="C1036" s="5" t="s">
        <v>21</v>
      </c>
      <c r="K1036" s="5">
        <v>40.0</v>
      </c>
      <c r="N1036" s="9">
        <v>44717.0</v>
      </c>
    </row>
    <row r="1037">
      <c r="A1037" s="5">
        <v>1036.0</v>
      </c>
      <c r="B1037" s="5" t="s">
        <v>1685</v>
      </c>
      <c r="C1037" s="5" t="s">
        <v>21</v>
      </c>
      <c r="K1037" s="5">
        <v>150.0</v>
      </c>
      <c r="N1037" s="9">
        <v>45111.0</v>
      </c>
    </row>
    <row r="1038">
      <c r="A1038" s="5">
        <v>1037.0</v>
      </c>
      <c r="B1038" s="5" t="s">
        <v>128</v>
      </c>
      <c r="C1038" s="5" t="s">
        <v>21</v>
      </c>
      <c r="K1038" s="5">
        <v>13000.0</v>
      </c>
      <c r="N1038" s="9">
        <v>43898.0</v>
      </c>
    </row>
    <row r="1039">
      <c r="A1039" s="5">
        <v>1038.0</v>
      </c>
      <c r="B1039" s="5" t="s">
        <v>1686</v>
      </c>
      <c r="C1039" s="5" t="s">
        <v>21</v>
      </c>
      <c r="K1039" s="5">
        <v>3700.0</v>
      </c>
      <c r="N1039" s="9">
        <v>43913.0</v>
      </c>
    </row>
    <row r="1040">
      <c r="A1040" s="5">
        <v>1039.0</v>
      </c>
      <c r="B1040" s="5" t="s">
        <v>1687</v>
      </c>
      <c r="C1040" s="5" t="s">
        <v>21</v>
      </c>
      <c r="N1040" s="9">
        <v>44484.0</v>
      </c>
    </row>
    <row r="1041">
      <c r="A1041" s="5">
        <v>1040.0</v>
      </c>
      <c r="B1041" s="5" t="s">
        <v>1688</v>
      </c>
      <c r="C1041" s="5" t="s">
        <v>21</v>
      </c>
      <c r="K1041" s="5">
        <v>14000.0</v>
      </c>
      <c r="N1041" s="9">
        <v>43845.0</v>
      </c>
    </row>
    <row r="1042">
      <c r="A1042" s="5">
        <v>1041.0</v>
      </c>
      <c r="B1042" s="5" t="s">
        <v>1689</v>
      </c>
      <c r="C1042" s="5" t="s">
        <v>21</v>
      </c>
      <c r="K1042" s="5">
        <v>500.0</v>
      </c>
      <c r="N1042" s="9">
        <v>45522.0</v>
      </c>
    </row>
    <row r="1043">
      <c r="A1043" s="5">
        <v>1042.0</v>
      </c>
      <c r="B1043" s="5" t="s">
        <v>1690</v>
      </c>
      <c r="C1043" s="5" t="s">
        <v>21</v>
      </c>
      <c r="K1043" s="5">
        <v>80.0</v>
      </c>
      <c r="N1043" s="9">
        <v>44873.0</v>
      </c>
    </row>
    <row r="1044">
      <c r="A1044" s="5">
        <v>1043.0</v>
      </c>
      <c r="B1044" s="5" t="s">
        <v>1691</v>
      </c>
      <c r="C1044" s="5" t="s">
        <v>21</v>
      </c>
      <c r="K1044" s="5">
        <v>1400.0</v>
      </c>
      <c r="N1044" s="9">
        <v>43930.0</v>
      </c>
    </row>
    <row r="1045">
      <c r="A1045" s="5">
        <v>1044.0</v>
      </c>
      <c r="B1045" s="5" t="s">
        <v>1692</v>
      </c>
      <c r="C1045" s="5" t="s">
        <v>21</v>
      </c>
      <c r="K1045" s="5">
        <v>400.0</v>
      </c>
      <c r="N1045" s="9">
        <v>44487.0</v>
      </c>
    </row>
    <row r="1046">
      <c r="A1046" s="5">
        <v>1045.0</v>
      </c>
      <c r="B1046" s="5" t="s">
        <v>1693</v>
      </c>
      <c r="C1046" s="5" t="s">
        <v>21</v>
      </c>
      <c r="K1046" s="5">
        <v>450.0</v>
      </c>
      <c r="N1046" s="9">
        <v>44318.0</v>
      </c>
    </row>
    <row r="1047">
      <c r="A1047" s="5">
        <v>1046.0</v>
      </c>
      <c r="B1047" s="5" t="s">
        <v>1694</v>
      </c>
      <c r="C1047" s="5" t="s">
        <v>21</v>
      </c>
      <c r="K1047" s="5">
        <v>300.0</v>
      </c>
      <c r="N1047" s="9">
        <v>44586.0</v>
      </c>
    </row>
    <row r="1048">
      <c r="A1048" s="5">
        <v>1047.0</v>
      </c>
      <c r="B1048" s="5" t="s">
        <v>1695</v>
      </c>
      <c r="C1048" s="5" t="s">
        <v>21</v>
      </c>
      <c r="K1048" s="5">
        <v>70.0</v>
      </c>
      <c r="N1048" s="9">
        <v>45498.0</v>
      </c>
    </row>
    <row r="1049">
      <c r="A1049" s="5">
        <v>1048.0</v>
      </c>
      <c r="B1049" s="5" t="s">
        <v>1696</v>
      </c>
      <c r="C1049" s="5" t="s">
        <v>21</v>
      </c>
      <c r="K1049" s="5">
        <v>250.0</v>
      </c>
      <c r="N1049" s="9">
        <v>44914.0</v>
      </c>
    </row>
    <row r="1050">
      <c r="A1050" s="5">
        <v>1049.0</v>
      </c>
      <c r="B1050" s="5" t="s">
        <v>1697</v>
      </c>
      <c r="C1050" s="5" t="s">
        <v>21</v>
      </c>
      <c r="K1050" s="5">
        <v>250.0</v>
      </c>
      <c r="N1050" s="9">
        <v>44744.0</v>
      </c>
    </row>
    <row r="1051">
      <c r="A1051" s="5">
        <v>1050.0</v>
      </c>
      <c r="B1051" s="5" t="s">
        <v>1698</v>
      </c>
      <c r="C1051" s="5" t="s">
        <v>21</v>
      </c>
      <c r="K1051" s="5">
        <v>450.0</v>
      </c>
      <c r="N1051" s="9">
        <v>45349.0</v>
      </c>
    </row>
    <row r="1052">
      <c r="A1052" s="5">
        <v>1051.0</v>
      </c>
      <c r="B1052" s="5" t="s">
        <v>1699</v>
      </c>
      <c r="C1052" s="5" t="s">
        <v>21</v>
      </c>
      <c r="K1052" s="5">
        <v>700.0</v>
      </c>
      <c r="N1052" s="9">
        <v>45704.0</v>
      </c>
    </row>
    <row r="1053">
      <c r="A1053" s="5">
        <v>1052.0</v>
      </c>
      <c r="B1053" s="5" t="s">
        <v>1700</v>
      </c>
      <c r="C1053" s="5" t="s">
        <v>21</v>
      </c>
      <c r="K1053" s="5">
        <v>350.0</v>
      </c>
      <c r="N1053" s="9">
        <v>44599.0</v>
      </c>
    </row>
    <row r="1054">
      <c r="A1054" s="5">
        <v>1053.0</v>
      </c>
      <c r="B1054" s="5" t="s">
        <v>1701</v>
      </c>
      <c r="C1054" s="5" t="s">
        <v>21</v>
      </c>
      <c r="K1054" s="5">
        <v>90.0</v>
      </c>
      <c r="N1054" s="9">
        <v>44617.0</v>
      </c>
    </row>
    <row r="1055">
      <c r="A1055" s="5">
        <v>1054.0</v>
      </c>
      <c r="B1055" s="5" t="s">
        <v>1702</v>
      </c>
      <c r="C1055" s="5" t="s">
        <v>21</v>
      </c>
      <c r="K1055" s="5">
        <v>1400.0</v>
      </c>
      <c r="N1055" s="9">
        <v>43844.0</v>
      </c>
    </row>
    <row r="1056">
      <c r="A1056" s="5">
        <v>1055.0</v>
      </c>
      <c r="B1056" s="5" t="s">
        <v>1703</v>
      </c>
      <c r="C1056" s="5" t="s">
        <v>21</v>
      </c>
      <c r="K1056" s="5">
        <v>150.0</v>
      </c>
      <c r="N1056" s="9">
        <v>44368.0</v>
      </c>
    </row>
    <row r="1057">
      <c r="A1057" s="5">
        <v>1056.0</v>
      </c>
      <c r="B1057" s="5" t="s">
        <v>1704</v>
      </c>
      <c r="C1057" s="5" t="s">
        <v>21</v>
      </c>
      <c r="N1057" s="9">
        <v>43850.0</v>
      </c>
    </row>
    <row r="1058">
      <c r="A1058" s="5">
        <v>1057.0</v>
      </c>
      <c r="B1058" s="5" t="s">
        <v>1705</v>
      </c>
      <c r="C1058" s="5" t="s">
        <v>21</v>
      </c>
      <c r="K1058" s="5">
        <v>250.0</v>
      </c>
      <c r="N1058" s="9">
        <v>44516.0</v>
      </c>
    </row>
    <row r="1059">
      <c r="A1059" s="5">
        <v>1058.0</v>
      </c>
      <c r="B1059" s="5" t="s">
        <v>1706</v>
      </c>
      <c r="C1059" s="5" t="s">
        <v>21</v>
      </c>
      <c r="K1059" s="5">
        <v>700.0</v>
      </c>
      <c r="N1059" s="9">
        <v>44618.0</v>
      </c>
    </row>
    <row r="1060">
      <c r="A1060" s="5">
        <v>1059.0</v>
      </c>
      <c r="B1060" s="5" t="s">
        <v>1707</v>
      </c>
      <c r="C1060" s="5" t="s">
        <v>21</v>
      </c>
      <c r="K1060" s="5">
        <v>1300.0</v>
      </c>
      <c r="N1060" s="9">
        <v>43884.0</v>
      </c>
    </row>
    <row r="1061">
      <c r="A1061" s="5">
        <v>1060.0</v>
      </c>
      <c r="B1061" s="5" t="s">
        <v>1708</v>
      </c>
      <c r="C1061" s="5" t="s">
        <v>21</v>
      </c>
      <c r="K1061" s="5">
        <v>200.0</v>
      </c>
      <c r="N1061" s="9">
        <v>44542.0</v>
      </c>
    </row>
    <row r="1062">
      <c r="A1062" s="5">
        <v>1061.0</v>
      </c>
      <c r="B1062" s="5" t="s">
        <v>1709</v>
      </c>
      <c r="C1062" s="5" t="s">
        <v>21</v>
      </c>
      <c r="K1062" s="5">
        <v>250.0</v>
      </c>
      <c r="N1062" s="9">
        <v>44616.0</v>
      </c>
    </row>
    <row r="1063">
      <c r="A1063" s="5">
        <v>1062.0</v>
      </c>
      <c r="B1063" s="5" t="s">
        <v>1710</v>
      </c>
      <c r="C1063" s="5" t="s">
        <v>21</v>
      </c>
      <c r="K1063" s="5">
        <v>250.0</v>
      </c>
      <c r="N1063" s="9">
        <v>44636.0</v>
      </c>
    </row>
    <row r="1064">
      <c r="A1064" s="5">
        <v>1063.0</v>
      </c>
      <c r="B1064" s="5" t="s">
        <v>1711</v>
      </c>
      <c r="C1064" s="5" t="s">
        <v>21</v>
      </c>
      <c r="K1064" s="5">
        <v>300.0</v>
      </c>
      <c r="N1064" s="9">
        <v>44539.0</v>
      </c>
    </row>
    <row r="1065">
      <c r="A1065" s="5">
        <v>1064.0</v>
      </c>
      <c r="B1065" s="5" t="s">
        <v>1712</v>
      </c>
      <c r="C1065" s="5" t="s">
        <v>21</v>
      </c>
      <c r="K1065" s="5">
        <v>50.0</v>
      </c>
      <c r="N1065" s="9">
        <v>44678.0</v>
      </c>
    </row>
    <row r="1066">
      <c r="A1066" s="5">
        <v>1065.0</v>
      </c>
      <c r="B1066" s="5" t="s">
        <v>1713</v>
      </c>
      <c r="C1066" s="5" t="s">
        <v>21</v>
      </c>
      <c r="K1066" s="5">
        <v>100.0</v>
      </c>
      <c r="N1066" s="9">
        <v>45431.0</v>
      </c>
    </row>
    <row r="1067">
      <c r="A1067" s="5">
        <v>1066.0</v>
      </c>
      <c r="B1067" s="5" t="s">
        <v>1714</v>
      </c>
      <c r="C1067" s="5" t="s">
        <v>21</v>
      </c>
      <c r="K1067" s="5">
        <v>150.0</v>
      </c>
      <c r="N1067" s="9">
        <v>44166.0</v>
      </c>
    </row>
    <row r="1068">
      <c r="A1068" s="5">
        <v>1067.0</v>
      </c>
      <c r="B1068" s="5" t="s">
        <v>1715</v>
      </c>
      <c r="C1068" s="5" t="s">
        <v>21</v>
      </c>
      <c r="K1068" s="5">
        <v>150.0</v>
      </c>
      <c r="N1068" s="9">
        <v>44679.0</v>
      </c>
    </row>
    <row r="1069">
      <c r="A1069" s="5">
        <v>1068.0</v>
      </c>
      <c r="B1069" s="5" t="s">
        <v>1716</v>
      </c>
      <c r="C1069" s="5" t="s">
        <v>21</v>
      </c>
      <c r="K1069" s="5">
        <v>1500.0</v>
      </c>
      <c r="N1069" s="9">
        <v>44135.0</v>
      </c>
    </row>
    <row r="1070">
      <c r="A1070" s="5">
        <v>1069.0</v>
      </c>
      <c r="B1070" s="5" t="s">
        <v>1717</v>
      </c>
      <c r="C1070" s="5" t="s">
        <v>21</v>
      </c>
      <c r="K1070" s="5">
        <v>150.0</v>
      </c>
      <c r="N1070" s="9">
        <v>45070.0</v>
      </c>
    </row>
    <row r="1071">
      <c r="A1071" s="5">
        <v>1070.0</v>
      </c>
      <c r="B1071" s="5" t="s">
        <v>1718</v>
      </c>
      <c r="C1071" s="5" t="s">
        <v>21</v>
      </c>
      <c r="K1071" s="5">
        <v>600.0</v>
      </c>
      <c r="N1071" s="9">
        <v>43851.0</v>
      </c>
    </row>
    <row r="1072">
      <c r="A1072" s="5">
        <v>1071.0</v>
      </c>
      <c r="B1072" s="5" t="s">
        <v>1719</v>
      </c>
      <c r="C1072" s="5" t="s">
        <v>21</v>
      </c>
      <c r="K1072" s="5">
        <v>200.0</v>
      </c>
      <c r="N1072" s="9">
        <v>44548.0</v>
      </c>
    </row>
    <row r="1073">
      <c r="A1073" s="5">
        <v>1072.0</v>
      </c>
      <c r="B1073" s="5" t="s">
        <v>1720</v>
      </c>
      <c r="C1073" s="5" t="s">
        <v>21</v>
      </c>
      <c r="K1073" s="5">
        <v>500.0</v>
      </c>
      <c r="N1073" s="9">
        <v>44591.0</v>
      </c>
    </row>
    <row r="1074">
      <c r="A1074" s="5">
        <v>1073.0</v>
      </c>
      <c r="B1074" s="5" t="s">
        <v>1721</v>
      </c>
      <c r="C1074" s="5" t="s">
        <v>21</v>
      </c>
      <c r="K1074" s="5">
        <v>30.0</v>
      </c>
      <c r="N1074" s="9">
        <v>45050.0</v>
      </c>
    </row>
    <row r="1075">
      <c r="A1075" s="5">
        <v>1074.0</v>
      </c>
      <c r="B1075" s="5" t="s">
        <v>1722</v>
      </c>
      <c r="C1075" s="5" t="s">
        <v>21</v>
      </c>
      <c r="K1075" s="5">
        <v>90.0</v>
      </c>
      <c r="N1075" s="9">
        <v>44351.0</v>
      </c>
    </row>
    <row r="1076">
      <c r="A1076" s="5">
        <v>1075.0</v>
      </c>
      <c r="B1076" s="5" t="s">
        <v>1723</v>
      </c>
      <c r="C1076" s="5" t="s">
        <v>21</v>
      </c>
      <c r="K1076" s="5">
        <v>1900.0</v>
      </c>
      <c r="N1076" s="9">
        <v>44729.0</v>
      </c>
    </row>
    <row r="1077">
      <c r="A1077" s="5">
        <v>1076.0</v>
      </c>
      <c r="B1077" s="5" t="s">
        <v>1724</v>
      </c>
      <c r="C1077" s="5" t="s">
        <v>21</v>
      </c>
      <c r="K1077" s="5">
        <v>600.0</v>
      </c>
      <c r="N1077" s="9">
        <v>44968.0</v>
      </c>
    </row>
    <row r="1078">
      <c r="A1078" s="5">
        <v>1077.0</v>
      </c>
      <c r="B1078" s="5" t="s">
        <v>1725</v>
      </c>
      <c r="C1078" s="5" t="s">
        <v>21</v>
      </c>
      <c r="K1078" s="5">
        <v>350.0</v>
      </c>
      <c r="N1078" s="9">
        <v>44529.0</v>
      </c>
    </row>
    <row r="1079">
      <c r="A1079" s="5">
        <v>1078.0</v>
      </c>
      <c r="B1079" s="5" t="s">
        <v>1726</v>
      </c>
      <c r="C1079" s="5" t="s">
        <v>21</v>
      </c>
      <c r="K1079" s="5">
        <v>200.0</v>
      </c>
      <c r="N1079" s="9">
        <v>44331.0</v>
      </c>
    </row>
    <row r="1080">
      <c r="A1080" s="5">
        <v>1079.0</v>
      </c>
      <c r="B1080" s="5" t="s">
        <v>1727</v>
      </c>
      <c r="C1080" s="5" t="s">
        <v>21</v>
      </c>
      <c r="K1080" s="5">
        <v>100.0</v>
      </c>
      <c r="N1080" s="9">
        <v>44615.0</v>
      </c>
    </row>
    <row r="1081">
      <c r="A1081" s="5">
        <v>1080.0</v>
      </c>
      <c r="B1081" s="5" t="s">
        <v>1728</v>
      </c>
      <c r="C1081" s="5" t="s">
        <v>21</v>
      </c>
      <c r="K1081" s="5">
        <v>50.0</v>
      </c>
      <c r="N1081" s="9">
        <v>44736.0</v>
      </c>
    </row>
    <row r="1082">
      <c r="A1082" s="5">
        <v>1081.0</v>
      </c>
      <c r="B1082" s="5" t="s">
        <v>1729</v>
      </c>
      <c r="C1082" s="5" t="s">
        <v>21</v>
      </c>
      <c r="K1082" s="5">
        <v>1500.0</v>
      </c>
      <c r="N1082" s="9">
        <v>43889.0</v>
      </c>
    </row>
    <row r="1083">
      <c r="A1083" s="5">
        <v>1082.0</v>
      </c>
      <c r="B1083" s="5" t="s">
        <v>1730</v>
      </c>
      <c r="C1083" s="5" t="s">
        <v>21</v>
      </c>
      <c r="K1083" s="5">
        <v>150.0</v>
      </c>
      <c r="N1083" s="9">
        <v>44981.0</v>
      </c>
    </row>
    <row r="1084">
      <c r="A1084" s="5">
        <v>1083.0</v>
      </c>
      <c r="B1084" s="5" t="s">
        <v>1731</v>
      </c>
      <c r="C1084" s="5" t="s">
        <v>21</v>
      </c>
      <c r="K1084" s="5">
        <v>300.0</v>
      </c>
      <c r="N1084" s="9">
        <v>44574.0</v>
      </c>
    </row>
    <row r="1085">
      <c r="A1085" s="5">
        <v>1084.0</v>
      </c>
      <c r="B1085" s="5" t="s">
        <v>1732</v>
      </c>
      <c r="C1085" s="5" t="s">
        <v>21</v>
      </c>
      <c r="K1085" s="5">
        <v>200.0</v>
      </c>
      <c r="N1085" s="9">
        <v>45092.0</v>
      </c>
    </row>
    <row r="1086">
      <c r="A1086" s="5">
        <v>1085.0</v>
      </c>
      <c r="B1086" s="5" t="s">
        <v>1733</v>
      </c>
      <c r="C1086" s="5" t="s">
        <v>21</v>
      </c>
      <c r="K1086" s="5">
        <v>250.0</v>
      </c>
      <c r="N1086" s="9">
        <v>45099.0</v>
      </c>
    </row>
    <row r="1087">
      <c r="A1087" s="5">
        <v>1086.0</v>
      </c>
      <c r="B1087" s="5" t="s">
        <v>1734</v>
      </c>
      <c r="C1087" s="5" t="s">
        <v>21</v>
      </c>
      <c r="N1087" s="9">
        <v>44581.0</v>
      </c>
    </row>
    <row r="1088">
      <c r="A1088" s="5">
        <v>1087.0</v>
      </c>
      <c r="B1088" s="5" t="s">
        <v>1735</v>
      </c>
      <c r="C1088" s="5" t="s">
        <v>21</v>
      </c>
      <c r="K1088" s="5">
        <v>500.0</v>
      </c>
      <c r="N1088" s="9">
        <v>45074.0</v>
      </c>
    </row>
    <row r="1089">
      <c r="A1089" s="5">
        <v>1088.0</v>
      </c>
      <c r="B1089" s="5" t="s">
        <v>1736</v>
      </c>
      <c r="C1089" s="5" t="s">
        <v>21</v>
      </c>
      <c r="K1089" s="5">
        <v>300.0</v>
      </c>
      <c r="N1089" s="9">
        <v>44557.0</v>
      </c>
    </row>
    <row r="1090">
      <c r="A1090" s="5">
        <v>1089.0</v>
      </c>
      <c r="B1090" s="5" t="s">
        <v>1737</v>
      </c>
      <c r="C1090" s="5" t="s">
        <v>21</v>
      </c>
      <c r="K1090" s="5">
        <v>400.0</v>
      </c>
      <c r="N1090" s="9">
        <v>44705.0</v>
      </c>
    </row>
    <row r="1091">
      <c r="A1091" s="5">
        <v>1090.0</v>
      </c>
      <c r="B1091" s="5" t="s">
        <v>1738</v>
      </c>
      <c r="C1091" s="5" t="s">
        <v>21</v>
      </c>
      <c r="K1091" s="5">
        <v>450.0</v>
      </c>
      <c r="N1091" s="9">
        <v>44552.0</v>
      </c>
    </row>
    <row r="1092">
      <c r="A1092" s="5">
        <v>1091.0</v>
      </c>
      <c r="B1092" s="5" t="s">
        <v>1739</v>
      </c>
      <c r="C1092" s="5" t="s">
        <v>21</v>
      </c>
      <c r="K1092" s="5">
        <v>350.0</v>
      </c>
      <c r="N1092" s="9">
        <v>44960.0</v>
      </c>
    </row>
    <row r="1093">
      <c r="A1093" s="5">
        <v>1092.0</v>
      </c>
      <c r="B1093" s="5" t="s">
        <v>1740</v>
      </c>
      <c r="C1093" s="5" t="s">
        <v>21</v>
      </c>
      <c r="K1093" s="5">
        <v>200.0</v>
      </c>
      <c r="N1093" s="9">
        <v>45130.0</v>
      </c>
    </row>
    <row r="1094">
      <c r="A1094" s="5">
        <v>1093.0</v>
      </c>
      <c r="B1094" s="5" t="s">
        <v>1741</v>
      </c>
      <c r="C1094" s="5" t="s">
        <v>21</v>
      </c>
      <c r="K1094" s="5">
        <v>700.0</v>
      </c>
      <c r="N1094" s="9">
        <v>44526.0</v>
      </c>
    </row>
    <row r="1095">
      <c r="A1095" s="5">
        <v>1094.0</v>
      </c>
      <c r="B1095" s="5" t="s">
        <v>1742</v>
      </c>
      <c r="C1095" s="5" t="s">
        <v>21</v>
      </c>
      <c r="N1095" s="9">
        <v>44560.0</v>
      </c>
    </row>
    <row r="1096">
      <c r="A1096" s="5">
        <v>1095.0</v>
      </c>
      <c r="B1096" s="5" t="s">
        <v>1743</v>
      </c>
      <c r="C1096" s="5" t="s">
        <v>21</v>
      </c>
      <c r="N1096" s="9">
        <v>44664.0</v>
      </c>
    </row>
    <row r="1097">
      <c r="A1097" s="5">
        <v>1096.0</v>
      </c>
      <c r="B1097" s="5" t="s">
        <v>1744</v>
      </c>
      <c r="C1097" s="5" t="s">
        <v>21</v>
      </c>
      <c r="K1097" s="5">
        <v>350.0</v>
      </c>
      <c r="N1097" s="9">
        <v>44879.0</v>
      </c>
    </row>
    <row r="1098">
      <c r="A1098" s="5">
        <v>1097.0</v>
      </c>
      <c r="B1098" s="5" t="s">
        <v>1745</v>
      </c>
      <c r="C1098" s="5" t="s">
        <v>21</v>
      </c>
      <c r="K1098" s="5">
        <v>500.0</v>
      </c>
      <c r="N1098" s="9">
        <v>44585.0</v>
      </c>
    </row>
    <row r="1099">
      <c r="A1099" s="5">
        <v>1098.0</v>
      </c>
      <c r="B1099" s="5" t="s">
        <v>1746</v>
      </c>
      <c r="C1099" s="5" t="s">
        <v>21</v>
      </c>
      <c r="K1099" s="5">
        <v>400.0</v>
      </c>
      <c r="N1099" s="9">
        <v>44596.0</v>
      </c>
    </row>
    <row r="1100">
      <c r="A1100" s="5">
        <v>1099.0</v>
      </c>
      <c r="B1100" s="5" t="s">
        <v>1747</v>
      </c>
      <c r="C1100" s="5" t="s">
        <v>21</v>
      </c>
      <c r="K1100" s="5">
        <v>100.0</v>
      </c>
      <c r="N1100" s="9">
        <v>45367.0</v>
      </c>
    </row>
    <row r="1101">
      <c r="A1101" s="5">
        <v>1100.0</v>
      </c>
      <c r="B1101" s="5" t="s">
        <v>1748</v>
      </c>
      <c r="C1101" s="5" t="s">
        <v>21</v>
      </c>
      <c r="K1101" s="5">
        <v>200.0</v>
      </c>
      <c r="N1101" s="9">
        <v>45060.0</v>
      </c>
    </row>
    <row r="1102">
      <c r="A1102" s="5">
        <v>1101.0</v>
      </c>
      <c r="B1102" s="5" t="s">
        <v>1749</v>
      </c>
      <c r="C1102" s="5" t="s">
        <v>21</v>
      </c>
      <c r="K1102" s="5">
        <v>150.0</v>
      </c>
      <c r="N1102" s="9">
        <v>44821.0</v>
      </c>
    </row>
    <row r="1103">
      <c r="A1103" s="5">
        <v>1102.0</v>
      </c>
      <c r="B1103" s="5" t="s">
        <v>1750</v>
      </c>
      <c r="C1103" s="5" t="s">
        <v>21</v>
      </c>
      <c r="K1103" s="5">
        <v>200.0</v>
      </c>
      <c r="N1103" s="9">
        <v>44631.0</v>
      </c>
    </row>
    <row r="1104">
      <c r="A1104" s="5">
        <v>1103.0</v>
      </c>
      <c r="B1104" s="5" t="s">
        <v>1751</v>
      </c>
      <c r="C1104" s="5" t="s">
        <v>21</v>
      </c>
      <c r="K1104" s="5">
        <v>2500.0</v>
      </c>
      <c r="N1104" s="9">
        <v>45332.0</v>
      </c>
    </row>
    <row r="1105">
      <c r="A1105" s="5">
        <v>1104.0</v>
      </c>
      <c r="B1105" s="5" t="s">
        <v>1752</v>
      </c>
      <c r="C1105" s="5" t="s">
        <v>21</v>
      </c>
      <c r="K1105" s="5">
        <v>300.0</v>
      </c>
      <c r="N1105" s="9">
        <v>43950.0</v>
      </c>
    </row>
    <row r="1106">
      <c r="A1106" s="5">
        <v>1105.0</v>
      </c>
      <c r="B1106" s="5" t="s">
        <v>1753</v>
      </c>
      <c r="C1106" s="5" t="s">
        <v>21</v>
      </c>
      <c r="K1106" s="5">
        <v>3300.0</v>
      </c>
      <c r="N1106" s="9">
        <v>44218.0</v>
      </c>
    </row>
    <row r="1107">
      <c r="A1107" s="5">
        <v>1106.0</v>
      </c>
      <c r="B1107" s="5" t="s">
        <v>1754</v>
      </c>
      <c r="C1107" s="5" t="s">
        <v>21</v>
      </c>
      <c r="K1107" s="5">
        <v>1000.0</v>
      </c>
      <c r="N1107" s="9">
        <v>43941.0</v>
      </c>
    </row>
    <row r="1108">
      <c r="A1108" s="5">
        <v>1107.0</v>
      </c>
      <c r="B1108" s="5" t="s">
        <v>1755</v>
      </c>
      <c r="C1108" s="5" t="s">
        <v>21</v>
      </c>
      <c r="K1108" s="5">
        <v>500.0</v>
      </c>
      <c r="N1108" s="9">
        <v>44550.0</v>
      </c>
    </row>
    <row r="1109">
      <c r="A1109" s="5">
        <v>1108.0</v>
      </c>
      <c r="B1109" s="5" t="s">
        <v>1756</v>
      </c>
      <c r="C1109" s="5" t="s">
        <v>21</v>
      </c>
      <c r="K1109" s="5">
        <v>900.0</v>
      </c>
      <c r="N1109" s="9">
        <v>44580.0</v>
      </c>
    </row>
    <row r="1110">
      <c r="A1110" s="5">
        <v>1109.0</v>
      </c>
      <c r="B1110" s="5" t="s">
        <v>1757</v>
      </c>
      <c r="C1110" s="5" t="s">
        <v>21</v>
      </c>
      <c r="K1110" s="5">
        <v>100.0</v>
      </c>
      <c r="N1110" s="9">
        <v>44567.0</v>
      </c>
    </row>
    <row r="1111">
      <c r="A1111" s="5">
        <v>1110.0</v>
      </c>
      <c r="B1111" s="5" t="s">
        <v>1758</v>
      </c>
      <c r="C1111" s="5" t="s">
        <v>21</v>
      </c>
      <c r="K1111" s="5">
        <v>100.0</v>
      </c>
      <c r="N1111" s="9">
        <v>44583.0</v>
      </c>
    </row>
    <row r="1112">
      <c r="A1112" s="5">
        <v>1111.0</v>
      </c>
      <c r="B1112" s="5" t="s">
        <v>1759</v>
      </c>
      <c r="C1112" s="5" t="s">
        <v>21</v>
      </c>
      <c r="K1112" s="5">
        <v>700.0</v>
      </c>
      <c r="N1112" s="9">
        <v>44208.0</v>
      </c>
    </row>
    <row r="1113">
      <c r="A1113" s="5">
        <v>1112.0</v>
      </c>
      <c r="B1113" s="5" t="s">
        <v>1760</v>
      </c>
      <c r="C1113" s="5" t="s">
        <v>21</v>
      </c>
      <c r="K1113" s="5">
        <v>10.0</v>
      </c>
      <c r="N1113" s="9">
        <v>45959.0</v>
      </c>
    </row>
    <row r="1114">
      <c r="A1114" s="5">
        <v>1113.0</v>
      </c>
      <c r="B1114" s="5" t="s">
        <v>1761</v>
      </c>
      <c r="C1114" s="5" t="s">
        <v>21</v>
      </c>
      <c r="K1114" s="5">
        <v>400.0</v>
      </c>
      <c r="N1114" s="9">
        <v>44562.0</v>
      </c>
    </row>
    <row r="1115">
      <c r="A1115" s="5">
        <v>1114.0</v>
      </c>
      <c r="B1115" s="5" t="s">
        <v>1762</v>
      </c>
      <c r="C1115" s="5" t="s">
        <v>21</v>
      </c>
      <c r="K1115" s="5">
        <v>2700.0</v>
      </c>
      <c r="N1115" s="9">
        <v>43988.0</v>
      </c>
    </row>
    <row r="1116">
      <c r="A1116" s="5">
        <v>1115.0</v>
      </c>
      <c r="B1116" s="5" t="s">
        <v>1763</v>
      </c>
      <c r="C1116" s="5" t="s">
        <v>21</v>
      </c>
      <c r="K1116" s="5">
        <v>500.0</v>
      </c>
      <c r="N1116" s="9">
        <v>44212.0</v>
      </c>
    </row>
    <row r="1117">
      <c r="A1117" s="5">
        <v>1116.0</v>
      </c>
      <c r="B1117" s="5" t="s">
        <v>1764</v>
      </c>
      <c r="C1117" s="5" t="s">
        <v>21</v>
      </c>
      <c r="K1117" s="5">
        <v>400.0</v>
      </c>
      <c r="N1117" s="9">
        <v>44316.0</v>
      </c>
    </row>
    <row r="1118">
      <c r="A1118" s="5">
        <v>1117.0</v>
      </c>
      <c r="B1118" s="5" t="s">
        <v>1765</v>
      </c>
      <c r="C1118" s="5" t="s">
        <v>21</v>
      </c>
      <c r="K1118" s="5">
        <v>200.0</v>
      </c>
      <c r="N1118" s="9">
        <v>45209.0</v>
      </c>
    </row>
    <row r="1119">
      <c r="A1119" s="5">
        <v>1118.0</v>
      </c>
      <c r="B1119" s="5" t="s">
        <v>1766</v>
      </c>
      <c r="C1119" s="5" t="s">
        <v>21</v>
      </c>
      <c r="K1119" s="5">
        <v>1300.0</v>
      </c>
      <c r="N1119" s="9">
        <v>44844.0</v>
      </c>
    </row>
    <row r="1120">
      <c r="A1120" s="5">
        <v>1119.0</v>
      </c>
      <c r="B1120" s="5" t="s">
        <v>1767</v>
      </c>
      <c r="C1120" s="5" t="s">
        <v>21</v>
      </c>
      <c r="K1120" s="5">
        <v>80.0</v>
      </c>
      <c r="N1120" s="9">
        <v>43857.0</v>
      </c>
    </row>
    <row r="1121">
      <c r="A1121" s="5">
        <v>1120.0</v>
      </c>
      <c r="B1121" s="5" t="s">
        <v>1768</v>
      </c>
      <c r="C1121" s="5" t="s">
        <v>21</v>
      </c>
      <c r="K1121" s="5">
        <v>600.0</v>
      </c>
      <c r="N1121" s="9">
        <v>44389.0</v>
      </c>
    </row>
    <row r="1122">
      <c r="A1122" s="5">
        <v>1121.0</v>
      </c>
      <c r="B1122" s="5" t="s">
        <v>1769</v>
      </c>
      <c r="C1122" s="5" t="s">
        <v>21</v>
      </c>
      <c r="K1122" s="5">
        <v>600.0</v>
      </c>
      <c r="N1122" s="9">
        <v>44816.0</v>
      </c>
    </row>
    <row r="1123">
      <c r="A1123" s="5">
        <v>1122.0</v>
      </c>
      <c r="B1123" s="5" t="s">
        <v>1770</v>
      </c>
      <c r="C1123" s="5" t="s">
        <v>21</v>
      </c>
      <c r="N1123" s="9">
        <v>43908.0</v>
      </c>
    </row>
    <row r="1124">
      <c r="A1124" s="5">
        <v>1123.0</v>
      </c>
      <c r="B1124" s="5" t="s">
        <v>1771</v>
      </c>
      <c r="C1124" s="5" t="s">
        <v>21</v>
      </c>
      <c r="K1124" s="5">
        <v>250.0</v>
      </c>
      <c r="N1124" s="9">
        <v>44532.0</v>
      </c>
    </row>
    <row r="1125">
      <c r="A1125" s="5">
        <v>1124.0</v>
      </c>
      <c r="B1125" s="5" t="s">
        <v>1772</v>
      </c>
      <c r="C1125" s="5" t="s">
        <v>21</v>
      </c>
      <c r="K1125" s="5">
        <v>300.0</v>
      </c>
      <c r="N1125" s="9">
        <v>44622.0</v>
      </c>
    </row>
    <row r="1126">
      <c r="A1126" s="5">
        <v>1125.0</v>
      </c>
      <c r="B1126" s="5" t="s">
        <v>1773</v>
      </c>
      <c r="C1126" s="5" t="s">
        <v>21</v>
      </c>
      <c r="K1126" s="5">
        <v>300.0</v>
      </c>
      <c r="N1126" s="9">
        <v>44776.0</v>
      </c>
    </row>
    <row r="1127">
      <c r="A1127" s="5">
        <v>1126.0</v>
      </c>
      <c r="B1127" s="5" t="s">
        <v>1774</v>
      </c>
      <c r="C1127" s="5" t="s">
        <v>21</v>
      </c>
      <c r="K1127" s="5">
        <v>900.0</v>
      </c>
      <c r="N1127" s="9">
        <v>44627.0</v>
      </c>
    </row>
    <row r="1128">
      <c r="A1128" s="5">
        <v>1127.0</v>
      </c>
      <c r="B1128" s="5" t="s">
        <v>1775</v>
      </c>
      <c r="C1128" s="5" t="s">
        <v>21</v>
      </c>
      <c r="K1128" s="5">
        <v>40.0</v>
      </c>
      <c r="N1128" s="9">
        <v>43924.0</v>
      </c>
    </row>
    <row r="1129">
      <c r="A1129" s="5">
        <v>1128.0</v>
      </c>
      <c r="B1129" s="5" t="s">
        <v>1776</v>
      </c>
      <c r="C1129" s="5" t="s">
        <v>21</v>
      </c>
      <c r="K1129" s="5">
        <v>800.0</v>
      </c>
      <c r="N1129" s="9">
        <v>44555.0</v>
      </c>
    </row>
    <row r="1130">
      <c r="A1130" s="5">
        <v>1129.0</v>
      </c>
      <c r="B1130" s="5" t="s">
        <v>51</v>
      </c>
      <c r="C1130" s="5" t="s">
        <v>21</v>
      </c>
      <c r="K1130" s="5">
        <v>60.0</v>
      </c>
      <c r="N1130" s="9">
        <v>44360.0</v>
      </c>
    </row>
    <row r="1131">
      <c r="A1131" s="5">
        <v>1130.0</v>
      </c>
      <c r="B1131" s="5" t="s">
        <v>1777</v>
      </c>
      <c r="C1131" s="5" t="s">
        <v>21</v>
      </c>
      <c r="K1131" s="5">
        <v>30.0</v>
      </c>
      <c r="N1131" s="9">
        <v>44632.0</v>
      </c>
    </row>
    <row r="1132">
      <c r="A1132" s="5">
        <v>1131.0</v>
      </c>
      <c r="B1132" s="5" t="s">
        <v>1778</v>
      </c>
      <c r="C1132" s="5" t="s">
        <v>21</v>
      </c>
      <c r="K1132" s="5">
        <v>1400.0</v>
      </c>
      <c r="N1132" s="9">
        <v>44182.0</v>
      </c>
    </row>
    <row r="1133">
      <c r="A1133" s="5">
        <v>1132.0</v>
      </c>
      <c r="B1133" s="5" t="s">
        <v>1779</v>
      </c>
      <c r="C1133" s="5" t="s">
        <v>21</v>
      </c>
      <c r="K1133" s="5">
        <v>800.0</v>
      </c>
      <c r="N1133" s="9">
        <v>44048.0</v>
      </c>
    </row>
    <row r="1134">
      <c r="A1134" s="5">
        <v>1133.0</v>
      </c>
      <c r="B1134" s="5" t="s">
        <v>1780</v>
      </c>
      <c r="C1134" s="5" t="s">
        <v>21</v>
      </c>
      <c r="K1134" s="5">
        <v>80.0</v>
      </c>
      <c r="N1134" s="9">
        <v>44249.0</v>
      </c>
    </row>
    <row r="1135">
      <c r="A1135" s="5">
        <v>1134.0</v>
      </c>
      <c r="B1135" s="5" t="s">
        <v>1781</v>
      </c>
      <c r="C1135" s="5" t="s">
        <v>21</v>
      </c>
      <c r="K1135" s="5">
        <v>300.0</v>
      </c>
      <c r="N1135" s="9">
        <v>44552.0</v>
      </c>
    </row>
    <row r="1136">
      <c r="A1136" s="5">
        <v>1135.0</v>
      </c>
      <c r="B1136" s="5" t="s">
        <v>1782</v>
      </c>
      <c r="C1136" s="5" t="s">
        <v>21</v>
      </c>
      <c r="K1136" s="5">
        <v>200.0</v>
      </c>
      <c r="N1136" s="9">
        <v>44606.0</v>
      </c>
    </row>
    <row r="1137">
      <c r="A1137" s="5">
        <v>1136.0</v>
      </c>
      <c r="B1137" s="5" t="s">
        <v>1783</v>
      </c>
      <c r="C1137" s="5" t="s">
        <v>21</v>
      </c>
      <c r="K1137" s="5">
        <v>200.0</v>
      </c>
      <c r="N1137" s="9">
        <v>44915.0</v>
      </c>
    </row>
    <row r="1138">
      <c r="A1138" s="5">
        <v>1137.0</v>
      </c>
      <c r="B1138" s="5" t="s">
        <v>1784</v>
      </c>
      <c r="C1138" s="5" t="s">
        <v>21</v>
      </c>
      <c r="K1138" s="5">
        <v>1000.0</v>
      </c>
      <c r="N1138" s="9">
        <v>44955.0</v>
      </c>
    </row>
    <row r="1139">
      <c r="A1139" s="5">
        <v>1138.0</v>
      </c>
      <c r="B1139" s="5" t="s">
        <v>1785</v>
      </c>
      <c r="C1139" s="5" t="s">
        <v>21</v>
      </c>
      <c r="K1139" s="5">
        <v>800.0</v>
      </c>
      <c r="N1139" s="9">
        <v>45010.0</v>
      </c>
    </row>
    <row r="1140">
      <c r="A1140" s="5">
        <v>1139.0</v>
      </c>
      <c r="B1140" s="5" t="s">
        <v>1786</v>
      </c>
      <c r="C1140" s="5" t="s">
        <v>21</v>
      </c>
      <c r="K1140" s="5">
        <v>350.0</v>
      </c>
      <c r="N1140" s="9">
        <v>44538.0</v>
      </c>
    </row>
    <row r="1141">
      <c r="A1141" s="5">
        <v>1140.0</v>
      </c>
      <c r="B1141" s="5" t="s">
        <v>1787</v>
      </c>
      <c r="C1141" s="5" t="s">
        <v>21</v>
      </c>
      <c r="K1141" s="5">
        <v>80.0</v>
      </c>
      <c r="N1141" s="9">
        <v>43967.0</v>
      </c>
    </row>
    <row r="1142">
      <c r="A1142" s="5">
        <v>1141.0</v>
      </c>
      <c r="B1142" s="5" t="s">
        <v>1788</v>
      </c>
      <c r="C1142" s="5" t="s">
        <v>21</v>
      </c>
      <c r="K1142" s="5">
        <v>1400.0</v>
      </c>
      <c r="N1142" s="9">
        <v>44547.0</v>
      </c>
    </row>
    <row r="1143">
      <c r="A1143" s="5">
        <v>1142.0</v>
      </c>
      <c r="B1143" s="5" t="s">
        <v>1789</v>
      </c>
      <c r="C1143" s="5" t="s">
        <v>21</v>
      </c>
      <c r="K1143" s="5">
        <v>150.0</v>
      </c>
      <c r="N1143" s="9">
        <v>44651.0</v>
      </c>
    </row>
    <row r="1144">
      <c r="A1144" s="5">
        <v>1143.0</v>
      </c>
      <c r="B1144" s="5" t="s">
        <v>1790</v>
      </c>
      <c r="C1144" s="5" t="s">
        <v>21</v>
      </c>
      <c r="K1144" s="5">
        <v>200.0</v>
      </c>
      <c r="N1144" s="9">
        <v>44809.0</v>
      </c>
    </row>
    <row r="1145">
      <c r="A1145" s="5">
        <v>1144.0</v>
      </c>
      <c r="B1145" s="5" t="s">
        <v>1791</v>
      </c>
      <c r="C1145" s="5" t="s">
        <v>21</v>
      </c>
      <c r="K1145" s="5">
        <v>400.0</v>
      </c>
      <c r="N1145" s="9">
        <v>45060.0</v>
      </c>
    </row>
    <row r="1146">
      <c r="A1146" s="5">
        <v>1145.0</v>
      </c>
      <c r="B1146" s="5" t="s">
        <v>1792</v>
      </c>
      <c r="C1146" s="5" t="s">
        <v>21</v>
      </c>
      <c r="K1146" s="5">
        <v>200.0</v>
      </c>
      <c r="N1146" s="9">
        <v>44793.0</v>
      </c>
    </row>
    <row r="1147">
      <c r="A1147" s="5">
        <v>1146.0</v>
      </c>
      <c r="B1147" s="5" t="s">
        <v>1793</v>
      </c>
      <c r="C1147" s="5" t="s">
        <v>21</v>
      </c>
      <c r="K1147" s="5">
        <v>50.0</v>
      </c>
      <c r="N1147" s="9">
        <v>44523.0</v>
      </c>
    </row>
    <row r="1148">
      <c r="A1148" s="5">
        <v>1147.0</v>
      </c>
      <c r="B1148" s="5" t="s">
        <v>1794</v>
      </c>
      <c r="C1148" s="5" t="s">
        <v>21</v>
      </c>
      <c r="K1148" s="5">
        <v>1000.0</v>
      </c>
      <c r="N1148" s="9">
        <v>45523.0</v>
      </c>
    </row>
    <row r="1149">
      <c r="A1149" s="5">
        <v>1148.0</v>
      </c>
      <c r="B1149" s="5" t="s">
        <v>1795</v>
      </c>
      <c r="C1149" s="5" t="s">
        <v>21</v>
      </c>
      <c r="N1149" s="9">
        <v>44513.0</v>
      </c>
    </row>
    <row r="1150">
      <c r="A1150" s="5">
        <v>1149.0</v>
      </c>
      <c r="B1150" s="5" t="s">
        <v>1796</v>
      </c>
      <c r="C1150" s="5" t="s">
        <v>21</v>
      </c>
      <c r="K1150" s="5">
        <v>350.0</v>
      </c>
      <c r="N1150" s="9">
        <v>42445.0</v>
      </c>
    </row>
    <row r="1151">
      <c r="A1151" s="5">
        <v>1150.0</v>
      </c>
      <c r="B1151" s="5" t="s">
        <v>1797</v>
      </c>
      <c r="C1151" s="5" t="s">
        <v>21</v>
      </c>
      <c r="K1151" s="5">
        <v>300.0</v>
      </c>
      <c r="N1151" s="9">
        <v>44534.0</v>
      </c>
    </row>
    <row r="1152">
      <c r="A1152" s="5">
        <v>1151.0</v>
      </c>
      <c r="B1152" s="5" t="s">
        <v>1798</v>
      </c>
      <c r="C1152" s="5" t="s">
        <v>21</v>
      </c>
      <c r="N1152" s="9">
        <v>44682.0</v>
      </c>
    </row>
    <row r="1153">
      <c r="A1153" s="5">
        <v>1152.0</v>
      </c>
      <c r="B1153" s="5" t="s">
        <v>1799</v>
      </c>
      <c r="C1153" s="5" t="s">
        <v>21</v>
      </c>
      <c r="N1153" s="9">
        <v>43849.0</v>
      </c>
    </row>
    <row r="1154">
      <c r="A1154" s="5">
        <v>1153.0</v>
      </c>
      <c r="B1154" s="5" t="s">
        <v>1800</v>
      </c>
      <c r="C1154" s="5" t="s">
        <v>21</v>
      </c>
      <c r="K1154" s="5">
        <v>100.0</v>
      </c>
      <c r="N1154" s="9">
        <v>44429.0</v>
      </c>
    </row>
    <row r="1155">
      <c r="A1155" s="5">
        <v>1154.0</v>
      </c>
      <c r="B1155" s="5" t="s">
        <v>1801</v>
      </c>
      <c r="C1155" s="5" t="s">
        <v>21</v>
      </c>
      <c r="K1155" s="5">
        <v>2200.0</v>
      </c>
      <c r="N1155" s="9">
        <v>44199.0</v>
      </c>
    </row>
    <row r="1156">
      <c r="A1156" s="5">
        <v>1155.0</v>
      </c>
      <c r="B1156" s="5" t="s">
        <v>1802</v>
      </c>
      <c r="C1156" s="5" t="s">
        <v>21</v>
      </c>
      <c r="N1156" s="9">
        <v>44595.0</v>
      </c>
    </row>
    <row r="1157">
      <c r="A1157" s="5">
        <v>1156.0</v>
      </c>
      <c r="B1157" s="5" t="s">
        <v>56</v>
      </c>
      <c r="C1157" s="5" t="s">
        <v>21</v>
      </c>
      <c r="K1157" s="5">
        <v>800.0</v>
      </c>
      <c r="N1157" s="9">
        <v>44777.0</v>
      </c>
    </row>
    <row r="1158">
      <c r="A1158" s="5">
        <v>1157.0</v>
      </c>
      <c r="B1158" s="5" t="s">
        <v>1803</v>
      </c>
      <c r="C1158" s="5" t="s">
        <v>21</v>
      </c>
      <c r="K1158" s="5">
        <v>6600.0</v>
      </c>
      <c r="N1158" s="9">
        <v>44246.0</v>
      </c>
    </row>
    <row r="1159">
      <c r="A1159" s="5">
        <v>1158.0</v>
      </c>
      <c r="B1159" s="5" t="s">
        <v>1804</v>
      </c>
      <c r="C1159" s="5" t="s">
        <v>21</v>
      </c>
      <c r="K1159" s="5">
        <v>150.0</v>
      </c>
      <c r="N1159" s="9">
        <v>44925.0</v>
      </c>
    </row>
    <row r="1160">
      <c r="A1160" s="5">
        <v>1159.0</v>
      </c>
      <c r="B1160" s="5" t="s">
        <v>1805</v>
      </c>
      <c r="C1160" s="5" t="s">
        <v>21</v>
      </c>
      <c r="K1160" s="5">
        <v>200.0</v>
      </c>
      <c r="N1160" s="9">
        <v>45120.0</v>
      </c>
    </row>
    <row r="1161">
      <c r="A1161" s="5">
        <v>1160.0</v>
      </c>
      <c r="B1161" s="5" t="s">
        <v>1806</v>
      </c>
      <c r="C1161" s="5" t="s">
        <v>21</v>
      </c>
      <c r="K1161" s="5">
        <v>150.0</v>
      </c>
      <c r="N1161" s="9">
        <v>45591.0</v>
      </c>
    </row>
    <row r="1162">
      <c r="A1162" s="5">
        <v>1161.0</v>
      </c>
      <c r="B1162" s="5" t="s">
        <v>1807</v>
      </c>
      <c r="C1162" s="5" t="s">
        <v>21</v>
      </c>
      <c r="K1162" s="5">
        <v>150.0</v>
      </c>
      <c r="N1162" s="9">
        <v>44578.0</v>
      </c>
    </row>
    <row r="1163">
      <c r="A1163" s="5">
        <v>1162.0</v>
      </c>
      <c r="B1163" s="5" t="s">
        <v>1808</v>
      </c>
      <c r="C1163" s="5" t="s">
        <v>21</v>
      </c>
      <c r="K1163" s="5">
        <v>10000.0</v>
      </c>
      <c r="N1163" s="9">
        <v>45504.0</v>
      </c>
    </row>
    <row r="1164">
      <c r="A1164" s="5">
        <v>1163.0</v>
      </c>
      <c r="B1164" s="5" t="s">
        <v>1809</v>
      </c>
      <c r="C1164" s="5" t="s">
        <v>21</v>
      </c>
      <c r="N1164" s="9">
        <v>44528.0</v>
      </c>
    </row>
    <row r="1165">
      <c r="A1165" s="5">
        <v>1164.0</v>
      </c>
      <c r="B1165" s="5" t="s">
        <v>1810</v>
      </c>
      <c r="C1165" s="5" t="s">
        <v>21</v>
      </c>
      <c r="K1165" s="5">
        <v>30.0</v>
      </c>
      <c r="N1165" s="9">
        <v>44367.0</v>
      </c>
    </row>
    <row r="1166">
      <c r="A1166" s="5">
        <v>1165.0</v>
      </c>
      <c r="B1166" s="5" t="s">
        <v>1811</v>
      </c>
      <c r="C1166" s="5" t="s">
        <v>21</v>
      </c>
      <c r="K1166" s="5">
        <v>1100.0</v>
      </c>
      <c r="N1166" s="9">
        <v>43925.0</v>
      </c>
    </row>
    <row r="1167">
      <c r="A1167" s="5">
        <v>1166.0</v>
      </c>
      <c r="B1167" s="5" t="s">
        <v>1812</v>
      </c>
      <c r="C1167" s="5" t="s">
        <v>21</v>
      </c>
      <c r="K1167" s="5">
        <v>50.0</v>
      </c>
      <c r="N1167" s="9">
        <v>44537.0</v>
      </c>
    </row>
    <row r="1168">
      <c r="A1168" s="5">
        <v>1167.0</v>
      </c>
      <c r="B1168" s="5" t="s">
        <v>1813</v>
      </c>
      <c r="C1168" s="5" t="s">
        <v>21</v>
      </c>
      <c r="K1168" s="5">
        <v>500.0</v>
      </c>
      <c r="N1168" s="9">
        <v>44533.0</v>
      </c>
    </row>
    <row r="1169">
      <c r="A1169" s="5">
        <v>1168.0</v>
      </c>
      <c r="B1169" s="5" t="s">
        <v>1814</v>
      </c>
      <c r="C1169" s="5" t="s">
        <v>21</v>
      </c>
      <c r="N1169" s="9">
        <v>44518.0</v>
      </c>
    </row>
    <row r="1170">
      <c r="A1170" s="5">
        <v>1169.0</v>
      </c>
      <c r="B1170" s="5" t="s">
        <v>134</v>
      </c>
      <c r="C1170" s="5" t="s">
        <v>21</v>
      </c>
      <c r="K1170" s="5">
        <v>6600.0</v>
      </c>
      <c r="N1170" s="9">
        <v>43878.0</v>
      </c>
    </row>
    <row r="1171">
      <c r="A1171" s="5">
        <v>1170.0</v>
      </c>
      <c r="B1171" s="5" t="s">
        <v>1815</v>
      </c>
      <c r="C1171" s="5" t="s">
        <v>21</v>
      </c>
      <c r="K1171" s="5">
        <v>600.0</v>
      </c>
      <c r="N1171" s="9">
        <v>44660.0</v>
      </c>
    </row>
    <row r="1172">
      <c r="A1172" s="5">
        <v>1171.0</v>
      </c>
      <c r="B1172" s="5" t="s">
        <v>1816</v>
      </c>
      <c r="C1172" s="5" t="s">
        <v>21</v>
      </c>
      <c r="N1172" s="9">
        <v>44999.0</v>
      </c>
    </row>
    <row r="1173">
      <c r="A1173" s="5">
        <v>1172.0</v>
      </c>
      <c r="B1173" s="5" t="s">
        <v>1817</v>
      </c>
      <c r="C1173" s="5" t="s">
        <v>21</v>
      </c>
      <c r="K1173" s="5">
        <v>40.0</v>
      </c>
      <c r="N1173" s="9">
        <v>45000.0</v>
      </c>
    </row>
    <row r="1174">
      <c r="A1174" s="5">
        <v>1173.0</v>
      </c>
      <c r="B1174" s="5" t="s">
        <v>1818</v>
      </c>
      <c r="C1174" s="5" t="s">
        <v>21</v>
      </c>
      <c r="K1174" s="5">
        <v>10.0</v>
      </c>
      <c r="N1174" s="9">
        <v>44698.0</v>
      </c>
    </row>
    <row r="1175">
      <c r="A1175" s="5">
        <v>1174.0</v>
      </c>
      <c r="B1175" s="5" t="s">
        <v>1819</v>
      </c>
      <c r="C1175" s="5" t="s">
        <v>21</v>
      </c>
      <c r="N1175" s="9">
        <v>44528.0</v>
      </c>
    </row>
    <row r="1176">
      <c r="A1176" s="5">
        <v>1175.0</v>
      </c>
      <c r="B1176" s="5" t="s">
        <v>1820</v>
      </c>
      <c r="C1176" s="5" t="s">
        <v>21</v>
      </c>
      <c r="K1176" s="5">
        <v>4300.0</v>
      </c>
      <c r="N1176" s="9">
        <v>44577.0</v>
      </c>
    </row>
    <row r="1177">
      <c r="A1177" s="5">
        <v>1176.0</v>
      </c>
      <c r="B1177" s="5" t="s">
        <v>1821</v>
      </c>
      <c r="C1177" s="5" t="s">
        <v>21</v>
      </c>
      <c r="K1177" s="5">
        <v>1200.0</v>
      </c>
      <c r="N1177" s="9">
        <v>44750.0</v>
      </c>
    </row>
    <row r="1178">
      <c r="A1178" s="5">
        <v>1177.0</v>
      </c>
      <c r="B1178" s="5" t="s">
        <v>1822</v>
      </c>
      <c r="C1178" s="5" t="s">
        <v>21</v>
      </c>
      <c r="K1178" s="5">
        <v>2300.0</v>
      </c>
      <c r="N1178" s="9">
        <v>44344.0</v>
      </c>
    </row>
    <row r="1179">
      <c r="A1179" s="5">
        <v>1178.0</v>
      </c>
      <c r="B1179" s="5" t="s">
        <v>1823</v>
      </c>
      <c r="C1179" s="5" t="s">
        <v>21</v>
      </c>
      <c r="K1179" s="5">
        <v>900.0</v>
      </c>
      <c r="N1179" s="9">
        <v>44290.0</v>
      </c>
    </row>
    <row r="1180">
      <c r="A1180" s="5">
        <v>1179.0</v>
      </c>
      <c r="B1180" s="5" t="s">
        <v>1824</v>
      </c>
      <c r="C1180" s="5" t="s">
        <v>21</v>
      </c>
      <c r="K1180" s="5">
        <v>350.0</v>
      </c>
      <c r="N1180" s="9">
        <v>44301.0</v>
      </c>
    </row>
    <row r="1181">
      <c r="A1181" s="5">
        <v>1180.0</v>
      </c>
      <c r="B1181" s="5" t="s">
        <v>1825</v>
      </c>
      <c r="C1181" s="5" t="s">
        <v>21</v>
      </c>
      <c r="K1181" s="5">
        <v>300.0</v>
      </c>
      <c r="N1181" s="9">
        <v>45636.0</v>
      </c>
    </row>
    <row r="1182">
      <c r="A1182" s="5">
        <v>1181.0</v>
      </c>
      <c r="B1182" s="5" t="s">
        <v>1826</v>
      </c>
      <c r="C1182" s="5" t="s">
        <v>21</v>
      </c>
      <c r="K1182" s="5">
        <v>300.0</v>
      </c>
      <c r="N1182" s="9">
        <v>44935.0</v>
      </c>
    </row>
    <row r="1183">
      <c r="A1183" s="5">
        <v>1182.0</v>
      </c>
      <c r="B1183" s="5" t="s">
        <v>1827</v>
      </c>
      <c r="C1183" s="5" t="s">
        <v>21</v>
      </c>
      <c r="K1183" s="5">
        <v>6100.0</v>
      </c>
      <c r="N1183" s="9">
        <v>44740.0</v>
      </c>
    </row>
    <row r="1184">
      <c r="A1184" s="5">
        <v>1183.0</v>
      </c>
      <c r="B1184" s="5" t="s">
        <v>1828</v>
      </c>
      <c r="C1184" s="5" t="s">
        <v>21</v>
      </c>
      <c r="K1184" s="5">
        <v>100.0</v>
      </c>
      <c r="N1184" s="9">
        <v>44764.0</v>
      </c>
    </row>
    <row r="1185">
      <c r="A1185" s="5">
        <v>1184.0</v>
      </c>
      <c r="B1185" s="5" t="s">
        <v>1829</v>
      </c>
      <c r="C1185" s="5" t="s">
        <v>21</v>
      </c>
      <c r="K1185" s="5">
        <v>200.0</v>
      </c>
      <c r="N1185" s="9">
        <v>44524.0</v>
      </c>
    </row>
    <row r="1186">
      <c r="A1186" s="5">
        <v>1185.0</v>
      </c>
      <c r="B1186" s="5" t="s">
        <v>1830</v>
      </c>
      <c r="C1186" s="5" t="s">
        <v>21</v>
      </c>
      <c r="K1186" s="5">
        <v>200.0</v>
      </c>
      <c r="N1186" s="9">
        <v>45558.0</v>
      </c>
    </row>
    <row r="1187">
      <c r="A1187" s="5">
        <v>1186.0</v>
      </c>
      <c r="B1187" s="5" t="s">
        <v>1831</v>
      </c>
      <c r="C1187" s="5" t="s">
        <v>21</v>
      </c>
      <c r="K1187" s="5">
        <v>150.0</v>
      </c>
      <c r="N1187" s="9">
        <v>44909.0</v>
      </c>
    </row>
    <row r="1188">
      <c r="A1188" s="5">
        <v>1187.0</v>
      </c>
      <c r="B1188" s="5" t="s">
        <v>1832</v>
      </c>
      <c r="C1188" s="5" t="s">
        <v>21</v>
      </c>
      <c r="K1188" s="5">
        <v>800.0</v>
      </c>
      <c r="N1188" s="9">
        <v>44551.0</v>
      </c>
    </row>
    <row r="1189">
      <c r="A1189" s="5">
        <v>1188.0</v>
      </c>
      <c r="B1189" s="5" t="s">
        <v>1833</v>
      </c>
      <c r="C1189" s="5" t="s">
        <v>21</v>
      </c>
      <c r="K1189" s="5">
        <v>20.0</v>
      </c>
      <c r="N1189" s="9">
        <v>44620.0</v>
      </c>
    </row>
    <row r="1190">
      <c r="A1190" s="5">
        <v>1189.0</v>
      </c>
      <c r="B1190" s="5" t="s">
        <v>1834</v>
      </c>
      <c r="C1190" s="5" t="s">
        <v>21</v>
      </c>
      <c r="K1190" s="5">
        <v>1700.0</v>
      </c>
      <c r="N1190" s="9">
        <v>44195.0</v>
      </c>
    </row>
    <row r="1191">
      <c r="A1191" s="5">
        <v>1190.0</v>
      </c>
      <c r="B1191" s="5" t="s">
        <v>1835</v>
      </c>
      <c r="C1191" s="5" t="s">
        <v>21</v>
      </c>
      <c r="K1191" s="5">
        <v>250.0</v>
      </c>
      <c r="N1191" s="9">
        <v>44515.0</v>
      </c>
    </row>
    <row r="1192">
      <c r="A1192" s="5">
        <v>1191.0</v>
      </c>
      <c r="B1192" s="5" t="s">
        <v>1836</v>
      </c>
      <c r="C1192" s="5" t="s">
        <v>21</v>
      </c>
      <c r="K1192" s="5">
        <v>150.0</v>
      </c>
      <c r="N1192" s="9">
        <v>44911.0</v>
      </c>
    </row>
    <row r="1193">
      <c r="A1193" s="5">
        <v>1192.0</v>
      </c>
      <c r="B1193" s="5" t="s">
        <v>1837</v>
      </c>
      <c r="C1193" s="5" t="s">
        <v>21</v>
      </c>
      <c r="K1193" s="5">
        <v>1000.0</v>
      </c>
      <c r="N1193" s="9">
        <v>44363.0</v>
      </c>
    </row>
    <row r="1194">
      <c r="A1194" s="5">
        <v>1193.0</v>
      </c>
      <c r="B1194" s="5" t="s">
        <v>1838</v>
      </c>
      <c r="C1194" s="5" t="s">
        <v>21</v>
      </c>
      <c r="K1194" s="5">
        <v>800.0</v>
      </c>
      <c r="N1194" s="9">
        <v>46133.0</v>
      </c>
    </row>
    <row r="1195">
      <c r="A1195" s="5">
        <v>1194.0</v>
      </c>
      <c r="B1195" s="5" t="s">
        <v>1839</v>
      </c>
      <c r="C1195" s="5" t="s">
        <v>21</v>
      </c>
      <c r="K1195" s="5">
        <v>150.0</v>
      </c>
      <c r="N1195" s="9">
        <v>44948.0</v>
      </c>
    </row>
    <row r="1196">
      <c r="A1196" s="5">
        <v>1195.0</v>
      </c>
      <c r="B1196" s="5" t="s">
        <v>1840</v>
      </c>
      <c r="C1196" s="5" t="s">
        <v>21</v>
      </c>
      <c r="K1196" s="5">
        <v>800.0</v>
      </c>
      <c r="N1196" s="9">
        <v>44422.0</v>
      </c>
    </row>
    <row r="1197">
      <c r="A1197" s="5">
        <v>1196.0</v>
      </c>
      <c r="B1197" s="5" t="s">
        <v>1841</v>
      </c>
      <c r="C1197" s="5" t="s">
        <v>21</v>
      </c>
      <c r="K1197" s="5">
        <v>700.0</v>
      </c>
      <c r="N1197" s="9">
        <v>45171.0</v>
      </c>
    </row>
    <row r="1198">
      <c r="A1198" s="5">
        <v>1197.0</v>
      </c>
      <c r="B1198" s="5" t="s">
        <v>1842</v>
      </c>
      <c r="C1198" s="5" t="s">
        <v>21</v>
      </c>
      <c r="N1198" s="9">
        <v>44524.0</v>
      </c>
    </row>
    <row r="1199">
      <c r="A1199" s="5">
        <v>1198.0</v>
      </c>
      <c r="B1199" s="5" t="s">
        <v>1843</v>
      </c>
      <c r="C1199" s="5" t="s">
        <v>21</v>
      </c>
      <c r="K1199" s="5">
        <v>900.0</v>
      </c>
      <c r="N1199" s="9">
        <v>44638.0</v>
      </c>
    </row>
    <row r="1200">
      <c r="A1200" s="5">
        <v>1199.0</v>
      </c>
      <c r="B1200" s="5" t="s">
        <v>1844</v>
      </c>
      <c r="C1200" s="5" t="s">
        <v>21</v>
      </c>
      <c r="K1200" s="5">
        <v>3900.0</v>
      </c>
      <c r="N1200" s="9">
        <v>44530.0</v>
      </c>
    </row>
    <row r="1201">
      <c r="A1201" s="5">
        <v>1200.0</v>
      </c>
      <c r="B1201" s="5" t="s">
        <v>1845</v>
      </c>
      <c r="C1201" s="5" t="s">
        <v>21</v>
      </c>
      <c r="K1201" s="5">
        <v>1000.0</v>
      </c>
      <c r="N1201" s="9">
        <v>44644.0</v>
      </c>
    </row>
    <row r="1202">
      <c r="A1202" s="5">
        <v>1201.0</v>
      </c>
      <c r="B1202" s="5" t="s">
        <v>1846</v>
      </c>
      <c r="C1202" s="5" t="s">
        <v>21</v>
      </c>
      <c r="N1202" s="9">
        <v>44519.0</v>
      </c>
    </row>
    <row r="1203">
      <c r="A1203" s="5">
        <v>1202.0</v>
      </c>
      <c r="B1203" s="5" t="s">
        <v>1847</v>
      </c>
      <c r="C1203" s="5" t="s">
        <v>21</v>
      </c>
      <c r="K1203" s="5">
        <v>450.0</v>
      </c>
      <c r="N1203" s="9">
        <v>43962.0</v>
      </c>
    </row>
    <row r="1204">
      <c r="A1204" s="5">
        <v>1203.0</v>
      </c>
      <c r="B1204" s="5" t="s">
        <v>1848</v>
      </c>
      <c r="C1204" s="5" t="s">
        <v>21</v>
      </c>
      <c r="K1204" s="5">
        <v>1400.0</v>
      </c>
      <c r="N1204" s="9">
        <v>44448.0</v>
      </c>
    </row>
    <row r="1205">
      <c r="A1205" s="5">
        <v>1204.0</v>
      </c>
      <c r="B1205" s="5" t="s">
        <v>1849</v>
      </c>
      <c r="C1205" s="5" t="s">
        <v>21</v>
      </c>
      <c r="K1205" s="5">
        <v>350.0</v>
      </c>
      <c r="N1205" s="9">
        <v>45139.0</v>
      </c>
    </row>
    <row r="1206">
      <c r="A1206" s="5">
        <v>1205.0</v>
      </c>
      <c r="B1206" s="5" t="s">
        <v>1850</v>
      </c>
      <c r="C1206" s="5" t="s">
        <v>21</v>
      </c>
      <c r="K1206" s="5">
        <v>1300.0</v>
      </c>
      <c r="N1206" s="9">
        <v>45734.0</v>
      </c>
    </row>
    <row r="1207">
      <c r="A1207" s="5">
        <v>1206.0</v>
      </c>
      <c r="B1207" s="5" t="s">
        <v>1851</v>
      </c>
      <c r="C1207" s="5" t="s">
        <v>21</v>
      </c>
      <c r="K1207" s="5">
        <v>200.0</v>
      </c>
      <c r="N1207" s="9">
        <v>43890.0</v>
      </c>
    </row>
    <row r="1208">
      <c r="A1208" s="5">
        <v>1207.0</v>
      </c>
      <c r="B1208" s="5" t="s">
        <v>1852</v>
      </c>
      <c r="C1208" s="5" t="s">
        <v>21</v>
      </c>
      <c r="K1208" s="5">
        <v>1400.0</v>
      </c>
      <c r="N1208" s="9">
        <v>45669.0</v>
      </c>
    </row>
    <row r="1209">
      <c r="A1209" s="5">
        <v>1208.0</v>
      </c>
      <c r="B1209" s="5" t="s">
        <v>1853</v>
      </c>
      <c r="C1209" s="5" t="s">
        <v>21</v>
      </c>
      <c r="K1209" s="5">
        <v>350.0</v>
      </c>
      <c r="N1209" s="9">
        <v>45550.0</v>
      </c>
    </row>
    <row r="1210">
      <c r="A1210" s="5">
        <v>1209.0</v>
      </c>
      <c r="B1210" s="5" t="s">
        <v>1854</v>
      </c>
      <c r="C1210" s="5" t="s">
        <v>21</v>
      </c>
      <c r="K1210" s="5">
        <v>350.0</v>
      </c>
      <c r="N1210" s="9">
        <v>44596.0</v>
      </c>
    </row>
    <row r="1211">
      <c r="A1211" s="5">
        <v>1210.0</v>
      </c>
      <c r="B1211" s="5" t="s">
        <v>1855</v>
      </c>
      <c r="C1211" s="5" t="s">
        <v>21</v>
      </c>
      <c r="N1211" s="9">
        <v>44523.0</v>
      </c>
    </row>
    <row r="1212">
      <c r="A1212" s="5">
        <v>1211.0</v>
      </c>
      <c r="B1212" s="5" t="s">
        <v>1856</v>
      </c>
      <c r="C1212" s="5" t="s">
        <v>21</v>
      </c>
      <c r="K1212" s="5">
        <v>1400.0</v>
      </c>
      <c r="N1212" s="9">
        <v>44050.0</v>
      </c>
    </row>
    <row r="1213">
      <c r="A1213" s="5">
        <v>1212.0</v>
      </c>
      <c r="B1213" s="5" t="s">
        <v>1857</v>
      </c>
      <c r="C1213" s="5" t="s">
        <v>21</v>
      </c>
      <c r="K1213" s="5">
        <v>700.0</v>
      </c>
      <c r="N1213" s="9">
        <v>43882.0</v>
      </c>
    </row>
    <row r="1214">
      <c r="A1214" s="5">
        <v>1213.0</v>
      </c>
      <c r="B1214" s="5" t="s">
        <v>1858</v>
      </c>
      <c r="C1214" s="5" t="s">
        <v>21</v>
      </c>
      <c r="K1214" s="5">
        <v>10.0</v>
      </c>
      <c r="N1214" s="9">
        <v>44352.0</v>
      </c>
    </row>
    <row r="1215">
      <c r="A1215" s="5">
        <v>1214.0</v>
      </c>
      <c r="B1215" s="5" t="s">
        <v>1859</v>
      </c>
      <c r="C1215" s="5" t="s">
        <v>21</v>
      </c>
      <c r="K1215" s="5">
        <v>250.0</v>
      </c>
      <c r="N1215" s="9">
        <v>44643.0</v>
      </c>
    </row>
    <row r="1216">
      <c r="A1216" s="5">
        <v>1215.0</v>
      </c>
      <c r="B1216" s="5" t="s">
        <v>1860</v>
      </c>
      <c r="C1216" s="5" t="s">
        <v>21</v>
      </c>
      <c r="K1216" s="5">
        <v>50.0</v>
      </c>
      <c r="N1216" s="9">
        <v>44544.0</v>
      </c>
    </row>
    <row r="1217">
      <c r="A1217" s="5">
        <v>1216.0</v>
      </c>
      <c r="B1217" s="5" t="s">
        <v>1861</v>
      </c>
      <c r="C1217" s="5" t="s">
        <v>21</v>
      </c>
      <c r="K1217" s="5">
        <v>200.0</v>
      </c>
      <c r="N1217" s="9">
        <v>44512.0</v>
      </c>
    </row>
    <row r="1218">
      <c r="A1218" s="5">
        <v>1217.0</v>
      </c>
      <c r="B1218" s="5" t="s">
        <v>1862</v>
      </c>
      <c r="C1218" s="5" t="s">
        <v>21</v>
      </c>
      <c r="K1218" s="5">
        <v>200.0</v>
      </c>
      <c r="N1218" s="9">
        <v>45066.0</v>
      </c>
    </row>
    <row r="1219">
      <c r="A1219" s="5">
        <v>1218.0</v>
      </c>
      <c r="B1219" s="5" t="s">
        <v>1863</v>
      </c>
      <c r="C1219" s="5" t="s">
        <v>21</v>
      </c>
      <c r="K1219" s="5">
        <v>700.0</v>
      </c>
      <c r="N1219" s="9">
        <v>44602.0</v>
      </c>
    </row>
    <row r="1220">
      <c r="A1220" s="5">
        <v>1219.0</v>
      </c>
      <c r="B1220" s="5" t="s">
        <v>1864</v>
      </c>
      <c r="C1220" s="5" t="s">
        <v>21</v>
      </c>
      <c r="K1220" s="5">
        <v>40.0</v>
      </c>
      <c r="N1220" s="9">
        <v>44525.0</v>
      </c>
    </row>
    <row r="1221">
      <c r="A1221" s="5">
        <v>1220.0</v>
      </c>
      <c r="B1221" s="5" t="s">
        <v>1865</v>
      </c>
      <c r="C1221" s="5" t="s">
        <v>21</v>
      </c>
      <c r="K1221" s="5">
        <v>1500.0</v>
      </c>
      <c r="N1221" s="9">
        <v>44016.0</v>
      </c>
    </row>
    <row r="1222">
      <c r="A1222" s="5">
        <v>1221.0</v>
      </c>
      <c r="B1222" s="5" t="s">
        <v>1866</v>
      </c>
      <c r="C1222" s="5" t="s">
        <v>21</v>
      </c>
      <c r="K1222" s="5">
        <v>2100.0</v>
      </c>
      <c r="N1222" s="9">
        <v>44534.0</v>
      </c>
    </row>
    <row r="1223">
      <c r="A1223" s="5">
        <v>1222.0</v>
      </c>
      <c r="B1223" s="5" t="s">
        <v>1867</v>
      </c>
      <c r="C1223" s="5" t="s">
        <v>21</v>
      </c>
      <c r="K1223" s="5">
        <v>250.0</v>
      </c>
      <c r="N1223" s="9">
        <v>44815.0</v>
      </c>
    </row>
    <row r="1224">
      <c r="A1224" s="5">
        <v>1223.0</v>
      </c>
      <c r="B1224" s="5" t="s">
        <v>1868</v>
      </c>
      <c r="C1224" s="5" t="s">
        <v>21</v>
      </c>
      <c r="K1224" s="5">
        <v>300.0</v>
      </c>
      <c r="N1224" s="9">
        <v>45395.0</v>
      </c>
    </row>
    <row r="1225">
      <c r="A1225" s="5">
        <v>1224.0</v>
      </c>
      <c r="B1225" s="5" t="s">
        <v>1869</v>
      </c>
      <c r="C1225" s="5" t="s">
        <v>21</v>
      </c>
      <c r="K1225" s="5">
        <v>400.0</v>
      </c>
      <c r="N1225" s="9">
        <v>44528.0</v>
      </c>
    </row>
    <row r="1226">
      <c r="A1226" s="5">
        <v>1225.0</v>
      </c>
      <c r="B1226" s="5" t="s">
        <v>1870</v>
      </c>
      <c r="C1226" s="5" t="s">
        <v>21</v>
      </c>
      <c r="K1226" s="5">
        <v>700.0</v>
      </c>
      <c r="N1226" s="9">
        <v>44722.0</v>
      </c>
    </row>
    <row r="1227">
      <c r="A1227" s="5">
        <v>1226.0</v>
      </c>
      <c r="B1227" s="5" t="s">
        <v>1871</v>
      </c>
      <c r="C1227" s="5" t="s">
        <v>21</v>
      </c>
      <c r="K1227" s="5">
        <v>150.0</v>
      </c>
      <c r="N1227" s="9">
        <v>44758.0</v>
      </c>
    </row>
    <row r="1228">
      <c r="A1228" s="5">
        <v>1227.0</v>
      </c>
      <c r="B1228" s="5" t="s">
        <v>1872</v>
      </c>
      <c r="C1228" s="5" t="s">
        <v>21</v>
      </c>
      <c r="K1228" s="5">
        <v>60.0</v>
      </c>
      <c r="N1228" s="9">
        <v>44631.0</v>
      </c>
    </row>
    <row r="1229">
      <c r="A1229" s="5">
        <v>1228.0</v>
      </c>
      <c r="B1229" s="5" t="s">
        <v>1873</v>
      </c>
      <c r="C1229" s="5" t="s">
        <v>21</v>
      </c>
      <c r="K1229" s="5">
        <v>200.0</v>
      </c>
      <c r="N1229" s="9">
        <v>44089.0</v>
      </c>
    </row>
    <row r="1230">
      <c r="A1230" s="5">
        <v>1229.0</v>
      </c>
      <c r="B1230" s="5" t="s">
        <v>1874</v>
      </c>
      <c r="C1230" s="5" t="s">
        <v>21</v>
      </c>
      <c r="N1230" s="9">
        <v>44602.0</v>
      </c>
    </row>
    <row r="1231">
      <c r="A1231" s="5">
        <v>1230.0</v>
      </c>
      <c r="B1231" s="5" t="s">
        <v>1875</v>
      </c>
      <c r="C1231" s="5" t="s">
        <v>21</v>
      </c>
      <c r="K1231" s="5">
        <v>600.0</v>
      </c>
      <c r="N1231" s="9">
        <v>44178.0</v>
      </c>
    </row>
    <row r="1232">
      <c r="A1232" s="5">
        <v>1231.0</v>
      </c>
      <c r="B1232" s="5" t="s">
        <v>1876</v>
      </c>
      <c r="C1232" s="5" t="s">
        <v>21</v>
      </c>
      <c r="K1232" s="5">
        <v>250.0</v>
      </c>
      <c r="N1232" s="9">
        <v>44579.0</v>
      </c>
    </row>
    <row r="1233">
      <c r="A1233" s="5">
        <v>1232.0</v>
      </c>
      <c r="B1233" s="5" t="s">
        <v>1877</v>
      </c>
      <c r="C1233" s="5" t="s">
        <v>21</v>
      </c>
      <c r="K1233" s="5">
        <v>600.0</v>
      </c>
      <c r="N1233" s="9">
        <v>44719.0</v>
      </c>
    </row>
    <row r="1234">
      <c r="A1234" s="5">
        <v>1233.0</v>
      </c>
      <c r="B1234" s="5" t="s">
        <v>1878</v>
      </c>
      <c r="C1234" s="5" t="s">
        <v>21</v>
      </c>
      <c r="K1234" s="5">
        <v>150.0</v>
      </c>
      <c r="N1234" s="9">
        <v>45196.0</v>
      </c>
    </row>
    <row r="1235">
      <c r="A1235" s="5">
        <v>1234.0</v>
      </c>
      <c r="B1235" s="5" t="s">
        <v>1879</v>
      </c>
      <c r="C1235" s="5" t="s">
        <v>21</v>
      </c>
      <c r="K1235" s="5">
        <v>150.0</v>
      </c>
      <c r="N1235" s="9">
        <v>45067.0</v>
      </c>
    </row>
    <row r="1236">
      <c r="A1236" s="5">
        <v>1235.0</v>
      </c>
      <c r="B1236" s="5" t="s">
        <v>1880</v>
      </c>
      <c r="C1236" s="5" t="s">
        <v>21</v>
      </c>
      <c r="K1236" s="5">
        <v>350.0</v>
      </c>
      <c r="N1236" s="9">
        <v>44520.0</v>
      </c>
    </row>
    <row r="1237">
      <c r="A1237" s="5">
        <v>1236.0</v>
      </c>
      <c r="B1237" s="5" t="s">
        <v>1881</v>
      </c>
      <c r="C1237" s="5" t="s">
        <v>21</v>
      </c>
      <c r="K1237" s="5">
        <v>150.0</v>
      </c>
      <c r="N1237" s="9">
        <v>44031.0</v>
      </c>
    </row>
    <row r="1238">
      <c r="A1238" s="5">
        <v>1237.0</v>
      </c>
      <c r="B1238" s="5" t="s">
        <v>1882</v>
      </c>
      <c r="C1238" s="5" t="s">
        <v>21</v>
      </c>
      <c r="K1238" s="5">
        <v>1100.0</v>
      </c>
      <c r="N1238" s="9">
        <v>44691.0</v>
      </c>
    </row>
    <row r="1239">
      <c r="A1239" s="5">
        <v>1238.0</v>
      </c>
      <c r="B1239" s="5" t="s">
        <v>1883</v>
      </c>
      <c r="C1239" s="5" t="s">
        <v>21</v>
      </c>
      <c r="K1239" s="5">
        <v>100.0</v>
      </c>
      <c r="N1239" s="9">
        <v>45384.0</v>
      </c>
    </row>
    <row r="1240">
      <c r="A1240" s="5">
        <v>1239.0</v>
      </c>
      <c r="B1240" s="5" t="s">
        <v>1884</v>
      </c>
      <c r="C1240" s="5" t="s">
        <v>21</v>
      </c>
      <c r="N1240" s="9">
        <v>44550.0</v>
      </c>
    </row>
    <row r="1241">
      <c r="A1241" s="5">
        <v>1240.0</v>
      </c>
      <c r="B1241" s="5" t="s">
        <v>1885</v>
      </c>
      <c r="C1241" s="5" t="s">
        <v>21</v>
      </c>
      <c r="K1241" s="5">
        <v>20.0</v>
      </c>
      <c r="N1241" s="9">
        <v>45527.0</v>
      </c>
    </row>
    <row r="1242">
      <c r="A1242" s="5">
        <v>1241.0</v>
      </c>
      <c r="B1242" s="5" t="s">
        <v>1886</v>
      </c>
      <c r="C1242" s="5" t="s">
        <v>21</v>
      </c>
      <c r="N1242" s="9">
        <v>44970.0</v>
      </c>
    </row>
    <row r="1243">
      <c r="A1243" s="5">
        <v>1242.0</v>
      </c>
      <c r="B1243" s="5" t="s">
        <v>1887</v>
      </c>
      <c r="C1243" s="5" t="s">
        <v>21</v>
      </c>
      <c r="K1243" s="5">
        <v>300.0</v>
      </c>
      <c r="N1243" s="9">
        <v>44693.0</v>
      </c>
    </row>
    <row r="1244">
      <c r="A1244" s="5">
        <v>1243.0</v>
      </c>
      <c r="B1244" s="5" t="s">
        <v>1888</v>
      </c>
      <c r="C1244" s="5" t="s">
        <v>21</v>
      </c>
      <c r="K1244" s="5">
        <v>250.0</v>
      </c>
      <c r="N1244" s="9">
        <v>45073.0</v>
      </c>
    </row>
    <row r="1245">
      <c r="A1245" s="5">
        <v>1244.0</v>
      </c>
      <c r="B1245" s="5" t="s">
        <v>1889</v>
      </c>
      <c r="C1245" s="5" t="s">
        <v>21</v>
      </c>
      <c r="K1245" s="5">
        <v>70.0</v>
      </c>
      <c r="N1245" s="9">
        <v>45542.0</v>
      </c>
    </row>
    <row r="1246">
      <c r="A1246" s="5">
        <v>1245.0</v>
      </c>
      <c r="B1246" s="5" t="s">
        <v>1890</v>
      </c>
      <c r="C1246" s="5" t="s">
        <v>21</v>
      </c>
      <c r="K1246" s="5">
        <v>250.0</v>
      </c>
      <c r="N1246" s="9">
        <v>45529.0</v>
      </c>
    </row>
    <row r="1247">
      <c r="A1247" s="5">
        <v>1246.0</v>
      </c>
      <c r="B1247" s="5" t="s">
        <v>1891</v>
      </c>
      <c r="C1247" s="5" t="s">
        <v>21</v>
      </c>
      <c r="K1247" s="5">
        <v>100.0</v>
      </c>
      <c r="N1247" s="9">
        <v>44520.0</v>
      </c>
    </row>
    <row r="1248">
      <c r="A1248" s="5">
        <v>1247.0</v>
      </c>
      <c r="B1248" s="5" t="s">
        <v>1892</v>
      </c>
      <c r="C1248" s="5" t="s">
        <v>21</v>
      </c>
      <c r="K1248" s="5">
        <v>250.0</v>
      </c>
      <c r="N1248" s="9">
        <v>44656.0</v>
      </c>
    </row>
    <row r="1249">
      <c r="A1249" s="5">
        <v>1248.0</v>
      </c>
      <c r="B1249" s="5" t="s">
        <v>1893</v>
      </c>
      <c r="C1249" s="5" t="s">
        <v>21</v>
      </c>
      <c r="K1249" s="5">
        <v>450.0</v>
      </c>
      <c r="N1249" s="9">
        <v>44026.0</v>
      </c>
    </row>
    <row r="1250">
      <c r="A1250" s="5">
        <v>1249.0</v>
      </c>
      <c r="B1250" s="5" t="s">
        <v>1894</v>
      </c>
      <c r="C1250" s="5" t="s">
        <v>21</v>
      </c>
      <c r="K1250" s="5">
        <v>200.0</v>
      </c>
      <c r="N1250" s="9">
        <v>44531.0</v>
      </c>
    </row>
    <row r="1251">
      <c r="A1251" s="5">
        <v>1250.0</v>
      </c>
      <c r="B1251" s="5" t="s">
        <v>1895</v>
      </c>
      <c r="C1251" s="5" t="s">
        <v>21</v>
      </c>
      <c r="K1251" s="5">
        <v>300.0</v>
      </c>
      <c r="N1251" s="9">
        <v>44742.0</v>
      </c>
    </row>
    <row r="1252">
      <c r="A1252" s="5">
        <v>1251.0</v>
      </c>
      <c r="B1252" s="5" t="s">
        <v>1896</v>
      </c>
      <c r="C1252" s="5" t="s">
        <v>21</v>
      </c>
      <c r="K1252" s="5">
        <v>150.0</v>
      </c>
      <c r="N1252" s="9">
        <v>44632.0</v>
      </c>
    </row>
    <row r="1253">
      <c r="A1253" s="5">
        <v>1252.0</v>
      </c>
      <c r="B1253" s="5" t="s">
        <v>1897</v>
      </c>
      <c r="C1253" s="5" t="s">
        <v>21</v>
      </c>
      <c r="K1253" s="5">
        <v>200.0</v>
      </c>
      <c r="N1253" s="9">
        <v>44048.0</v>
      </c>
    </row>
    <row r="1254">
      <c r="A1254" s="5">
        <v>1253.0</v>
      </c>
      <c r="B1254" s="5" t="s">
        <v>1898</v>
      </c>
      <c r="C1254" s="5" t="s">
        <v>21</v>
      </c>
      <c r="K1254" s="5">
        <v>1900.0</v>
      </c>
      <c r="N1254" s="9">
        <v>44562.0</v>
      </c>
    </row>
    <row r="1255">
      <c r="A1255" s="5">
        <v>1254.0</v>
      </c>
      <c r="B1255" s="5" t="s">
        <v>1899</v>
      </c>
      <c r="C1255" s="5" t="s">
        <v>21</v>
      </c>
      <c r="K1255" s="5">
        <v>60.0</v>
      </c>
      <c r="N1255" s="9">
        <v>45412.0</v>
      </c>
    </row>
    <row r="1256">
      <c r="A1256" s="5">
        <v>1255.0</v>
      </c>
      <c r="B1256" s="5" t="s">
        <v>1900</v>
      </c>
      <c r="C1256" s="5" t="s">
        <v>21</v>
      </c>
      <c r="K1256" s="5">
        <v>500.0</v>
      </c>
      <c r="N1256" s="9">
        <v>44287.0</v>
      </c>
    </row>
    <row r="1257">
      <c r="A1257" s="5">
        <v>1256.0</v>
      </c>
      <c r="B1257" s="5" t="s">
        <v>1901</v>
      </c>
      <c r="C1257" s="5" t="s">
        <v>21</v>
      </c>
      <c r="K1257" s="5">
        <v>350.0</v>
      </c>
      <c r="N1257" s="9">
        <v>45846.0</v>
      </c>
    </row>
    <row r="1258">
      <c r="A1258" s="5">
        <v>1257.0</v>
      </c>
      <c r="B1258" s="5" t="s">
        <v>1902</v>
      </c>
      <c r="C1258" s="5" t="s">
        <v>21</v>
      </c>
      <c r="K1258" s="5">
        <v>700.0</v>
      </c>
      <c r="N1258" s="9">
        <v>45090.0</v>
      </c>
    </row>
    <row r="1259">
      <c r="A1259" s="5">
        <v>1258.0</v>
      </c>
      <c r="B1259" s="5" t="s">
        <v>1903</v>
      </c>
      <c r="C1259" s="5" t="s">
        <v>21</v>
      </c>
      <c r="K1259" s="5">
        <v>2300.0</v>
      </c>
      <c r="N1259" s="9">
        <v>43890.0</v>
      </c>
    </row>
    <row r="1260">
      <c r="A1260" s="5">
        <v>1259.0</v>
      </c>
      <c r="B1260" s="5" t="s">
        <v>1904</v>
      </c>
      <c r="C1260" s="5" t="s">
        <v>21</v>
      </c>
      <c r="N1260" s="9">
        <v>44628.0</v>
      </c>
    </row>
    <row r="1261">
      <c r="A1261" s="5">
        <v>1260.0</v>
      </c>
      <c r="B1261" s="5" t="s">
        <v>1905</v>
      </c>
      <c r="C1261" s="5" t="s">
        <v>21</v>
      </c>
      <c r="K1261" s="5">
        <v>250.0</v>
      </c>
      <c r="N1261" s="9">
        <v>45102.0</v>
      </c>
    </row>
    <row r="1262">
      <c r="A1262" s="5">
        <v>1261.0</v>
      </c>
      <c r="B1262" s="5" t="s">
        <v>1906</v>
      </c>
      <c r="C1262" s="5" t="s">
        <v>21</v>
      </c>
      <c r="K1262" s="5">
        <v>800.0</v>
      </c>
      <c r="N1262" s="9">
        <v>44014.0</v>
      </c>
    </row>
    <row r="1263">
      <c r="A1263" s="5">
        <v>1262.0</v>
      </c>
      <c r="B1263" s="5" t="s">
        <v>1907</v>
      </c>
      <c r="C1263" s="5" t="s">
        <v>21</v>
      </c>
      <c r="K1263" s="5">
        <v>3200.0</v>
      </c>
      <c r="N1263" s="9">
        <v>43881.0</v>
      </c>
    </row>
    <row r="1264">
      <c r="A1264" s="5">
        <v>1263.0</v>
      </c>
      <c r="B1264" s="5" t="s">
        <v>1908</v>
      </c>
      <c r="C1264" s="5" t="s">
        <v>21</v>
      </c>
      <c r="K1264" s="5">
        <v>40.0</v>
      </c>
      <c r="N1264" s="9">
        <v>44626.0</v>
      </c>
    </row>
    <row r="1265">
      <c r="A1265" s="5">
        <v>1264.0</v>
      </c>
      <c r="B1265" s="5" t="s">
        <v>1909</v>
      </c>
      <c r="C1265" s="5" t="s">
        <v>21</v>
      </c>
      <c r="K1265" s="5">
        <v>600.0</v>
      </c>
      <c r="N1265" s="9">
        <v>44746.0</v>
      </c>
    </row>
    <row r="1266">
      <c r="A1266" s="5">
        <v>1265.0</v>
      </c>
      <c r="B1266" s="5" t="s">
        <v>1910</v>
      </c>
      <c r="C1266" s="5" t="s">
        <v>21</v>
      </c>
      <c r="K1266" s="5">
        <v>150.0</v>
      </c>
      <c r="N1266" s="9">
        <v>44673.0</v>
      </c>
    </row>
    <row r="1267">
      <c r="A1267" s="5">
        <v>1266.0</v>
      </c>
      <c r="B1267" s="5" t="s">
        <v>1911</v>
      </c>
      <c r="C1267" s="5" t="s">
        <v>21</v>
      </c>
      <c r="K1267" s="5">
        <v>400.0</v>
      </c>
      <c r="N1267" s="9">
        <v>44546.0</v>
      </c>
    </row>
    <row r="1268">
      <c r="A1268" s="5">
        <v>1267.0</v>
      </c>
      <c r="B1268" s="5" t="s">
        <v>1912</v>
      </c>
      <c r="C1268" s="5" t="s">
        <v>21</v>
      </c>
      <c r="K1268" s="5">
        <v>40.0</v>
      </c>
      <c r="N1268" s="9">
        <v>44225.0</v>
      </c>
    </row>
    <row r="1269">
      <c r="A1269" s="5">
        <v>1268.0</v>
      </c>
      <c r="B1269" s="5" t="s">
        <v>1913</v>
      </c>
      <c r="C1269" s="5" t="s">
        <v>21</v>
      </c>
      <c r="K1269" s="5">
        <v>250.0</v>
      </c>
      <c r="N1269" s="9">
        <v>44811.0</v>
      </c>
    </row>
    <row r="1270">
      <c r="A1270" s="5">
        <v>1269.0</v>
      </c>
      <c r="B1270" s="5" t="s">
        <v>1914</v>
      </c>
      <c r="C1270" s="5" t="s">
        <v>21</v>
      </c>
      <c r="K1270" s="5">
        <v>250.0</v>
      </c>
      <c r="N1270" s="9">
        <v>44535.0</v>
      </c>
    </row>
    <row r="1271">
      <c r="A1271" s="5">
        <v>1270.0</v>
      </c>
      <c r="B1271" s="5" t="s">
        <v>1915</v>
      </c>
      <c r="C1271" s="5" t="s">
        <v>21</v>
      </c>
      <c r="K1271" s="5">
        <v>60.0</v>
      </c>
      <c r="N1271" s="9">
        <v>44560.0</v>
      </c>
    </row>
    <row r="1272">
      <c r="A1272" s="5">
        <v>1271.0</v>
      </c>
      <c r="B1272" s="5" t="s">
        <v>1916</v>
      </c>
      <c r="C1272" s="5" t="s">
        <v>21</v>
      </c>
      <c r="K1272" s="5">
        <v>250.0</v>
      </c>
      <c r="N1272" s="9">
        <v>44538.0</v>
      </c>
    </row>
    <row r="1273">
      <c r="A1273" s="5">
        <v>1272.0</v>
      </c>
      <c r="B1273" s="5" t="s">
        <v>58</v>
      </c>
      <c r="C1273" s="5" t="s">
        <v>21</v>
      </c>
      <c r="K1273" s="5">
        <v>30.0</v>
      </c>
      <c r="N1273" s="9">
        <v>45591.0</v>
      </c>
    </row>
    <row r="1274">
      <c r="A1274" s="5">
        <v>1273.0</v>
      </c>
      <c r="B1274" s="5" t="s">
        <v>1917</v>
      </c>
      <c r="C1274" s="5" t="s">
        <v>21</v>
      </c>
      <c r="K1274" s="5">
        <v>1600.0</v>
      </c>
      <c r="N1274" s="9">
        <v>45556.0</v>
      </c>
    </row>
    <row r="1275">
      <c r="A1275" s="5">
        <v>1274.0</v>
      </c>
      <c r="B1275" s="5" t="s">
        <v>1918</v>
      </c>
      <c r="C1275" s="5" t="s">
        <v>21</v>
      </c>
      <c r="K1275" s="5">
        <v>700.0</v>
      </c>
      <c r="N1275" s="9">
        <v>44733.0</v>
      </c>
    </row>
    <row r="1276">
      <c r="A1276" s="5">
        <v>1275.0</v>
      </c>
      <c r="B1276" s="5" t="s">
        <v>1919</v>
      </c>
      <c r="C1276" s="5" t="s">
        <v>21</v>
      </c>
      <c r="K1276" s="5">
        <v>350.0</v>
      </c>
      <c r="N1276" s="9">
        <v>44625.0</v>
      </c>
    </row>
    <row r="1277">
      <c r="A1277" s="5">
        <v>1276.0</v>
      </c>
      <c r="B1277" s="5" t="s">
        <v>1920</v>
      </c>
      <c r="C1277" s="5" t="s">
        <v>21</v>
      </c>
      <c r="K1277" s="5">
        <v>40.0</v>
      </c>
      <c r="N1277" s="9">
        <v>44117.0</v>
      </c>
    </row>
    <row r="1278">
      <c r="A1278" s="5">
        <v>1277.0</v>
      </c>
      <c r="B1278" s="5" t="s">
        <v>1921</v>
      </c>
      <c r="C1278" s="5" t="s">
        <v>21</v>
      </c>
      <c r="K1278" s="5">
        <v>350.0</v>
      </c>
      <c r="N1278" s="9">
        <v>44631.0</v>
      </c>
    </row>
    <row r="1279">
      <c r="A1279" s="5">
        <v>1278.0</v>
      </c>
      <c r="B1279" s="5" t="s">
        <v>1922</v>
      </c>
      <c r="C1279" s="5" t="s">
        <v>21</v>
      </c>
      <c r="K1279" s="5">
        <v>500.0</v>
      </c>
      <c r="N1279" s="9">
        <v>45568.0</v>
      </c>
    </row>
    <row r="1280">
      <c r="A1280" s="5">
        <v>1279.0</v>
      </c>
      <c r="B1280" s="5" t="s">
        <v>1923</v>
      </c>
      <c r="C1280" s="5" t="s">
        <v>21</v>
      </c>
      <c r="K1280" s="5">
        <v>150.0</v>
      </c>
      <c r="N1280" s="9">
        <v>44609.0</v>
      </c>
    </row>
    <row r="1281">
      <c r="A1281" s="5">
        <v>1280.0</v>
      </c>
      <c r="B1281" s="5" t="s">
        <v>1924</v>
      </c>
      <c r="C1281" s="5" t="s">
        <v>21</v>
      </c>
      <c r="K1281" s="5">
        <v>600.0</v>
      </c>
      <c r="N1281" s="9">
        <v>44525.0</v>
      </c>
    </row>
    <row r="1282">
      <c r="A1282" s="5">
        <v>1281.0</v>
      </c>
      <c r="B1282" s="5" t="s">
        <v>1925</v>
      </c>
      <c r="C1282" s="5" t="s">
        <v>21</v>
      </c>
      <c r="K1282" s="5">
        <v>200.0</v>
      </c>
      <c r="N1282" s="9">
        <v>44409.0</v>
      </c>
    </row>
    <row r="1283">
      <c r="A1283" s="5">
        <v>1282.0</v>
      </c>
      <c r="B1283" s="5" t="s">
        <v>1926</v>
      </c>
      <c r="C1283" s="5" t="s">
        <v>21</v>
      </c>
      <c r="K1283" s="5">
        <v>300.0</v>
      </c>
      <c r="N1283" s="9">
        <v>44038.0</v>
      </c>
    </row>
    <row r="1284">
      <c r="A1284" s="5">
        <v>1283.0</v>
      </c>
      <c r="B1284" s="5" t="s">
        <v>1927</v>
      </c>
      <c r="C1284" s="5" t="s">
        <v>21</v>
      </c>
      <c r="K1284" s="5">
        <v>400.0</v>
      </c>
      <c r="N1284" s="9">
        <v>43878.0</v>
      </c>
    </row>
    <row r="1285">
      <c r="A1285" s="5">
        <v>1284.0</v>
      </c>
      <c r="B1285" s="5" t="s">
        <v>1928</v>
      </c>
      <c r="C1285" s="5" t="s">
        <v>21</v>
      </c>
      <c r="K1285" s="5">
        <v>300.0</v>
      </c>
      <c r="N1285" s="9">
        <v>45103.0</v>
      </c>
    </row>
    <row r="1286">
      <c r="A1286" s="5">
        <v>1285.0</v>
      </c>
      <c r="B1286" s="5" t="s">
        <v>1929</v>
      </c>
      <c r="C1286" s="5" t="s">
        <v>21</v>
      </c>
      <c r="K1286" s="5">
        <v>80.0</v>
      </c>
      <c r="N1286" s="9">
        <v>44489.0</v>
      </c>
    </row>
    <row r="1287">
      <c r="A1287" s="5">
        <v>1286.0</v>
      </c>
      <c r="B1287" s="5" t="s">
        <v>60</v>
      </c>
      <c r="C1287" s="5" t="s">
        <v>21</v>
      </c>
      <c r="K1287" s="5">
        <v>400.0</v>
      </c>
      <c r="N1287" s="9">
        <v>44299.0</v>
      </c>
    </row>
    <row r="1288">
      <c r="A1288" s="5">
        <v>1287.0</v>
      </c>
      <c r="B1288" s="5" t="s">
        <v>1930</v>
      </c>
      <c r="C1288" s="5" t="s">
        <v>21</v>
      </c>
      <c r="K1288" s="5">
        <v>20.0</v>
      </c>
      <c r="N1288" s="9">
        <v>45267.0</v>
      </c>
    </row>
    <row r="1289">
      <c r="A1289" s="5">
        <v>1288.0</v>
      </c>
      <c r="B1289" s="5" t="s">
        <v>1931</v>
      </c>
      <c r="C1289" s="5" t="s">
        <v>21</v>
      </c>
      <c r="K1289" s="5">
        <v>50.0</v>
      </c>
      <c r="N1289" s="9">
        <v>44683.0</v>
      </c>
    </row>
    <row r="1290">
      <c r="A1290" s="5">
        <v>1289.0</v>
      </c>
      <c r="B1290" s="5" t="s">
        <v>1932</v>
      </c>
      <c r="C1290" s="5" t="s">
        <v>21</v>
      </c>
      <c r="K1290" s="5">
        <v>400.0</v>
      </c>
      <c r="N1290" s="9">
        <v>44964.0</v>
      </c>
    </row>
    <row r="1291">
      <c r="A1291" s="5">
        <v>1290.0</v>
      </c>
      <c r="B1291" s="5" t="s">
        <v>1933</v>
      </c>
      <c r="C1291" s="5" t="s">
        <v>21</v>
      </c>
      <c r="K1291" s="5">
        <v>200.0</v>
      </c>
      <c r="N1291" s="9">
        <v>44580.0</v>
      </c>
    </row>
    <row r="1292">
      <c r="A1292" s="5">
        <v>1291.0</v>
      </c>
      <c r="B1292" s="5" t="s">
        <v>1934</v>
      </c>
      <c r="C1292" s="5" t="s">
        <v>21</v>
      </c>
      <c r="K1292" s="5">
        <v>200.0</v>
      </c>
      <c r="N1292" s="9">
        <v>44055.0</v>
      </c>
    </row>
    <row r="1293">
      <c r="A1293" s="5">
        <v>1292.0</v>
      </c>
      <c r="B1293" s="5" t="s">
        <v>1935</v>
      </c>
      <c r="C1293" s="5" t="s">
        <v>21</v>
      </c>
      <c r="K1293" s="5">
        <v>600.0</v>
      </c>
      <c r="N1293" s="9">
        <v>44528.0</v>
      </c>
    </row>
    <row r="1294">
      <c r="A1294" s="5">
        <v>1293.0</v>
      </c>
      <c r="B1294" s="5" t="s">
        <v>1936</v>
      </c>
      <c r="C1294" s="5" t="s">
        <v>21</v>
      </c>
      <c r="N1294" s="9">
        <v>44582.0</v>
      </c>
    </row>
    <row r="1295">
      <c r="A1295" s="5">
        <v>1294.0</v>
      </c>
      <c r="B1295" s="5" t="s">
        <v>1937</v>
      </c>
      <c r="C1295" s="5" t="s">
        <v>21</v>
      </c>
      <c r="K1295" s="5">
        <v>100.0</v>
      </c>
      <c r="N1295" s="9">
        <v>45005.0</v>
      </c>
    </row>
    <row r="1296">
      <c r="A1296" s="5">
        <v>1295.0</v>
      </c>
      <c r="B1296" s="5" t="s">
        <v>1938</v>
      </c>
      <c r="C1296" s="5" t="s">
        <v>21</v>
      </c>
      <c r="K1296" s="5">
        <v>10.0</v>
      </c>
      <c r="N1296" s="9">
        <v>44631.0</v>
      </c>
    </row>
    <row r="1297">
      <c r="A1297" s="5">
        <v>1296.0</v>
      </c>
      <c r="B1297" s="5" t="s">
        <v>1939</v>
      </c>
      <c r="C1297" s="5" t="s">
        <v>21</v>
      </c>
      <c r="K1297" s="5">
        <v>150.0</v>
      </c>
      <c r="N1297" s="9">
        <v>44496.0</v>
      </c>
    </row>
    <row r="1298">
      <c r="A1298" s="5">
        <v>1297.0</v>
      </c>
      <c r="B1298" s="5" t="s">
        <v>1940</v>
      </c>
      <c r="C1298" s="5" t="s">
        <v>21</v>
      </c>
      <c r="N1298" s="9">
        <v>44623.0</v>
      </c>
    </row>
    <row r="1299">
      <c r="A1299" s="5">
        <v>1298.0</v>
      </c>
      <c r="B1299" s="5" t="s">
        <v>1941</v>
      </c>
      <c r="C1299" s="5" t="s">
        <v>21</v>
      </c>
      <c r="K1299" s="5">
        <v>150.0</v>
      </c>
      <c r="N1299" s="9">
        <v>44553.0</v>
      </c>
    </row>
    <row r="1300">
      <c r="A1300" s="5">
        <v>1299.0</v>
      </c>
      <c r="B1300" s="5" t="s">
        <v>1942</v>
      </c>
      <c r="C1300" s="5" t="s">
        <v>21</v>
      </c>
      <c r="K1300" s="5">
        <v>600.0</v>
      </c>
      <c r="N1300" s="9">
        <v>45114.0</v>
      </c>
    </row>
    <row r="1301">
      <c r="A1301" s="5">
        <v>1300.0</v>
      </c>
      <c r="B1301" s="5" t="s">
        <v>1943</v>
      </c>
      <c r="C1301" s="5" t="s">
        <v>21</v>
      </c>
      <c r="K1301" s="5">
        <v>1500.0</v>
      </c>
      <c r="N1301" s="9">
        <v>44531.0</v>
      </c>
    </row>
    <row r="1302">
      <c r="A1302" s="5">
        <v>1301.0</v>
      </c>
      <c r="B1302" s="5" t="s">
        <v>1944</v>
      </c>
      <c r="C1302" s="5" t="s">
        <v>21</v>
      </c>
      <c r="K1302" s="5">
        <v>1300.0</v>
      </c>
      <c r="N1302" s="9">
        <v>45280.0</v>
      </c>
    </row>
    <row r="1303">
      <c r="A1303" s="5">
        <v>1302.0</v>
      </c>
      <c r="B1303" s="5" t="s">
        <v>1945</v>
      </c>
      <c r="C1303" s="5" t="s">
        <v>21</v>
      </c>
      <c r="K1303" s="5">
        <v>900.0</v>
      </c>
      <c r="N1303" s="9">
        <v>44645.0</v>
      </c>
    </row>
    <row r="1304">
      <c r="A1304" s="5">
        <v>1303.0</v>
      </c>
      <c r="B1304" s="5" t="s">
        <v>1946</v>
      </c>
      <c r="C1304" s="5" t="s">
        <v>21</v>
      </c>
      <c r="K1304" s="5">
        <v>450.0</v>
      </c>
      <c r="N1304" s="9">
        <v>44700.0</v>
      </c>
    </row>
    <row r="1305">
      <c r="A1305" s="5">
        <v>1304.0</v>
      </c>
      <c r="B1305" s="5" t="s">
        <v>1947</v>
      </c>
      <c r="C1305" s="5" t="s">
        <v>21</v>
      </c>
      <c r="K1305" s="5">
        <v>700.0</v>
      </c>
      <c r="N1305" s="9">
        <v>44410.0</v>
      </c>
    </row>
    <row r="1306">
      <c r="A1306" s="5">
        <v>1305.0</v>
      </c>
      <c r="B1306" s="5" t="s">
        <v>1948</v>
      </c>
      <c r="C1306" s="5" t="s">
        <v>21</v>
      </c>
      <c r="K1306" s="5">
        <v>1000.0</v>
      </c>
      <c r="N1306" s="9">
        <v>44452.0</v>
      </c>
    </row>
    <row r="1307">
      <c r="A1307" s="5">
        <v>1306.0</v>
      </c>
      <c r="B1307" s="5" t="s">
        <v>1949</v>
      </c>
      <c r="C1307" s="5" t="s">
        <v>21</v>
      </c>
      <c r="K1307" s="5">
        <v>700.0</v>
      </c>
      <c r="N1307" s="9">
        <v>43856.0</v>
      </c>
    </row>
    <row r="1308">
      <c r="A1308" s="5">
        <v>1307.0</v>
      </c>
      <c r="B1308" s="5" t="s">
        <v>1950</v>
      </c>
      <c r="C1308" s="5" t="s">
        <v>21</v>
      </c>
      <c r="K1308" s="5">
        <v>100.0</v>
      </c>
      <c r="N1308" s="9">
        <v>44837.0</v>
      </c>
    </row>
    <row r="1309">
      <c r="A1309" s="5">
        <v>1308.0</v>
      </c>
      <c r="B1309" s="5" t="s">
        <v>1951</v>
      </c>
      <c r="C1309" s="5" t="s">
        <v>21</v>
      </c>
      <c r="K1309" s="5">
        <v>1700.0</v>
      </c>
      <c r="N1309" s="9">
        <v>44677.0</v>
      </c>
    </row>
    <row r="1310">
      <c r="A1310" s="5">
        <v>1309.0</v>
      </c>
      <c r="B1310" s="5" t="s">
        <v>1952</v>
      </c>
      <c r="C1310" s="5" t="s">
        <v>21</v>
      </c>
      <c r="K1310" s="5">
        <v>3300.0</v>
      </c>
      <c r="N1310" s="9">
        <v>44571.0</v>
      </c>
    </row>
    <row r="1311">
      <c r="A1311" s="5">
        <v>1310.0</v>
      </c>
      <c r="B1311" s="5" t="s">
        <v>1953</v>
      </c>
      <c r="C1311" s="5" t="s">
        <v>21</v>
      </c>
      <c r="N1311" s="9">
        <v>44947.0</v>
      </c>
    </row>
    <row r="1312">
      <c r="A1312" s="5">
        <v>1311.0</v>
      </c>
      <c r="B1312" s="5" t="s">
        <v>1954</v>
      </c>
      <c r="C1312" s="5" t="s">
        <v>21</v>
      </c>
      <c r="K1312" s="5">
        <v>400.0</v>
      </c>
      <c r="N1312" s="9">
        <v>44803.0</v>
      </c>
    </row>
    <row r="1313">
      <c r="A1313" s="5">
        <v>1312.0</v>
      </c>
      <c r="B1313" s="5" t="s">
        <v>1955</v>
      </c>
      <c r="C1313" s="5" t="s">
        <v>21</v>
      </c>
      <c r="K1313" s="5">
        <v>1400.0</v>
      </c>
      <c r="N1313" s="9">
        <v>44336.0</v>
      </c>
    </row>
    <row r="1314">
      <c r="A1314" s="5">
        <v>1313.0</v>
      </c>
      <c r="B1314" s="5" t="s">
        <v>1956</v>
      </c>
      <c r="C1314" s="5" t="s">
        <v>21</v>
      </c>
      <c r="K1314" s="5">
        <v>200.0</v>
      </c>
      <c r="N1314" s="9">
        <v>45122.0</v>
      </c>
    </row>
    <row r="1315">
      <c r="A1315" s="5">
        <v>1314.0</v>
      </c>
      <c r="B1315" s="5" t="s">
        <v>1957</v>
      </c>
      <c r="C1315" s="5" t="s">
        <v>21</v>
      </c>
      <c r="K1315" s="5">
        <v>21000.0</v>
      </c>
      <c r="N1315" s="9">
        <v>45272.0</v>
      </c>
    </row>
    <row r="1316">
      <c r="A1316" s="5">
        <v>1315.0</v>
      </c>
      <c r="B1316" s="5" t="s">
        <v>1958</v>
      </c>
      <c r="C1316" s="5" t="s">
        <v>21</v>
      </c>
      <c r="K1316" s="5">
        <v>400.0</v>
      </c>
      <c r="N1316" s="9">
        <v>45401.0</v>
      </c>
    </row>
    <row r="1317">
      <c r="A1317" s="5">
        <v>1316.0</v>
      </c>
      <c r="B1317" s="5" t="s">
        <v>1959</v>
      </c>
      <c r="C1317" s="5" t="s">
        <v>21</v>
      </c>
      <c r="K1317" s="5">
        <v>700.0</v>
      </c>
      <c r="N1317" s="9">
        <v>44530.0</v>
      </c>
    </row>
    <row r="1318">
      <c r="A1318" s="5">
        <v>1317.0</v>
      </c>
      <c r="B1318" s="5" t="s">
        <v>1960</v>
      </c>
      <c r="C1318" s="5" t="s">
        <v>21</v>
      </c>
      <c r="K1318" s="5">
        <v>350.0</v>
      </c>
      <c r="N1318" s="9">
        <v>44134.0</v>
      </c>
    </row>
    <row r="1319">
      <c r="A1319" s="5">
        <v>1318.0</v>
      </c>
      <c r="B1319" s="5" t="s">
        <v>1961</v>
      </c>
      <c r="C1319" s="5" t="s">
        <v>21</v>
      </c>
      <c r="K1319" s="5">
        <v>500.0</v>
      </c>
      <c r="N1319" s="9">
        <v>44550.0</v>
      </c>
    </row>
    <row r="1320">
      <c r="A1320" s="5">
        <v>1319.0</v>
      </c>
      <c r="B1320" s="5" t="s">
        <v>1962</v>
      </c>
      <c r="C1320" s="5" t="s">
        <v>21</v>
      </c>
      <c r="K1320" s="5">
        <v>500.0</v>
      </c>
      <c r="N1320" s="9">
        <v>44955.0</v>
      </c>
    </row>
    <row r="1321">
      <c r="A1321" s="5">
        <v>1320.0</v>
      </c>
      <c r="B1321" s="5" t="s">
        <v>1963</v>
      </c>
      <c r="C1321" s="5" t="s">
        <v>21</v>
      </c>
      <c r="K1321" s="5">
        <v>800.0</v>
      </c>
      <c r="N1321" s="9">
        <v>44533.0</v>
      </c>
    </row>
    <row r="1322">
      <c r="A1322" s="5">
        <v>1321.0</v>
      </c>
      <c r="B1322" s="5" t="s">
        <v>1964</v>
      </c>
      <c r="C1322" s="5" t="s">
        <v>21</v>
      </c>
      <c r="K1322" s="5">
        <v>70.0</v>
      </c>
      <c r="N1322" s="9">
        <v>44540.0</v>
      </c>
    </row>
    <row r="1323">
      <c r="A1323" s="5">
        <v>1322.0</v>
      </c>
      <c r="B1323" s="5" t="s">
        <v>1965</v>
      </c>
      <c r="C1323" s="5" t="s">
        <v>21</v>
      </c>
      <c r="K1323" s="5">
        <v>70.0</v>
      </c>
      <c r="N1323" s="9">
        <v>44951.0</v>
      </c>
    </row>
    <row r="1324">
      <c r="A1324" s="5">
        <v>1323.0</v>
      </c>
      <c r="B1324" s="5" t="s">
        <v>1966</v>
      </c>
      <c r="C1324" s="5" t="s">
        <v>21</v>
      </c>
      <c r="K1324" s="5">
        <v>20.0</v>
      </c>
      <c r="N1324" s="9">
        <v>44746.0</v>
      </c>
    </row>
    <row r="1325">
      <c r="A1325" s="5">
        <v>1324.0</v>
      </c>
      <c r="B1325" s="5" t="s">
        <v>1967</v>
      </c>
      <c r="C1325" s="5" t="s">
        <v>21</v>
      </c>
      <c r="K1325" s="5">
        <v>600.0</v>
      </c>
      <c r="N1325" s="9">
        <v>44321.0</v>
      </c>
    </row>
    <row r="1326">
      <c r="A1326" s="5">
        <v>1325.0</v>
      </c>
      <c r="B1326" s="5" t="s">
        <v>1968</v>
      </c>
      <c r="C1326" s="5" t="s">
        <v>21</v>
      </c>
      <c r="K1326" s="5">
        <v>400.0</v>
      </c>
      <c r="N1326" s="9">
        <v>44154.0</v>
      </c>
    </row>
    <row r="1327">
      <c r="A1327" s="5">
        <v>1326.0</v>
      </c>
      <c r="B1327" s="5" t="s">
        <v>1969</v>
      </c>
      <c r="C1327" s="5" t="s">
        <v>21</v>
      </c>
      <c r="K1327" s="5">
        <v>450.0</v>
      </c>
      <c r="N1327" s="9">
        <v>44802.0</v>
      </c>
    </row>
    <row r="1328">
      <c r="A1328" s="5">
        <v>1327.0</v>
      </c>
      <c r="B1328" s="5" t="s">
        <v>1970</v>
      </c>
      <c r="C1328" s="5" t="s">
        <v>21</v>
      </c>
      <c r="K1328" s="5">
        <v>900.0</v>
      </c>
      <c r="N1328" s="9">
        <v>44339.0</v>
      </c>
    </row>
    <row r="1329">
      <c r="A1329" s="5">
        <v>1328.0</v>
      </c>
      <c r="B1329" s="5" t="s">
        <v>1971</v>
      </c>
      <c r="C1329" s="5" t="s">
        <v>21</v>
      </c>
      <c r="K1329" s="5">
        <v>50.0</v>
      </c>
      <c r="N1329" s="9">
        <v>44577.0</v>
      </c>
    </row>
    <row r="1330">
      <c r="A1330" s="5">
        <v>1329.0</v>
      </c>
      <c r="B1330" s="5" t="s">
        <v>1972</v>
      </c>
      <c r="C1330" s="5" t="s">
        <v>21</v>
      </c>
      <c r="K1330" s="5">
        <v>800.0</v>
      </c>
      <c r="N1330" s="9">
        <v>44672.0</v>
      </c>
    </row>
    <row r="1331">
      <c r="A1331" s="5">
        <v>1330.0</v>
      </c>
      <c r="B1331" s="5" t="s">
        <v>1973</v>
      </c>
      <c r="C1331" s="5" t="s">
        <v>21</v>
      </c>
      <c r="K1331" s="5">
        <v>300.0</v>
      </c>
      <c r="N1331" s="9">
        <v>43925.0</v>
      </c>
    </row>
    <row r="1332">
      <c r="A1332" s="5">
        <v>1331.0</v>
      </c>
      <c r="B1332" s="5" t="s">
        <v>1974</v>
      </c>
      <c r="C1332" s="5" t="s">
        <v>21</v>
      </c>
      <c r="K1332" s="5">
        <v>1100.0</v>
      </c>
      <c r="N1332" s="9">
        <v>44571.0</v>
      </c>
    </row>
    <row r="1333">
      <c r="A1333" s="5">
        <v>1332.0</v>
      </c>
      <c r="B1333" s="5" t="s">
        <v>1975</v>
      </c>
      <c r="C1333" s="5" t="s">
        <v>21</v>
      </c>
      <c r="K1333" s="5">
        <v>200.0</v>
      </c>
      <c r="N1333" s="9">
        <v>44488.0</v>
      </c>
    </row>
    <row r="1334">
      <c r="A1334" s="5">
        <v>1333.0</v>
      </c>
      <c r="B1334" s="5" t="s">
        <v>1976</v>
      </c>
      <c r="C1334" s="5" t="s">
        <v>21</v>
      </c>
      <c r="K1334" s="5">
        <v>450.0</v>
      </c>
      <c r="N1334" s="9">
        <v>44098.0</v>
      </c>
    </row>
    <row r="1335">
      <c r="A1335" s="5">
        <v>1334.0</v>
      </c>
      <c r="B1335" s="5" t="s">
        <v>1977</v>
      </c>
      <c r="C1335" s="5" t="s">
        <v>21</v>
      </c>
      <c r="K1335" s="5">
        <v>4400.0</v>
      </c>
      <c r="N1335" s="9">
        <v>44898.0</v>
      </c>
    </row>
    <row r="1336">
      <c r="A1336" s="5">
        <v>1335.0</v>
      </c>
      <c r="B1336" s="5" t="s">
        <v>1978</v>
      </c>
      <c r="C1336" s="5" t="s">
        <v>21</v>
      </c>
      <c r="K1336" s="5">
        <v>2800.0</v>
      </c>
      <c r="N1336" s="9">
        <v>45470.0</v>
      </c>
    </row>
    <row r="1337">
      <c r="A1337" s="5">
        <v>1336.0</v>
      </c>
      <c r="B1337" s="5" t="s">
        <v>1979</v>
      </c>
      <c r="C1337" s="5" t="s">
        <v>21</v>
      </c>
      <c r="K1337" s="5">
        <v>100.0</v>
      </c>
      <c r="N1337" s="9">
        <v>44604.0</v>
      </c>
    </row>
    <row r="1338">
      <c r="A1338" s="5">
        <v>1337.0</v>
      </c>
      <c r="B1338" s="5" t="s">
        <v>1980</v>
      </c>
      <c r="C1338" s="5" t="s">
        <v>21</v>
      </c>
      <c r="K1338" s="5">
        <v>200.0</v>
      </c>
      <c r="N1338" s="9">
        <v>45327.0</v>
      </c>
    </row>
    <row r="1339">
      <c r="A1339" s="5">
        <v>1338.0</v>
      </c>
      <c r="B1339" s="5" t="s">
        <v>1981</v>
      </c>
      <c r="C1339" s="5" t="s">
        <v>21</v>
      </c>
      <c r="K1339" s="5">
        <v>2400.0</v>
      </c>
      <c r="N1339" s="9">
        <v>44330.0</v>
      </c>
    </row>
    <row r="1340">
      <c r="A1340" s="5">
        <v>1339.0</v>
      </c>
      <c r="B1340" s="5" t="s">
        <v>1982</v>
      </c>
      <c r="C1340" s="5" t="s">
        <v>21</v>
      </c>
      <c r="K1340" s="5">
        <v>100.0</v>
      </c>
      <c r="N1340" s="9">
        <v>44531.0</v>
      </c>
    </row>
    <row r="1341">
      <c r="A1341" s="5">
        <v>1340.0</v>
      </c>
      <c r="B1341" s="5" t="s">
        <v>1983</v>
      </c>
      <c r="C1341" s="5" t="s">
        <v>21</v>
      </c>
      <c r="K1341" s="5">
        <v>600.0</v>
      </c>
      <c r="N1341" s="9">
        <v>43928.0</v>
      </c>
    </row>
    <row r="1342">
      <c r="A1342" s="5">
        <v>1341.0</v>
      </c>
      <c r="B1342" s="5" t="s">
        <v>1984</v>
      </c>
      <c r="C1342" s="5" t="s">
        <v>21</v>
      </c>
      <c r="K1342" s="5">
        <v>250.0</v>
      </c>
      <c r="N1342" s="9">
        <v>44521.0</v>
      </c>
    </row>
    <row r="1343">
      <c r="A1343" s="5">
        <v>1342.0</v>
      </c>
      <c r="B1343" s="5" t="s">
        <v>1985</v>
      </c>
      <c r="C1343" s="5" t="s">
        <v>21</v>
      </c>
      <c r="K1343" s="5">
        <v>20.0</v>
      </c>
      <c r="N1343" s="9">
        <v>44807.0</v>
      </c>
    </row>
    <row r="1344">
      <c r="A1344" s="5">
        <v>1343.0</v>
      </c>
      <c r="B1344" s="5" t="s">
        <v>1986</v>
      </c>
      <c r="C1344" s="5" t="s">
        <v>21</v>
      </c>
      <c r="K1344" s="5">
        <v>200.0</v>
      </c>
      <c r="N1344" s="9">
        <v>44915.0</v>
      </c>
    </row>
    <row r="1345">
      <c r="A1345" s="5">
        <v>1344.0</v>
      </c>
      <c r="B1345" s="5" t="s">
        <v>1987</v>
      </c>
      <c r="C1345" s="5" t="s">
        <v>21</v>
      </c>
      <c r="K1345" s="5">
        <v>3400.0</v>
      </c>
      <c r="N1345" s="9">
        <v>45930.0</v>
      </c>
    </row>
    <row r="1346">
      <c r="A1346" s="5">
        <v>1345.0</v>
      </c>
      <c r="B1346" s="5" t="s">
        <v>1988</v>
      </c>
      <c r="C1346" s="5" t="s">
        <v>21</v>
      </c>
      <c r="K1346" s="5">
        <v>900.0</v>
      </c>
      <c r="N1346" s="9">
        <v>44519.0</v>
      </c>
    </row>
    <row r="1347">
      <c r="A1347" s="5">
        <v>1346.0</v>
      </c>
      <c r="B1347" s="5" t="s">
        <v>1989</v>
      </c>
      <c r="C1347" s="5" t="s">
        <v>21</v>
      </c>
      <c r="K1347" s="5">
        <v>150.0</v>
      </c>
      <c r="N1347" s="9">
        <v>45614.0</v>
      </c>
    </row>
    <row r="1348">
      <c r="A1348" s="5">
        <v>1347.0</v>
      </c>
      <c r="B1348" s="5" t="s">
        <v>1990</v>
      </c>
      <c r="C1348" s="5" t="s">
        <v>21</v>
      </c>
      <c r="K1348" s="5">
        <v>40.0</v>
      </c>
      <c r="N1348" s="9">
        <v>44751.0</v>
      </c>
    </row>
    <row r="1349">
      <c r="A1349" s="5">
        <v>1348.0</v>
      </c>
      <c r="B1349" s="5" t="s">
        <v>1991</v>
      </c>
      <c r="C1349" s="5" t="s">
        <v>21</v>
      </c>
      <c r="N1349" s="9">
        <v>44501.0</v>
      </c>
      <c r="O1349" s="5" t="s">
        <v>52</v>
      </c>
      <c r="P1349" s="5" t="s">
        <v>26</v>
      </c>
      <c r="S1349" s="5" t="s">
        <v>29</v>
      </c>
    </row>
    <row r="1350">
      <c r="A1350" s="5">
        <v>1349.0</v>
      </c>
      <c r="B1350" s="5" t="s">
        <v>1992</v>
      </c>
      <c r="C1350" s="5" t="s">
        <v>21</v>
      </c>
      <c r="K1350" s="5">
        <v>150.0</v>
      </c>
      <c r="N1350" s="9">
        <v>44520.0</v>
      </c>
    </row>
    <row r="1351">
      <c r="A1351" s="5">
        <v>1350.0</v>
      </c>
      <c r="B1351" s="5" t="s">
        <v>1993</v>
      </c>
      <c r="C1351" s="5" t="s">
        <v>21</v>
      </c>
      <c r="K1351" s="5">
        <v>700.0</v>
      </c>
      <c r="N1351" s="9">
        <v>44564.0</v>
      </c>
    </row>
    <row r="1352">
      <c r="A1352" s="5">
        <v>1351.0</v>
      </c>
      <c r="B1352" s="5" t="s">
        <v>1994</v>
      </c>
      <c r="C1352" s="5" t="s">
        <v>21</v>
      </c>
      <c r="K1352" s="5">
        <v>10.0</v>
      </c>
      <c r="N1352" s="9">
        <v>45033.0</v>
      </c>
    </row>
    <row r="1353">
      <c r="A1353" s="5">
        <v>1352.0</v>
      </c>
      <c r="B1353" s="5" t="s">
        <v>1995</v>
      </c>
      <c r="C1353" s="5" t="s">
        <v>21</v>
      </c>
      <c r="K1353" s="5">
        <v>350.0</v>
      </c>
      <c r="N1353" s="9">
        <v>45124.0</v>
      </c>
    </row>
    <row r="1354">
      <c r="A1354" s="5">
        <v>1353.0</v>
      </c>
      <c r="B1354" s="5" t="s">
        <v>1996</v>
      </c>
      <c r="C1354" s="5" t="s">
        <v>21</v>
      </c>
      <c r="K1354" s="5">
        <v>450.0</v>
      </c>
      <c r="N1354" s="9">
        <v>43857.0</v>
      </c>
    </row>
    <row r="1355">
      <c r="A1355" s="5">
        <v>1354.0</v>
      </c>
      <c r="B1355" s="5" t="s">
        <v>1997</v>
      </c>
      <c r="C1355" s="5" t="s">
        <v>21</v>
      </c>
      <c r="N1355" s="9">
        <v>44407.0</v>
      </c>
    </row>
    <row r="1356">
      <c r="A1356" s="5">
        <v>1355.0</v>
      </c>
      <c r="B1356" s="5" t="s">
        <v>1998</v>
      </c>
      <c r="C1356" s="5" t="s">
        <v>21</v>
      </c>
      <c r="K1356" s="5">
        <v>30.0</v>
      </c>
      <c r="N1356" s="9">
        <v>42960.0</v>
      </c>
    </row>
    <row r="1357">
      <c r="A1357" s="5">
        <v>1356.0</v>
      </c>
      <c r="B1357" s="5" t="s">
        <v>1999</v>
      </c>
      <c r="C1357" s="5" t="s">
        <v>21</v>
      </c>
      <c r="K1357" s="5">
        <v>10.0</v>
      </c>
      <c r="N1357" s="9">
        <v>44543.0</v>
      </c>
    </row>
    <row r="1358">
      <c r="A1358" s="5">
        <v>1357.0</v>
      </c>
      <c r="B1358" s="5" t="s">
        <v>2000</v>
      </c>
      <c r="C1358" s="5" t="s">
        <v>21</v>
      </c>
      <c r="N1358" s="9">
        <v>44571.0</v>
      </c>
    </row>
    <row r="1359">
      <c r="A1359" s="5">
        <v>1358.0</v>
      </c>
      <c r="B1359" s="5" t="s">
        <v>62</v>
      </c>
      <c r="C1359" s="5" t="s">
        <v>21</v>
      </c>
      <c r="K1359" s="5">
        <v>50.0</v>
      </c>
      <c r="N1359" s="9">
        <v>44033.0</v>
      </c>
    </row>
    <row r="1360">
      <c r="A1360" s="5">
        <v>1359.0</v>
      </c>
      <c r="B1360" s="5" t="s">
        <v>2001</v>
      </c>
      <c r="C1360" s="5" t="s">
        <v>21</v>
      </c>
      <c r="K1360" s="5">
        <v>900.0</v>
      </c>
      <c r="N1360" s="9">
        <v>44552.0</v>
      </c>
    </row>
    <row r="1361">
      <c r="A1361" s="5">
        <v>1360.0</v>
      </c>
      <c r="B1361" s="5" t="s">
        <v>2002</v>
      </c>
      <c r="C1361" s="5" t="s">
        <v>21</v>
      </c>
      <c r="K1361" s="5">
        <v>2500.0</v>
      </c>
      <c r="N1361" s="9">
        <v>43944.0</v>
      </c>
    </row>
    <row r="1362">
      <c r="A1362" s="5">
        <v>1361.0</v>
      </c>
      <c r="B1362" s="5" t="s">
        <v>2003</v>
      </c>
      <c r="C1362" s="5" t="s">
        <v>21</v>
      </c>
      <c r="K1362" s="5">
        <v>70.0</v>
      </c>
      <c r="N1362" s="9">
        <v>44769.0</v>
      </c>
    </row>
    <row r="1363">
      <c r="A1363" s="5">
        <v>1362.0</v>
      </c>
      <c r="B1363" s="5" t="s">
        <v>2004</v>
      </c>
      <c r="C1363" s="5" t="s">
        <v>21</v>
      </c>
      <c r="K1363" s="5">
        <v>1200.0</v>
      </c>
      <c r="N1363" s="9">
        <v>44337.0</v>
      </c>
    </row>
    <row r="1364">
      <c r="A1364" s="5">
        <v>1363.0</v>
      </c>
      <c r="B1364" s="5" t="s">
        <v>2005</v>
      </c>
      <c r="C1364" s="5" t="s">
        <v>21</v>
      </c>
      <c r="K1364" s="5">
        <v>400.0</v>
      </c>
      <c r="N1364" s="9">
        <v>45400.0</v>
      </c>
    </row>
    <row r="1365">
      <c r="A1365" s="5">
        <v>1364.0</v>
      </c>
      <c r="B1365" s="5" t="s">
        <v>2006</v>
      </c>
      <c r="C1365" s="5" t="s">
        <v>21</v>
      </c>
      <c r="K1365" s="5">
        <v>3800.0</v>
      </c>
      <c r="N1365" s="9">
        <v>44528.0</v>
      </c>
    </row>
    <row r="1366">
      <c r="A1366" s="5">
        <v>1365.0</v>
      </c>
      <c r="B1366" s="5" t="s">
        <v>2007</v>
      </c>
      <c r="C1366" s="5" t="s">
        <v>21</v>
      </c>
      <c r="K1366" s="5">
        <v>700.0</v>
      </c>
      <c r="N1366" s="9">
        <v>44586.0</v>
      </c>
    </row>
    <row r="1367">
      <c r="A1367" s="5">
        <v>1366.0</v>
      </c>
      <c r="B1367" s="5" t="s">
        <v>2008</v>
      </c>
      <c r="C1367" s="5" t="s">
        <v>21</v>
      </c>
      <c r="K1367" s="5">
        <v>200.0</v>
      </c>
      <c r="N1367" s="9">
        <v>44862.0</v>
      </c>
    </row>
    <row r="1368">
      <c r="A1368" s="5">
        <v>1367.0</v>
      </c>
      <c r="B1368" s="5" t="s">
        <v>2009</v>
      </c>
      <c r="C1368" s="5" t="s">
        <v>21</v>
      </c>
      <c r="K1368" s="5">
        <v>30.0</v>
      </c>
      <c r="N1368" s="9">
        <v>44559.0</v>
      </c>
    </row>
    <row r="1369">
      <c r="A1369" s="5">
        <v>1368.0</v>
      </c>
      <c r="B1369" s="5" t="s">
        <v>2010</v>
      </c>
      <c r="C1369" s="5" t="s">
        <v>21</v>
      </c>
      <c r="K1369" s="5">
        <v>450.0</v>
      </c>
      <c r="N1369" s="9">
        <v>44573.0</v>
      </c>
    </row>
    <row r="1370">
      <c r="A1370" s="5">
        <v>1369.0</v>
      </c>
      <c r="B1370" s="5" t="s">
        <v>2011</v>
      </c>
      <c r="C1370" s="5" t="s">
        <v>21</v>
      </c>
      <c r="K1370" s="5">
        <v>150.0</v>
      </c>
      <c r="N1370" s="9">
        <v>44580.0</v>
      </c>
    </row>
    <row r="1371">
      <c r="A1371" s="5">
        <v>1370.0</v>
      </c>
      <c r="B1371" s="5" t="s">
        <v>2012</v>
      </c>
      <c r="C1371" s="5" t="s">
        <v>21</v>
      </c>
      <c r="K1371" s="5">
        <v>400.0</v>
      </c>
      <c r="N1371" s="9">
        <v>44562.0</v>
      </c>
    </row>
    <row r="1372">
      <c r="A1372" s="5">
        <v>1371.0</v>
      </c>
      <c r="B1372" s="5" t="s">
        <v>2013</v>
      </c>
      <c r="C1372" s="5" t="s">
        <v>21</v>
      </c>
      <c r="K1372" s="5">
        <v>2300.0</v>
      </c>
      <c r="N1372" s="9">
        <v>43847.0</v>
      </c>
    </row>
    <row r="1373">
      <c r="A1373" s="5">
        <v>1372.0</v>
      </c>
      <c r="B1373" s="5" t="s">
        <v>2014</v>
      </c>
      <c r="C1373" s="5" t="s">
        <v>21</v>
      </c>
      <c r="K1373" s="5">
        <v>400.0</v>
      </c>
      <c r="N1373" s="9">
        <v>44604.0</v>
      </c>
    </row>
    <row r="1374">
      <c r="A1374" s="5">
        <v>1373.0</v>
      </c>
      <c r="B1374" s="5" t="s">
        <v>2015</v>
      </c>
      <c r="C1374" s="5" t="s">
        <v>21</v>
      </c>
      <c r="K1374" s="5">
        <v>800.0</v>
      </c>
      <c r="N1374" s="9">
        <v>44035.0</v>
      </c>
    </row>
    <row r="1375">
      <c r="A1375" s="5">
        <v>1374.0</v>
      </c>
      <c r="B1375" s="5" t="s">
        <v>2016</v>
      </c>
      <c r="C1375" s="5" t="s">
        <v>21</v>
      </c>
      <c r="K1375" s="5">
        <v>300.0</v>
      </c>
      <c r="N1375" s="9">
        <v>44276.0</v>
      </c>
    </row>
    <row r="1376">
      <c r="A1376" s="5">
        <v>1375.0</v>
      </c>
      <c r="B1376" s="5" t="s">
        <v>2017</v>
      </c>
      <c r="C1376" s="5" t="s">
        <v>21</v>
      </c>
      <c r="K1376" s="5">
        <v>90.0</v>
      </c>
      <c r="N1376" s="9">
        <v>44597.0</v>
      </c>
    </row>
    <row r="1377">
      <c r="A1377" s="5">
        <v>1376.0</v>
      </c>
      <c r="B1377" s="5" t="s">
        <v>2018</v>
      </c>
      <c r="C1377" s="5" t="s">
        <v>21</v>
      </c>
      <c r="K1377" s="5">
        <v>60.0</v>
      </c>
      <c r="N1377" s="9">
        <v>44529.0</v>
      </c>
    </row>
    <row r="1378">
      <c r="A1378" s="5">
        <v>1377.0</v>
      </c>
      <c r="B1378" s="5" t="s">
        <v>2019</v>
      </c>
      <c r="C1378" s="5" t="s">
        <v>21</v>
      </c>
      <c r="K1378" s="5">
        <v>2400.0</v>
      </c>
      <c r="N1378" s="9">
        <v>43921.0</v>
      </c>
    </row>
    <row r="1379">
      <c r="A1379" s="5">
        <v>1378.0</v>
      </c>
      <c r="B1379" s="5" t="s">
        <v>2020</v>
      </c>
      <c r="C1379" s="5" t="s">
        <v>21</v>
      </c>
      <c r="K1379" s="5">
        <v>3000.0</v>
      </c>
      <c r="N1379" s="9">
        <v>43951.0</v>
      </c>
    </row>
    <row r="1380">
      <c r="A1380" s="5">
        <v>1379.0</v>
      </c>
      <c r="B1380" s="5" t="s">
        <v>2021</v>
      </c>
      <c r="C1380" s="5" t="s">
        <v>21</v>
      </c>
      <c r="K1380" s="5">
        <v>400.0</v>
      </c>
      <c r="N1380" s="9">
        <v>44532.0</v>
      </c>
    </row>
    <row r="1381">
      <c r="A1381" s="5">
        <v>1380.0</v>
      </c>
      <c r="B1381" s="5" t="s">
        <v>2022</v>
      </c>
      <c r="C1381" s="5" t="s">
        <v>21</v>
      </c>
      <c r="K1381" s="5">
        <v>300.0</v>
      </c>
      <c r="N1381" s="9">
        <v>45158.0</v>
      </c>
    </row>
    <row r="1382">
      <c r="A1382" s="5">
        <v>1381.0</v>
      </c>
      <c r="B1382" s="5" t="s">
        <v>2023</v>
      </c>
      <c r="C1382" s="5" t="s">
        <v>21</v>
      </c>
      <c r="K1382" s="5">
        <v>40.0</v>
      </c>
      <c r="N1382" s="9">
        <v>44703.0</v>
      </c>
    </row>
    <row r="1383">
      <c r="A1383" s="5">
        <v>1382.0</v>
      </c>
      <c r="B1383" s="5" t="s">
        <v>2024</v>
      </c>
      <c r="C1383" s="5" t="s">
        <v>21</v>
      </c>
      <c r="K1383" s="5">
        <v>400.0</v>
      </c>
      <c r="N1383" s="9">
        <v>44529.0</v>
      </c>
    </row>
    <row r="1384">
      <c r="A1384" s="5">
        <v>1383.0</v>
      </c>
      <c r="B1384" s="5" t="s">
        <v>2025</v>
      </c>
      <c r="C1384" s="5" t="s">
        <v>21</v>
      </c>
      <c r="K1384" s="5">
        <v>400.0</v>
      </c>
      <c r="N1384" s="9">
        <v>44779.0</v>
      </c>
    </row>
    <row r="1385">
      <c r="A1385" s="5">
        <v>1384.0</v>
      </c>
      <c r="B1385" s="5" t="s">
        <v>2026</v>
      </c>
      <c r="C1385" s="5" t="s">
        <v>21</v>
      </c>
      <c r="K1385" s="5">
        <v>40.0</v>
      </c>
      <c r="N1385" s="9">
        <v>44478.0</v>
      </c>
    </row>
    <row r="1386">
      <c r="A1386" s="5">
        <v>1385.0</v>
      </c>
      <c r="B1386" s="5" t="s">
        <v>2027</v>
      </c>
      <c r="C1386" s="5" t="s">
        <v>21</v>
      </c>
      <c r="K1386" s="5">
        <v>150.0</v>
      </c>
      <c r="N1386" s="9">
        <v>44138.0</v>
      </c>
    </row>
    <row r="1387">
      <c r="A1387" s="5">
        <v>1386.0</v>
      </c>
      <c r="B1387" s="5" t="s">
        <v>2028</v>
      </c>
      <c r="C1387" s="5" t="s">
        <v>21</v>
      </c>
      <c r="K1387" s="5">
        <v>150.0</v>
      </c>
      <c r="N1387" s="9">
        <v>43893.0</v>
      </c>
    </row>
    <row r="1388">
      <c r="A1388" s="5">
        <v>1387.0</v>
      </c>
      <c r="B1388" s="5" t="s">
        <v>2029</v>
      </c>
      <c r="C1388" s="5" t="s">
        <v>21</v>
      </c>
      <c r="K1388" s="5">
        <v>10.0</v>
      </c>
      <c r="N1388" s="9">
        <v>44301.0</v>
      </c>
    </row>
    <row r="1389">
      <c r="A1389" s="5">
        <v>1388.0</v>
      </c>
      <c r="B1389" s="5" t="s">
        <v>2030</v>
      </c>
      <c r="C1389" s="5" t="s">
        <v>21</v>
      </c>
      <c r="K1389" s="5">
        <v>20.0</v>
      </c>
      <c r="N1389" s="9">
        <v>44808.0</v>
      </c>
    </row>
    <row r="1390">
      <c r="A1390" s="5">
        <v>1389.0</v>
      </c>
      <c r="B1390" s="5" t="s">
        <v>2031</v>
      </c>
      <c r="C1390" s="5" t="s">
        <v>21</v>
      </c>
      <c r="K1390" s="5">
        <v>350.0</v>
      </c>
      <c r="N1390" s="9">
        <v>45070.0</v>
      </c>
    </row>
    <row r="1391">
      <c r="A1391" s="5">
        <v>1390.0</v>
      </c>
      <c r="B1391" s="5" t="s">
        <v>2032</v>
      </c>
      <c r="C1391" s="5" t="s">
        <v>21</v>
      </c>
      <c r="K1391" s="5">
        <v>400.0</v>
      </c>
      <c r="N1391" s="9">
        <v>44630.0</v>
      </c>
    </row>
    <row r="1392">
      <c r="A1392" s="5">
        <v>1391.0</v>
      </c>
      <c r="B1392" s="5" t="s">
        <v>2033</v>
      </c>
      <c r="C1392" s="5" t="s">
        <v>21</v>
      </c>
      <c r="K1392" s="5">
        <v>40.0</v>
      </c>
      <c r="N1392" s="9">
        <v>44553.0</v>
      </c>
    </row>
    <row r="1393">
      <c r="A1393" s="5">
        <v>1392.0</v>
      </c>
      <c r="B1393" s="5" t="s">
        <v>2034</v>
      </c>
      <c r="C1393" s="5" t="s">
        <v>21</v>
      </c>
      <c r="K1393" s="5">
        <v>1300.0</v>
      </c>
      <c r="N1393" s="9">
        <v>45068.0</v>
      </c>
    </row>
    <row r="1394">
      <c r="A1394" s="5">
        <v>1393.0</v>
      </c>
      <c r="B1394" s="5" t="s">
        <v>2035</v>
      </c>
      <c r="C1394" s="5" t="s">
        <v>21</v>
      </c>
      <c r="K1394" s="5">
        <v>8700.0</v>
      </c>
      <c r="N1394" s="9">
        <v>43931.0</v>
      </c>
    </row>
    <row r="1395">
      <c r="A1395" s="5">
        <v>1394.0</v>
      </c>
      <c r="B1395" s="5" t="s">
        <v>138</v>
      </c>
      <c r="C1395" s="5" t="s">
        <v>21</v>
      </c>
      <c r="K1395" s="5">
        <v>150.0</v>
      </c>
      <c r="N1395" s="9">
        <v>44542.0</v>
      </c>
    </row>
    <row r="1396">
      <c r="A1396" s="5">
        <v>1395.0</v>
      </c>
      <c r="B1396" s="5" t="s">
        <v>2036</v>
      </c>
      <c r="C1396" s="5" t="s">
        <v>21</v>
      </c>
      <c r="K1396" s="5">
        <v>450.0</v>
      </c>
      <c r="N1396" s="9">
        <v>43924.0</v>
      </c>
    </row>
    <row r="1397">
      <c r="A1397" s="5">
        <v>1396.0</v>
      </c>
      <c r="B1397" s="5" t="s">
        <v>2037</v>
      </c>
      <c r="C1397" s="5" t="s">
        <v>21</v>
      </c>
      <c r="K1397" s="5">
        <v>1800.0</v>
      </c>
      <c r="N1397" s="9">
        <v>44526.0</v>
      </c>
    </row>
    <row r="1398">
      <c r="A1398" s="5">
        <v>1397.0</v>
      </c>
      <c r="B1398" s="5" t="s">
        <v>2038</v>
      </c>
      <c r="C1398" s="5" t="s">
        <v>21</v>
      </c>
      <c r="K1398" s="5">
        <v>200.0</v>
      </c>
      <c r="N1398" s="9">
        <v>44711.0</v>
      </c>
    </row>
    <row r="1399">
      <c r="A1399" s="5">
        <v>1398.0</v>
      </c>
      <c r="B1399" s="5" t="s">
        <v>2039</v>
      </c>
      <c r="C1399" s="5" t="s">
        <v>21</v>
      </c>
      <c r="K1399" s="5">
        <v>350.0</v>
      </c>
      <c r="N1399" s="9">
        <v>44120.0</v>
      </c>
    </row>
    <row r="1400">
      <c r="A1400" s="5">
        <v>1399.0</v>
      </c>
      <c r="B1400" s="5" t="s">
        <v>2040</v>
      </c>
      <c r="C1400" s="5" t="s">
        <v>21</v>
      </c>
      <c r="K1400" s="5">
        <v>3700.0</v>
      </c>
      <c r="N1400" s="9">
        <v>45584.0</v>
      </c>
    </row>
    <row r="1401">
      <c r="A1401" s="5">
        <v>1400.0</v>
      </c>
      <c r="B1401" s="5" t="s">
        <v>2041</v>
      </c>
      <c r="C1401" s="5" t="s">
        <v>21</v>
      </c>
      <c r="K1401" s="5">
        <v>500.0</v>
      </c>
      <c r="N1401" s="9">
        <v>44842.0</v>
      </c>
    </row>
    <row r="1402">
      <c r="A1402" s="5">
        <v>1401.0</v>
      </c>
      <c r="B1402" s="5" t="s">
        <v>2042</v>
      </c>
      <c r="C1402" s="5" t="s">
        <v>21</v>
      </c>
      <c r="K1402" s="5">
        <v>800.0</v>
      </c>
      <c r="N1402" s="9">
        <v>42895.0</v>
      </c>
    </row>
    <row r="1403">
      <c r="A1403" s="5">
        <v>1402.0</v>
      </c>
      <c r="B1403" s="5" t="s">
        <v>2043</v>
      </c>
      <c r="C1403" s="5" t="s">
        <v>21</v>
      </c>
      <c r="K1403" s="5">
        <v>350.0</v>
      </c>
      <c r="N1403" s="9">
        <v>43938.0</v>
      </c>
    </row>
    <row r="1404">
      <c r="A1404" s="5">
        <v>1403.0</v>
      </c>
      <c r="B1404" s="5" t="s">
        <v>2044</v>
      </c>
      <c r="C1404" s="5" t="s">
        <v>21</v>
      </c>
      <c r="K1404" s="5">
        <v>60.0</v>
      </c>
      <c r="N1404" s="9">
        <v>44159.0</v>
      </c>
    </row>
    <row r="1405">
      <c r="A1405" s="5">
        <v>1404.0</v>
      </c>
      <c r="B1405" s="5" t="s">
        <v>2045</v>
      </c>
      <c r="C1405" s="5" t="s">
        <v>21</v>
      </c>
      <c r="K1405" s="5">
        <v>60.0</v>
      </c>
      <c r="N1405" s="9">
        <v>45565.0</v>
      </c>
    </row>
    <row r="1406">
      <c r="A1406" s="5">
        <v>1405.0</v>
      </c>
      <c r="B1406" s="5" t="s">
        <v>2046</v>
      </c>
      <c r="C1406" s="5" t="s">
        <v>21</v>
      </c>
      <c r="K1406" s="5">
        <v>40.0</v>
      </c>
      <c r="N1406" s="9">
        <v>44992.0</v>
      </c>
    </row>
    <row r="1407">
      <c r="A1407" s="5">
        <v>1406.0</v>
      </c>
      <c r="B1407" s="5" t="s">
        <v>2047</v>
      </c>
      <c r="C1407" s="5" t="s">
        <v>21</v>
      </c>
      <c r="K1407" s="5">
        <v>30.0</v>
      </c>
      <c r="N1407" s="9">
        <v>44152.0</v>
      </c>
    </row>
    <row r="1408">
      <c r="A1408" s="5">
        <v>1407.0</v>
      </c>
      <c r="B1408" s="5" t="s">
        <v>2048</v>
      </c>
      <c r="C1408" s="5" t="s">
        <v>21</v>
      </c>
      <c r="K1408" s="5">
        <v>200.0</v>
      </c>
      <c r="N1408" s="9">
        <v>45587.0</v>
      </c>
    </row>
    <row r="1409">
      <c r="A1409" s="5">
        <v>1408.0</v>
      </c>
      <c r="B1409" s="5" t="s">
        <v>2049</v>
      </c>
      <c r="C1409" s="5" t="s">
        <v>21</v>
      </c>
      <c r="K1409" s="5">
        <v>350.0</v>
      </c>
      <c r="N1409" s="9">
        <v>44621.0</v>
      </c>
    </row>
    <row r="1410">
      <c r="A1410" s="5">
        <v>1409.0</v>
      </c>
      <c r="B1410" s="5" t="s">
        <v>2050</v>
      </c>
      <c r="C1410" s="5" t="s">
        <v>21</v>
      </c>
      <c r="K1410" s="5">
        <v>350.0</v>
      </c>
      <c r="N1410" s="9">
        <v>44379.0</v>
      </c>
    </row>
    <row r="1411">
      <c r="A1411" s="5">
        <v>1410.0</v>
      </c>
      <c r="B1411" s="5" t="s">
        <v>2051</v>
      </c>
      <c r="C1411" s="5" t="s">
        <v>21</v>
      </c>
      <c r="K1411" s="5">
        <v>80.0</v>
      </c>
      <c r="N1411" s="9">
        <v>44723.0</v>
      </c>
    </row>
    <row r="1412">
      <c r="A1412" s="5">
        <v>1411.0</v>
      </c>
      <c r="B1412" s="5" t="s">
        <v>2052</v>
      </c>
      <c r="C1412" s="5" t="s">
        <v>21</v>
      </c>
      <c r="K1412" s="5">
        <v>10.0</v>
      </c>
      <c r="N1412" s="9">
        <v>44277.0</v>
      </c>
    </row>
    <row r="1413">
      <c r="A1413" s="5">
        <v>1412.0</v>
      </c>
      <c r="B1413" s="5" t="s">
        <v>2053</v>
      </c>
      <c r="C1413" s="5" t="s">
        <v>21</v>
      </c>
      <c r="N1413" s="9">
        <v>44523.0</v>
      </c>
    </row>
    <row r="1414">
      <c r="A1414" s="5">
        <v>1413.0</v>
      </c>
      <c r="B1414" s="5" t="s">
        <v>2054</v>
      </c>
      <c r="C1414" s="5" t="s">
        <v>21</v>
      </c>
      <c r="K1414" s="5">
        <v>200.0</v>
      </c>
      <c r="N1414" s="9">
        <v>44069.0</v>
      </c>
    </row>
    <row r="1415">
      <c r="A1415" s="5">
        <v>1414.0</v>
      </c>
      <c r="B1415" s="5" t="s">
        <v>2055</v>
      </c>
      <c r="C1415" s="5" t="s">
        <v>21</v>
      </c>
      <c r="K1415" s="5">
        <v>500.0</v>
      </c>
      <c r="N1415" s="9">
        <v>44531.0</v>
      </c>
    </row>
    <row r="1416">
      <c r="A1416" s="5">
        <v>1415.0</v>
      </c>
      <c r="B1416" s="5" t="s">
        <v>2056</v>
      </c>
      <c r="C1416" s="5" t="s">
        <v>21</v>
      </c>
      <c r="K1416" s="5">
        <v>90.0</v>
      </c>
      <c r="N1416" s="9">
        <v>44528.0</v>
      </c>
    </row>
    <row r="1417">
      <c r="A1417" s="5">
        <v>1416.0</v>
      </c>
      <c r="B1417" s="5" t="s">
        <v>2057</v>
      </c>
      <c r="C1417" s="5" t="s">
        <v>21</v>
      </c>
      <c r="K1417" s="5">
        <v>2100.0</v>
      </c>
      <c r="N1417" s="9">
        <v>44219.0</v>
      </c>
    </row>
    <row r="1418">
      <c r="A1418" s="5">
        <v>1417.0</v>
      </c>
      <c r="B1418" s="5" t="s">
        <v>2058</v>
      </c>
      <c r="C1418" s="5" t="s">
        <v>21</v>
      </c>
      <c r="K1418" s="5">
        <v>1300.0</v>
      </c>
      <c r="N1418" s="9">
        <v>45495.0</v>
      </c>
    </row>
    <row r="1419">
      <c r="A1419" s="5">
        <v>1418.0</v>
      </c>
      <c r="B1419" s="5" t="s">
        <v>2059</v>
      </c>
      <c r="C1419" s="5" t="s">
        <v>21</v>
      </c>
      <c r="K1419" s="5">
        <v>500.0</v>
      </c>
      <c r="N1419" s="9">
        <v>44563.0</v>
      </c>
    </row>
    <row r="1420">
      <c r="A1420" s="5">
        <v>1419.0</v>
      </c>
      <c r="B1420" s="5" t="s">
        <v>2060</v>
      </c>
      <c r="C1420" s="5" t="s">
        <v>21</v>
      </c>
      <c r="K1420" s="5">
        <v>10.0</v>
      </c>
      <c r="N1420" s="9">
        <v>44920.0</v>
      </c>
    </row>
    <row r="1421">
      <c r="A1421" s="5">
        <v>1420.0</v>
      </c>
      <c r="B1421" s="5" t="s">
        <v>2061</v>
      </c>
      <c r="C1421" s="5" t="s">
        <v>21</v>
      </c>
      <c r="K1421" s="5">
        <v>40.0</v>
      </c>
      <c r="N1421" s="9">
        <v>44210.0</v>
      </c>
    </row>
    <row r="1422">
      <c r="A1422" s="5">
        <v>1421.0</v>
      </c>
      <c r="B1422" s="5" t="s">
        <v>2062</v>
      </c>
      <c r="C1422" s="5" t="s">
        <v>21</v>
      </c>
      <c r="K1422" s="5">
        <v>200.0</v>
      </c>
      <c r="N1422" s="9">
        <v>45567.0</v>
      </c>
    </row>
    <row r="1423">
      <c r="A1423" s="5">
        <v>1422.0</v>
      </c>
      <c r="B1423" s="5" t="s">
        <v>2063</v>
      </c>
      <c r="C1423" s="5" t="s">
        <v>21</v>
      </c>
      <c r="K1423" s="5">
        <v>600.0</v>
      </c>
      <c r="N1423" s="9">
        <v>44444.0</v>
      </c>
    </row>
    <row r="1424">
      <c r="A1424" s="5">
        <v>1423.0</v>
      </c>
      <c r="B1424" s="5" t="s">
        <v>2064</v>
      </c>
      <c r="C1424" s="5" t="s">
        <v>21</v>
      </c>
      <c r="K1424" s="5">
        <v>450.0</v>
      </c>
      <c r="N1424" s="9">
        <v>45756.0</v>
      </c>
    </row>
    <row r="1425">
      <c r="A1425" s="5">
        <v>1424.0</v>
      </c>
      <c r="B1425" s="5" t="s">
        <v>2065</v>
      </c>
      <c r="C1425" s="5" t="s">
        <v>21</v>
      </c>
      <c r="K1425" s="5">
        <v>350.0</v>
      </c>
      <c r="N1425" s="9">
        <v>45170.0</v>
      </c>
    </row>
    <row r="1426">
      <c r="A1426" s="5">
        <v>1425.0</v>
      </c>
      <c r="B1426" s="5" t="s">
        <v>2066</v>
      </c>
      <c r="C1426" s="5" t="s">
        <v>21</v>
      </c>
      <c r="K1426" s="5">
        <v>100.0</v>
      </c>
      <c r="N1426" s="9">
        <v>45117.0</v>
      </c>
    </row>
    <row r="1427">
      <c r="A1427" s="5">
        <v>1426.0</v>
      </c>
      <c r="B1427" s="5" t="s">
        <v>2067</v>
      </c>
      <c r="C1427" s="5" t="s">
        <v>21</v>
      </c>
      <c r="K1427" s="5">
        <v>200.0</v>
      </c>
      <c r="N1427" s="9">
        <v>44547.0</v>
      </c>
    </row>
    <row r="1428">
      <c r="A1428" s="5">
        <v>1427.0</v>
      </c>
      <c r="B1428" s="5" t="s">
        <v>2068</v>
      </c>
      <c r="C1428" s="5" t="s">
        <v>21</v>
      </c>
      <c r="K1428" s="5">
        <v>350.0</v>
      </c>
      <c r="N1428" s="9">
        <v>45588.0</v>
      </c>
    </row>
    <row r="1429">
      <c r="A1429" s="5">
        <v>1428.0</v>
      </c>
      <c r="B1429" s="5" t="s">
        <v>2069</v>
      </c>
      <c r="C1429" s="5" t="s">
        <v>21</v>
      </c>
      <c r="K1429" s="5">
        <v>300.0</v>
      </c>
      <c r="N1429" s="9">
        <v>45312.0</v>
      </c>
    </row>
    <row r="1430">
      <c r="A1430" s="5">
        <v>1429.0</v>
      </c>
      <c r="B1430" s="5" t="s">
        <v>2070</v>
      </c>
      <c r="C1430" s="5" t="s">
        <v>21</v>
      </c>
      <c r="K1430" s="5">
        <v>250.0</v>
      </c>
      <c r="N1430" s="9">
        <v>44585.0</v>
      </c>
    </row>
    <row r="1431">
      <c r="A1431" s="5">
        <v>1430.0</v>
      </c>
      <c r="B1431" s="5" t="s">
        <v>2071</v>
      </c>
      <c r="C1431" s="5" t="s">
        <v>21</v>
      </c>
      <c r="N1431" s="9">
        <v>44903.0</v>
      </c>
    </row>
    <row r="1432">
      <c r="A1432" s="5">
        <v>1431.0</v>
      </c>
      <c r="B1432" s="5" t="s">
        <v>2072</v>
      </c>
      <c r="C1432" s="5" t="s">
        <v>21</v>
      </c>
      <c r="K1432" s="5">
        <v>500.0</v>
      </c>
      <c r="N1432" s="9">
        <v>44713.0</v>
      </c>
    </row>
    <row r="1433">
      <c r="A1433" s="5">
        <v>1432.0</v>
      </c>
      <c r="B1433" s="5" t="s">
        <v>2073</v>
      </c>
      <c r="C1433" s="5" t="s">
        <v>21</v>
      </c>
      <c r="K1433" s="5">
        <v>500.0</v>
      </c>
      <c r="N1433" s="9">
        <v>44756.0</v>
      </c>
    </row>
    <row r="1434">
      <c r="A1434" s="5">
        <v>1433.0</v>
      </c>
      <c r="B1434" s="5" t="s">
        <v>2074</v>
      </c>
      <c r="C1434" s="5" t="s">
        <v>21</v>
      </c>
      <c r="K1434" s="5">
        <v>700.0</v>
      </c>
      <c r="N1434" s="9">
        <v>44289.0</v>
      </c>
    </row>
    <row r="1435">
      <c r="A1435" s="5">
        <v>1434.0</v>
      </c>
      <c r="B1435" s="5" t="s">
        <v>2075</v>
      </c>
      <c r="C1435" s="5" t="s">
        <v>21</v>
      </c>
      <c r="K1435" s="5">
        <v>100.0</v>
      </c>
      <c r="N1435" s="9">
        <v>44989.0</v>
      </c>
    </row>
    <row r="1436">
      <c r="A1436" s="5">
        <v>1435.0</v>
      </c>
      <c r="B1436" s="5" t="s">
        <v>2076</v>
      </c>
      <c r="C1436" s="5" t="s">
        <v>21</v>
      </c>
      <c r="K1436" s="5">
        <v>3800.0</v>
      </c>
      <c r="N1436" s="9">
        <v>44414.0</v>
      </c>
    </row>
    <row r="1437">
      <c r="A1437" s="5">
        <v>1436.0</v>
      </c>
      <c r="B1437" s="5" t="s">
        <v>2077</v>
      </c>
      <c r="C1437" s="5" t="s">
        <v>21</v>
      </c>
      <c r="K1437" s="5">
        <v>4600.0</v>
      </c>
      <c r="N1437" s="9">
        <v>44094.0</v>
      </c>
    </row>
    <row r="1438">
      <c r="A1438" s="5">
        <v>1437.0</v>
      </c>
      <c r="B1438" s="5" t="s">
        <v>2078</v>
      </c>
      <c r="C1438" s="5" t="s">
        <v>21</v>
      </c>
      <c r="K1438" s="5">
        <v>50.0</v>
      </c>
      <c r="N1438" s="9">
        <v>44735.0</v>
      </c>
    </row>
    <row r="1439">
      <c r="A1439" s="5">
        <v>1438.0</v>
      </c>
      <c r="B1439" s="5" t="s">
        <v>2079</v>
      </c>
      <c r="C1439" s="5" t="s">
        <v>21</v>
      </c>
      <c r="K1439" s="5">
        <v>10.0</v>
      </c>
      <c r="N1439" s="9">
        <v>45368.0</v>
      </c>
    </row>
    <row r="1440">
      <c r="A1440" s="5">
        <v>1439.0</v>
      </c>
      <c r="B1440" s="5" t="s">
        <v>2080</v>
      </c>
      <c r="C1440" s="5" t="s">
        <v>21</v>
      </c>
      <c r="K1440" s="5">
        <v>900.0</v>
      </c>
      <c r="N1440" s="9">
        <v>45472.0</v>
      </c>
    </row>
    <row r="1441">
      <c r="A1441" s="5">
        <v>1440.0</v>
      </c>
      <c r="B1441" s="5" t="s">
        <v>2081</v>
      </c>
      <c r="C1441" s="5" t="s">
        <v>21</v>
      </c>
      <c r="K1441" s="5">
        <v>100.0</v>
      </c>
      <c r="N1441" s="9">
        <v>43841.0</v>
      </c>
    </row>
    <row r="1442">
      <c r="A1442" s="5">
        <v>1441.0</v>
      </c>
      <c r="B1442" s="5" t="s">
        <v>2082</v>
      </c>
      <c r="C1442" s="5" t="s">
        <v>21</v>
      </c>
      <c r="K1442" s="5">
        <v>2000.0</v>
      </c>
      <c r="N1442" s="9">
        <v>44152.0</v>
      </c>
    </row>
    <row r="1443">
      <c r="A1443" s="5">
        <v>1442.0</v>
      </c>
      <c r="B1443" s="5" t="s">
        <v>2083</v>
      </c>
      <c r="C1443" s="5" t="s">
        <v>21</v>
      </c>
      <c r="K1443" s="5">
        <v>800.0</v>
      </c>
      <c r="N1443" s="9">
        <v>45349.0</v>
      </c>
    </row>
    <row r="1444">
      <c r="A1444" s="5">
        <v>1443.0</v>
      </c>
      <c r="B1444" s="5" t="s">
        <v>2084</v>
      </c>
      <c r="C1444" s="5" t="s">
        <v>21</v>
      </c>
      <c r="K1444" s="5">
        <v>40.0</v>
      </c>
      <c r="N1444" s="9">
        <v>45162.0</v>
      </c>
    </row>
    <row r="1445">
      <c r="A1445" s="5">
        <v>1444.0</v>
      </c>
      <c r="B1445" s="5" t="s">
        <v>2085</v>
      </c>
      <c r="C1445" s="5" t="s">
        <v>21</v>
      </c>
      <c r="K1445" s="5">
        <v>150.0</v>
      </c>
      <c r="N1445" s="9">
        <v>44524.0</v>
      </c>
    </row>
    <row r="1446">
      <c r="A1446" s="5">
        <v>1445.0</v>
      </c>
      <c r="B1446" s="5" t="s">
        <v>2086</v>
      </c>
      <c r="C1446" s="5" t="s">
        <v>21</v>
      </c>
      <c r="K1446" s="5">
        <v>1200.0</v>
      </c>
      <c r="N1446" s="9">
        <v>44546.0</v>
      </c>
    </row>
    <row r="1447">
      <c r="A1447" s="5">
        <v>1446.0</v>
      </c>
      <c r="B1447" s="5" t="s">
        <v>2087</v>
      </c>
      <c r="C1447" s="5" t="s">
        <v>21</v>
      </c>
      <c r="K1447" s="5">
        <v>10.0</v>
      </c>
      <c r="N1447" s="9">
        <v>44610.0</v>
      </c>
    </row>
    <row r="1448">
      <c r="A1448" s="5">
        <v>1447.0</v>
      </c>
      <c r="B1448" s="5" t="s">
        <v>2088</v>
      </c>
      <c r="C1448" s="5" t="s">
        <v>21</v>
      </c>
      <c r="K1448" s="5">
        <v>4200.0</v>
      </c>
      <c r="N1448" s="9">
        <v>44676.0</v>
      </c>
    </row>
    <row r="1449">
      <c r="A1449" s="5">
        <v>1448.0</v>
      </c>
      <c r="B1449" s="5" t="s">
        <v>2089</v>
      </c>
      <c r="C1449" s="5" t="s">
        <v>21</v>
      </c>
      <c r="K1449" s="5">
        <v>7800.0</v>
      </c>
      <c r="N1449" s="9">
        <v>44154.0</v>
      </c>
    </row>
    <row r="1450">
      <c r="A1450" s="5">
        <v>1449.0</v>
      </c>
      <c r="B1450" s="5" t="s">
        <v>2090</v>
      </c>
      <c r="C1450" s="5" t="s">
        <v>21</v>
      </c>
      <c r="K1450" s="5">
        <v>100.0</v>
      </c>
      <c r="N1450" s="9">
        <v>44521.0</v>
      </c>
    </row>
    <row r="1451">
      <c r="A1451" s="5">
        <v>1450.0</v>
      </c>
      <c r="B1451" s="5" t="s">
        <v>2091</v>
      </c>
      <c r="C1451" s="5" t="s">
        <v>21</v>
      </c>
      <c r="K1451" s="5">
        <v>500.0</v>
      </c>
      <c r="N1451" s="9">
        <v>43867.0</v>
      </c>
    </row>
    <row r="1452">
      <c r="A1452" s="5">
        <v>1451.0</v>
      </c>
      <c r="B1452" s="5" t="s">
        <v>2092</v>
      </c>
      <c r="C1452" s="5" t="s">
        <v>21</v>
      </c>
      <c r="N1452" s="9">
        <v>44544.0</v>
      </c>
    </row>
    <row r="1453">
      <c r="A1453" s="5">
        <v>1452.0</v>
      </c>
      <c r="B1453" s="5" t="s">
        <v>2093</v>
      </c>
      <c r="C1453" s="5" t="s">
        <v>21</v>
      </c>
      <c r="K1453" s="5">
        <v>1500.0</v>
      </c>
      <c r="N1453" s="9">
        <v>43993.0</v>
      </c>
    </row>
    <row r="1454">
      <c r="A1454" s="5">
        <v>1453.0</v>
      </c>
      <c r="B1454" s="5" t="s">
        <v>64</v>
      </c>
      <c r="C1454" s="5" t="s">
        <v>21</v>
      </c>
      <c r="K1454" s="5">
        <v>2900.0</v>
      </c>
      <c r="N1454" s="9">
        <v>45686.0</v>
      </c>
    </row>
    <row r="1455">
      <c r="A1455" s="5">
        <v>1454.0</v>
      </c>
      <c r="B1455" s="5" t="s">
        <v>2094</v>
      </c>
      <c r="C1455" s="5" t="s">
        <v>21</v>
      </c>
      <c r="K1455" s="5">
        <v>10.0</v>
      </c>
      <c r="N1455" s="9">
        <v>44522.0</v>
      </c>
    </row>
    <row r="1456">
      <c r="A1456" s="5">
        <v>1455.0</v>
      </c>
      <c r="B1456" s="5" t="s">
        <v>2095</v>
      </c>
      <c r="C1456" s="5" t="s">
        <v>21</v>
      </c>
      <c r="K1456" s="5">
        <v>3700.0</v>
      </c>
      <c r="N1456" s="9">
        <v>44750.0</v>
      </c>
    </row>
    <row r="1457">
      <c r="A1457" s="5">
        <v>1456.0</v>
      </c>
      <c r="B1457" s="5" t="s">
        <v>2096</v>
      </c>
      <c r="C1457" s="5" t="s">
        <v>21</v>
      </c>
      <c r="K1457" s="5">
        <v>150.0</v>
      </c>
      <c r="N1457" s="9">
        <v>44397.0</v>
      </c>
    </row>
    <row r="1458">
      <c r="A1458" s="5">
        <v>1457.0</v>
      </c>
      <c r="B1458" s="5" t="s">
        <v>2097</v>
      </c>
      <c r="C1458" s="5" t="s">
        <v>21</v>
      </c>
      <c r="K1458" s="5">
        <v>10.0</v>
      </c>
      <c r="N1458" s="9">
        <v>45071.0</v>
      </c>
    </row>
    <row r="1459">
      <c r="A1459" s="5">
        <v>1458.0</v>
      </c>
      <c r="B1459" s="5" t="s">
        <v>2098</v>
      </c>
      <c r="C1459" s="5" t="s">
        <v>21</v>
      </c>
      <c r="K1459" s="5">
        <v>10.0</v>
      </c>
      <c r="N1459" s="9">
        <v>44580.0</v>
      </c>
    </row>
    <row r="1460">
      <c r="A1460" s="5">
        <v>1459.0</v>
      </c>
      <c r="B1460" s="5" t="s">
        <v>2099</v>
      </c>
      <c r="C1460" s="5" t="s">
        <v>21</v>
      </c>
      <c r="K1460" s="5">
        <v>200.0</v>
      </c>
      <c r="N1460" s="9">
        <v>45310.0</v>
      </c>
    </row>
    <row r="1461">
      <c r="A1461" s="5">
        <v>1460.0</v>
      </c>
      <c r="B1461" s="5" t="s">
        <v>2100</v>
      </c>
      <c r="C1461" s="5" t="s">
        <v>21</v>
      </c>
      <c r="K1461" s="5">
        <v>500.0</v>
      </c>
      <c r="N1461" s="9">
        <v>45612.0</v>
      </c>
    </row>
    <row r="1462">
      <c r="A1462" s="5">
        <v>1461.0</v>
      </c>
      <c r="B1462" s="5" t="s">
        <v>2101</v>
      </c>
      <c r="C1462" s="5" t="s">
        <v>21</v>
      </c>
      <c r="K1462" s="5">
        <v>200.0</v>
      </c>
      <c r="N1462" s="9">
        <v>44752.0</v>
      </c>
    </row>
    <row r="1463">
      <c r="A1463" s="5">
        <v>1462.0</v>
      </c>
      <c r="B1463" s="5" t="s">
        <v>2102</v>
      </c>
      <c r="C1463" s="5" t="s">
        <v>21</v>
      </c>
      <c r="K1463" s="5">
        <v>350.0</v>
      </c>
      <c r="N1463" s="9">
        <v>44727.0</v>
      </c>
    </row>
    <row r="1464">
      <c r="A1464" s="5">
        <v>1463.0</v>
      </c>
      <c r="B1464" s="5" t="s">
        <v>2103</v>
      </c>
      <c r="C1464" s="5" t="s">
        <v>21</v>
      </c>
      <c r="K1464" s="5">
        <v>150.0</v>
      </c>
      <c r="N1464" s="9">
        <v>44617.0</v>
      </c>
    </row>
    <row r="1465">
      <c r="A1465" s="5">
        <v>1464.0</v>
      </c>
      <c r="B1465" s="5" t="s">
        <v>2104</v>
      </c>
      <c r="C1465" s="5" t="s">
        <v>21</v>
      </c>
      <c r="K1465" s="5">
        <v>1200.0</v>
      </c>
      <c r="N1465" s="9">
        <v>44548.0</v>
      </c>
    </row>
    <row r="1466">
      <c r="A1466" s="5">
        <v>1465.0</v>
      </c>
      <c r="B1466" s="5" t="s">
        <v>2105</v>
      </c>
      <c r="C1466" s="5" t="s">
        <v>21</v>
      </c>
      <c r="K1466" s="5">
        <v>350.0</v>
      </c>
      <c r="N1466" s="9">
        <v>45242.0</v>
      </c>
    </row>
    <row r="1467">
      <c r="A1467" s="5">
        <v>1466.0</v>
      </c>
      <c r="B1467" s="5" t="s">
        <v>2106</v>
      </c>
      <c r="C1467" s="5" t="s">
        <v>21</v>
      </c>
      <c r="K1467" s="5">
        <v>1300.0</v>
      </c>
      <c r="N1467" s="9">
        <v>45660.0</v>
      </c>
    </row>
    <row r="1468">
      <c r="A1468" s="5">
        <v>1467.0</v>
      </c>
      <c r="B1468" s="5" t="s">
        <v>2107</v>
      </c>
      <c r="C1468" s="5" t="s">
        <v>21</v>
      </c>
      <c r="K1468" s="5">
        <v>70.0</v>
      </c>
      <c r="N1468" s="9">
        <v>44539.0</v>
      </c>
    </row>
    <row r="1469">
      <c r="A1469" s="5">
        <v>1468.0</v>
      </c>
      <c r="B1469" s="5" t="s">
        <v>2108</v>
      </c>
      <c r="C1469" s="5" t="s">
        <v>21</v>
      </c>
      <c r="K1469" s="5">
        <v>500.0</v>
      </c>
      <c r="N1469" s="9">
        <v>44623.0</v>
      </c>
    </row>
    <row r="1470">
      <c r="A1470" s="5">
        <v>1469.0</v>
      </c>
      <c r="B1470" s="5" t="s">
        <v>2109</v>
      </c>
      <c r="C1470" s="5" t="s">
        <v>21</v>
      </c>
      <c r="K1470" s="5">
        <v>250.0</v>
      </c>
      <c r="N1470" s="9">
        <v>44842.0</v>
      </c>
    </row>
    <row r="1471">
      <c r="A1471" s="5">
        <v>1470.0</v>
      </c>
      <c r="B1471" s="5" t="s">
        <v>2110</v>
      </c>
      <c r="C1471" s="5" t="s">
        <v>21</v>
      </c>
      <c r="K1471" s="5">
        <v>500.0</v>
      </c>
      <c r="N1471" s="9">
        <v>44876.0</v>
      </c>
    </row>
    <row r="1472">
      <c r="A1472" s="5">
        <v>1471.0</v>
      </c>
      <c r="B1472" s="5" t="s">
        <v>2111</v>
      </c>
      <c r="C1472" s="5" t="s">
        <v>21</v>
      </c>
      <c r="K1472" s="5">
        <v>200.0</v>
      </c>
      <c r="N1472" s="9">
        <v>44603.0</v>
      </c>
    </row>
    <row r="1473">
      <c r="A1473" s="5">
        <v>1472.0</v>
      </c>
      <c r="B1473" s="5" t="s">
        <v>2112</v>
      </c>
      <c r="C1473" s="5" t="s">
        <v>21</v>
      </c>
      <c r="N1473" s="9">
        <v>44120.0</v>
      </c>
    </row>
    <row r="1474">
      <c r="A1474" s="5">
        <v>1473.0</v>
      </c>
      <c r="B1474" s="5" t="s">
        <v>2113</v>
      </c>
      <c r="C1474" s="5" t="s">
        <v>21</v>
      </c>
      <c r="K1474" s="5">
        <v>500.0</v>
      </c>
      <c r="N1474" s="9">
        <v>44731.0</v>
      </c>
    </row>
    <row r="1475">
      <c r="A1475" s="5">
        <v>1474.0</v>
      </c>
      <c r="B1475" s="5" t="s">
        <v>2114</v>
      </c>
      <c r="C1475" s="5" t="s">
        <v>21</v>
      </c>
      <c r="K1475" s="5">
        <v>2000.0</v>
      </c>
      <c r="N1475" s="9">
        <v>44546.0</v>
      </c>
    </row>
    <row r="1476">
      <c r="A1476" s="5">
        <v>1475.0</v>
      </c>
      <c r="B1476" s="5" t="s">
        <v>2115</v>
      </c>
      <c r="C1476" s="5" t="s">
        <v>21</v>
      </c>
      <c r="K1476" s="5">
        <v>800.0</v>
      </c>
      <c r="N1476" s="9">
        <v>44744.0</v>
      </c>
    </row>
    <row r="1477">
      <c r="A1477" s="5">
        <v>1476.0</v>
      </c>
      <c r="B1477" s="5" t="s">
        <v>2116</v>
      </c>
      <c r="C1477" s="5" t="s">
        <v>21</v>
      </c>
      <c r="K1477" s="5">
        <v>1200.0</v>
      </c>
      <c r="N1477" s="9">
        <v>44157.0</v>
      </c>
    </row>
    <row r="1478">
      <c r="A1478" s="5">
        <v>1477.0</v>
      </c>
      <c r="B1478" s="5" t="s">
        <v>2117</v>
      </c>
      <c r="C1478" s="5" t="s">
        <v>21</v>
      </c>
      <c r="K1478" s="5">
        <v>20.0</v>
      </c>
      <c r="N1478" s="9">
        <v>44578.0</v>
      </c>
    </row>
    <row r="1479">
      <c r="A1479" s="5">
        <v>1478.0</v>
      </c>
      <c r="B1479" s="5" t="s">
        <v>2118</v>
      </c>
      <c r="C1479" s="5" t="s">
        <v>21</v>
      </c>
      <c r="K1479" s="5">
        <v>80.0</v>
      </c>
      <c r="N1479" s="9">
        <v>44459.0</v>
      </c>
    </row>
    <row r="1480">
      <c r="A1480" s="5">
        <v>1479.0</v>
      </c>
      <c r="B1480" s="5" t="s">
        <v>2119</v>
      </c>
      <c r="C1480" s="5" t="s">
        <v>21</v>
      </c>
      <c r="K1480" s="5">
        <v>30.0</v>
      </c>
      <c r="N1480" s="9">
        <v>44909.0</v>
      </c>
    </row>
    <row r="1481">
      <c r="A1481" s="5">
        <v>1480.0</v>
      </c>
      <c r="B1481" s="5" t="s">
        <v>2120</v>
      </c>
      <c r="C1481" s="5" t="s">
        <v>21</v>
      </c>
      <c r="N1481" s="9">
        <v>42945.0</v>
      </c>
    </row>
    <row r="1482">
      <c r="A1482" s="5">
        <v>1481.0</v>
      </c>
      <c r="B1482" s="5" t="s">
        <v>2121</v>
      </c>
      <c r="C1482" s="5" t="s">
        <v>21</v>
      </c>
      <c r="K1482" s="5">
        <v>4600.0</v>
      </c>
      <c r="N1482" s="9">
        <v>44726.0</v>
      </c>
    </row>
    <row r="1483">
      <c r="A1483" s="5">
        <v>1482.0</v>
      </c>
      <c r="B1483" s="5" t="s">
        <v>2122</v>
      </c>
      <c r="C1483" s="5" t="s">
        <v>21</v>
      </c>
      <c r="K1483" s="5">
        <v>800.0</v>
      </c>
      <c r="N1483" s="9">
        <v>44333.0</v>
      </c>
    </row>
    <row r="1484">
      <c r="A1484" s="5">
        <v>1483.0</v>
      </c>
      <c r="B1484" s="5" t="s">
        <v>2123</v>
      </c>
      <c r="C1484" s="5" t="s">
        <v>21</v>
      </c>
      <c r="K1484" s="5">
        <v>200.0</v>
      </c>
      <c r="N1484" s="9">
        <v>44536.0</v>
      </c>
    </row>
    <row r="1485">
      <c r="A1485" s="5">
        <v>1484.0</v>
      </c>
      <c r="B1485" s="5" t="s">
        <v>2124</v>
      </c>
      <c r="C1485" s="5" t="s">
        <v>21</v>
      </c>
      <c r="K1485" s="5">
        <v>450.0</v>
      </c>
      <c r="N1485" s="9">
        <v>44676.0</v>
      </c>
    </row>
    <row r="1486">
      <c r="A1486" s="5">
        <v>1485.0</v>
      </c>
      <c r="B1486" s="5" t="s">
        <v>2125</v>
      </c>
      <c r="C1486" s="5" t="s">
        <v>21</v>
      </c>
      <c r="K1486" s="5">
        <v>3400.0</v>
      </c>
      <c r="N1486" s="9">
        <v>44083.0</v>
      </c>
    </row>
    <row r="1487">
      <c r="A1487" s="5">
        <v>1486.0</v>
      </c>
      <c r="B1487" s="5" t="s">
        <v>2126</v>
      </c>
      <c r="C1487" s="5" t="s">
        <v>21</v>
      </c>
      <c r="K1487" s="5">
        <v>1900.0</v>
      </c>
      <c r="N1487" s="9">
        <v>43858.0</v>
      </c>
    </row>
    <row r="1488">
      <c r="A1488" s="5">
        <v>1487.0</v>
      </c>
      <c r="B1488" s="5" t="s">
        <v>2127</v>
      </c>
      <c r="C1488" s="5" t="s">
        <v>21</v>
      </c>
      <c r="K1488" s="5">
        <v>50.0</v>
      </c>
      <c r="N1488" s="9">
        <v>43971.0</v>
      </c>
    </row>
    <row r="1489">
      <c r="A1489" s="5">
        <v>1488.0</v>
      </c>
      <c r="B1489" s="5" t="s">
        <v>2128</v>
      </c>
      <c r="C1489" s="5" t="s">
        <v>21</v>
      </c>
      <c r="N1489" s="9">
        <v>44518.0</v>
      </c>
    </row>
    <row r="1490">
      <c r="A1490" s="5">
        <v>1489.0</v>
      </c>
      <c r="B1490" s="5" t="s">
        <v>2129</v>
      </c>
      <c r="C1490" s="5" t="s">
        <v>21</v>
      </c>
      <c r="K1490" s="5">
        <v>450.0</v>
      </c>
      <c r="N1490" s="9">
        <v>44951.0</v>
      </c>
    </row>
    <row r="1491">
      <c r="A1491" s="5">
        <v>1490.0</v>
      </c>
      <c r="B1491" s="5" t="s">
        <v>2130</v>
      </c>
      <c r="C1491" s="5" t="s">
        <v>21</v>
      </c>
      <c r="K1491" s="5">
        <v>800.0</v>
      </c>
      <c r="N1491" s="9">
        <v>44334.0</v>
      </c>
    </row>
    <row r="1492">
      <c r="A1492" s="5">
        <v>1491.0</v>
      </c>
      <c r="B1492" s="5" t="s">
        <v>2131</v>
      </c>
      <c r="C1492" s="5" t="s">
        <v>21</v>
      </c>
      <c r="K1492" s="5">
        <v>50.0</v>
      </c>
      <c r="N1492" s="9">
        <v>44550.0</v>
      </c>
    </row>
    <row r="1493">
      <c r="A1493" s="5">
        <v>1492.0</v>
      </c>
      <c r="B1493" s="5" t="s">
        <v>2132</v>
      </c>
      <c r="C1493" s="5" t="s">
        <v>21</v>
      </c>
      <c r="K1493" s="5">
        <v>700.0</v>
      </c>
      <c r="N1493" s="9">
        <v>44406.0</v>
      </c>
    </row>
    <row r="1494">
      <c r="A1494" s="5">
        <v>1493.0</v>
      </c>
      <c r="B1494" s="5" t="s">
        <v>2133</v>
      </c>
      <c r="C1494" s="5" t="s">
        <v>21</v>
      </c>
      <c r="N1494" s="9">
        <v>45034.0</v>
      </c>
    </row>
    <row r="1495">
      <c r="A1495" s="5">
        <v>1494.0</v>
      </c>
      <c r="B1495" s="5" t="s">
        <v>2134</v>
      </c>
      <c r="C1495" s="5" t="s">
        <v>21</v>
      </c>
      <c r="K1495" s="5">
        <v>900.0</v>
      </c>
      <c r="N1495" s="9">
        <v>44568.0</v>
      </c>
    </row>
    <row r="1496">
      <c r="A1496" s="5">
        <v>1495.0</v>
      </c>
      <c r="B1496" s="5" t="s">
        <v>2135</v>
      </c>
      <c r="C1496" s="5" t="s">
        <v>21</v>
      </c>
      <c r="N1496" s="9">
        <v>44720.0</v>
      </c>
    </row>
    <row r="1497">
      <c r="A1497" s="5">
        <v>1496.0</v>
      </c>
      <c r="B1497" s="5" t="s">
        <v>2136</v>
      </c>
      <c r="C1497" s="5" t="s">
        <v>21</v>
      </c>
      <c r="K1497" s="5">
        <v>70.0</v>
      </c>
      <c r="N1497" s="9">
        <v>44870.0</v>
      </c>
    </row>
    <row r="1498">
      <c r="A1498" s="5">
        <v>1497.0</v>
      </c>
      <c r="B1498" s="5" t="s">
        <v>2137</v>
      </c>
      <c r="C1498" s="5" t="s">
        <v>21</v>
      </c>
      <c r="K1498" s="5">
        <v>350.0</v>
      </c>
      <c r="N1498" s="9">
        <v>44284.0</v>
      </c>
    </row>
    <row r="1499">
      <c r="A1499" s="5">
        <v>1498.0</v>
      </c>
      <c r="B1499" s="5" t="s">
        <v>2138</v>
      </c>
      <c r="C1499" s="5" t="s">
        <v>21</v>
      </c>
      <c r="K1499" s="5">
        <v>250.0</v>
      </c>
      <c r="N1499" s="9">
        <v>45102.0</v>
      </c>
    </row>
    <row r="1500">
      <c r="A1500" s="5">
        <v>1499.0</v>
      </c>
      <c r="B1500" s="5" t="s">
        <v>2139</v>
      </c>
      <c r="C1500" s="5" t="s">
        <v>21</v>
      </c>
      <c r="K1500" s="5">
        <v>1200.0</v>
      </c>
      <c r="N1500" s="9">
        <v>45625.0</v>
      </c>
    </row>
    <row r="1501">
      <c r="A1501" s="5">
        <v>1500.0</v>
      </c>
      <c r="B1501" s="5" t="s">
        <v>2140</v>
      </c>
      <c r="C1501" s="5" t="s">
        <v>21</v>
      </c>
      <c r="K1501" s="5">
        <v>200.0</v>
      </c>
      <c r="N1501" s="9">
        <v>44573.0</v>
      </c>
    </row>
    <row r="1502">
      <c r="A1502" s="5">
        <v>1501.0</v>
      </c>
      <c r="B1502" s="5" t="s">
        <v>2141</v>
      </c>
      <c r="C1502" s="5" t="s">
        <v>21</v>
      </c>
      <c r="K1502" s="5">
        <v>2800.0</v>
      </c>
      <c r="N1502" s="9">
        <v>43927.0</v>
      </c>
    </row>
    <row r="1503">
      <c r="A1503" s="5">
        <v>1502.0</v>
      </c>
      <c r="B1503" s="5" t="s">
        <v>2142</v>
      </c>
      <c r="C1503" s="5" t="s">
        <v>21</v>
      </c>
      <c r="K1503" s="5">
        <v>500.0</v>
      </c>
      <c r="N1503" s="9">
        <v>43895.0</v>
      </c>
    </row>
    <row r="1504">
      <c r="A1504" s="5">
        <v>1503.0</v>
      </c>
      <c r="B1504" s="5" t="s">
        <v>2143</v>
      </c>
      <c r="C1504" s="5" t="s">
        <v>21</v>
      </c>
      <c r="K1504" s="5">
        <v>2400.0</v>
      </c>
      <c r="N1504" s="9">
        <v>44046.0</v>
      </c>
    </row>
    <row r="1505">
      <c r="A1505" s="5">
        <v>1504.0</v>
      </c>
      <c r="B1505" s="5" t="s">
        <v>2144</v>
      </c>
      <c r="C1505" s="5" t="s">
        <v>21</v>
      </c>
      <c r="K1505" s="5">
        <v>1800.0</v>
      </c>
      <c r="N1505" s="9">
        <v>44212.0</v>
      </c>
    </row>
    <row r="1506">
      <c r="A1506" s="5">
        <v>1505.0</v>
      </c>
      <c r="B1506" s="5" t="s">
        <v>2145</v>
      </c>
      <c r="C1506" s="5" t="s">
        <v>21</v>
      </c>
      <c r="K1506" s="5">
        <v>350.0</v>
      </c>
      <c r="N1506" s="9">
        <v>44535.0</v>
      </c>
    </row>
    <row r="1507">
      <c r="A1507" s="5">
        <v>1506.0</v>
      </c>
      <c r="B1507" s="5" t="s">
        <v>2146</v>
      </c>
      <c r="C1507" s="5" t="s">
        <v>21</v>
      </c>
      <c r="N1507" s="9">
        <v>45034.0</v>
      </c>
    </row>
    <row r="1508">
      <c r="A1508" s="5">
        <v>1507.0</v>
      </c>
      <c r="B1508" s="5" t="s">
        <v>2147</v>
      </c>
      <c r="C1508" s="5" t="s">
        <v>21</v>
      </c>
      <c r="K1508" s="5">
        <v>150.0</v>
      </c>
      <c r="N1508" s="9">
        <v>44655.0</v>
      </c>
    </row>
    <row r="1509">
      <c r="A1509" s="5">
        <v>1508.0</v>
      </c>
      <c r="B1509" s="5" t="s">
        <v>2148</v>
      </c>
      <c r="C1509" s="5" t="s">
        <v>21</v>
      </c>
      <c r="K1509" s="5">
        <v>150.0</v>
      </c>
      <c r="N1509" s="9">
        <v>44113.0</v>
      </c>
    </row>
    <row r="1510">
      <c r="A1510" s="5">
        <v>1509.0</v>
      </c>
      <c r="B1510" s="5" t="s">
        <v>2149</v>
      </c>
      <c r="C1510" s="5" t="s">
        <v>21</v>
      </c>
      <c r="N1510" s="9">
        <v>44518.0</v>
      </c>
    </row>
    <row r="1511">
      <c r="A1511" s="5">
        <v>1510.0</v>
      </c>
      <c r="B1511" s="5" t="s">
        <v>2150</v>
      </c>
      <c r="C1511" s="5" t="s">
        <v>21</v>
      </c>
      <c r="K1511" s="5">
        <v>700.0</v>
      </c>
      <c r="N1511" s="9">
        <v>44572.0</v>
      </c>
    </row>
    <row r="1512">
      <c r="A1512" s="5">
        <v>1511.0</v>
      </c>
      <c r="B1512" s="5" t="s">
        <v>67</v>
      </c>
      <c r="C1512" s="5" t="s">
        <v>21</v>
      </c>
      <c r="K1512" s="5">
        <v>10.0</v>
      </c>
      <c r="N1512" s="9">
        <v>44515.0</v>
      </c>
    </row>
    <row r="1513">
      <c r="A1513" s="5">
        <v>1512.0</v>
      </c>
      <c r="B1513" s="5" t="s">
        <v>2151</v>
      </c>
      <c r="C1513" s="5" t="s">
        <v>21</v>
      </c>
      <c r="K1513" s="5">
        <v>3000.0</v>
      </c>
      <c r="N1513" s="9">
        <v>43868.0</v>
      </c>
    </row>
    <row r="1514">
      <c r="A1514" s="5">
        <v>1513.0</v>
      </c>
      <c r="B1514" s="5" t="s">
        <v>2152</v>
      </c>
      <c r="C1514" s="5" t="s">
        <v>21</v>
      </c>
      <c r="K1514" s="5">
        <v>20.0</v>
      </c>
      <c r="N1514" s="9">
        <v>45503.0</v>
      </c>
    </row>
    <row r="1515">
      <c r="A1515" s="5">
        <v>1514.0</v>
      </c>
      <c r="B1515" s="5" t="s">
        <v>2153</v>
      </c>
      <c r="C1515" s="5" t="s">
        <v>21</v>
      </c>
      <c r="K1515" s="5">
        <v>200.0</v>
      </c>
      <c r="N1515" s="9">
        <v>43951.0</v>
      </c>
    </row>
    <row r="1516">
      <c r="A1516" s="5">
        <v>1515.0</v>
      </c>
      <c r="B1516" s="5" t="s">
        <v>2154</v>
      </c>
      <c r="C1516" s="5" t="s">
        <v>21</v>
      </c>
      <c r="K1516" s="5">
        <v>350.0</v>
      </c>
      <c r="N1516" s="9">
        <v>44115.0</v>
      </c>
    </row>
    <row r="1517">
      <c r="A1517" s="5">
        <v>1516.0</v>
      </c>
      <c r="B1517" s="5" t="s">
        <v>2155</v>
      </c>
      <c r="C1517" s="5" t="s">
        <v>21</v>
      </c>
      <c r="K1517" s="5">
        <v>16000.0</v>
      </c>
      <c r="N1517" s="9">
        <v>44210.0</v>
      </c>
    </row>
    <row r="1518">
      <c r="A1518" s="5">
        <v>1517.0</v>
      </c>
      <c r="B1518" s="5" t="s">
        <v>2156</v>
      </c>
      <c r="C1518" s="5" t="s">
        <v>21</v>
      </c>
      <c r="K1518" s="5">
        <v>150.0</v>
      </c>
      <c r="N1518" s="9">
        <v>45198.0</v>
      </c>
    </row>
    <row r="1519">
      <c r="A1519" s="5">
        <v>1518.0</v>
      </c>
      <c r="B1519" s="5" t="s">
        <v>2157</v>
      </c>
      <c r="C1519" s="5" t="s">
        <v>21</v>
      </c>
      <c r="K1519" s="5">
        <v>300.0</v>
      </c>
      <c r="N1519" s="9">
        <v>44532.0</v>
      </c>
    </row>
    <row r="1520">
      <c r="A1520" s="5">
        <v>1519.0</v>
      </c>
      <c r="B1520" s="5" t="s">
        <v>2158</v>
      </c>
      <c r="C1520" s="5" t="s">
        <v>21</v>
      </c>
      <c r="K1520" s="5">
        <v>500.0</v>
      </c>
      <c r="N1520" s="9">
        <v>46020.0</v>
      </c>
    </row>
    <row r="1521">
      <c r="A1521" s="5">
        <v>1520.0</v>
      </c>
      <c r="B1521" s="5" t="s">
        <v>2159</v>
      </c>
      <c r="C1521" s="5" t="s">
        <v>21</v>
      </c>
      <c r="K1521" s="5">
        <v>1000.0</v>
      </c>
      <c r="N1521" s="9">
        <v>44132.0</v>
      </c>
    </row>
    <row r="1522">
      <c r="A1522" s="5">
        <v>1521.0</v>
      </c>
      <c r="B1522" s="5" t="s">
        <v>2160</v>
      </c>
      <c r="C1522" s="5" t="s">
        <v>21</v>
      </c>
      <c r="K1522" s="5">
        <v>900.0</v>
      </c>
      <c r="N1522" s="9">
        <v>43873.0</v>
      </c>
    </row>
    <row r="1523">
      <c r="A1523" s="5">
        <v>1522.0</v>
      </c>
      <c r="B1523" s="5" t="s">
        <v>2161</v>
      </c>
      <c r="C1523" s="5" t="s">
        <v>21</v>
      </c>
      <c r="K1523" s="5">
        <v>600.0</v>
      </c>
      <c r="N1523" s="9">
        <v>44549.0</v>
      </c>
    </row>
    <row r="1524">
      <c r="A1524" s="5">
        <v>1523.0</v>
      </c>
      <c r="B1524" s="5" t="s">
        <v>2162</v>
      </c>
      <c r="C1524" s="5" t="s">
        <v>21</v>
      </c>
      <c r="K1524" s="5">
        <v>30.0</v>
      </c>
      <c r="N1524" s="9">
        <v>44588.0</v>
      </c>
    </row>
    <row r="1525">
      <c r="A1525" s="5">
        <v>1524.0</v>
      </c>
      <c r="B1525" s="5" t="s">
        <v>2163</v>
      </c>
      <c r="C1525" s="5" t="s">
        <v>21</v>
      </c>
      <c r="K1525" s="5">
        <v>500.0</v>
      </c>
      <c r="N1525" s="9">
        <v>44583.0</v>
      </c>
    </row>
    <row r="1526">
      <c r="A1526" s="5">
        <v>1525.0</v>
      </c>
      <c r="B1526" s="5" t="s">
        <v>2164</v>
      </c>
      <c r="C1526" s="5" t="s">
        <v>21</v>
      </c>
      <c r="K1526" s="5">
        <v>500.0</v>
      </c>
      <c r="N1526" s="9">
        <v>45046.0</v>
      </c>
    </row>
    <row r="1527">
      <c r="A1527" s="5">
        <v>1526.0</v>
      </c>
      <c r="B1527" s="5" t="s">
        <v>2165</v>
      </c>
      <c r="C1527" s="5" t="s">
        <v>21</v>
      </c>
      <c r="K1527" s="5">
        <v>1300.0</v>
      </c>
      <c r="N1527" s="9">
        <v>44774.0</v>
      </c>
    </row>
    <row r="1528">
      <c r="A1528" s="5">
        <v>1527.0</v>
      </c>
      <c r="B1528" s="5" t="s">
        <v>2166</v>
      </c>
      <c r="C1528" s="5" t="s">
        <v>21</v>
      </c>
      <c r="K1528" s="5">
        <v>300.0</v>
      </c>
      <c r="N1528" s="9">
        <v>44774.0</v>
      </c>
    </row>
    <row r="1529">
      <c r="A1529" s="5">
        <v>1528.0</v>
      </c>
      <c r="B1529" s="5" t="s">
        <v>2167</v>
      </c>
      <c r="C1529" s="5" t="s">
        <v>21</v>
      </c>
      <c r="K1529" s="5">
        <v>100.0</v>
      </c>
      <c r="N1529" s="9">
        <v>43911.0</v>
      </c>
    </row>
    <row r="1530">
      <c r="A1530" s="5">
        <v>1529.0</v>
      </c>
      <c r="B1530" s="5" t="s">
        <v>2168</v>
      </c>
      <c r="C1530" s="5" t="s">
        <v>21</v>
      </c>
      <c r="K1530" s="5">
        <v>60.0</v>
      </c>
      <c r="N1530" s="9">
        <v>43915.0</v>
      </c>
    </row>
    <row r="1531">
      <c r="A1531" s="5">
        <v>1530.0</v>
      </c>
      <c r="B1531" s="5" t="s">
        <v>2169</v>
      </c>
      <c r="C1531" s="5" t="s">
        <v>21</v>
      </c>
      <c r="K1531" s="5">
        <v>250.0</v>
      </c>
      <c r="N1531" s="9">
        <v>43888.0</v>
      </c>
    </row>
    <row r="1532">
      <c r="A1532" s="5">
        <v>1531.0</v>
      </c>
      <c r="B1532" s="5" t="s">
        <v>2170</v>
      </c>
      <c r="C1532" s="5" t="s">
        <v>21</v>
      </c>
      <c r="K1532" s="5">
        <v>350.0</v>
      </c>
      <c r="N1532" s="9">
        <v>44565.0</v>
      </c>
    </row>
    <row r="1533">
      <c r="A1533" s="5">
        <v>1532.0</v>
      </c>
      <c r="B1533" s="5" t="s">
        <v>2171</v>
      </c>
      <c r="C1533" s="5" t="s">
        <v>21</v>
      </c>
      <c r="K1533" s="5">
        <v>150.0</v>
      </c>
      <c r="N1533" s="9">
        <v>44401.0</v>
      </c>
    </row>
    <row r="1534">
      <c r="A1534" s="5">
        <v>1533.0</v>
      </c>
      <c r="B1534" s="5" t="s">
        <v>2172</v>
      </c>
      <c r="C1534" s="5" t="s">
        <v>21</v>
      </c>
      <c r="K1534" s="5">
        <v>350.0</v>
      </c>
      <c r="N1534" s="9">
        <v>44839.0</v>
      </c>
    </row>
    <row r="1535">
      <c r="A1535" s="5">
        <v>1534.0</v>
      </c>
      <c r="B1535" s="5" t="s">
        <v>2173</v>
      </c>
      <c r="C1535" s="5" t="s">
        <v>21</v>
      </c>
      <c r="K1535" s="5">
        <v>600.0</v>
      </c>
      <c r="N1535" s="9">
        <v>44575.0</v>
      </c>
    </row>
    <row r="1536">
      <c r="A1536" s="5">
        <v>1535.0</v>
      </c>
      <c r="B1536" s="5" t="s">
        <v>2174</v>
      </c>
      <c r="C1536" s="5" t="s">
        <v>21</v>
      </c>
      <c r="K1536" s="5">
        <v>150.0</v>
      </c>
      <c r="N1536" s="9">
        <v>45078.0</v>
      </c>
    </row>
    <row r="1537">
      <c r="A1537" s="5">
        <v>1536.0</v>
      </c>
      <c r="B1537" s="5" t="s">
        <v>2175</v>
      </c>
      <c r="C1537" s="5" t="s">
        <v>21</v>
      </c>
      <c r="K1537" s="5">
        <v>200.0</v>
      </c>
      <c r="N1537" s="9">
        <v>44091.0</v>
      </c>
    </row>
    <row r="1538">
      <c r="A1538" s="5">
        <v>1537.0</v>
      </c>
      <c r="B1538" s="5" t="s">
        <v>2176</v>
      </c>
      <c r="C1538" s="5" t="s">
        <v>21</v>
      </c>
      <c r="K1538" s="5">
        <v>350.0</v>
      </c>
      <c r="N1538" s="9">
        <v>44712.0</v>
      </c>
    </row>
    <row r="1539">
      <c r="A1539" s="5">
        <v>1538.0</v>
      </c>
      <c r="B1539" s="5" t="s">
        <v>2177</v>
      </c>
      <c r="C1539" s="5" t="s">
        <v>21</v>
      </c>
      <c r="K1539" s="5">
        <v>150.0</v>
      </c>
      <c r="N1539" s="9">
        <v>44665.0</v>
      </c>
    </row>
    <row r="1540">
      <c r="A1540" s="5">
        <v>1539.0</v>
      </c>
      <c r="B1540" s="5" t="s">
        <v>2178</v>
      </c>
      <c r="C1540" s="5" t="s">
        <v>21</v>
      </c>
      <c r="K1540" s="5">
        <v>1200.0</v>
      </c>
      <c r="N1540" s="9">
        <v>45084.0</v>
      </c>
    </row>
    <row r="1541">
      <c r="A1541" s="5">
        <v>1540.0</v>
      </c>
      <c r="B1541" s="5" t="s">
        <v>2179</v>
      </c>
      <c r="C1541" s="5" t="s">
        <v>21</v>
      </c>
      <c r="K1541" s="5">
        <v>11000.0</v>
      </c>
      <c r="N1541" s="9">
        <v>43988.0</v>
      </c>
    </row>
    <row r="1542">
      <c r="A1542" s="5">
        <v>1541.0</v>
      </c>
      <c r="B1542" s="5" t="s">
        <v>2180</v>
      </c>
      <c r="C1542" s="5" t="s">
        <v>21</v>
      </c>
      <c r="N1542" s="9">
        <v>44939.0</v>
      </c>
    </row>
    <row r="1543">
      <c r="A1543" s="5">
        <v>1542.0</v>
      </c>
      <c r="B1543" s="5" t="s">
        <v>2181</v>
      </c>
      <c r="C1543" s="5" t="s">
        <v>21</v>
      </c>
      <c r="K1543" s="5">
        <v>600.0</v>
      </c>
      <c r="N1543" s="9">
        <v>44598.0</v>
      </c>
    </row>
    <row r="1544">
      <c r="A1544" s="5">
        <v>1543.0</v>
      </c>
      <c r="B1544" s="5" t="s">
        <v>2182</v>
      </c>
      <c r="C1544" s="5" t="s">
        <v>21</v>
      </c>
      <c r="N1544" s="9">
        <v>44524.0</v>
      </c>
    </row>
    <row r="1545">
      <c r="A1545" s="5">
        <v>1544.0</v>
      </c>
      <c r="B1545" s="5" t="s">
        <v>2183</v>
      </c>
      <c r="C1545" s="5" t="s">
        <v>21</v>
      </c>
      <c r="K1545" s="5">
        <v>500.0</v>
      </c>
      <c r="N1545" s="9">
        <v>44793.0</v>
      </c>
    </row>
    <row r="1546">
      <c r="A1546" s="5">
        <v>1545.0</v>
      </c>
      <c r="B1546" s="5" t="s">
        <v>2184</v>
      </c>
      <c r="C1546" s="5" t="s">
        <v>21</v>
      </c>
      <c r="K1546" s="5">
        <v>80.0</v>
      </c>
      <c r="N1546" s="9">
        <v>44856.0</v>
      </c>
    </row>
    <row r="1547">
      <c r="A1547" s="5">
        <v>1546.0</v>
      </c>
      <c r="B1547" s="5" t="s">
        <v>2185</v>
      </c>
      <c r="C1547" s="5" t="s">
        <v>21</v>
      </c>
      <c r="K1547" s="5">
        <v>1600.0</v>
      </c>
      <c r="N1547" s="9">
        <v>44351.0</v>
      </c>
    </row>
    <row r="1548">
      <c r="A1548" s="5">
        <v>1547.0</v>
      </c>
      <c r="B1548" s="5" t="s">
        <v>2186</v>
      </c>
      <c r="C1548" s="5" t="s">
        <v>21</v>
      </c>
      <c r="N1548" s="9">
        <v>44518.0</v>
      </c>
    </row>
    <row r="1549">
      <c r="A1549" s="5">
        <v>1548.0</v>
      </c>
      <c r="B1549" s="5" t="s">
        <v>2187</v>
      </c>
      <c r="C1549" s="5" t="s">
        <v>21</v>
      </c>
      <c r="N1549" s="9">
        <v>44518.0</v>
      </c>
    </row>
    <row r="1550">
      <c r="A1550" s="5">
        <v>1549.0</v>
      </c>
      <c r="B1550" s="5" t="s">
        <v>2188</v>
      </c>
      <c r="C1550" s="5" t="s">
        <v>21</v>
      </c>
      <c r="K1550" s="5">
        <v>1100.0</v>
      </c>
      <c r="N1550" s="9">
        <v>45038.0</v>
      </c>
    </row>
    <row r="1551">
      <c r="A1551" s="5">
        <v>1550.0</v>
      </c>
      <c r="B1551" s="5" t="s">
        <v>2189</v>
      </c>
      <c r="C1551" s="5" t="s">
        <v>21</v>
      </c>
      <c r="K1551" s="5">
        <v>700.0</v>
      </c>
      <c r="N1551" s="9">
        <v>44564.0</v>
      </c>
    </row>
    <row r="1552">
      <c r="A1552" s="5">
        <v>1551.0</v>
      </c>
      <c r="B1552" s="5" t="s">
        <v>2190</v>
      </c>
      <c r="C1552" s="5" t="s">
        <v>21</v>
      </c>
      <c r="K1552" s="5">
        <v>500.0</v>
      </c>
      <c r="N1552" s="9">
        <v>44610.0</v>
      </c>
    </row>
    <row r="1553">
      <c r="A1553" s="5">
        <v>1552.0</v>
      </c>
      <c r="B1553" s="5" t="s">
        <v>2191</v>
      </c>
      <c r="C1553" s="5" t="s">
        <v>21</v>
      </c>
      <c r="K1553" s="5">
        <v>350.0</v>
      </c>
      <c r="N1553" s="9">
        <v>44038.0</v>
      </c>
    </row>
    <row r="1554">
      <c r="A1554" s="5">
        <v>1553.0</v>
      </c>
      <c r="B1554" s="5" t="s">
        <v>2192</v>
      </c>
      <c r="C1554" s="5" t="s">
        <v>21</v>
      </c>
      <c r="K1554" s="5">
        <v>10.0</v>
      </c>
      <c r="N1554" s="9">
        <v>44828.0</v>
      </c>
    </row>
    <row r="1555">
      <c r="A1555" s="5">
        <v>1554.0</v>
      </c>
      <c r="B1555" s="5" t="s">
        <v>2193</v>
      </c>
      <c r="C1555" s="5" t="s">
        <v>21</v>
      </c>
      <c r="K1555" s="5">
        <v>250.0</v>
      </c>
      <c r="N1555" s="9">
        <v>44396.0</v>
      </c>
    </row>
    <row r="1556">
      <c r="A1556" s="5">
        <v>1555.0</v>
      </c>
      <c r="B1556" s="5" t="s">
        <v>2194</v>
      </c>
      <c r="C1556" s="5" t="s">
        <v>21</v>
      </c>
      <c r="K1556" s="5">
        <v>300.0</v>
      </c>
      <c r="N1556" s="9">
        <v>44552.0</v>
      </c>
    </row>
    <row r="1557">
      <c r="A1557" s="5">
        <v>1556.0</v>
      </c>
      <c r="B1557" s="5" t="s">
        <v>2195</v>
      </c>
      <c r="C1557" s="5" t="s">
        <v>21</v>
      </c>
      <c r="K1557" s="5">
        <v>200.0</v>
      </c>
      <c r="N1557" s="9">
        <v>44830.0</v>
      </c>
    </row>
    <row r="1558">
      <c r="A1558" s="5">
        <v>1557.0</v>
      </c>
      <c r="B1558" s="5" t="s">
        <v>2196</v>
      </c>
      <c r="C1558" s="5" t="s">
        <v>21</v>
      </c>
      <c r="K1558" s="5">
        <v>250.0</v>
      </c>
      <c r="N1558" s="9">
        <v>44344.0</v>
      </c>
    </row>
    <row r="1559">
      <c r="A1559" s="5">
        <v>1558.0</v>
      </c>
      <c r="B1559" s="5" t="s">
        <v>2197</v>
      </c>
      <c r="C1559" s="5" t="s">
        <v>21</v>
      </c>
      <c r="N1559" s="9">
        <v>44902.0</v>
      </c>
    </row>
    <row r="1560">
      <c r="A1560" s="5">
        <v>1559.0</v>
      </c>
      <c r="B1560" s="5" t="s">
        <v>2198</v>
      </c>
      <c r="C1560" s="5" t="s">
        <v>21</v>
      </c>
      <c r="K1560" s="5">
        <v>150.0</v>
      </c>
      <c r="N1560" s="9">
        <v>43876.0</v>
      </c>
    </row>
    <row r="1561">
      <c r="A1561" s="5">
        <v>1560.0</v>
      </c>
      <c r="B1561" s="5" t="s">
        <v>140</v>
      </c>
      <c r="C1561" s="5" t="s">
        <v>21</v>
      </c>
      <c r="K1561" s="5">
        <v>8700.0</v>
      </c>
      <c r="N1561" s="9">
        <v>43939.0</v>
      </c>
    </row>
    <row r="1562">
      <c r="A1562" s="5">
        <v>1561.0</v>
      </c>
      <c r="B1562" s="5" t="s">
        <v>2199</v>
      </c>
      <c r="C1562" s="5" t="s">
        <v>21</v>
      </c>
      <c r="K1562" s="5">
        <v>600.0</v>
      </c>
      <c r="N1562" s="9">
        <v>44622.0</v>
      </c>
    </row>
    <row r="1563">
      <c r="A1563" s="5">
        <v>1562.0</v>
      </c>
      <c r="B1563" s="5" t="s">
        <v>2200</v>
      </c>
      <c r="C1563" s="5" t="s">
        <v>21</v>
      </c>
      <c r="K1563" s="5">
        <v>1200.0</v>
      </c>
      <c r="N1563" s="9">
        <v>44505.0</v>
      </c>
    </row>
    <row r="1564">
      <c r="A1564" s="5">
        <v>1563.0</v>
      </c>
      <c r="B1564" s="5" t="s">
        <v>2201</v>
      </c>
      <c r="C1564" s="5" t="s">
        <v>21</v>
      </c>
      <c r="K1564" s="5">
        <v>400.0</v>
      </c>
      <c r="N1564" s="9">
        <v>44516.0</v>
      </c>
    </row>
    <row r="1565">
      <c r="A1565" s="5">
        <v>1564.0</v>
      </c>
      <c r="B1565" s="5" t="s">
        <v>2202</v>
      </c>
      <c r="C1565" s="5" t="s">
        <v>21</v>
      </c>
      <c r="K1565" s="5">
        <v>250.0</v>
      </c>
      <c r="N1565" s="9">
        <v>45313.0</v>
      </c>
    </row>
    <row r="1566">
      <c r="A1566" s="5">
        <v>1565.0</v>
      </c>
      <c r="B1566" s="5" t="s">
        <v>2203</v>
      </c>
      <c r="C1566" s="5" t="s">
        <v>21</v>
      </c>
      <c r="K1566" s="5">
        <v>200.0</v>
      </c>
      <c r="N1566" s="9">
        <v>44585.0</v>
      </c>
    </row>
    <row r="1567">
      <c r="A1567" s="5">
        <v>1566.0</v>
      </c>
      <c r="B1567" s="5" t="s">
        <v>2204</v>
      </c>
      <c r="C1567" s="5" t="s">
        <v>21</v>
      </c>
      <c r="K1567" s="5">
        <v>150.0</v>
      </c>
      <c r="N1567" s="9">
        <v>45062.0</v>
      </c>
    </row>
    <row r="1568">
      <c r="A1568" s="5">
        <v>1567.0</v>
      </c>
      <c r="B1568" s="5" t="s">
        <v>2205</v>
      </c>
      <c r="C1568" s="5" t="s">
        <v>21</v>
      </c>
      <c r="K1568" s="5">
        <v>70.0</v>
      </c>
      <c r="N1568" s="9">
        <v>45133.0</v>
      </c>
    </row>
    <row r="1569">
      <c r="A1569" s="5">
        <v>1568.0</v>
      </c>
      <c r="B1569" s="5" t="s">
        <v>2206</v>
      </c>
      <c r="C1569" s="5" t="s">
        <v>21</v>
      </c>
      <c r="K1569" s="5">
        <v>150.0</v>
      </c>
      <c r="N1569" s="9">
        <v>44579.0</v>
      </c>
    </row>
    <row r="1570">
      <c r="A1570" s="5">
        <v>1569.0</v>
      </c>
      <c r="B1570" s="5" t="s">
        <v>2207</v>
      </c>
      <c r="C1570" s="5" t="s">
        <v>21</v>
      </c>
      <c r="K1570" s="5">
        <v>20.0</v>
      </c>
      <c r="N1570" s="9">
        <v>44344.0</v>
      </c>
    </row>
    <row r="1571">
      <c r="A1571" s="5">
        <v>1570.0</v>
      </c>
      <c r="B1571" s="5" t="s">
        <v>2208</v>
      </c>
      <c r="C1571" s="5" t="s">
        <v>21</v>
      </c>
      <c r="N1571" s="9">
        <v>44165.0</v>
      </c>
    </row>
    <row r="1572">
      <c r="A1572" s="5">
        <v>1571.0</v>
      </c>
      <c r="B1572" s="5" t="s">
        <v>2209</v>
      </c>
      <c r="C1572" s="5" t="s">
        <v>21</v>
      </c>
      <c r="K1572" s="5">
        <v>200.0</v>
      </c>
      <c r="N1572" s="9">
        <v>44106.0</v>
      </c>
    </row>
    <row r="1573">
      <c r="A1573" s="5">
        <v>1572.0</v>
      </c>
      <c r="B1573" s="5" t="s">
        <v>2210</v>
      </c>
      <c r="C1573" s="5" t="s">
        <v>21</v>
      </c>
      <c r="K1573" s="5">
        <v>150.0</v>
      </c>
      <c r="N1573" s="9">
        <v>44627.0</v>
      </c>
    </row>
    <row r="1574">
      <c r="A1574" s="5">
        <v>1573.0</v>
      </c>
      <c r="B1574" s="5" t="s">
        <v>2211</v>
      </c>
      <c r="C1574" s="5" t="s">
        <v>21</v>
      </c>
      <c r="K1574" s="5">
        <v>100.0</v>
      </c>
      <c r="N1574" s="9">
        <v>44741.0</v>
      </c>
    </row>
    <row r="1575">
      <c r="A1575" s="5">
        <v>1574.0</v>
      </c>
      <c r="B1575" s="5" t="s">
        <v>2212</v>
      </c>
      <c r="C1575" s="5" t="s">
        <v>21</v>
      </c>
      <c r="K1575" s="5">
        <v>150.0</v>
      </c>
      <c r="N1575" s="9">
        <v>45262.0</v>
      </c>
    </row>
    <row r="1576">
      <c r="A1576" s="5">
        <v>1575.0</v>
      </c>
      <c r="B1576" s="5" t="s">
        <v>2213</v>
      </c>
      <c r="C1576" s="5" t="s">
        <v>21</v>
      </c>
      <c r="N1576" s="9">
        <v>44519.0</v>
      </c>
    </row>
    <row r="1577">
      <c r="A1577" s="5">
        <v>1576.0</v>
      </c>
      <c r="B1577" s="5" t="s">
        <v>2214</v>
      </c>
      <c r="C1577" s="5" t="s">
        <v>21</v>
      </c>
      <c r="K1577" s="5">
        <v>60.0</v>
      </c>
      <c r="N1577" s="9">
        <v>44286.0</v>
      </c>
    </row>
    <row r="1578">
      <c r="A1578" s="5">
        <v>1577.0</v>
      </c>
      <c r="B1578" s="5" t="s">
        <v>2215</v>
      </c>
      <c r="C1578" s="5" t="s">
        <v>21</v>
      </c>
      <c r="K1578" s="5">
        <v>900.0</v>
      </c>
      <c r="N1578" s="9">
        <v>44035.0</v>
      </c>
    </row>
    <row r="1579">
      <c r="A1579" s="5">
        <v>1578.0</v>
      </c>
      <c r="B1579" s="5" t="s">
        <v>2216</v>
      </c>
      <c r="C1579" s="5" t="s">
        <v>21</v>
      </c>
      <c r="K1579" s="5">
        <v>250.0</v>
      </c>
      <c r="N1579" s="9">
        <v>45201.0</v>
      </c>
    </row>
    <row r="1580">
      <c r="A1580" s="5">
        <v>1579.0</v>
      </c>
      <c r="B1580" s="5" t="s">
        <v>2217</v>
      </c>
      <c r="C1580" s="5" t="s">
        <v>21</v>
      </c>
      <c r="K1580" s="5">
        <v>450.0</v>
      </c>
      <c r="N1580" s="9">
        <v>44543.0</v>
      </c>
    </row>
    <row r="1581">
      <c r="A1581" s="5">
        <v>1580.0</v>
      </c>
      <c r="B1581" s="5" t="s">
        <v>2218</v>
      </c>
      <c r="C1581" s="5" t="s">
        <v>21</v>
      </c>
      <c r="K1581" s="5">
        <v>250.0</v>
      </c>
      <c r="N1581" s="9">
        <v>43915.0</v>
      </c>
    </row>
    <row r="1582">
      <c r="A1582" s="5">
        <v>1581.0</v>
      </c>
      <c r="B1582" s="5" t="s">
        <v>2219</v>
      </c>
      <c r="C1582" s="5" t="s">
        <v>21</v>
      </c>
      <c r="K1582" s="5">
        <v>70.0</v>
      </c>
      <c r="N1582" s="9">
        <v>45149.0</v>
      </c>
    </row>
    <row r="1583">
      <c r="A1583" s="5">
        <v>1582.0</v>
      </c>
      <c r="B1583" s="5" t="s">
        <v>2220</v>
      </c>
      <c r="C1583" s="5" t="s">
        <v>21</v>
      </c>
      <c r="K1583" s="5">
        <v>150.0</v>
      </c>
      <c r="N1583" s="9">
        <v>45183.0</v>
      </c>
    </row>
    <row r="1584">
      <c r="A1584" s="5">
        <v>1583.0</v>
      </c>
      <c r="B1584" s="5" t="s">
        <v>2221</v>
      </c>
      <c r="C1584" s="5" t="s">
        <v>21</v>
      </c>
      <c r="K1584" s="5">
        <v>90.0</v>
      </c>
      <c r="N1584" s="9">
        <v>44970.0</v>
      </c>
    </row>
    <row r="1585">
      <c r="A1585" s="5">
        <v>1584.0</v>
      </c>
      <c r="B1585" s="5" t="s">
        <v>2222</v>
      </c>
      <c r="C1585" s="5" t="s">
        <v>21</v>
      </c>
      <c r="N1585" s="9">
        <v>44652.0</v>
      </c>
    </row>
    <row r="1586">
      <c r="A1586" s="5">
        <v>1585.0</v>
      </c>
      <c r="B1586" s="5" t="s">
        <v>2223</v>
      </c>
      <c r="C1586" s="5" t="s">
        <v>21</v>
      </c>
      <c r="K1586" s="5">
        <v>3800.0</v>
      </c>
      <c r="N1586" s="9">
        <v>44336.0</v>
      </c>
    </row>
    <row r="1587">
      <c r="A1587" s="5">
        <v>1586.0</v>
      </c>
      <c r="B1587" s="5" t="s">
        <v>2224</v>
      </c>
      <c r="C1587" s="5" t="s">
        <v>21</v>
      </c>
      <c r="K1587" s="5">
        <v>500.0</v>
      </c>
      <c r="N1587" s="9">
        <v>43909.0</v>
      </c>
    </row>
    <row r="1588">
      <c r="A1588" s="5">
        <v>1587.0</v>
      </c>
      <c r="B1588" s="5" t="s">
        <v>2225</v>
      </c>
      <c r="C1588" s="5" t="s">
        <v>21</v>
      </c>
      <c r="K1588" s="5">
        <v>500.0</v>
      </c>
      <c r="N1588" s="9">
        <v>44570.0</v>
      </c>
    </row>
    <row r="1589">
      <c r="A1589" s="5">
        <v>1588.0</v>
      </c>
      <c r="B1589" s="5" t="s">
        <v>2226</v>
      </c>
      <c r="C1589" s="5" t="s">
        <v>21</v>
      </c>
      <c r="N1589" s="9">
        <v>44573.0</v>
      </c>
    </row>
    <row r="1590">
      <c r="A1590" s="5">
        <v>1589.0</v>
      </c>
      <c r="B1590" s="5" t="s">
        <v>2227</v>
      </c>
      <c r="C1590" s="5" t="s">
        <v>21</v>
      </c>
      <c r="K1590" s="5">
        <v>150.0</v>
      </c>
      <c r="N1590" s="9">
        <v>44485.0</v>
      </c>
    </row>
    <row r="1591">
      <c r="A1591" s="5">
        <v>1590.0</v>
      </c>
      <c r="B1591" s="5" t="s">
        <v>2228</v>
      </c>
      <c r="C1591" s="5" t="s">
        <v>21</v>
      </c>
      <c r="K1591" s="5">
        <v>2000.0</v>
      </c>
      <c r="N1591" s="9">
        <v>44515.0</v>
      </c>
    </row>
    <row r="1592">
      <c r="A1592" s="5">
        <v>1591.0</v>
      </c>
      <c r="B1592" s="5" t="s">
        <v>2229</v>
      </c>
      <c r="C1592" s="5" t="s">
        <v>21</v>
      </c>
      <c r="K1592" s="5">
        <v>250.0</v>
      </c>
      <c r="N1592" s="9">
        <v>44523.0</v>
      </c>
    </row>
    <row r="1593">
      <c r="A1593" s="5">
        <v>1592.0</v>
      </c>
      <c r="B1593" s="5" t="s">
        <v>2230</v>
      </c>
      <c r="C1593" s="5" t="s">
        <v>21</v>
      </c>
      <c r="K1593" s="5">
        <v>10.0</v>
      </c>
      <c r="N1593" s="9">
        <v>44039.0</v>
      </c>
    </row>
    <row r="1594">
      <c r="A1594" s="5">
        <v>1593.0</v>
      </c>
      <c r="B1594" s="5" t="s">
        <v>2231</v>
      </c>
      <c r="C1594" s="5" t="s">
        <v>21</v>
      </c>
      <c r="K1594" s="5">
        <v>900.0</v>
      </c>
      <c r="N1594" s="9">
        <v>44459.0</v>
      </c>
    </row>
    <row r="1595">
      <c r="A1595" s="5">
        <v>1594.0</v>
      </c>
      <c r="B1595" s="5" t="s">
        <v>2232</v>
      </c>
      <c r="C1595" s="5" t="s">
        <v>21</v>
      </c>
      <c r="K1595" s="5">
        <v>90.0</v>
      </c>
      <c r="N1595" s="9">
        <v>44500.0</v>
      </c>
    </row>
    <row r="1596">
      <c r="A1596" s="5">
        <v>1595.0</v>
      </c>
      <c r="B1596" s="5" t="s">
        <v>2233</v>
      </c>
      <c r="C1596" s="5" t="s">
        <v>21</v>
      </c>
      <c r="K1596" s="5">
        <v>10.0</v>
      </c>
      <c r="N1596" s="9">
        <v>45193.0</v>
      </c>
    </row>
    <row r="1597">
      <c r="A1597" s="5">
        <v>1596.0</v>
      </c>
      <c r="B1597" s="5" t="s">
        <v>2234</v>
      </c>
      <c r="C1597" s="5" t="s">
        <v>21</v>
      </c>
      <c r="K1597" s="5">
        <v>500.0</v>
      </c>
      <c r="N1597" s="9">
        <v>44714.0</v>
      </c>
    </row>
    <row r="1598">
      <c r="A1598" s="5">
        <v>1597.0</v>
      </c>
      <c r="B1598" s="5" t="s">
        <v>2235</v>
      </c>
      <c r="C1598" s="5" t="s">
        <v>21</v>
      </c>
      <c r="N1598" s="9">
        <v>44648.0</v>
      </c>
    </row>
    <row r="1599">
      <c r="A1599" s="5">
        <v>1598.0</v>
      </c>
      <c r="B1599" s="5" t="s">
        <v>2236</v>
      </c>
      <c r="C1599" s="5" t="s">
        <v>21</v>
      </c>
      <c r="K1599" s="5">
        <v>30.0</v>
      </c>
      <c r="N1599" s="9">
        <v>44149.0</v>
      </c>
    </row>
    <row r="1600">
      <c r="A1600" s="5">
        <v>1599.0</v>
      </c>
      <c r="B1600" s="5" t="s">
        <v>2237</v>
      </c>
      <c r="C1600" s="5" t="s">
        <v>21</v>
      </c>
      <c r="K1600" s="5">
        <v>200.0</v>
      </c>
      <c r="N1600" s="9">
        <v>44300.0</v>
      </c>
    </row>
    <row r="1601">
      <c r="A1601" s="5">
        <v>1600.0</v>
      </c>
      <c r="B1601" s="5" t="s">
        <v>2238</v>
      </c>
      <c r="C1601" s="5" t="s">
        <v>21</v>
      </c>
      <c r="K1601" s="5">
        <v>10.0</v>
      </c>
      <c r="N1601" s="9">
        <v>43855.0</v>
      </c>
    </row>
    <row r="1602">
      <c r="A1602" s="5">
        <v>1601.0</v>
      </c>
      <c r="B1602" s="5" t="s">
        <v>2239</v>
      </c>
      <c r="C1602" s="5" t="s">
        <v>21</v>
      </c>
      <c r="K1602" s="5">
        <v>450.0</v>
      </c>
      <c r="N1602" s="9">
        <v>43921.0</v>
      </c>
    </row>
    <row r="1603">
      <c r="A1603" s="5">
        <v>1602.0</v>
      </c>
      <c r="B1603" s="5" t="s">
        <v>2240</v>
      </c>
      <c r="C1603" s="5" t="s">
        <v>21</v>
      </c>
      <c r="K1603" s="5">
        <v>150.0</v>
      </c>
      <c r="N1603" s="9">
        <v>44568.0</v>
      </c>
    </row>
    <row r="1604">
      <c r="A1604" s="5">
        <v>1603.0</v>
      </c>
      <c r="B1604" s="5" t="s">
        <v>2241</v>
      </c>
      <c r="C1604" s="5" t="s">
        <v>21</v>
      </c>
      <c r="K1604" s="5">
        <v>450.0</v>
      </c>
      <c r="N1604" s="9">
        <v>45138.0</v>
      </c>
    </row>
    <row r="1605">
      <c r="A1605" s="5">
        <v>1604.0</v>
      </c>
      <c r="B1605" s="5" t="s">
        <v>2242</v>
      </c>
      <c r="C1605" s="5" t="s">
        <v>21</v>
      </c>
      <c r="K1605" s="5">
        <v>250.0</v>
      </c>
      <c r="N1605" s="9">
        <v>43864.0</v>
      </c>
    </row>
    <row r="1606">
      <c r="A1606" s="5">
        <v>1605.0</v>
      </c>
      <c r="B1606" s="5" t="s">
        <v>2243</v>
      </c>
      <c r="C1606" s="5" t="s">
        <v>21</v>
      </c>
      <c r="K1606" s="5">
        <v>90.0</v>
      </c>
      <c r="N1606" s="9">
        <v>44338.0</v>
      </c>
    </row>
    <row r="1607">
      <c r="A1607" s="5">
        <v>1606.0</v>
      </c>
      <c r="B1607" s="5" t="s">
        <v>2244</v>
      </c>
      <c r="C1607" s="5" t="s">
        <v>21</v>
      </c>
      <c r="K1607" s="5">
        <v>100.0</v>
      </c>
      <c r="N1607" s="9">
        <v>44580.0</v>
      </c>
    </row>
    <row r="1608">
      <c r="A1608" s="5">
        <v>1607.0</v>
      </c>
      <c r="B1608" s="5" t="s">
        <v>2245</v>
      </c>
      <c r="C1608" s="5" t="s">
        <v>21</v>
      </c>
      <c r="K1608" s="5">
        <v>150.0</v>
      </c>
      <c r="N1608" s="9">
        <v>44383.0</v>
      </c>
    </row>
    <row r="1609">
      <c r="A1609" s="5">
        <v>1608.0</v>
      </c>
      <c r="B1609" s="5" t="s">
        <v>2246</v>
      </c>
      <c r="C1609" s="5" t="s">
        <v>21</v>
      </c>
      <c r="K1609" s="5">
        <v>350.0</v>
      </c>
      <c r="N1609" s="9">
        <v>44497.0</v>
      </c>
    </row>
    <row r="1610">
      <c r="A1610" s="5">
        <v>1609.0</v>
      </c>
      <c r="B1610" s="5" t="s">
        <v>2247</v>
      </c>
      <c r="C1610" s="5" t="s">
        <v>21</v>
      </c>
      <c r="K1610" s="5">
        <v>800.0</v>
      </c>
      <c r="N1610" s="9">
        <v>44558.0</v>
      </c>
    </row>
    <row r="1611">
      <c r="A1611" s="5">
        <v>1610.0</v>
      </c>
      <c r="B1611" s="5" t="s">
        <v>2248</v>
      </c>
      <c r="C1611" s="5" t="s">
        <v>21</v>
      </c>
      <c r="K1611" s="5">
        <v>1400.0</v>
      </c>
      <c r="N1611" s="9">
        <v>44426.0</v>
      </c>
    </row>
    <row r="1612">
      <c r="A1612" s="5">
        <v>1611.0</v>
      </c>
      <c r="B1612" s="5" t="s">
        <v>2249</v>
      </c>
      <c r="C1612" s="5" t="s">
        <v>21</v>
      </c>
      <c r="K1612" s="5">
        <v>800.0</v>
      </c>
      <c r="N1612" s="9">
        <v>44616.0</v>
      </c>
    </row>
    <row r="1613">
      <c r="A1613" s="5">
        <v>1612.0</v>
      </c>
      <c r="B1613" s="5" t="s">
        <v>2250</v>
      </c>
      <c r="C1613" s="5" t="s">
        <v>21</v>
      </c>
      <c r="K1613" s="5">
        <v>70.0</v>
      </c>
      <c r="N1613" s="9">
        <v>44886.0</v>
      </c>
    </row>
    <row r="1614">
      <c r="A1614" s="5">
        <v>1613.0</v>
      </c>
      <c r="B1614" s="5" t="s">
        <v>2251</v>
      </c>
      <c r="C1614" s="5" t="s">
        <v>21</v>
      </c>
      <c r="K1614" s="5">
        <v>70.0</v>
      </c>
      <c r="N1614" s="9">
        <v>44578.0</v>
      </c>
    </row>
    <row r="1615">
      <c r="A1615" s="5">
        <v>1614.0</v>
      </c>
      <c r="B1615" s="5" t="s">
        <v>2252</v>
      </c>
      <c r="C1615" s="5" t="s">
        <v>21</v>
      </c>
      <c r="K1615" s="5">
        <v>700.0</v>
      </c>
      <c r="N1615" s="9">
        <v>44601.0</v>
      </c>
    </row>
    <row r="1616">
      <c r="A1616" s="5">
        <v>1615.0</v>
      </c>
      <c r="B1616" s="5" t="s">
        <v>2253</v>
      </c>
      <c r="C1616" s="5" t="s">
        <v>21</v>
      </c>
      <c r="K1616" s="5">
        <v>60.0</v>
      </c>
      <c r="N1616" s="9">
        <v>43901.0</v>
      </c>
    </row>
    <row r="1617">
      <c r="A1617" s="5">
        <v>1616.0</v>
      </c>
      <c r="B1617" s="5" t="s">
        <v>2254</v>
      </c>
      <c r="C1617" s="5" t="s">
        <v>21</v>
      </c>
      <c r="K1617" s="5">
        <v>300.0</v>
      </c>
      <c r="N1617" s="9">
        <v>44046.0</v>
      </c>
    </row>
    <row r="1618">
      <c r="A1618" s="5">
        <v>1617.0</v>
      </c>
      <c r="B1618" s="5" t="s">
        <v>2255</v>
      </c>
      <c r="C1618" s="5" t="s">
        <v>21</v>
      </c>
      <c r="K1618" s="5">
        <v>1700.0</v>
      </c>
      <c r="N1618" s="9">
        <v>43873.0</v>
      </c>
    </row>
    <row r="1619">
      <c r="A1619" s="5">
        <v>1618.0</v>
      </c>
      <c r="B1619" s="5" t="s">
        <v>2256</v>
      </c>
      <c r="C1619" s="5" t="s">
        <v>21</v>
      </c>
      <c r="K1619" s="5">
        <v>150.0</v>
      </c>
      <c r="N1619" s="9">
        <v>44526.0</v>
      </c>
    </row>
    <row r="1620">
      <c r="A1620" s="5">
        <v>1619.0</v>
      </c>
      <c r="B1620" s="5" t="s">
        <v>2257</v>
      </c>
      <c r="C1620" s="5" t="s">
        <v>21</v>
      </c>
      <c r="K1620" s="5">
        <v>200.0</v>
      </c>
      <c r="N1620" s="9">
        <v>44540.0</v>
      </c>
    </row>
    <row r="1621">
      <c r="A1621" s="5">
        <v>1620.0</v>
      </c>
      <c r="B1621" s="5" t="s">
        <v>2258</v>
      </c>
      <c r="C1621" s="5" t="s">
        <v>21</v>
      </c>
      <c r="K1621" s="5">
        <v>150.0</v>
      </c>
      <c r="N1621" s="9">
        <v>45776.0</v>
      </c>
    </row>
    <row r="1622">
      <c r="A1622" s="5">
        <v>1621.0</v>
      </c>
      <c r="B1622" s="5" t="s">
        <v>2259</v>
      </c>
      <c r="C1622" s="5" t="s">
        <v>21</v>
      </c>
      <c r="K1622" s="5">
        <v>500.0</v>
      </c>
      <c r="N1622" s="9">
        <v>45369.0</v>
      </c>
    </row>
    <row r="1623">
      <c r="A1623" s="5">
        <v>1622.0</v>
      </c>
      <c r="B1623" s="5" t="s">
        <v>2260</v>
      </c>
      <c r="C1623" s="5" t="s">
        <v>21</v>
      </c>
      <c r="K1623" s="5">
        <v>350.0</v>
      </c>
      <c r="N1623" s="9">
        <v>44675.0</v>
      </c>
    </row>
    <row r="1624">
      <c r="A1624" s="5">
        <v>1623.0</v>
      </c>
      <c r="B1624" s="5" t="s">
        <v>2261</v>
      </c>
      <c r="C1624" s="5" t="s">
        <v>21</v>
      </c>
      <c r="K1624" s="5">
        <v>700.0</v>
      </c>
      <c r="N1624" s="9">
        <v>44866.0</v>
      </c>
    </row>
    <row r="1625">
      <c r="A1625" s="5">
        <v>1624.0</v>
      </c>
      <c r="B1625" s="5" t="s">
        <v>2262</v>
      </c>
      <c r="C1625" s="5" t="s">
        <v>21</v>
      </c>
      <c r="K1625" s="5">
        <v>350.0</v>
      </c>
      <c r="N1625" s="9">
        <v>44674.0</v>
      </c>
    </row>
    <row r="1626">
      <c r="A1626" s="5">
        <v>1625.0</v>
      </c>
      <c r="B1626" s="5" t="s">
        <v>2263</v>
      </c>
      <c r="C1626" s="5" t="s">
        <v>21</v>
      </c>
      <c r="K1626" s="5">
        <v>250.0</v>
      </c>
      <c r="N1626" s="9">
        <v>44558.0</v>
      </c>
    </row>
    <row r="1627">
      <c r="A1627" s="5">
        <v>1626.0</v>
      </c>
      <c r="B1627" s="5" t="s">
        <v>71</v>
      </c>
      <c r="C1627" s="5" t="s">
        <v>21</v>
      </c>
      <c r="K1627" s="5">
        <v>80.0</v>
      </c>
      <c r="N1627" s="9">
        <v>45067.0</v>
      </c>
    </row>
    <row r="1628">
      <c r="A1628" s="5">
        <v>1627.0</v>
      </c>
      <c r="B1628" s="5" t="s">
        <v>2264</v>
      </c>
      <c r="C1628" s="5" t="s">
        <v>21</v>
      </c>
      <c r="K1628" s="5">
        <v>300.0</v>
      </c>
      <c r="N1628" s="9">
        <v>45053.0</v>
      </c>
    </row>
    <row r="1629">
      <c r="A1629" s="5">
        <v>1628.0</v>
      </c>
      <c r="B1629" s="5" t="s">
        <v>2265</v>
      </c>
      <c r="C1629" s="5" t="s">
        <v>21</v>
      </c>
      <c r="K1629" s="5">
        <v>200.0</v>
      </c>
      <c r="N1629" s="9">
        <v>44526.0</v>
      </c>
    </row>
    <row r="1630">
      <c r="A1630" s="5">
        <v>1629.0</v>
      </c>
      <c r="B1630" s="5" t="s">
        <v>2266</v>
      </c>
      <c r="C1630" s="5" t="s">
        <v>21</v>
      </c>
      <c r="K1630" s="5">
        <v>50.0</v>
      </c>
      <c r="N1630" s="9">
        <v>44640.0</v>
      </c>
    </row>
    <row r="1631">
      <c r="A1631" s="5">
        <v>1630.0</v>
      </c>
      <c r="B1631" s="5" t="s">
        <v>2267</v>
      </c>
      <c r="C1631" s="5" t="s">
        <v>21</v>
      </c>
      <c r="K1631" s="5">
        <v>600.0</v>
      </c>
      <c r="N1631" s="9">
        <v>44529.0</v>
      </c>
    </row>
    <row r="1632">
      <c r="A1632" s="5">
        <v>1631.0</v>
      </c>
      <c r="B1632" s="5" t="s">
        <v>2268</v>
      </c>
      <c r="C1632" s="5" t="s">
        <v>21</v>
      </c>
      <c r="K1632" s="5">
        <v>2100.0</v>
      </c>
      <c r="N1632" s="9">
        <v>44273.0</v>
      </c>
    </row>
    <row r="1633">
      <c r="A1633" s="5">
        <v>1632.0</v>
      </c>
      <c r="B1633" s="5" t="s">
        <v>2269</v>
      </c>
      <c r="C1633" s="5" t="s">
        <v>21</v>
      </c>
      <c r="K1633" s="5">
        <v>150.0</v>
      </c>
      <c r="N1633" s="9">
        <v>45283.0</v>
      </c>
    </row>
    <row r="1634">
      <c r="A1634" s="5">
        <v>1633.0</v>
      </c>
      <c r="B1634" s="5" t="s">
        <v>2270</v>
      </c>
      <c r="C1634" s="5" t="s">
        <v>21</v>
      </c>
      <c r="K1634" s="5">
        <v>40.0</v>
      </c>
      <c r="N1634" s="9">
        <v>45978.0</v>
      </c>
    </row>
    <row r="1635">
      <c r="A1635" s="5">
        <v>1634.0</v>
      </c>
      <c r="B1635" s="5" t="s">
        <v>2271</v>
      </c>
      <c r="C1635" s="5" t="s">
        <v>21</v>
      </c>
      <c r="N1635" s="9">
        <v>44528.0</v>
      </c>
    </row>
    <row r="1636">
      <c r="A1636" s="5">
        <v>1635.0</v>
      </c>
      <c r="B1636" s="5" t="s">
        <v>2272</v>
      </c>
      <c r="C1636" s="5" t="s">
        <v>21</v>
      </c>
      <c r="K1636" s="5">
        <v>500.0</v>
      </c>
      <c r="N1636" s="9">
        <v>44518.0</v>
      </c>
    </row>
    <row r="1637">
      <c r="A1637" s="5">
        <v>1636.0</v>
      </c>
      <c r="B1637" s="5" t="s">
        <v>2273</v>
      </c>
      <c r="C1637" s="5" t="s">
        <v>21</v>
      </c>
      <c r="N1637" s="9">
        <v>45107.0</v>
      </c>
    </row>
    <row r="1638">
      <c r="A1638" s="5">
        <v>1637.0</v>
      </c>
      <c r="B1638" s="5" t="s">
        <v>2274</v>
      </c>
      <c r="C1638" s="5" t="s">
        <v>21</v>
      </c>
      <c r="K1638" s="5">
        <v>600.0</v>
      </c>
      <c r="N1638" s="9">
        <v>44531.0</v>
      </c>
    </row>
    <row r="1639">
      <c r="A1639" s="5">
        <v>1638.0</v>
      </c>
      <c r="B1639" s="5" t="s">
        <v>2275</v>
      </c>
      <c r="C1639" s="5" t="s">
        <v>21</v>
      </c>
      <c r="K1639" s="5">
        <v>1700.0</v>
      </c>
      <c r="N1639" s="9">
        <v>44528.0</v>
      </c>
    </row>
    <row r="1640">
      <c r="A1640" s="5">
        <v>1639.0</v>
      </c>
      <c r="B1640" s="5" t="s">
        <v>2276</v>
      </c>
      <c r="C1640" s="5" t="s">
        <v>21</v>
      </c>
      <c r="K1640" s="5">
        <v>50.0</v>
      </c>
      <c r="N1640" s="9">
        <v>44755.0</v>
      </c>
    </row>
    <row r="1641">
      <c r="A1641" s="5">
        <v>1640.0</v>
      </c>
      <c r="B1641" s="5" t="s">
        <v>2277</v>
      </c>
      <c r="C1641" s="5" t="s">
        <v>21</v>
      </c>
      <c r="K1641" s="5">
        <v>90.0</v>
      </c>
      <c r="N1641" s="9">
        <v>44986.0</v>
      </c>
    </row>
    <row r="1642">
      <c r="A1642" s="5">
        <v>1641.0</v>
      </c>
      <c r="B1642" s="5" t="s">
        <v>2278</v>
      </c>
      <c r="C1642" s="5" t="s">
        <v>21</v>
      </c>
      <c r="K1642" s="5">
        <v>70.0</v>
      </c>
      <c r="N1642" s="9">
        <v>45067.0</v>
      </c>
    </row>
    <row r="1643">
      <c r="A1643" s="5">
        <v>1642.0</v>
      </c>
      <c r="B1643" s="5" t="s">
        <v>2279</v>
      </c>
      <c r="C1643" s="5" t="s">
        <v>21</v>
      </c>
      <c r="K1643" s="5">
        <v>150.0</v>
      </c>
      <c r="N1643" s="9">
        <v>44249.0</v>
      </c>
    </row>
    <row r="1644">
      <c r="A1644" s="5">
        <v>1643.0</v>
      </c>
      <c r="B1644" s="5" t="s">
        <v>2280</v>
      </c>
      <c r="C1644" s="5" t="s">
        <v>21</v>
      </c>
      <c r="K1644" s="5">
        <v>300.0</v>
      </c>
      <c r="N1644" s="9">
        <v>43923.0</v>
      </c>
    </row>
    <row r="1645">
      <c r="A1645" s="5">
        <v>1644.0</v>
      </c>
      <c r="B1645" s="5" t="s">
        <v>2281</v>
      </c>
      <c r="C1645" s="5" t="s">
        <v>21</v>
      </c>
      <c r="N1645" s="9">
        <v>44549.0</v>
      </c>
    </row>
    <row r="1646">
      <c r="A1646" s="5">
        <v>1645.0</v>
      </c>
      <c r="B1646" s="5" t="s">
        <v>2282</v>
      </c>
      <c r="C1646" s="5" t="s">
        <v>21</v>
      </c>
      <c r="K1646" s="5">
        <v>200.0</v>
      </c>
      <c r="N1646" s="9">
        <v>44790.0</v>
      </c>
    </row>
    <row r="1647">
      <c r="A1647" s="5">
        <v>1646.0</v>
      </c>
      <c r="B1647" s="5" t="s">
        <v>2283</v>
      </c>
      <c r="C1647" s="5" t="s">
        <v>21</v>
      </c>
      <c r="N1647" s="9">
        <v>44519.0</v>
      </c>
    </row>
    <row r="1648">
      <c r="A1648" s="5">
        <v>1647.0</v>
      </c>
      <c r="B1648" s="5" t="s">
        <v>2284</v>
      </c>
      <c r="C1648" s="5" t="s">
        <v>21</v>
      </c>
      <c r="K1648" s="5">
        <v>900.0</v>
      </c>
      <c r="N1648" s="9">
        <v>44539.0</v>
      </c>
    </row>
    <row r="1649">
      <c r="A1649" s="5">
        <v>1648.0</v>
      </c>
      <c r="B1649" s="5" t="s">
        <v>2285</v>
      </c>
      <c r="C1649" s="5" t="s">
        <v>21</v>
      </c>
      <c r="K1649" s="5">
        <v>3800.0</v>
      </c>
      <c r="N1649" s="9">
        <v>42380.0</v>
      </c>
    </row>
    <row r="1650">
      <c r="A1650" s="5">
        <v>1649.0</v>
      </c>
      <c r="B1650" s="5" t="s">
        <v>2286</v>
      </c>
      <c r="C1650" s="5" t="s">
        <v>21</v>
      </c>
      <c r="K1650" s="5">
        <v>900.0</v>
      </c>
      <c r="N1650" s="9">
        <v>45080.0</v>
      </c>
    </row>
    <row r="1651">
      <c r="A1651" s="5">
        <v>1650.0</v>
      </c>
      <c r="B1651" s="5" t="s">
        <v>2287</v>
      </c>
      <c r="C1651" s="5" t="s">
        <v>21</v>
      </c>
      <c r="K1651" s="5">
        <v>100.0</v>
      </c>
      <c r="N1651" s="9">
        <v>44162.0</v>
      </c>
    </row>
    <row r="1652">
      <c r="A1652" s="5">
        <v>1651.0</v>
      </c>
      <c r="B1652" s="5" t="s">
        <v>2288</v>
      </c>
      <c r="C1652" s="5" t="s">
        <v>21</v>
      </c>
      <c r="K1652" s="5">
        <v>1000.0</v>
      </c>
      <c r="N1652" s="9">
        <v>44307.0</v>
      </c>
    </row>
    <row r="1653">
      <c r="A1653" s="5">
        <v>1652.0</v>
      </c>
      <c r="B1653" s="5" t="s">
        <v>2289</v>
      </c>
      <c r="C1653" s="5" t="s">
        <v>21</v>
      </c>
      <c r="K1653" s="5">
        <v>150.0</v>
      </c>
      <c r="N1653" s="9">
        <v>44564.0</v>
      </c>
    </row>
    <row r="1654">
      <c r="A1654" s="5">
        <v>1653.0</v>
      </c>
      <c r="B1654" s="5" t="s">
        <v>2290</v>
      </c>
      <c r="C1654" s="5" t="s">
        <v>21</v>
      </c>
      <c r="K1654" s="5">
        <v>250.0</v>
      </c>
      <c r="N1654" s="9">
        <v>45450.0</v>
      </c>
    </row>
    <row r="1655">
      <c r="A1655" s="5">
        <v>1654.0</v>
      </c>
      <c r="B1655" s="5" t="s">
        <v>2291</v>
      </c>
      <c r="C1655" s="5" t="s">
        <v>21</v>
      </c>
      <c r="K1655" s="5">
        <v>300.0</v>
      </c>
      <c r="N1655" s="9">
        <v>45393.0</v>
      </c>
    </row>
    <row r="1656">
      <c r="A1656" s="5">
        <v>1655.0</v>
      </c>
      <c r="B1656" s="5" t="s">
        <v>2292</v>
      </c>
      <c r="C1656" s="5" t="s">
        <v>21</v>
      </c>
      <c r="K1656" s="5">
        <v>1500.0</v>
      </c>
      <c r="N1656" s="9">
        <v>43959.0</v>
      </c>
    </row>
    <row r="1657">
      <c r="A1657" s="5">
        <v>1656.0</v>
      </c>
      <c r="B1657" s="5" t="s">
        <v>2293</v>
      </c>
      <c r="C1657" s="5" t="s">
        <v>21</v>
      </c>
      <c r="K1657" s="5">
        <v>200.0</v>
      </c>
      <c r="N1657" s="9">
        <v>44570.0</v>
      </c>
    </row>
    <row r="1658">
      <c r="A1658" s="5">
        <v>1657.0</v>
      </c>
      <c r="B1658" s="5" t="s">
        <v>2294</v>
      </c>
      <c r="C1658" s="5" t="s">
        <v>21</v>
      </c>
      <c r="K1658" s="5">
        <v>350.0</v>
      </c>
      <c r="N1658" s="9">
        <v>44672.0</v>
      </c>
    </row>
    <row r="1659">
      <c r="A1659" s="5">
        <v>1658.0</v>
      </c>
      <c r="B1659" s="5" t="s">
        <v>2295</v>
      </c>
      <c r="C1659" s="5" t="s">
        <v>21</v>
      </c>
      <c r="K1659" s="5">
        <v>1200.0</v>
      </c>
      <c r="N1659" s="9">
        <v>44663.0</v>
      </c>
    </row>
    <row r="1660">
      <c r="A1660" s="5">
        <v>1659.0</v>
      </c>
      <c r="B1660" s="5" t="s">
        <v>2296</v>
      </c>
      <c r="C1660" s="5" t="s">
        <v>21</v>
      </c>
      <c r="K1660" s="5">
        <v>150.0</v>
      </c>
      <c r="N1660" s="9">
        <v>43889.0</v>
      </c>
    </row>
    <row r="1661">
      <c r="A1661" s="5">
        <v>1660.0</v>
      </c>
      <c r="B1661" s="5" t="s">
        <v>2297</v>
      </c>
      <c r="C1661" s="5" t="s">
        <v>21</v>
      </c>
      <c r="K1661" s="5">
        <v>200.0</v>
      </c>
      <c r="N1661" s="9">
        <v>44634.0</v>
      </c>
    </row>
    <row r="1662">
      <c r="A1662" s="5">
        <v>1661.0</v>
      </c>
      <c r="B1662" s="5" t="s">
        <v>2298</v>
      </c>
      <c r="C1662" s="5" t="s">
        <v>21</v>
      </c>
      <c r="K1662" s="5">
        <v>150.0</v>
      </c>
      <c r="N1662" s="9">
        <v>44543.0</v>
      </c>
    </row>
    <row r="1663">
      <c r="A1663" s="5">
        <v>1662.0</v>
      </c>
      <c r="B1663" s="5" t="s">
        <v>2299</v>
      </c>
      <c r="C1663" s="5" t="s">
        <v>21</v>
      </c>
      <c r="K1663" s="5">
        <v>1200.0</v>
      </c>
      <c r="N1663" s="9">
        <v>44986.0</v>
      </c>
    </row>
    <row r="1664">
      <c r="A1664" s="5">
        <v>1663.0</v>
      </c>
      <c r="B1664" s="5" t="s">
        <v>2300</v>
      </c>
      <c r="C1664" s="5" t="s">
        <v>21</v>
      </c>
      <c r="K1664" s="5">
        <v>40.0</v>
      </c>
      <c r="N1664" s="9">
        <v>44605.0</v>
      </c>
    </row>
    <row r="1665">
      <c r="A1665" s="5">
        <v>1664.0</v>
      </c>
      <c r="B1665" s="5" t="s">
        <v>2301</v>
      </c>
      <c r="C1665" s="5" t="s">
        <v>21</v>
      </c>
      <c r="K1665" s="5">
        <v>700.0</v>
      </c>
      <c r="N1665" s="9">
        <v>43886.0</v>
      </c>
    </row>
    <row r="1666">
      <c r="A1666" s="5">
        <v>1665.0</v>
      </c>
      <c r="B1666" s="5" t="s">
        <v>2302</v>
      </c>
      <c r="C1666" s="5" t="s">
        <v>21</v>
      </c>
      <c r="K1666" s="5">
        <v>500.0</v>
      </c>
      <c r="N1666" s="9">
        <v>45376.0</v>
      </c>
    </row>
    <row r="1667">
      <c r="A1667" s="5">
        <v>1666.0</v>
      </c>
      <c r="B1667" s="5" t="s">
        <v>2303</v>
      </c>
      <c r="C1667" s="5" t="s">
        <v>21</v>
      </c>
      <c r="K1667" s="5">
        <v>1200.0</v>
      </c>
      <c r="N1667" s="9">
        <v>43892.0</v>
      </c>
    </row>
    <row r="1668">
      <c r="A1668" s="5">
        <v>1667.0</v>
      </c>
      <c r="B1668" s="5" t="s">
        <v>2304</v>
      </c>
      <c r="C1668" s="5" t="s">
        <v>21</v>
      </c>
      <c r="K1668" s="5">
        <v>800.0</v>
      </c>
      <c r="N1668" s="9">
        <v>44893.0</v>
      </c>
    </row>
    <row r="1669">
      <c r="A1669" s="5">
        <v>1668.0</v>
      </c>
      <c r="B1669" s="5" t="s">
        <v>2305</v>
      </c>
      <c r="C1669" s="5" t="s">
        <v>21</v>
      </c>
      <c r="K1669" s="5">
        <v>50.0</v>
      </c>
      <c r="N1669" s="9">
        <v>44991.0</v>
      </c>
    </row>
    <row r="1670">
      <c r="A1670" s="5">
        <v>1669.0</v>
      </c>
      <c r="B1670" s="5" t="s">
        <v>2306</v>
      </c>
      <c r="C1670" s="5" t="s">
        <v>21</v>
      </c>
      <c r="K1670" s="5">
        <v>150.0</v>
      </c>
      <c r="N1670" s="9">
        <v>44535.0</v>
      </c>
    </row>
    <row r="1671">
      <c r="A1671" s="5">
        <v>1670.0</v>
      </c>
      <c r="B1671" s="5" t="s">
        <v>2307</v>
      </c>
      <c r="C1671" s="5" t="s">
        <v>21</v>
      </c>
      <c r="K1671" s="5">
        <v>600.0</v>
      </c>
      <c r="N1671" s="9">
        <v>43899.0</v>
      </c>
    </row>
    <row r="1672">
      <c r="A1672" s="5">
        <v>1671.0</v>
      </c>
      <c r="B1672" s="5" t="s">
        <v>2308</v>
      </c>
      <c r="C1672" s="5" t="s">
        <v>21</v>
      </c>
      <c r="K1672" s="5">
        <v>1000.0</v>
      </c>
      <c r="N1672" s="9">
        <v>45623.0</v>
      </c>
    </row>
    <row r="1673">
      <c r="A1673" s="5">
        <v>1672.0</v>
      </c>
      <c r="B1673" s="5" t="s">
        <v>2309</v>
      </c>
      <c r="C1673" s="5" t="s">
        <v>21</v>
      </c>
      <c r="K1673" s="5">
        <v>150.0</v>
      </c>
      <c r="N1673" s="9">
        <v>44937.0</v>
      </c>
    </row>
    <row r="1674">
      <c r="A1674" s="5">
        <v>1673.0</v>
      </c>
      <c r="B1674" s="5" t="s">
        <v>2310</v>
      </c>
      <c r="C1674" s="5" t="s">
        <v>21</v>
      </c>
      <c r="K1674" s="5">
        <v>250.0</v>
      </c>
      <c r="N1674" s="9">
        <v>44545.0</v>
      </c>
    </row>
    <row r="1675">
      <c r="A1675" s="5">
        <v>1674.0</v>
      </c>
      <c r="B1675" s="5" t="s">
        <v>2311</v>
      </c>
      <c r="C1675" s="5" t="s">
        <v>21</v>
      </c>
      <c r="K1675" s="5">
        <v>100.0</v>
      </c>
      <c r="N1675" s="9">
        <v>45014.0</v>
      </c>
    </row>
    <row r="1676">
      <c r="A1676" s="5">
        <v>1675.0</v>
      </c>
      <c r="B1676" s="5" t="s">
        <v>2312</v>
      </c>
      <c r="C1676" s="5" t="s">
        <v>21</v>
      </c>
      <c r="K1676" s="5">
        <v>1100.0</v>
      </c>
      <c r="N1676" s="9">
        <v>44600.0</v>
      </c>
    </row>
    <row r="1677">
      <c r="A1677" s="5">
        <v>1676.0</v>
      </c>
      <c r="B1677" s="5" t="s">
        <v>2313</v>
      </c>
      <c r="C1677" s="5" t="s">
        <v>21</v>
      </c>
      <c r="K1677" s="5">
        <v>400.0</v>
      </c>
      <c r="N1677" s="9">
        <v>44534.0</v>
      </c>
    </row>
    <row r="1678">
      <c r="A1678" s="5">
        <v>1677.0</v>
      </c>
      <c r="B1678" s="5" t="s">
        <v>2314</v>
      </c>
      <c r="C1678" s="5" t="s">
        <v>21</v>
      </c>
      <c r="K1678" s="5">
        <v>600.0</v>
      </c>
      <c r="N1678" s="9">
        <v>44803.0</v>
      </c>
    </row>
    <row r="1679">
      <c r="A1679" s="5">
        <v>1678.0</v>
      </c>
      <c r="B1679" s="5" t="s">
        <v>2315</v>
      </c>
      <c r="C1679" s="5" t="s">
        <v>21</v>
      </c>
      <c r="K1679" s="5">
        <v>250.0</v>
      </c>
      <c r="N1679" s="9">
        <v>44837.0</v>
      </c>
    </row>
    <row r="1680">
      <c r="A1680" s="5">
        <v>1679.0</v>
      </c>
      <c r="B1680" s="5" t="s">
        <v>2316</v>
      </c>
      <c r="C1680" s="5" t="s">
        <v>21</v>
      </c>
      <c r="K1680" s="5">
        <v>200.0</v>
      </c>
      <c r="N1680" s="9">
        <v>45261.0</v>
      </c>
    </row>
    <row r="1681">
      <c r="A1681" s="5">
        <v>1680.0</v>
      </c>
      <c r="B1681" s="5" t="s">
        <v>2317</v>
      </c>
      <c r="C1681" s="5" t="s">
        <v>21</v>
      </c>
      <c r="K1681" s="5">
        <v>500.0</v>
      </c>
      <c r="N1681" s="9">
        <v>44611.0</v>
      </c>
    </row>
    <row r="1682">
      <c r="A1682" s="5">
        <v>1681.0</v>
      </c>
      <c r="B1682" s="5" t="s">
        <v>2318</v>
      </c>
      <c r="C1682" s="5" t="s">
        <v>21</v>
      </c>
      <c r="K1682" s="5">
        <v>350.0</v>
      </c>
      <c r="N1682" s="9">
        <v>45125.0</v>
      </c>
    </row>
    <row r="1683">
      <c r="A1683" s="5">
        <v>1682.0</v>
      </c>
      <c r="B1683" s="5" t="s">
        <v>2319</v>
      </c>
      <c r="C1683" s="5" t="s">
        <v>21</v>
      </c>
      <c r="K1683" s="5">
        <v>200.0</v>
      </c>
      <c r="N1683" s="9">
        <v>44543.0</v>
      </c>
    </row>
    <row r="1684">
      <c r="A1684" s="5">
        <v>1683.0</v>
      </c>
      <c r="B1684" s="5" t="s">
        <v>2320</v>
      </c>
      <c r="C1684" s="5" t="s">
        <v>21</v>
      </c>
      <c r="K1684" s="5">
        <v>60.0</v>
      </c>
      <c r="N1684" s="9">
        <v>44543.0</v>
      </c>
    </row>
    <row r="1685">
      <c r="A1685" s="5">
        <v>1684.0</v>
      </c>
      <c r="B1685" s="5" t="s">
        <v>2321</v>
      </c>
      <c r="C1685" s="5" t="s">
        <v>21</v>
      </c>
      <c r="K1685" s="5">
        <v>200.0</v>
      </c>
      <c r="N1685" s="9">
        <v>44416.0</v>
      </c>
    </row>
    <row r="1686">
      <c r="A1686" s="5">
        <v>1685.0</v>
      </c>
      <c r="B1686" s="5" t="s">
        <v>2322</v>
      </c>
      <c r="C1686" s="5" t="s">
        <v>21</v>
      </c>
      <c r="K1686" s="5">
        <v>700.0</v>
      </c>
      <c r="N1686" s="9">
        <v>44691.0</v>
      </c>
    </row>
    <row r="1687">
      <c r="A1687" s="5">
        <v>1686.0</v>
      </c>
      <c r="B1687" s="5" t="s">
        <v>2323</v>
      </c>
      <c r="C1687" s="5" t="s">
        <v>21</v>
      </c>
      <c r="K1687" s="5">
        <v>40.0</v>
      </c>
      <c r="N1687" s="9">
        <v>44774.0</v>
      </c>
    </row>
    <row r="1688">
      <c r="A1688" s="5">
        <v>1687.0</v>
      </c>
      <c r="B1688" s="5" t="s">
        <v>2324</v>
      </c>
      <c r="C1688" s="5" t="s">
        <v>21</v>
      </c>
      <c r="K1688" s="5">
        <v>250.0</v>
      </c>
      <c r="N1688" s="9">
        <v>44483.0</v>
      </c>
    </row>
    <row r="1689">
      <c r="A1689" s="5">
        <v>1688.0</v>
      </c>
      <c r="B1689" s="5" t="s">
        <v>2325</v>
      </c>
      <c r="C1689" s="5" t="s">
        <v>21</v>
      </c>
      <c r="K1689" s="5">
        <v>250.0</v>
      </c>
      <c r="N1689" s="9">
        <v>44545.0</v>
      </c>
    </row>
    <row r="1690">
      <c r="A1690" s="5">
        <v>1689.0</v>
      </c>
      <c r="B1690" s="5" t="s">
        <v>2326</v>
      </c>
      <c r="C1690" s="5" t="s">
        <v>21</v>
      </c>
      <c r="K1690" s="5">
        <v>250.0</v>
      </c>
      <c r="N1690" s="9">
        <v>44471.0</v>
      </c>
    </row>
    <row r="1691">
      <c r="A1691" s="5">
        <v>1690.0</v>
      </c>
      <c r="B1691" s="5" t="s">
        <v>2327</v>
      </c>
      <c r="C1691" s="5" t="s">
        <v>21</v>
      </c>
      <c r="K1691" s="5">
        <v>200.0</v>
      </c>
      <c r="N1691" s="9">
        <v>44593.0</v>
      </c>
    </row>
    <row r="1692">
      <c r="A1692" s="5">
        <v>1691.0</v>
      </c>
      <c r="B1692" s="5" t="s">
        <v>2328</v>
      </c>
      <c r="C1692" s="5" t="s">
        <v>21</v>
      </c>
      <c r="K1692" s="5">
        <v>200.0</v>
      </c>
      <c r="N1692" s="9">
        <v>45452.0</v>
      </c>
    </row>
    <row r="1693">
      <c r="A1693" s="5">
        <v>1692.0</v>
      </c>
      <c r="B1693" s="5" t="s">
        <v>2329</v>
      </c>
      <c r="C1693" s="5" t="s">
        <v>21</v>
      </c>
      <c r="K1693" s="5">
        <v>1700.0</v>
      </c>
      <c r="N1693" s="9">
        <v>44137.0</v>
      </c>
    </row>
    <row r="1694">
      <c r="A1694" s="5">
        <v>1693.0</v>
      </c>
      <c r="B1694" s="5" t="s">
        <v>2330</v>
      </c>
      <c r="C1694" s="5" t="s">
        <v>21</v>
      </c>
      <c r="N1694" s="9">
        <v>44529.0</v>
      </c>
    </row>
    <row r="1695">
      <c r="A1695" s="5">
        <v>1694.0</v>
      </c>
      <c r="B1695" s="5" t="s">
        <v>2331</v>
      </c>
      <c r="C1695" s="5" t="s">
        <v>21</v>
      </c>
      <c r="K1695" s="5">
        <v>300.0</v>
      </c>
      <c r="N1695" s="9">
        <v>44602.0</v>
      </c>
    </row>
    <row r="1696">
      <c r="A1696" s="5">
        <v>1695.0</v>
      </c>
      <c r="B1696" s="5" t="s">
        <v>2332</v>
      </c>
      <c r="C1696" s="5" t="s">
        <v>21</v>
      </c>
      <c r="N1696" s="9">
        <v>44543.0</v>
      </c>
    </row>
    <row r="1697">
      <c r="A1697" s="5">
        <v>1696.0</v>
      </c>
      <c r="B1697" s="5" t="s">
        <v>144</v>
      </c>
      <c r="C1697" s="5" t="s">
        <v>21</v>
      </c>
      <c r="K1697" s="5">
        <v>5600.0</v>
      </c>
      <c r="N1697" s="9">
        <v>44531.0</v>
      </c>
    </row>
    <row r="1698">
      <c r="A1698" s="5">
        <v>1697.0</v>
      </c>
      <c r="B1698" s="5" t="s">
        <v>2333</v>
      </c>
      <c r="C1698" s="5" t="s">
        <v>21</v>
      </c>
      <c r="K1698" s="5">
        <v>20.0</v>
      </c>
      <c r="N1698" s="9">
        <v>44422.0</v>
      </c>
    </row>
    <row r="1699">
      <c r="A1699" s="5">
        <v>1698.0</v>
      </c>
      <c r="B1699" s="5" t="s">
        <v>2334</v>
      </c>
      <c r="C1699" s="5" t="s">
        <v>21</v>
      </c>
      <c r="K1699" s="5">
        <v>700.0</v>
      </c>
      <c r="N1699" s="9">
        <v>44537.0</v>
      </c>
    </row>
    <row r="1700">
      <c r="A1700" s="5">
        <v>1699.0</v>
      </c>
      <c r="B1700" s="5" t="s">
        <v>2335</v>
      </c>
      <c r="C1700" s="5" t="s">
        <v>21</v>
      </c>
      <c r="K1700" s="5">
        <v>3100.0</v>
      </c>
      <c r="N1700" s="9">
        <v>43843.0</v>
      </c>
    </row>
    <row r="1701">
      <c r="A1701" s="5">
        <v>1700.0</v>
      </c>
      <c r="B1701" s="5" t="s">
        <v>2336</v>
      </c>
      <c r="C1701" s="5" t="s">
        <v>21</v>
      </c>
      <c r="K1701" s="5">
        <v>900.0</v>
      </c>
      <c r="N1701" s="9">
        <v>44602.0</v>
      </c>
    </row>
    <row r="1702">
      <c r="A1702" s="5">
        <v>1701.0</v>
      </c>
      <c r="B1702" s="5" t="s">
        <v>2337</v>
      </c>
      <c r="C1702" s="5" t="s">
        <v>21</v>
      </c>
      <c r="K1702" s="5">
        <v>3500.0</v>
      </c>
      <c r="N1702" s="9">
        <v>44526.0</v>
      </c>
    </row>
    <row r="1703">
      <c r="A1703" s="5">
        <v>1702.0</v>
      </c>
      <c r="B1703" s="5" t="s">
        <v>2338</v>
      </c>
      <c r="C1703" s="5" t="s">
        <v>21</v>
      </c>
      <c r="K1703" s="5">
        <v>80.0</v>
      </c>
      <c r="N1703" s="9">
        <v>44531.0</v>
      </c>
    </row>
    <row r="1704">
      <c r="A1704" s="5">
        <v>1703.0</v>
      </c>
      <c r="B1704" s="5" t="s">
        <v>2339</v>
      </c>
      <c r="C1704" s="5" t="s">
        <v>21</v>
      </c>
      <c r="K1704" s="5">
        <v>500.0</v>
      </c>
      <c r="N1704" s="9">
        <v>44741.0</v>
      </c>
    </row>
    <row r="1705">
      <c r="A1705" s="5">
        <v>1704.0</v>
      </c>
      <c r="B1705" s="5" t="s">
        <v>2340</v>
      </c>
      <c r="C1705" s="5" t="s">
        <v>21</v>
      </c>
      <c r="K1705" s="5">
        <v>3200.0</v>
      </c>
      <c r="N1705" s="9">
        <v>44398.0</v>
      </c>
    </row>
    <row r="1706">
      <c r="A1706" s="5">
        <v>1705.0</v>
      </c>
      <c r="B1706" s="5" t="s">
        <v>2341</v>
      </c>
      <c r="C1706" s="5" t="s">
        <v>21</v>
      </c>
      <c r="K1706" s="5">
        <v>1200.0</v>
      </c>
      <c r="N1706" s="9">
        <v>45320.0</v>
      </c>
    </row>
    <row r="1707">
      <c r="A1707" s="5">
        <v>1706.0</v>
      </c>
      <c r="B1707" s="5" t="s">
        <v>2342</v>
      </c>
      <c r="C1707" s="5" t="s">
        <v>21</v>
      </c>
      <c r="N1707" s="9">
        <v>44571.0</v>
      </c>
    </row>
    <row r="1708">
      <c r="A1708" s="5">
        <v>1707.0</v>
      </c>
      <c r="B1708" s="5" t="s">
        <v>2343</v>
      </c>
      <c r="C1708" s="5" t="s">
        <v>21</v>
      </c>
      <c r="K1708" s="5">
        <v>200.0</v>
      </c>
      <c r="N1708" s="9">
        <v>44683.0</v>
      </c>
    </row>
    <row r="1709">
      <c r="A1709" s="5">
        <v>1708.0</v>
      </c>
      <c r="B1709" s="5" t="s">
        <v>2344</v>
      </c>
      <c r="C1709" s="5" t="s">
        <v>21</v>
      </c>
      <c r="K1709" s="5">
        <v>4400.0</v>
      </c>
      <c r="N1709" s="9">
        <v>44826.0</v>
      </c>
    </row>
    <row r="1710">
      <c r="A1710" s="5">
        <v>1709.0</v>
      </c>
      <c r="B1710" s="5" t="s">
        <v>149</v>
      </c>
      <c r="C1710" s="5" t="s">
        <v>21</v>
      </c>
      <c r="K1710" s="5">
        <v>1100.0</v>
      </c>
      <c r="N1710" s="9">
        <v>44996.0</v>
      </c>
    </row>
    <row r="1711">
      <c r="A1711" s="5">
        <v>1710.0</v>
      </c>
      <c r="B1711" s="5" t="s">
        <v>2345</v>
      </c>
      <c r="C1711" s="5" t="s">
        <v>21</v>
      </c>
      <c r="K1711" s="5">
        <v>4400.0</v>
      </c>
      <c r="N1711" s="9">
        <v>44531.0</v>
      </c>
    </row>
    <row r="1712">
      <c r="A1712" s="5">
        <v>1711.0</v>
      </c>
      <c r="B1712" s="5" t="s">
        <v>2346</v>
      </c>
      <c r="C1712" s="5" t="s">
        <v>21</v>
      </c>
      <c r="K1712" s="5">
        <v>20.0</v>
      </c>
      <c r="N1712" s="9">
        <v>44646.0</v>
      </c>
    </row>
    <row r="1713">
      <c r="A1713" s="5">
        <v>1712.0</v>
      </c>
      <c r="B1713" s="5" t="s">
        <v>2347</v>
      </c>
      <c r="C1713" s="5" t="s">
        <v>21</v>
      </c>
      <c r="K1713" s="5">
        <v>40.0</v>
      </c>
      <c r="N1713" s="9">
        <v>44863.0</v>
      </c>
    </row>
    <row r="1714">
      <c r="A1714" s="5">
        <v>1713.0</v>
      </c>
      <c r="B1714" s="5" t="s">
        <v>2348</v>
      </c>
      <c r="C1714" s="5" t="s">
        <v>21</v>
      </c>
      <c r="K1714" s="5">
        <v>400.0</v>
      </c>
      <c r="N1714" s="9">
        <v>45612.0</v>
      </c>
    </row>
    <row r="1715">
      <c r="A1715" s="5">
        <v>1714.0</v>
      </c>
      <c r="B1715" s="5" t="s">
        <v>2349</v>
      </c>
      <c r="C1715" s="5" t="s">
        <v>21</v>
      </c>
      <c r="N1715" s="9">
        <v>44539.0</v>
      </c>
    </row>
    <row r="1716">
      <c r="A1716" s="5">
        <v>1715.0</v>
      </c>
      <c r="B1716" s="5" t="s">
        <v>2350</v>
      </c>
      <c r="C1716" s="5" t="s">
        <v>21</v>
      </c>
      <c r="K1716" s="5">
        <v>900.0</v>
      </c>
      <c r="N1716" s="9">
        <v>44633.0</v>
      </c>
    </row>
    <row r="1717">
      <c r="A1717" s="5">
        <v>1716.0</v>
      </c>
      <c r="B1717" s="5" t="s">
        <v>2351</v>
      </c>
      <c r="C1717" s="5" t="s">
        <v>21</v>
      </c>
      <c r="K1717" s="5">
        <v>500.0</v>
      </c>
      <c r="N1717" s="9">
        <v>44320.0</v>
      </c>
    </row>
    <row r="1718">
      <c r="A1718" s="5">
        <v>1717.0</v>
      </c>
      <c r="B1718" s="5" t="s">
        <v>2352</v>
      </c>
      <c r="C1718" s="5" t="s">
        <v>21</v>
      </c>
      <c r="K1718" s="5">
        <v>600.0</v>
      </c>
      <c r="N1718" s="9">
        <v>45264.0</v>
      </c>
    </row>
    <row r="1719">
      <c r="A1719" s="5">
        <v>1718.0</v>
      </c>
      <c r="B1719" s="5" t="s">
        <v>2353</v>
      </c>
      <c r="C1719" s="5" t="s">
        <v>21</v>
      </c>
      <c r="K1719" s="5">
        <v>800.0</v>
      </c>
      <c r="N1719" s="9">
        <v>44762.0</v>
      </c>
    </row>
    <row r="1720">
      <c r="A1720" s="5">
        <v>1719.0</v>
      </c>
      <c r="B1720" s="5" t="s">
        <v>2354</v>
      </c>
      <c r="C1720" s="5" t="s">
        <v>21</v>
      </c>
      <c r="K1720" s="5">
        <v>450.0</v>
      </c>
      <c r="N1720" s="9">
        <v>44217.0</v>
      </c>
    </row>
    <row r="1721">
      <c r="A1721" s="5">
        <v>1720.0</v>
      </c>
      <c r="B1721" s="5" t="s">
        <v>2355</v>
      </c>
      <c r="C1721" s="5" t="s">
        <v>21</v>
      </c>
      <c r="K1721" s="5">
        <v>100.0</v>
      </c>
      <c r="N1721" s="9">
        <v>44720.0</v>
      </c>
    </row>
    <row r="1722">
      <c r="A1722" s="5">
        <v>1721.0</v>
      </c>
      <c r="B1722" s="5" t="s">
        <v>2356</v>
      </c>
      <c r="C1722" s="5" t="s">
        <v>21</v>
      </c>
      <c r="K1722" s="5">
        <v>300.0</v>
      </c>
      <c r="N1722" s="9">
        <v>44697.0</v>
      </c>
    </row>
    <row r="1723">
      <c r="A1723" s="5">
        <v>1722.0</v>
      </c>
      <c r="B1723" s="5" t="s">
        <v>2357</v>
      </c>
      <c r="C1723" s="5" t="s">
        <v>21</v>
      </c>
      <c r="K1723" s="5">
        <v>350.0</v>
      </c>
      <c r="N1723" s="9">
        <v>43855.0</v>
      </c>
    </row>
    <row r="1724">
      <c r="A1724" s="5">
        <v>1723.0</v>
      </c>
      <c r="B1724" s="5" t="s">
        <v>2358</v>
      </c>
      <c r="C1724" s="5" t="s">
        <v>21</v>
      </c>
      <c r="K1724" s="5">
        <v>1100.0</v>
      </c>
      <c r="N1724" s="9">
        <v>44764.0</v>
      </c>
    </row>
    <row r="1725">
      <c r="A1725" s="5">
        <v>1724.0</v>
      </c>
      <c r="B1725" s="5" t="s">
        <v>2359</v>
      </c>
      <c r="C1725" s="5" t="s">
        <v>21</v>
      </c>
      <c r="K1725" s="5">
        <v>4000.0</v>
      </c>
      <c r="N1725" s="9">
        <v>45589.0</v>
      </c>
    </row>
    <row r="1726">
      <c r="A1726" s="5">
        <v>1725.0</v>
      </c>
      <c r="B1726" s="5" t="s">
        <v>2360</v>
      </c>
      <c r="C1726" s="5" t="s">
        <v>21</v>
      </c>
      <c r="K1726" s="5">
        <v>100.0</v>
      </c>
      <c r="N1726" s="9">
        <v>44400.0</v>
      </c>
    </row>
    <row r="1727">
      <c r="A1727" s="5">
        <v>1726.0</v>
      </c>
      <c r="B1727" s="5" t="s">
        <v>2361</v>
      </c>
      <c r="C1727" s="5" t="s">
        <v>21</v>
      </c>
      <c r="K1727" s="5">
        <v>500.0</v>
      </c>
      <c r="N1727" s="9">
        <v>45545.0</v>
      </c>
    </row>
    <row r="1728">
      <c r="A1728" s="5">
        <v>1727.0</v>
      </c>
      <c r="B1728" s="5" t="s">
        <v>2362</v>
      </c>
      <c r="C1728" s="5" t="s">
        <v>21</v>
      </c>
      <c r="N1728" s="9">
        <v>45253.0</v>
      </c>
    </row>
    <row r="1729">
      <c r="A1729" s="5">
        <v>1728.0</v>
      </c>
      <c r="B1729" s="5" t="s">
        <v>2363</v>
      </c>
      <c r="C1729" s="5" t="s">
        <v>21</v>
      </c>
      <c r="K1729" s="5">
        <v>800.0</v>
      </c>
      <c r="N1729" s="9">
        <v>44585.0</v>
      </c>
    </row>
    <row r="1730">
      <c r="A1730" s="5">
        <v>1729.0</v>
      </c>
      <c r="B1730" s="5" t="s">
        <v>2364</v>
      </c>
      <c r="C1730" s="5" t="s">
        <v>21</v>
      </c>
      <c r="K1730" s="5">
        <v>350.0</v>
      </c>
      <c r="N1730" s="9">
        <v>45484.0</v>
      </c>
    </row>
    <row r="1731">
      <c r="A1731" s="5">
        <v>1730.0</v>
      </c>
      <c r="B1731" s="5" t="s">
        <v>2365</v>
      </c>
      <c r="C1731" s="5" t="s">
        <v>21</v>
      </c>
      <c r="K1731" s="5">
        <v>400.0</v>
      </c>
      <c r="N1731" s="9">
        <v>44675.0</v>
      </c>
    </row>
    <row r="1732">
      <c r="A1732" s="5">
        <v>1731.0</v>
      </c>
      <c r="B1732" s="5" t="s">
        <v>2366</v>
      </c>
      <c r="C1732" s="5" t="s">
        <v>21</v>
      </c>
      <c r="K1732" s="5">
        <v>250.0</v>
      </c>
      <c r="N1732" s="9">
        <v>44267.0</v>
      </c>
    </row>
    <row r="1733">
      <c r="A1733" s="5">
        <v>1732.0</v>
      </c>
      <c r="B1733" s="5" t="s">
        <v>2367</v>
      </c>
      <c r="C1733" s="5" t="s">
        <v>21</v>
      </c>
      <c r="K1733" s="5">
        <v>3200.0</v>
      </c>
      <c r="N1733" s="9">
        <v>44132.0</v>
      </c>
    </row>
    <row r="1734">
      <c r="A1734" s="5">
        <v>1733.0</v>
      </c>
      <c r="B1734" s="5" t="s">
        <v>2368</v>
      </c>
      <c r="C1734" s="5" t="s">
        <v>21</v>
      </c>
      <c r="K1734" s="5">
        <v>50.0</v>
      </c>
      <c r="N1734" s="9">
        <v>44112.0</v>
      </c>
    </row>
    <row r="1735">
      <c r="A1735" s="5">
        <v>1734.0</v>
      </c>
      <c r="B1735" s="5" t="s">
        <v>2369</v>
      </c>
      <c r="C1735" s="5" t="s">
        <v>21</v>
      </c>
      <c r="K1735" s="5">
        <v>800.0</v>
      </c>
      <c r="N1735" s="9">
        <v>43858.0</v>
      </c>
    </row>
    <row r="1736">
      <c r="A1736" s="5">
        <v>1735.0</v>
      </c>
      <c r="B1736" s="5" t="s">
        <v>2370</v>
      </c>
      <c r="C1736" s="5" t="s">
        <v>21</v>
      </c>
      <c r="K1736" s="5">
        <v>300.0</v>
      </c>
      <c r="N1736" s="9">
        <v>45769.0</v>
      </c>
    </row>
    <row r="1737">
      <c r="A1737" s="5">
        <v>1736.0</v>
      </c>
      <c r="B1737" s="5" t="s">
        <v>2371</v>
      </c>
      <c r="C1737" s="5" t="s">
        <v>21</v>
      </c>
      <c r="K1737" s="5">
        <v>500.0</v>
      </c>
      <c r="N1737" s="9">
        <v>44592.0</v>
      </c>
    </row>
    <row r="1738">
      <c r="A1738" s="5">
        <v>1737.0</v>
      </c>
      <c r="B1738" s="5" t="s">
        <v>2372</v>
      </c>
      <c r="C1738" s="5" t="s">
        <v>21</v>
      </c>
      <c r="K1738" s="5">
        <v>450.0</v>
      </c>
      <c r="N1738" s="9">
        <v>44522.0</v>
      </c>
    </row>
    <row r="1739">
      <c r="A1739" s="5">
        <v>1738.0</v>
      </c>
      <c r="B1739" s="5" t="s">
        <v>2373</v>
      </c>
      <c r="C1739" s="5" t="s">
        <v>21</v>
      </c>
      <c r="K1739" s="5">
        <v>100.0</v>
      </c>
      <c r="N1739" s="9">
        <v>44683.0</v>
      </c>
    </row>
    <row r="1740">
      <c r="A1740" s="5">
        <v>1739.0</v>
      </c>
      <c r="B1740" s="5" t="s">
        <v>2374</v>
      </c>
      <c r="C1740" s="5" t="s">
        <v>21</v>
      </c>
      <c r="K1740" s="5">
        <v>150.0</v>
      </c>
      <c r="N1740" s="9">
        <v>44529.0</v>
      </c>
    </row>
    <row r="1741">
      <c r="A1741" s="5">
        <v>1740.0</v>
      </c>
      <c r="B1741" s="5" t="s">
        <v>2375</v>
      </c>
      <c r="C1741" s="5" t="s">
        <v>21</v>
      </c>
      <c r="K1741" s="5">
        <v>350.0</v>
      </c>
      <c r="N1741" s="9">
        <v>45137.0</v>
      </c>
    </row>
    <row r="1742">
      <c r="A1742" s="5">
        <v>1741.0</v>
      </c>
      <c r="B1742" s="5" t="s">
        <v>2376</v>
      </c>
      <c r="C1742" s="5" t="s">
        <v>21</v>
      </c>
      <c r="K1742" s="5">
        <v>60.0</v>
      </c>
      <c r="N1742" s="9">
        <v>44545.0</v>
      </c>
    </row>
    <row r="1743">
      <c r="A1743" s="5">
        <v>1742.0</v>
      </c>
      <c r="B1743" s="5" t="s">
        <v>2377</v>
      </c>
      <c r="C1743" s="5" t="s">
        <v>21</v>
      </c>
      <c r="K1743" s="5">
        <v>1400.0</v>
      </c>
      <c r="N1743" s="9">
        <v>46096.0</v>
      </c>
    </row>
    <row r="1744">
      <c r="A1744" s="5">
        <v>1743.0</v>
      </c>
      <c r="B1744" s="5" t="s">
        <v>2378</v>
      </c>
      <c r="C1744" s="5" t="s">
        <v>21</v>
      </c>
      <c r="K1744" s="5">
        <v>1000.0</v>
      </c>
      <c r="N1744" s="9">
        <v>44562.0</v>
      </c>
    </row>
    <row r="1745">
      <c r="A1745" s="5">
        <v>1744.0</v>
      </c>
      <c r="B1745" s="5" t="s">
        <v>2379</v>
      </c>
      <c r="C1745" s="5" t="s">
        <v>21</v>
      </c>
      <c r="K1745" s="5">
        <v>1200.0</v>
      </c>
      <c r="N1745" s="9">
        <v>44791.0</v>
      </c>
    </row>
    <row r="1746">
      <c r="A1746" s="5">
        <v>1745.0</v>
      </c>
      <c r="B1746" s="5" t="s">
        <v>2380</v>
      </c>
      <c r="C1746" s="5" t="s">
        <v>21</v>
      </c>
      <c r="K1746" s="5">
        <v>300.0</v>
      </c>
      <c r="N1746" s="9">
        <v>44719.0</v>
      </c>
    </row>
    <row r="1747">
      <c r="A1747" s="5">
        <v>1746.0</v>
      </c>
      <c r="B1747" s="5" t="s">
        <v>2381</v>
      </c>
      <c r="C1747" s="5" t="s">
        <v>21</v>
      </c>
      <c r="K1747" s="5">
        <v>1000.0</v>
      </c>
      <c r="N1747" s="9">
        <v>43878.0</v>
      </c>
    </row>
    <row r="1748">
      <c r="A1748" s="5">
        <v>1747.0</v>
      </c>
      <c r="B1748" s="5" t="s">
        <v>2382</v>
      </c>
      <c r="C1748" s="5" t="s">
        <v>21</v>
      </c>
      <c r="K1748" s="5">
        <v>500.0</v>
      </c>
      <c r="N1748" s="9">
        <v>44535.0</v>
      </c>
    </row>
    <row r="1749">
      <c r="A1749" s="5">
        <v>1748.0</v>
      </c>
      <c r="B1749" s="5" t="s">
        <v>2383</v>
      </c>
      <c r="C1749" s="5" t="s">
        <v>21</v>
      </c>
      <c r="K1749" s="5">
        <v>500.0</v>
      </c>
      <c r="N1749" s="9">
        <v>44683.0</v>
      </c>
    </row>
    <row r="1750">
      <c r="A1750" s="5">
        <v>1749.0</v>
      </c>
      <c r="B1750" s="5" t="s">
        <v>2384</v>
      </c>
      <c r="C1750" s="5" t="s">
        <v>21</v>
      </c>
      <c r="K1750" s="5">
        <v>400.0</v>
      </c>
      <c r="N1750" s="9">
        <v>44519.0</v>
      </c>
    </row>
    <row r="1751">
      <c r="A1751" s="5">
        <v>1750.0</v>
      </c>
      <c r="B1751" s="5" t="s">
        <v>2385</v>
      </c>
      <c r="C1751" s="5" t="s">
        <v>21</v>
      </c>
      <c r="K1751" s="5">
        <v>600.0</v>
      </c>
      <c r="N1751" s="9">
        <v>45235.0</v>
      </c>
    </row>
    <row r="1752">
      <c r="A1752" s="5">
        <v>1751.0</v>
      </c>
      <c r="B1752" s="5" t="s">
        <v>2386</v>
      </c>
      <c r="C1752" s="5" t="s">
        <v>21</v>
      </c>
      <c r="K1752" s="5">
        <v>150.0</v>
      </c>
      <c r="N1752" s="9">
        <v>44661.0</v>
      </c>
    </row>
    <row r="1753">
      <c r="A1753" s="5">
        <v>1752.0</v>
      </c>
      <c r="B1753" s="5" t="s">
        <v>2387</v>
      </c>
      <c r="C1753" s="5" t="s">
        <v>21</v>
      </c>
      <c r="K1753" s="5">
        <v>250.0</v>
      </c>
      <c r="N1753" s="9">
        <v>44544.0</v>
      </c>
    </row>
    <row r="1754">
      <c r="A1754" s="5">
        <v>1753.0</v>
      </c>
      <c r="B1754" s="5" t="s">
        <v>2388</v>
      </c>
      <c r="C1754" s="5" t="s">
        <v>21</v>
      </c>
      <c r="K1754" s="5">
        <v>500.0</v>
      </c>
      <c r="N1754" s="9">
        <v>44615.0</v>
      </c>
    </row>
    <row r="1755">
      <c r="A1755" s="5">
        <v>1754.0</v>
      </c>
      <c r="B1755" s="5" t="s">
        <v>2389</v>
      </c>
      <c r="C1755" s="5" t="s">
        <v>21</v>
      </c>
      <c r="K1755" s="5">
        <v>200.0</v>
      </c>
      <c r="N1755" s="9">
        <v>44521.0</v>
      </c>
    </row>
    <row r="1756">
      <c r="A1756" s="5">
        <v>1755.0</v>
      </c>
      <c r="B1756" s="5" t="s">
        <v>2390</v>
      </c>
      <c r="C1756" s="5" t="s">
        <v>21</v>
      </c>
      <c r="K1756" s="5">
        <v>350.0</v>
      </c>
      <c r="N1756" s="9">
        <v>44636.0</v>
      </c>
    </row>
    <row r="1757">
      <c r="A1757" s="5">
        <v>1756.0</v>
      </c>
      <c r="B1757" s="5" t="s">
        <v>2391</v>
      </c>
      <c r="C1757" s="5" t="s">
        <v>21</v>
      </c>
      <c r="K1757" s="5">
        <v>250.0</v>
      </c>
      <c r="N1757" s="9">
        <v>44648.0</v>
      </c>
    </row>
    <row r="1758">
      <c r="A1758" s="5">
        <v>1757.0</v>
      </c>
      <c r="B1758" s="5" t="s">
        <v>2392</v>
      </c>
      <c r="C1758" s="5" t="s">
        <v>21</v>
      </c>
      <c r="K1758" s="5">
        <v>400.0</v>
      </c>
      <c r="N1758" s="9">
        <v>44761.0</v>
      </c>
    </row>
    <row r="1759">
      <c r="A1759" s="5">
        <v>1758.0</v>
      </c>
      <c r="B1759" s="5" t="s">
        <v>2393</v>
      </c>
      <c r="C1759" s="5" t="s">
        <v>21</v>
      </c>
      <c r="K1759" s="5">
        <v>400.0</v>
      </c>
      <c r="N1759" s="9">
        <v>44618.0</v>
      </c>
    </row>
    <row r="1760">
      <c r="A1760" s="5">
        <v>1759.0</v>
      </c>
      <c r="B1760" s="5" t="s">
        <v>2394</v>
      </c>
      <c r="C1760" s="5" t="s">
        <v>21</v>
      </c>
      <c r="K1760" s="5">
        <v>400.0</v>
      </c>
      <c r="N1760" s="9">
        <v>44962.0</v>
      </c>
    </row>
    <row r="1761">
      <c r="A1761" s="5">
        <v>1760.0</v>
      </c>
      <c r="B1761" s="5" t="s">
        <v>2395</v>
      </c>
      <c r="C1761" s="5" t="s">
        <v>21</v>
      </c>
      <c r="K1761" s="5">
        <v>450.0</v>
      </c>
      <c r="N1761" s="9">
        <v>44530.0</v>
      </c>
    </row>
    <row r="1762">
      <c r="A1762" s="5">
        <v>1761.0</v>
      </c>
      <c r="B1762" s="5" t="s">
        <v>2396</v>
      </c>
      <c r="C1762" s="5" t="s">
        <v>21</v>
      </c>
      <c r="K1762" s="5">
        <v>1500.0</v>
      </c>
      <c r="N1762" s="9">
        <v>44124.0</v>
      </c>
    </row>
    <row r="1763">
      <c r="A1763" s="5">
        <v>1762.0</v>
      </c>
      <c r="B1763" s="5" t="s">
        <v>2397</v>
      </c>
      <c r="C1763" s="5" t="s">
        <v>21</v>
      </c>
      <c r="K1763" s="5">
        <v>70.0</v>
      </c>
      <c r="N1763" s="9">
        <v>44719.0</v>
      </c>
    </row>
    <row r="1764">
      <c r="A1764" s="5">
        <v>1763.0</v>
      </c>
      <c r="B1764" s="5" t="s">
        <v>2398</v>
      </c>
      <c r="C1764" s="5" t="s">
        <v>21</v>
      </c>
      <c r="K1764" s="5">
        <v>150.0</v>
      </c>
      <c r="N1764" s="9">
        <v>44309.0</v>
      </c>
    </row>
    <row r="1765">
      <c r="A1765" s="5">
        <v>1764.0</v>
      </c>
      <c r="B1765" s="5" t="s">
        <v>2399</v>
      </c>
      <c r="C1765" s="5" t="s">
        <v>21</v>
      </c>
      <c r="K1765" s="5">
        <v>20.0</v>
      </c>
      <c r="N1765" s="9">
        <v>44379.0</v>
      </c>
    </row>
    <row r="1766">
      <c r="A1766" s="5">
        <v>1765.0</v>
      </c>
      <c r="B1766" s="5" t="s">
        <v>2400</v>
      </c>
      <c r="C1766" s="5" t="s">
        <v>21</v>
      </c>
      <c r="K1766" s="5">
        <v>150.0</v>
      </c>
      <c r="N1766" s="9">
        <v>44523.0</v>
      </c>
    </row>
    <row r="1767">
      <c r="A1767" s="5">
        <v>1766.0</v>
      </c>
      <c r="B1767" s="5" t="s">
        <v>2401</v>
      </c>
      <c r="C1767" s="5" t="s">
        <v>21</v>
      </c>
      <c r="K1767" s="5">
        <v>1000.0</v>
      </c>
      <c r="N1767" s="9">
        <v>44534.0</v>
      </c>
    </row>
    <row r="1768">
      <c r="A1768" s="5">
        <v>1767.0</v>
      </c>
      <c r="B1768" s="5" t="s">
        <v>2402</v>
      </c>
      <c r="C1768" s="5" t="s">
        <v>21</v>
      </c>
      <c r="K1768" s="5">
        <v>600.0</v>
      </c>
      <c r="N1768" s="9">
        <v>45559.0</v>
      </c>
    </row>
    <row r="1769">
      <c r="A1769" s="5">
        <v>1768.0</v>
      </c>
      <c r="B1769" s="5" t="s">
        <v>2403</v>
      </c>
      <c r="C1769" s="5" t="s">
        <v>21</v>
      </c>
      <c r="N1769" s="9">
        <v>44529.0</v>
      </c>
    </row>
    <row r="1770">
      <c r="A1770" s="5">
        <v>1769.0</v>
      </c>
      <c r="B1770" s="5" t="s">
        <v>2404</v>
      </c>
      <c r="C1770" s="5" t="s">
        <v>21</v>
      </c>
      <c r="K1770" s="5">
        <v>250.0</v>
      </c>
      <c r="N1770" s="9">
        <v>44865.0</v>
      </c>
    </row>
    <row r="1771">
      <c r="A1771" s="5">
        <v>1770.0</v>
      </c>
      <c r="B1771" s="5" t="s">
        <v>2405</v>
      </c>
      <c r="C1771" s="5" t="s">
        <v>21</v>
      </c>
      <c r="K1771" s="5">
        <v>400.0</v>
      </c>
      <c r="N1771" s="9">
        <v>44828.0</v>
      </c>
    </row>
    <row r="1772">
      <c r="A1772" s="5">
        <v>1771.0</v>
      </c>
      <c r="B1772" s="5" t="s">
        <v>2406</v>
      </c>
      <c r="C1772" s="5" t="s">
        <v>21</v>
      </c>
      <c r="K1772" s="5">
        <v>250.0</v>
      </c>
      <c r="N1772" s="9">
        <v>44552.0</v>
      </c>
    </row>
    <row r="1773">
      <c r="A1773" s="5">
        <v>1772.0</v>
      </c>
      <c r="B1773" s="5" t="s">
        <v>2407</v>
      </c>
      <c r="C1773" s="5" t="s">
        <v>21</v>
      </c>
      <c r="K1773" s="5">
        <v>20.0</v>
      </c>
      <c r="N1773" s="9">
        <v>45454.0</v>
      </c>
    </row>
    <row r="1774">
      <c r="A1774" s="5">
        <v>1773.0</v>
      </c>
      <c r="B1774" s="5" t="s">
        <v>2408</v>
      </c>
      <c r="C1774" s="5" t="s">
        <v>21</v>
      </c>
      <c r="K1774" s="5">
        <v>1100.0</v>
      </c>
      <c r="N1774" s="9">
        <v>44264.0</v>
      </c>
    </row>
    <row r="1775">
      <c r="A1775" s="5">
        <v>1774.0</v>
      </c>
      <c r="B1775" s="5" t="s">
        <v>2409</v>
      </c>
      <c r="C1775" s="5" t="s">
        <v>21</v>
      </c>
      <c r="K1775" s="5">
        <v>450.0</v>
      </c>
      <c r="N1775" s="9">
        <v>44512.0</v>
      </c>
    </row>
    <row r="1776">
      <c r="A1776" s="5">
        <v>1775.0</v>
      </c>
      <c r="B1776" s="5" t="s">
        <v>2410</v>
      </c>
      <c r="C1776" s="5" t="s">
        <v>21</v>
      </c>
      <c r="K1776" s="5">
        <v>350.0</v>
      </c>
      <c r="N1776" s="9">
        <v>44380.0</v>
      </c>
    </row>
    <row r="1777">
      <c r="A1777" s="5">
        <v>1776.0</v>
      </c>
      <c r="B1777" s="5" t="s">
        <v>2411</v>
      </c>
      <c r="C1777" s="5" t="s">
        <v>21</v>
      </c>
      <c r="K1777" s="5">
        <v>500.0</v>
      </c>
      <c r="N1777" s="9">
        <v>44545.0</v>
      </c>
    </row>
    <row r="1778">
      <c r="A1778" s="5">
        <v>1777.0</v>
      </c>
      <c r="B1778" s="5" t="s">
        <v>2412</v>
      </c>
      <c r="C1778" s="5" t="s">
        <v>21</v>
      </c>
      <c r="K1778" s="5">
        <v>20.0</v>
      </c>
      <c r="N1778" s="9">
        <v>44430.0</v>
      </c>
    </row>
    <row r="1779">
      <c r="A1779" s="5">
        <v>1778.0</v>
      </c>
      <c r="B1779" s="5" t="s">
        <v>2413</v>
      </c>
      <c r="C1779" s="5" t="s">
        <v>21</v>
      </c>
      <c r="K1779" s="5">
        <v>150.0</v>
      </c>
      <c r="N1779" s="9">
        <v>44541.0</v>
      </c>
    </row>
    <row r="1780">
      <c r="A1780" s="5">
        <v>1779.0</v>
      </c>
      <c r="B1780" s="5" t="s">
        <v>2414</v>
      </c>
      <c r="C1780" s="5" t="s">
        <v>21</v>
      </c>
      <c r="K1780" s="5">
        <v>40.0</v>
      </c>
      <c r="N1780" s="9">
        <v>44934.0</v>
      </c>
    </row>
    <row r="1781">
      <c r="A1781" s="5">
        <v>1780.0</v>
      </c>
      <c r="B1781" s="5" t="s">
        <v>2415</v>
      </c>
      <c r="C1781" s="5" t="s">
        <v>21</v>
      </c>
      <c r="K1781" s="5">
        <v>200.0</v>
      </c>
      <c r="N1781" s="9">
        <v>46124.0</v>
      </c>
    </row>
    <row r="1782">
      <c r="A1782" s="5">
        <v>1781.0</v>
      </c>
      <c r="B1782" s="5" t="s">
        <v>74</v>
      </c>
      <c r="C1782" s="5" t="s">
        <v>21</v>
      </c>
      <c r="K1782" s="5">
        <v>150.0</v>
      </c>
      <c r="N1782" s="9">
        <v>44720.0</v>
      </c>
    </row>
    <row r="1783">
      <c r="A1783" s="5">
        <v>1782.0</v>
      </c>
      <c r="B1783" s="5" t="s">
        <v>2416</v>
      </c>
      <c r="C1783" s="5" t="s">
        <v>21</v>
      </c>
      <c r="K1783" s="5">
        <v>600.0</v>
      </c>
      <c r="N1783" s="9">
        <v>44040.0</v>
      </c>
    </row>
    <row r="1784">
      <c r="A1784" s="5">
        <v>1783.0</v>
      </c>
      <c r="B1784" s="5" t="s">
        <v>76</v>
      </c>
      <c r="C1784" s="5" t="s">
        <v>21</v>
      </c>
      <c r="K1784" s="5">
        <v>150.0</v>
      </c>
      <c r="N1784" s="9">
        <v>44617.0</v>
      </c>
    </row>
    <row r="1785">
      <c r="A1785" s="5">
        <v>1784.0</v>
      </c>
      <c r="B1785" s="5" t="s">
        <v>2417</v>
      </c>
      <c r="C1785" s="5" t="s">
        <v>21</v>
      </c>
      <c r="N1785" s="9">
        <v>44906.0</v>
      </c>
    </row>
    <row r="1786">
      <c r="A1786" s="5">
        <v>1785.0</v>
      </c>
      <c r="B1786" s="5" t="s">
        <v>2418</v>
      </c>
      <c r="C1786" s="5" t="s">
        <v>21</v>
      </c>
      <c r="K1786" s="5">
        <v>150.0</v>
      </c>
      <c r="N1786" s="9">
        <v>44888.0</v>
      </c>
    </row>
    <row r="1787">
      <c r="A1787" s="5">
        <v>1786.0</v>
      </c>
      <c r="B1787" s="5" t="s">
        <v>2419</v>
      </c>
      <c r="C1787" s="5" t="s">
        <v>21</v>
      </c>
      <c r="K1787" s="5">
        <v>60.0</v>
      </c>
      <c r="N1787" s="9">
        <v>45112.0</v>
      </c>
    </row>
    <row r="1788">
      <c r="A1788" s="5">
        <v>1787.0</v>
      </c>
      <c r="B1788" s="5" t="s">
        <v>2420</v>
      </c>
      <c r="C1788" s="5" t="s">
        <v>21</v>
      </c>
      <c r="K1788" s="5">
        <v>250.0</v>
      </c>
      <c r="N1788" s="9">
        <v>44518.0</v>
      </c>
    </row>
    <row r="1789">
      <c r="A1789" s="5">
        <v>1788.0</v>
      </c>
      <c r="B1789" s="5" t="s">
        <v>2421</v>
      </c>
      <c r="C1789" s="5" t="s">
        <v>21</v>
      </c>
      <c r="K1789" s="5">
        <v>90.0</v>
      </c>
      <c r="N1789" s="9">
        <v>45053.0</v>
      </c>
    </row>
    <row r="1790">
      <c r="A1790" s="5">
        <v>1789.0</v>
      </c>
      <c r="B1790" s="5" t="s">
        <v>2422</v>
      </c>
      <c r="C1790" s="5" t="s">
        <v>21</v>
      </c>
      <c r="K1790" s="5">
        <v>700.0</v>
      </c>
      <c r="N1790" s="9">
        <v>44536.0</v>
      </c>
    </row>
    <row r="1791">
      <c r="A1791" s="5">
        <v>1790.0</v>
      </c>
      <c r="B1791" s="5" t="s">
        <v>2423</v>
      </c>
      <c r="C1791" s="5" t="s">
        <v>21</v>
      </c>
      <c r="K1791" s="5">
        <v>1200.0</v>
      </c>
      <c r="N1791" s="9">
        <v>44522.0</v>
      </c>
    </row>
    <row r="1792">
      <c r="A1792" s="5">
        <v>1791.0</v>
      </c>
      <c r="B1792" s="5" t="s">
        <v>2424</v>
      </c>
      <c r="C1792" s="5" t="s">
        <v>21</v>
      </c>
      <c r="K1792" s="5">
        <v>1500.0</v>
      </c>
      <c r="N1792" s="9">
        <v>43866.0</v>
      </c>
    </row>
    <row r="1793">
      <c r="A1793" s="5">
        <v>1792.0</v>
      </c>
      <c r="B1793" s="5" t="s">
        <v>2425</v>
      </c>
      <c r="C1793" s="5" t="s">
        <v>21</v>
      </c>
      <c r="K1793" s="5">
        <v>1200.0</v>
      </c>
      <c r="N1793" s="9">
        <v>43939.0</v>
      </c>
    </row>
    <row r="1794">
      <c r="A1794" s="5">
        <v>1793.0</v>
      </c>
      <c r="B1794" s="5" t="s">
        <v>2426</v>
      </c>
      <c r="C1794" s="5" t="s">
        <v>21</v>
      </c>
      <c r="K1794" s="5">
        <v>150.0</v>
      </c>
      <c r="N1794" s="9">
        <v>45566.0</v>
      </c>
    </row>
    <row r="1795">
      <c r="A1795" s="5">
        <v>1794.0</v>
      </c>
      <c r="B1795" s="5" t="s">
        <v>2427</v>
      </c>
      <c r="C1795" s="5" t="s">
        <v>21</v>
      </c>
      <c r="K1795" s="5">
        <v>300.0</v>
      </c>
      <c r="N1795" s="9">
        <v>44610.0</v>
      </c>
    </row>
    <row r="1796">
      <c r="A1796" s="5">
        <v>1795.0</v>
      </c>
      <c r="B1796" s="5" t="s">
        <v>2428</v>
      </c>
      <c r="C1796" s="5" t="s">
        <v>21</v>
      </c>
      <c r="K1796" s="5">
        <v>250.0</v>
      </c>
      <c r="N1796" s="9">
        <v>44529.0</v>
      </c>
    </row>
    <row r="1797">
      <c r="A1797" s="5">
        <v>1796.0</v>
      </c>
      <c r="B1797" s="5" t="s">
        <v>2429</v>
      </c>
      <c r="C1797" s="5" t="s">
        <v>21</v>
      </c>
      <c r="K1797" s="5">
        <v>450.0</v>
      </c>
      <c r="N1797" s="9">
        <v>44093.0</v>
      </c>
    </row>
    <row r="1798">
      <c r="A1798" s="5">
        <v>1797.0</v>
      </c>
      <c r="B1798" s="5" t="s">
        <v>2430</v>
      </c>
      <c r="C1798" s="5" t="s">
        <v>21</v>
      </c>
      <c r="K1798" s="5">
        <v>200.0</v>
      </c>
      <c r="N1798" s="9">
        <v>44573.0</v>
      </c>
    </row>
    <row r="1799">
      <c r="A1799" s="5">
        <v>1798.0</v>
      </c>
      <c r="B1799" s="5" t="s">
        <v>2431</v>
      </c>
      <c r="C1799" s="5" t="s">
        <v>21</v>
      </c>
      <c r="K1799" s="5">
        <v>700.0</v>
      </c>
      <c r="N1799" s="9">
        <v>43985.0</v>
      </c>
    </row>
    <row r="1800">
      <c r="A1800" s="5">
        <v>1799.0</v>
      </c>
      <c r="B1800" s="5" t="s">
        <v>2432</v>
      </c>
      <c r="C1800" s="5" t="s">
        <v>21</v>
      </c>
      <c r="K1800" s="5">
        <v>150.0</v>
      </c>
      <c r="N1800" s="9">
        <v>44908.0</v>
      </c>
    </row>
    <row r="1801">
      <c r="A1801" s="5">
        <v>1800.0</v>
      </c>
      <c r="B1801" s="5" t="s">
        <v>2433</v>
      </c>
      <c r="C1801" s="5" t="s">
        <v>21</v>
      </c>
      <c r="K1801" s="5">
        <v>100.0</v>
      </c>
      <c r="N1801" s="9">
        <v>45491.0</v>
      </c>
    </row>
    <row r="1802">
      <c r="A1802" s="5">
        <v>1801.0</v>
      </c>
      <c r="B1802" s="5" t="s">
        <v>2434</v>
      </c>
      <c r="C1802" s="5" t="s">
        <v>21</v>
      </c>
      <c r="N1802" s="9">
        <v>44548.0</v>
      </c>
    </row>
    <row r="1803">
      <c r="A1803" s="5">
        <v>1802.0</v>
      </c>
      <c r="B1803" s="5" t="s">
        <v>2435</v>
      </c>
      <c r="C1803" s="5" t="s">
        <v>21</v>
      </c>
      <c r="K1803" s="5">
        <v>350.0</v>
      </c>
      <c r="N1803" s="9">
        <v>44639.0</v>
      </c>
    </row>
    <row r="1804">
      <c r="A1804" s="5">
        <v>1803.0</v>
      </c>
      <c r="B1804" s="5" t="s">
        <v>2436</v>
      </c>
      <c r="C1804" s="5" t="s">
        <v>21</v>
      </c>
      <c r="K1804" s="5">
        <v>400.0</v>
      </c>
      <c r="N1804" s="9">
        <v>44555.0</v>
      </c>
    </row>
    <row r="1805">
      <c r="A1805" s="5">
        <v>1804.0</v>
      </c>
      <c r="B1805" s="5" t="s">
        <v>2437</v>
      </c>
      <c r="C1805" s="5" t="s">
        <v>21</v>
      </c>
      <c r="K1805" s="5">
        <v>40.0</v>
      </c>
      <c r="N1805" s="9">
        <v>44678.0</v>
      </c>
    </row>
    <row r="1806">
      <c r="A1806" s="5">
        <v>1805.0</v>
      </c>
      <c r="B1806" s="5" t="s">
        <v>2438</v>
      </c>
      <c r="C1806" s="5" t="s">
        <v>21</v>
      </c>
      <c r="K1806" s="5">
        <v>250.0</v>
      </c>
      <c r="N1806" s="9">
        <v>45227.0</v>
      </c>
    </row>
    <row r="1807">
      <c r="A1807" s="5">
        <v>1806.0</v>
      </c>
      <c r="B1807" s="5" t="s">
        <v>2439</v>
      </c>
      <c r="C1807" s="5" t="s">
        <v>21</v>
      </c>
      <c r="K1807" s="5">
        <v>1000.0</v>
      </c>
      <c r="N1807" s="9">
        <v>44697.0</v>
      </c>
    </row>
    <row r="1808">
      <c r="A1808" s="5">
        <v>1807.0</v>
      </c>
      <c r="B1808" s="5" t="s">
        <v>2440</v>
      </c>
      <c r="C1808" s="5" t="s">
        <v>21</v>
      </c>
      <c r="K1808" s="5">
        <v>300.0</v>
      </c>
      <c r="N1808" s="9">
        <v>44150.0</v>
      </c>
    </row>
    <row r="1809">
      <c r="A1809" s="5">
        <v>1808.0</v>
      </c>
      <c r="B1809" s="5" t="s">
        <v>2441</v>
      </c>
      <c r="C1809" s="5" t="s">
        <v>21</v>
      </c>
      <c r="N1809" s="9">
        <v>44911.0</v>
      </c>
    </row>
    <row r="1810">
      <c r="A1810" s="5">
        <v>1809.0</v>
      </c>
      <c r="B1810" s="5" t="s">
        <v>2442</v>
      </c>
      <c r="C1810" s="5" t="s">
        <v>21</v>
      </c>
      <c r="K1810" s="5">
        <v>1000.0</v>
      </c>
      <c r="N1810" s="9">
        <v>44589.0</v>
      </c>
    </row>
    <row r="1811">
      <c r="A1811" s="5">
        <v>1810.0</v>
      </c>
      <c r="B1811" s="5" t="s">
        <v>2443</v>
      </c>
      <c r="C1811" s="5" t="s">
        <v>21</v>
      </c>
      <c r="K1811" s="5">
        <v>500.0</v>
      </c>
      <c r="N1811" s="9">
        <v>44567.0</v>
      </c>
    </row>
    <row r="1812">
      <c r="A1812" s="5">
        <v>1811.0</v>
      </c>
      <c r="B1812" s="5" t="s">
        <v>2444</v>
      </c>
      <c r="C1812" s="5" t="s">
        <v>21</v>
      </c>
      <c r="K1812" s="5">
        <v>350.0</v>
      </c>
      <c r="N1812" s="9">
        <v>45111.0</v>
      </c>
    </row>
    <row r="1813">
      <c r="A1813" s="5">
        <v>1812.0</v>
      </c>
      <c r="B1813" s="5" t="s">
        <v>2445</v>
      </c>
      <c r="C1813" s="5" t="s">
        <v>21</v>
      </c>
      <c r="K1813" s="5">
        <v>300.0</v>
      </c>
      <c r="N1813" s="9">
        <v>45409.0</v>
      </c>
    </row>
    <row r="1814">
      <c r="A1814" s="5">
        <v>1813.0</v>
      </c>
      <c r="B1814" s="5" t="s">
        <v>2446</v>
      </c>
      <c r="C1814" s="5" t="s">
        <v>21</v>
      </c>
      <c r="K1814" s="5">
        <v>200.0</v>
      </c>
      <c r="N1814" s="9">
        <v>45049.0</v>
      </c>
    </row>
    <row r="1815">
      <c r="A1815" s="5">
        <v>1814.0</v>
      </c>
      <c r="B1815" s="5" t="s">
        <v>2447</v>
      </c>
      <c r="C1815" s="5" t="s">
        <v>21</v>
      </c>
      <c r="K1815" s="5">
        <v>1100.0</v>
      </c>
      <c r="N1815" s="9">
        <v>44029.0</v>
      </c>
    </row>
    <row r="1816">
      <c r="A1816" s="5">
        <v>1815.0</v>
      </c>
      <c r="B1816" s="5" t="s">
        <v>2448</v>
      </c>
      <c r="C1816" s="5" t="s">
        <v>21</v>
      </c>
      <c r="K1816" s="5">
        <v>600.0</v>
      </c>
      <c r="N1816" s="9">
        <v>44283.0</v>
      </c>
    </row>
    <row r="1817">
      <c r="A1817" s="5">
        <v>1816.0</v>
      </c>
      <c r="B1817" s="5" t="s">
        <v>2449</v>
      </c>
      <c r="C1817" s="5" t="s">
        <v>21</v>
      </c>
      <c r="N1817" s="9">
        <v>44518.0</v>
      </c>
    </row>
    <row r="1818">
      <c r="A1818" s="5">
        <v>1817.0</v>
      </c>
      <c r="B1818" s="5" t="s">
        <v>2450</v>
      </c>
      <c r="C1818" s="5" t="s">
        <v>21</v>
      </c>
      <c r="K1818" s="5">
        <v>1000.0</v>
      </c>
      <c r="N1818" s="9">
        <v>45002.0</v>
      </c>
    </row>
    <row r="1819">
      <c r="A1819" s="5">
        <v>1818.0</v>
      </c>
      <c r="B1819" s="5" t="s">
        <v>2451</v>
      </c>
      <c r="C1819" s="5" t="s">
        <v>21</v>
      </c>
      <c r="K1819" s="5">
        <v>30.0</v>
      </c>
      <c r="N1819" s="9">
        <v>44249.0</v>
      </c>
    </row>
    <row r="1820">
      <c r="A1820" s="5">
        <v>1819.0</v>
      </c>
      <c r="B1820" s="5" t="s">
        <v>2452</v>
      </c>
      <c r="C1820" s="5" t="s">
        <v>21</v>
      </c>
      <c r="K1820" s="5">
        <v>150.0</v>
      </c>
      <c r="N1820" s="9">
        <v>44637.0</v>
      </c>
    </row>
    <row r="1821">
      <c r="A1821" s="5">
        <v>1820.0</v>
      </c>
      <c r="B1821" s="5" t="s">
        <v>2453</v>
      </c>
      <c r="C1821" s="5" t="s">
        <v>21</v>
      </c>
      <c r="K1821" s="5">
        <v>1100.0</v>
      </c>
      <c r="N1821" s="9">
        <v>45553.0</v>
      </c>
    </row>
    <row r="1822">
      <c r="A1822" s="5">
        <v>1821.0</v>
      </c>
      <c r="B1822" s="5" t="s">
        <v>2454</v>
      </c>
      <c r="C1822" s="5" t="s">
        <v>21</v>
      </c>
      <c r="K1822" s="5">
        <v>100.0</v>
      </c>
      <c r="N1822" s="9">
        <v>45275.0</v>
      </c>
    </row>
    <row r="1823">
      <c r="A1823" s="5">
        <v>1822.0</v>
      </c>
      <c r="B1823" s="5" t="s">
        <v>2455</v>
      </c>
      <c r="C1823" s="5" t="s">
        <v>21</v>
      </c>
      <c r="K1823" s="5">
        <v>350.0</v>
      </c>
      <c r="N1823" s="9">
        <v>44183.0</v>
      </c>
    </row>
    <row r="1824">
      <c r="A1824" s="5">
        <v>1823.0</v>
      </c>
      <c r="B1824" s="5" t="s">
        <v>2456</v>
      </c>
      <c r="C1824" s="5" t="s">
        <v>21</v>
      </c>
      <c r="N1824" s="9">
        <v>44519.0</v>
      </c>
    </row>
    <row r="1825">
      <c r="A1825" s="5">
        <v>1824.0</v>
      </c>
      <c r="B1825" s="5" t="s">
        <v>2457</v>
      </c>
      <c r="C1825" s="5" t="s">
        <v>21</v>
      </c>
      <c r="K1825" s="5">
        <v>150.0</v>
      </c>
      <c r="N1825" s="9">
        <v>44243.0</v>
      </c>
    </row>
    <row r="1826">
      <c r="A1826" s="5">
        <v>1825.0</v>
      </c>
      <c r="B1826" s="5" t="s">
        <v>2458</v>
      </c>
      <c r="C1826" s="5" t="s">
        <v>21</v>
      </c>
      <c r="K1826" s="5">
        <v>200.0</v>
      </c>
      <c r="N1826" s="9">
        <v>44201.0</v>
      </c>
    </row>
    <row r="1827">
      <c r="A1827" s="5">
        <v>1826.0</v>
      </c>
      <c r="B1827" s="5" t="s">
        <v>2459</v>
      </c>
      <c r="C1827" s="5" t="s">
        <v>21</v>
      </c>
      <c r="K1827" s="5">
        <v>700.0</v>
      </c>
      <c r="N1827" s="9">
        <v>44226.0</v>
      </c>
    </row>
    <row r="1828">
      <c r="A1828" s="5">
        <v>1827.0</v>
      </c>
      <c r="B1828" s="5" t="s">
        <v>2460</v>
      </c>
      <c r="C1828" s="5" t="s">
        <v>21</v>
      </c>
      <c r="K1828" s="5">
        <v>150.0</v>
      </c>
      <c r="N1828" s="9">
        <v>45555.0</v>
      </c>
    </row>
    <row r="1829">
      <c r="A1829" s="5">
        <v>1828.0</v>
      </c>
      <c r="B1829" s="5" t="s">
        <v>2461</v>
      </c>
      <c r="C1829" s="5" t="s">
        <v>21</v>
      </c>
      <c r="N1829" s="9">
        <v>44519.0</v>
      </c>
    </row>
    <row r="1830">
      <c r="A1830" s="5">
        <v>1829.0</v>
      </c>
      <c r="B1830" s="5" t="s">
        <v>2462</v>
      </c>
      <c r="C1830" s="5" t="s">
        <v>21</v>
      </c>
      <c r="K1830" s="5">
        <v>4500.0</v>
      </c>
      <c r="N1830" s="9">
        <v>43853.0</v>
      </c>
    </row>
    <row r="1831">
      <c r="A1831" s="5">
        <v>1830.0</v>
      </c>
      <c r="B1831" s="5" t="s">
        <v>2463</v>
      </c>
      <c r="C1831" s="5" t="s">
        <v>21</v>
      </c>
      <c r="K1831" s="5">
        <v>600.0</v>
      </c>
      <c r="N1831" s="9">
        <v>45327.0</v>
      </c>
    </row>
    <row r="1832">
      <c r="A1832" s="5">
        <v>1831.0</v>
      </c>
      <c r="B1832" s="5" t="s">
        <v>2464</v>
      </c>
      <c r="C1832" s="5" t="s">
        <v>21</v>
      </c>
      <c r="K1832" s="5">
        <v>50.0</v>
      </c>
      <c r="N1832" s="9">
        <v>45846.0</v>
      </c>
    </row>
    <row r="1833">
      <c r="A1833" s="5">
        <v>1832.0</v>
      </c>
      <c r="B1833" s="5" t="s">
        <v>2465</v>
      </c>
      <c r="C1833" s="5" t="s">
        <v>21</v>
      </c>
      <c r="K1833" s="5">
        <v>300.0</v>
      </c>
      <c r="N1833" s="9">
        <v>45369.0</v>
      </c>
    </row>
    <row r="1834">
      <c r="A1834" s="5">
        <v>1833.0</v>
      </c>
      <c r="B1834" s="5" t="s">
        <v>2466</v>
      </c>
      <c r="C1834" s="5" t="s">
        <v>21</v>
      </c>
      <c r="K1834" s="5">
        <v>600.0</v>
      </c>
      <c r="N1834" s="9">
        <v>43900.0</v>
      </c>
    </row>
    <row r="1835">
      <c r="A1835" s="5">
        <v>1834.0</v>
      </c>
      <c r="B1835" s="5" t="s">
        <v>2467</v>
      </c>
      <c r="C1835" s="5" t="s">
        <v>21</v>
      </c>
      <c r="K1835" s="5">
        <v>1400.0</v>
      </c>
      <c r="N1835" s="9">
        <v>44393.0</v>
      </c>
    </row>
    <row r="1836">
      <c r="A1836" s="5">
        <v>1835.0</v>
      </c>
      <c r="B1836" s="5" t="s">
        <v>2468</v>
      </c>
      <c r="C1836" s="5" t="s">
        <v>21</v>
      </c>
      <c r="K1836" s="5">
        <v>150.0</v>
      </c>
      <c r="N1836" s="9">
        <v>44809.0</v>
      </c>
    </row>
    <row r="1837">
      <c r="A1837" s="5">
        <v>1836.0</v>
      </c>
      <c r="B1837" s="5" t="s">
        <v>2469</v>
      </c>
      <c r="C1837" s="5" t="s">
        <v>21</v>
      </c>
      <c r="K1837" s="5">
        <v>300.0</v>
      </c>
      <c r="N1837" s="9">
        <v>44595.0</v>
      </c>
    </row>
    <row r="1838">
      <c r="A1838" s="5">
        <v>1837.0</v>
      </c>
      <c r="B1838" s="5" t="s">
        <v>2470</v>
      </c>
      <c r="C1838" s="5" t="s">
        <v>21</v>
      </c>
      <c r="K1838" s="5">
        <v>150.0</v>
      </c>
      <c r="N1838" s="9">
        <v>44539.0</v>
      </c>
    </row>
    <row r="1839">
      <c r="A1839" s="5">
        <v>1838.0</v>
      </c>
      <c r="B1839" s="5" t="s">
        <v>2471</v>
      </c>
      <c r="C1839" s="5" t="s">
        <v>21</v>
      </c>
      <c r="N1839" s="9">
        <v>44727.0</v>
      </c>
    </row>
    <row r="1840">
      <c r="A1840" s="5">
        <v>1839.0</v>
      </c>
      <c r="B1840" s="5" t="s">
        <v>2472</v>
      </c>
      <c r="C1840" s="5" t="s">
        <v>21</v>
      </c>
      <c r="K1840" s="5">
        <v>2100.0</v>
      </c>
      <c r="N1840" s="9">
        <v>43842.0</v>
      </c>
    </row>
    <row r="1841">
      <c r="A1841" s="5">
        <v>1840.0</v>
      </c>
      <c r="B1841" s="5" t="s">
        <v>2473</v>
      </c>
      <c r="C1841" s="5" t="s">
        <v>21</v>
      </c>
      <c r="K1841" s="5">
        <v>350.0</v>
      </c>
      <c r="N1841" s="9">
        <v>44616.0</v>
      </c>
    </row>
    <row r="1842">
      <c r="A1842" s="5">
        <v>1841.0</v>
      </c>
      <c r="B1842" s="5" t="s">
        <v>2474</v>
      </c>
      <c r="C1842" s="5" t="s">
        <v>21</v>
      </c>
      <c r="K1842" s="5">
        <v>1000.0</v>
      </c>
      <c r="N1842" s="9">
        <v>44200.0</v>
      </c>
    </row>
    <row r="1843">
      <c r="A1843" s="5">
        <v>1842.0</v>
      </c>
      <c r="B1843" s="5" t="s">
        <v>2475</v>
      </c>
      <c r="C1843" s="5" t="s">
        <v>21</v>
      </c>
      <c r="K1843" s="5">
        <v>1000.0</v>
      </c>
      <c r="N1843" s="9">
        <v>44595.0</v>
      </c>
    </row>
    <row r="1844">
      <c r="A1844" s="5">
        <v>1843.0</v>
      </c>
      <c r="B1844" s="5" t="s">
        <v>2476</v>
      </c>
      <c r="C1844" s="5" t="s">
        <v>21</v>
      </c>
      <c r="K1844" s="5">
        <v>1900.0</v>
      </c>
      <c r="N1844" s="9">
        <v>43980.0</v>
      </c>
    </row>
    <row r="1845">
      <c r="A1845" s="5">
        <v>1844.0</v>
      </c>
      <c r="B1845" s="5" t="s">
        <v>2477</v>
      </c>
      <c r="C1845" s="5" t="s">
        <v>21</v>
      </c>
      <c r="K1845" s="5">
        <v>300.0</v>
      </c>
      <c r="N1845" s="9">
        <v>45103.0</v>
      </c>
    </row>
    <row r="1846">
      <c r="A1846" s="5">
        <v>1845.0</v>
      </c>
      <c r="B1846" s="5" t="s">
        <v>2478</v>
      </c>
      <c r="C1846" s="5" t="s">
        <v>21</v>
      </c>
      <c r="K1846" s="5">
        <v>300.0</v>
      </c>
      <c r="N1846" s="9">
        <v>43879.0</v>
      </c>
    </row>
    <row r="1847">
      <c r="A1847" s="5">
        <v>1846.0</v>
      </c>
      <c r="B1847" s="5" t="s">
        <v>2479</v>
      </c>
      <c r="C1847" s="5" t="s">
        <v>21</v>
      </c>
      <c r="K1847" s="5">
        <v>1800.0</v>
      </c>
      <c r="N1847" s="9">
        <v>44578.0</v>
      </c>
    </row>
    <row r="1848">
      <c r="A1848" s="5">
        <v>1847.0</v>
      </c>
      <c r="B1848" s="5" t="s">
        <v>2480</v>
      </c>
      <c r="C1848" s="5" t="s">
        <v>21</v>
      </c>
      <c r="K1848" s="5">
        <v>300.0</v>
      </c>
      <c r="N1848" s="9">
        <v>45613.0</v>
      </c>
    </row>
    <row r="1849">
      <c r="A1849" s="5">
        <v>1848.0</v>
      </c>
      <c r="B1849" s="5" t="s">
        <v>2481</v>
      </c>
      <c r="C1849" s="5" t="s">
        <v>21</v>
      </c>
      <c r="K1849" s="5">
        <v>4200.0</v>
      </c>
      <c r="N1849" s="9">
        <v>44276.0</v>
      </c>
    </row>
    <row r="1850">
      <c r="A1850" s="5">
        <v>1849.0</v>
      </c>
      <c r="B1850" s="5" t="s">
        <v>2482</v>
      </c>
      <c r="C1850" s="5" t="s">
        <v>21</v>
      </c>
      <c r="K1850" s="5">
        <v>70.0</v>
      </c>
      <c r="N1850" s="9">
        <v>45041.0</v>
      </c>
    </row>
    <row r="1851">
      <c r="A1851" s="5">
        <v>1850.0</v>
      </c>
      <c r="B1851" s="5" t="s">
        <v>2483</v>
      </c>
      <c r="C1851" s="5" t="s">
        <v>21</v>
      </c>
      <c r="K1851" s="5">
        <v>100.0</v>
      </c>
      <c r="N1851" s="9">
        <v>43943.0</v>
      </c>
    </row>
    <row r="1852">
      <c r="A1852" s="5">
        <v>1851.0</v>
      </c>
      <c r="B1852" s="5" t="s">
        <v>2484</v>
      </c>
      <c r="C1852" s="5" t="s">
        <v>21</v>
      </c>
      <c r="K1852" s="5">
        <v>150.0</v>
      </c>
      <c r="N1852" s="9">
        <v>44685.0</v>
      </c>
    </row>
    <row r="1853">
      <c r="A1853" s="5">
        <v>1852.0</v>
      </c>
      <c r="B1853" s="5" t="s">
        <v>2485</v>
      </c>
      <c r="C1853" s="5" t="s">
        <v>21</v>
      </c>
      <c r="K1853" s="5">
        <v>100.0</v>
      </c>
      <c r="N1853" s="9">
        <v>44953.0</v>
      </c>
    </row>
    <row r="1854">
      <c r="A1854" s="5">
        <v>1853.0</v>
      </c>
      <c r="B1854" s="5" t="s">
        <v>2486</v>
      </c>
      <c r="C1854" s="5" t="s">
        <v>21</v>
      </c>
      <c r="N1854" s="9">
        <v>44554.0</v>
      </c>
    </row>
    <row r="1855">
      <c r="A1855" s="5">
        <v>1854.0</v>
      </c>
      <c r="B1855" s="5" t="s">
        <v>2487</v>
      </c>
      <c r="C1855" s="5" t="s">
        <v>21</v>
      </c>
      <c r="K1855" s="5">
        <v>2100.0</v>
      </c>
      <c r="N1855" s="9">
        <v>44530.0</v>
      </c>
    </row>
    <row r="1856">
      <c r="A1856" s="5">
        <v>1855.0</v>
      </c>
      <c r="B1856" s="5" t="s">
        <v>2488</v>
      </c>
      <c r="C1856" s="5" t="s">
        <v>21</v>
      </c>
      <c r="K1856" s="5">
        <v>700.0</v>
      </c>
      <c r="N1856" s="9">
        <v>43869.0</v>
      </c>
    </row>
    <row r="1857">
      <c r="A1857" s="5">
        <v>1856.0</v>
      </c>
      <c r="B1857" s="5" t="s">
        <v>2489</v>
      </c>
      <c r="C1857" s="5" t="s">
        <v>21</v>
      </c>
      <c r="K1857" s="5">
        <v>1900.0</v>
      </c>
      <c r="N1857" s="9">
        <v>44014.0</v>
      </c>
    </row>
    <row r="1858">
      <c r="A1858" s="5">
        <v>1857.0</v>
      </c>
      <c r="B1858" s="5" t="s">
        <v>2490</v>
      </c>
      <c r="C1858" s="5" t="s">
        <v>21</v>
      </c>
      <c r="K1858" s="5">
        <v>8100.0</v>
      </c>
      <c r="N1858" s="9">
        <v>43864.0</v>
      </c>
    </row>
    <row r="1859">
      <c r="A1859" s="5">
        <v>1858.0</v>
      </c>
      <c r="B1859" s="5" t="s">
        <v>2491</v>
      </c>
      <c r="C1859" s="5" t="s">
        <v>21</v>
      </c>
      <c r="K1859" s="5">
        <v>4100.0</v>
      </c>
      <c r="N1859" s="9">
        <v>44766.0</v>
      </c>
    </row>
    <row r="1860">
      <c r="A1860" s="5">
        <v>1859.0</v>
      </c>
      <c r="B1860" s="5" t="s">
        <v>2492</v>
      </c>
      <c r="C1860" s="5" t="s">
        <v>21</v>
      </c>
      <c r="K1860" s="5">
        <v>100.0</v>
      </c>
      <c r="N1860" s="9">
        <v>44940.0</v>
      </c>
    </row>
    <row r="1861">
      <c r="A1861" s="5">
        <v>1860.0</v>
      </c>
      <c r="B1861" s="5" t="s">
        <v>2493</v>
      </c>
      <c r="C1861" s="5" t="s">
        <v>21</v>
      </c>
      <c r="K1861" s="5">
        <v>250.0</v>
      </c>
      <c r="N1861" s="9">
        <v>45157.0</v>
      </c>
    </row>
    <row r="1862">
      <c r="A1862" s="5">
        <v>1861.0</v>
      </c>
      <c r="B1862" s="5" t="s">
        <v>2494</v>
      </c>
      <c r="C1862" s="5" t="s">
        <v>21</v>
      </c>
      <c r="K1862" s="5">
        <v>150.0</v>
      </c>
      <c r="N1862" s="9">
        <v>45135.0</v>
      </c>
    </row>
    <row r="1863">
      <c r="A1863" s="5">
        <v>1862.0</v>
      </c>
      <c r="B1863" s="5" t="s">
        <v>2495</v>
      </c>
      <c r="C1863" s="5" t="s">
        <v>21</v>
      </c>
      <c r="K1863" s="5">
        <v>800.0</v>
      </c>
      <c r="N1863" s="9">
        <v>44132.0</v>
      </c>
    </row>
    <row r="1864">
      <c r="A1864" s="5">
        <v>1863.0</v>
      </c>
      <c r="B1864" s="5" t="s">
        <v>2496</v>
      </c>
      <c r="C1864" s="5" t="s">
        <v>21</v>
      </c>
      <c r="K1864" s="5">
        <v>90.0</v>
      </c>
      <c r="N1864" s="9">
        <v>44784.0</v>
      </c>
    </row>
    <row r="1865">
      <c r="A1865" s="5">
        <v>1864.0</v>
      </c>
      <c r="B1865" s="5" t="s">
        <v>2497</v>
      </c>
      <c r="C1865" s="5" t="s">
        <v>21</v>
      </c>
      <c r="K1865" s="5">
        <v>700.0</v>
      </c>
      <c r="N1865" s="9">
        <v>44757.0</v>
      </c>
    </row>
    <row r="1866">
      <c r="A1866" s="5">
        <v>1865.0</v>
      </c>
      <c r="B1866" s="5" t="s">
        <v>2498</v>
      </c>
      <c r="C1866" s="5" t="s">
        <v>21</v>
      </c>
      <c r="K1866" s="5">
        <v>200.0</v>
      </c>
      <c r="N1866" s="9">
        <v>44707.0</v>
      </c>
    </row>
    <row r="1867">
      <c r="A1867" s="5">
        <v>1866.0</v>
      </c>
      <c r="B1867" s="5" t="s">
        <v>2499</v>
      </c>
      <c r="C1867" s="5" t="s">
        <v>21</v>
      </c>
      <c r="K1867" s="5">
        <v>300.0</v>
      </c>
      <c r="N1867" s="9">
        <v>44593.0</v>
      </c>
    </row>
    <row r="1868">
      <c r="A1868" s="5">
        <v>1867.0</v>
      </c>
      <c r="B1868" s="5" t="s">
        <v>2500</v>
      </c>
      <c r="C1868" s="5" t="s">
        <v>21</v>
      </c>
      <c r="K1868" s="5">
        <v>300.0</v>
      </c>
      <c r="N1868" s="9">
        <v>44490.0</v>
      </c>
    </row>
    <row r="1869">
      <c r="A1869" s="5">
        <v>1868.0</v>
      </c>
      <c r="B1869" s="5" t="s">
        <v>2501</v>
      </c>
      <c r="C1869" s="5" t="s">
        <v>21</v>
      </c>
      <c r="K1869" s="5">
        <v>600.0</v>
      </c>
      <c r="N1869" s="9">
        <v>44530.0</v>
      </c>
    </row>
    <row r="1870">
      <c r="A1870" s="5">
        <v>1869.0</v>
      </c>
      <c r="B1870" s="5" t="s">
        <v>2502</v>
      </c>
      <c r="C1870" s="5" t="s">
        <v>21</v>
      </c>
      <c r="K1870" s="5">
        <v>800.0</v>
      </c>
      <c r="N1870" s="9">
        <v>44345.0</v>
      </c>
    </row>
    <row r="1871">
      <c r="A1871" s="5">
        <v>1870.0</v>
      </c>
      <c r="B1871" s="5" t="s">
        <v>2503</v>
      </c>
      <c r="C1871" s="5" t="s">
        <v>21</v>
      </c>
      <c r="K1871" s="5">
        <v>250.0</v>
      </c>
      <c r="N1871" s="9">
        <v>44574.0</v>
      </c>
    </row>
    <row r="1872">
      <c r="A1872" s="5">
        <v>1871.0</v>
      </c>
      <c r="B1872" s="5" t="s">
        <v>2504</v>
      </c>
      <c r="C1872" s="5" t="s">
        <v>21</v>
      </c>
      <c r="N1872" s="9">
        <v>44035.0</v>
      </c>
    </row>
    <row r="1873">
      <c r="A1873" s="5">
        <v>1872.0</v>
      </c>
      <c r="B1873" s="5" t="s">
        <v>2505</v>
      </c>
      <c r="C1873" s="5" t="s">
        <v>21</v>
      </c>
      <c r="K1873" s="5">
        <v>500.0</v>
      </c>
      <c r="N1873" s="9">
        <v>44012.0</v>
      </c>
    </row>
    <row r="1874">
      <c r="A1874" s="5">
        <v>1873.0</v>
      </c>
      <c r="B1874" s="5" t="s">
        <v>2506</v>
      </c>
      <c r="C1874" s="5" t="s">
        <v>21</v>
      </c>
      <c r="K1874" s="5">
        <v>200.0</v>
      </c>
      <c r="N1874" s="9">
        <v>45715.0</v>
      </c>
    </row>
    <row r="1875">
      <c r="A1875" s="5">
        <v>1874.0</v>
      </c>
      <c r="B1875" s="5" t="s">
        <v>2507</v>
      </c>
      <c r="C1875" s="5" t="s">
        <v>21</v>
      </c>
      <c r="K1875" s="5">
        <v>200.0</v>
      </c>
      <c r="N1875" s="9">
        <v>44571.0</v>
      </c>
    </row>
    <row r="1876">
      <c r="A1876" s="5">
        <v>1875.0</v>
      </c>
      <c r="B1876" s="5" t="s">
        <v>2508</v>
      </c>
      <c r="C1876" s="5" t="s">
        <v>21</v>
      </c>
      <c r="K1876" s="5">
        <v>150.0</v>
      </c>
      <c r="N1876" s="9">
        <v>45603.0</v>
      </c>
    </row>
    <row r="1877">
      <c r="A1877" s="5">
        <v>1876.0</v>
      </c>
      <c r="B1877" s="5" t="s">
        <v>2509</v>
      </c>
      <c r="C1877" s="5" t="s">
        <v>21</v>
      </c>
      <c r="K1877" s="5">
        <v>50.0</v>
      </c>
      <c r="N1877" s="9">
        <v>45208.0</v>
      </c>
    </row>
    <row r="1878">
      <c r="A1878" s="5">
        <v>1877.0</v>
      </c>
      <c r="B1878" s="5" t="s">
        <v>2510</v>
      </c>
      <c r="C1878" s="5" t="s">
        <v>21</v>
      </c>
      <c r="K1878" s="5">
        <v>10.0</v>
      </c>
      <c r="N1878" s="9">
        <v>44299.0</v>
      </c>
    </row>
    <row r="1879">
      <c r="A1879" s="5">
        <v>1878.0</v>
      </c>
      <c r="B1879" s="5" t="s">
        <v>2511</v>
      </c>
      <c r="C1879" s="5" t="s">
        <v>21</v>
      </c>
      <c r="K1879" s="5">
        <v>60.0</v>
      </c>
      <c r="N1879" s="9">
        <v>44455.0</v>
      </c>
    </row>
    <row r="1880">
      <c r="A1880" s="5">
        <v>1879.0</v>
      </c>
      <c r="B1880" s="5" t="s">
        <v>2512</v>
      </c>
      <c r="C1880" s="5" t="s">
        <v>21</v>
      </c>
      <c r="K1880" s="5">
        <v>900.0</v>
      </c>
      <c r="N1880" s="9">
        <v>44536.0</v>
      </c>
    </row>
    <row r="1881">
      <c r="A1881" s="5">
        <v>1880.0</v>
      </c>
      <c r="B1881" s="5" t="s">
        <v>2513</v>
      </c>
      <c r="C1881" s="5" t="s">
        <v>21</v>
      </c>
      <c r="K1881" s="5">
        <v>350.0</v>
      </c>
      <c r="N1881" s="9">
        <v>43870.0</v>
      </c>
    </row>
    <row r="1882">
      <c r="A1882" s="5">
        <v>1881.0</v>
      </c>
      <c r="B1882" s="5" t="s">
        <v>2514</v>
      </c>
      <c r="C1882" s="5" t="s">
        <v>21</v>
      </c>
      <c r="K1882" s="5">
        <v>80.0</v>
      </c>
      <c r="N1882" s="9">
        <v>44761.0</v>
      </c>
    </row>
    <row r="1883">
      <c r="A1883" s="5">
        <v>1882.0</v>
      </c>
      <c r="B1883" s="5" t="s">
        <v>2515</v>
      </c>
      <c r="C1883" s="5" t="s">
        <v>21</v>
      </c>
      <c r="K1883" s="5">
        <v>450.0</v>
      </c>
      <c r="N1883" s="9">
        <v>44549.0</v>
      </c>
    </row>
    <row r="1884">
      <c r="A1884" s="5">
        <v>1883.0</v>
      </c>
      <c r="B1884" s="5" t="s">
        <v>2516</v>
      </c>
      <c r="C1884" s="5" t="s">
        <v>21</v>
      </c>
      <c r="K1884" s="5">
        <v>350.0</v>
      </c>
      <c r="N1884" s="9">
        <v>44657.0</v>
      </c>
    </row>
    <row r="1885">
      <c r="A1885" s="5">
        <v>1884.0</v>
      </c>
      <c r="B1885" s="5" t="s">
        <v>2517</v>
      </c>
      <c r="C1885" s="5" t="s">
        <v>21</v>
      </c>
      <c r="K1885" s="5">
        <v>90.0</v>
      </c>
      <c r="N1885" s="9">
        <v>44835.0</v>
      </c>
    </row>
    <row r="1886">
      <c r="A1886" s="5">
        <v>1885.0</v>
      </c>
      <c r="B1886" s="5" t="s">
        <v>2518</v>
      </c>
      <c r="C1886" s="5" t="s">
        <v>21</v>
      </c>
      <c r="K1886" s="5">
        <v>350.0</v>
      </c>
      <c r="N1886" s="9">
        <v>44710.0</v>
      </c>
    </row>
    <row r="1887">
      <c r="A1887" s="5">
        <v>1886.0</v>
      </c>
      <c r="B1887" s="5" t="s">
        <v>2519</v>
      </c>
      <c r="C1887" s="5" t="s">
        <v>21</v>
      </c>
      <c r="K1887" s="5">
        <v>250.0</v>
      </c>
      <c r="N1887" s="9">
        <v>43982.0</v>
      </c>
    </row>
    <row r="1888">
      <c r="A1888" s="5">
        <v>1887.0</v>
      </c>
      <c r="B1888" s="5" t="s">
        <v>2520</v>
      </c>
      <c r="C1888" s="5" t="s">
        <v>21</v>
      </c>
      <c r="K1888" s="5">
        <v>250.0</v>
      </c>
      <c r="N1888" s="9">
        <v>44491.0</v>
      </c>
    </row>
    <row r="1889">
      <c r="A1889" s="5">
        <v>1888.0</v>
      </c>
      <c r="B1889" s="5" t="s">
        <v>2521</v>
      </c>
      <c r="C1889" s="5" t="s">
        <v>21</v>
      </c>
      <c r="K1889" s="5">
        <v>300.0</v>
      </c>
      <c r="N1889" s="9">
        <v>44647.0</v>
      </c>
    </row>
    <row r="1890">
      <c r="A1890" s="5">
        <v>1889.0</v>
      </c>
      <c r="B1890" s="5" t="s">
        <v>2522</v>
      </c>
      <c r="C1890" s="5" t="s">
        <v>21</v>
      </c>
      <c r="K1890" s="5">
        <v>1100.0</v>
      </c>
      <c r="N1890" s="9">
        <v>44518.0</v>
      </c>
    </row>
    <row r="1891">
      <c r="A1891" s="5">
        <v>1890.0</v>
      </c>
      <c r="B1891" s="5" t="s">
        <v>2523</v>
      </c>
      <c r="C1891" s="5" t="s">
        <v>21</v>
      </c>
      <c r="K1891" s="5">
        <v>80.0</v>
      </c>
      <c r="N1891" s="9">
        <v>44083.0</v>
      </c>
    </row>
    <row r="1892">
      <c r="A1892" s="5">
        <v>1891.0</v>
      </c>
      <c r="B1892" s="5" t="s">
        <v>2524</v>
      </c>
      <c r="C1892" s="5" t="s">
        <v>21</v>
      </c>
      <c r="K1892" s="5">
        <v>200.0</v>
      </c>
      <c r="N1892" s="9">
        <v>44559.0</v>
      </c>
    </row>
    <row r="1893">
      <c r="A1893" s="5">
        <v>1892.0</v>
      </c>
      <c r="B1893" s="5" t="s">
        <v>2525</v>
      </c>
      <c r="C1893" s="5" t="s">
        <v>21</v>
      </c>
      <c r="K1893" s="5">
        <v>200.0</v>
      </c>
      <c r="N1893" s="9">
        <v>45180.0</v>
      </c>
    </row>
    <row r="1894">
      <c r="A1894" s="5">
        <v>1893.0</v>
      </c>
      <c r="B1894" s="5" t="s">
        <v>2526</v>
      </c>
      <c r="C1894" s="5" t="s">
        <v>21</v>
      </c>
      <c r="K1894" s="5">
        <v>7600.0</v>
      </c>
      <c r="N1894" s="9">
        <v>44025.0</v>
      </c>
    </row>
    <row r="1895">
      <c r="A1895" s="5">
        <v>1894.0</v>
      </c>
      <c r="B1895" s="5" t="s">
        <v>2527</v>
      </c>
      <c r="C1895" s="5" t="s">
        <v>21</v>
      </c>
      <c r="N1895" s="9">
        <v>44255.0</v>
      </c>
    </row>
    <row r="1896">
      <c r="A1896" s="5">
        <v>1895.0</v>
      </c>
      <c r="B1896" s="5" t="s">
        <v>2528</v>
      </c>
      <c r="C1896" s="5" t="s">
        <v>21</v>
      </c>
      <c r="K1896" s="5">
        <v>500.0</v>
      </c>
      <c r="N1896" s="9">
        <v>44098.0</v>
      </c>
    </row>
    <row r="1897">
      <c r="A1897" s="5">
        <v>1896.0</v>
      </c>
      <c r="B1897" s="5" t="s">
        <v>2529</v>
      </c>
      <c r="C1897" s="5" t="s">
        <v>21</v>
      </c>
      <c r="K1897" s="5">
        <v>200.0</v>
      </c>
      <c r="N1897" s="9">
        <v>44744.0</v>
      </c>
    </row>
    <row r="1898">
      <c r="A1898" s="5">
        <v>1897.0</v>
      </c>
      <c r="B1898" s="5" t="s">
        <v>2530</v>
      </c>
      <c r="C1898" s="5" t="s">
        <v>21</v>
      </c>
      <c r="K1898" s="5">
        <v>50.0</v>
      </c>
      <c r="N1898" s="9">
        <v>45107.0</v>
      </c>
    </row>
    <row r="1899">
      <c r="A1899" s="5">
        <v>1898.0</v>
      </c>
      <c r="B1899" s="5" t="s">
        <v>2531</v>
      </c>
      <c r="C1899" s="5" t="s">
        <v>21</v>
      </c>
      <c r="K1899" s="5">
        <v>30.0</v>
      </c>
      <c r="N1899" s="9">
        <v>44553.0</v>
      </c>
    </row>
    <row r="1900">
      <c r="A1900" s="5">
        <v>1899.0</v>
      </c>
      <c r="B1900" s="5" t="s">
        <v>2532</v>
      </c>
      <c r="C1900" s="5" t="s">
        <v>21</v>
      </c>
      <c r="K1900" s="5">
        <v>300.0</v>
      </c>
      <c r="N1900" s="9">
        <v>43905.0</v>
      </c>
    </row>
    <row r="1901">
      <c r="A1901" s="5">
        <v>1900.0</v>
      </c>
      <c r="B1901" s="5" t="s">
        <v>2533</v>
      </c>
      <c r="C1901" s="5" t="s">
        <v>21</v>
      </c>
      <c r="K1901" s="5">
        <v>900.0</v>
      </c>
      <c r="N1901" s="9">
        <v>44630.0</v>
      </c>
    </row>
    <row r="1902">
      <c r="A1902" s="5">
        <v>1901.0</v>
      </c>
      <c r="B1902" s="5" t="s">
        <v>2534</v>
      </c>
      <c r="C1902" s="5" t="s">
        <v>21</v>
      </c>
      <c r="K1902" s="5">
        <v>40.0</v>
      </c>
      <c r="N1902" s="9">
        <v>45657.0</v>
      </c>
    </row>
    <row r="1903">
      <c r="A1903" s="5">
        <v>1902.0</v>
      </c>
      <c r="B1903" s="5" t="s">
        <v>2535</v>
      </c>
      <c r="C1903" s="5" t="s">
        <v>21</v>
      </c>
      <c r="K1903" s="5">
        <v>250.0</v>
      </c>
      <c r="N1903" s="9">
        <v>45147.0</v>
      </c>
    </row>
    <row r="1904">
      <c r="A1904" s="5">
        <v>1903.0</v>
      </c>
      <c r="B1904" s="5" t="s">
        <v>2536</v>
      </c>
      <c r="C1904" s="5" t="s">
        <v>21</v>
      </c>
      <c r="K1904" s="5">
        <v>150.0</v>
      </c>
      <c r="N1904" s="9">
        <v>44583.0</v>
      </c>
    </row>
    <row r="1905">
      <c r="A1905" s="5">
        <v>1904.0</v>
      </c>
      <c r="B1905" s="5" t="s">
        <v>2537</v>
      </c>
      <c r="C1905" s="5" t="s">
        <v>21</v>
      </c>
      <c r="K1905" s="5">
        <v>450.0</v>
      </c>
      <c r="N1905" s="9">
        <v>44564.0</v>
      </c>
    </row>
    <row r="1906">
      <c r="A1906" s="5">
        <v>1905.0</v>
      </c>
      <c r="B1906" s="5" t="s">
        <v>2538</v>
      </c>
      <c r="C1906" s="5" t="s">
        <v>21</v>
      </c>
      <c r="K1906" s="5">
        <v>2400.0</v>
      </c>
      <c r="N1906" s="9">
        <v>44184.0</v>
      </c>
    </row>
    <row r="1907">
      <c r="A1907" s="5">
        <v>1906.0</v>
      </c>
      <c r="B1907" s="5" t="s">
        <v>2539</v>
      </c>
      <c r="C1907" s="5" t="s">
        <v>21</v>
      </c>
      <c r="K1907" s="5">
        <v>200.0</v>
      </c>
      <c r="N1907" s="9">
        <v>44572.0</v>
      </c>
    </row>
    <row r="1908">
      <c r="A1908" s="5">
        <v>1907.0</v>
      </c>
      <c r="B1908" s="5" t="s">
        <v>2540</v>
      </c>
      <c r="C1908" s="5" t="s">
        <v>21</v>
      </c>
      <c r="K1908" s="5">
        <v>700.0</v>
      </c>
      <c r="N1908" s="9">
        <v>45119.0</v>
      </c>
    </row>
    <row r="1909">
      <c r="A1909" s="5">
        <v>1908.0</v>
      </c>
      <c r="B1909" s="5" t="s">
        <v>2541</v>
      </c>
      <c r="C1909" s="5" t="s">
        <v>21</v>
      </c>
      <c r="K1909" s="5">
        <v>4100.0</v>
      </c>
      <c r="N1909" s="9">
        <v>45988.0</v>
      </c>
    </row>
    <row r="1910">
      <c r="A1910" s="5">
        <v>1909.0</v>
      </c>
      <c r="B1910" s="5" t="s">
        <v>2542</v>
      </c>
      <c r="C1910" s="5" t="s">
        <v>21</v>
      </c>
      <c r="K1910" s="5">
        <v>800.0</v>
      </c>
      <c r="N1910" s="9">
        <v>44381.0</v>
      </c>
    </row>
    <row r="1911">
      <c r="A1911" s="5">
        <v>1910.0</v>
      </c>
      <c r="B1911" s="5" t="s">
        <v>2543</v>
      </c>
      <c r="C1911" s="5" t="s">
        <v>21</v>
      </c>
      <c r="K1911" s="5">
        <v>300.0</v>
      </c>
      <c r="N1911" s="9">
        <v>44264.0</v>
      </c>
    </row>
    <row r="1912">
      <c r="A1912" s="5">
        <v>1911.0</v>
      </c>
      <c r="B1912" s="5" t="s">
        <v>2544</v>
      </c>
      <c r="C1912" s="5" t="s">
        <v>21</v>
      </c>
      <c r="K1912" s="5">
        <v>150.0</v>
      </c>
      <c r="N1912" s="9">
        <v>44389.0</v>
      </c>
    </row>
    <row r="1913">
      <c r="A1913" s="5">
        <v>1912.0</v>
      </c>
      <c r="B1913" s="5" t="s">
        <v>2545</v>
      </c>
      <c r="C1913" s="5" t="s">
        <v>21</v>
      </c>
      <c r="K1913" s="5">
        <v>200.0</v>
      </c>
      <c r="N1913" s="9">
        <v>44330.0</v>
      </c>
    </row>
    <row r="1914">
      <c r="A1914" s="5">
        <v>1913.0</v>
      </c>
      <c r="B1914" s="5" t="s">
        <v>2546</v>
      </c>
      <c r="C1914" s="5" t="s">
        <v>21</v>
      </c>
      <c r="K1914" s="5">
        <v>800.0</v>
      </c>
      <c r="N1914" s="9">
        <v>44580.0</v>
      </c>
    </row>
    <row r="1915">
      <c r="A1915" s="5">
        <v>1914.0</v>
      </c>
      <c r="B1915" s="5" t="s">
        <v>2547</v>
      </c>
      <c r="C1915" s="5" t="s">
        <v>21</v>
      </c>
      <c r="K1915" s="5">
        <v>200.0</v>
      </c>
      <c r="N1915" s="9">
        <v>44436.0</v>
      </c>
    </row>
    <row r="1916">
      <c r="A1916" s="5">
        <v>1915.0</v>
      </c>
      <c r="B1916" s="5" t="s">
        <v>2548</v>
      </c>
      <c r="C1916" s="5" t="s">
        <v>21</v>
      </c>
      <c r="K1916" s="5">
        <v>700.0</v>
      </c>
      <c r="N1916" s="9">
        <v>44541.0</v>
      </c>
    </row>
    <row r="1917">
      <c r="A1917" s="5">
        <v>1916.0</v>
      </c>
      <c r="B1917" s="5" t="s">
        <v>2549</v>
      </c>
      <c r="C1917" s="5" t="s">
        <v>21</v>
      </c>
      <c r="K1917" s="5">
        <v>150.0</v>
      </c>
      <c r="N1917" s="9">
        <v>45079.0</v>
      </c>
    </row>
    <row r="1918">
      <c r="A1918" s="5">
        <v>1917.0</v>
      </c>
      <c r="B1918" s="5" t="s">
        <v>2550</v>
      </c>
      <c r="C1918" s="5" t="s">
        <v>21</v>
      </c>
      <c r="K1918" s="5">
        <v>300.0</v>
      </c>
      <c r="N1918" s="9">
        <v>45142.0</v>
      </c>
    </row>
    <row r="1919">
      <c r="A1919" s="5">
        <v>1918.0</v>
      </c>
      <c r="B1919" s="5" t="s">
        <v>2551</v>
      </c>
      <c r="C1919" s="5" t="s">
        <v>21</v>
      </c>
      <c r="K1919" s="5">
        <v>300.0</v>
      </c>
      <c r="N1919" s="9">
        <v>44458.0</v>
      </c>
    </row>
    <row r="1920">
      <c r="A1920" s="5">
        <v>1919.0</v>
      </c>
      <c r="B1920" s="5" t="s">
        <v>2552</v>
      </c>
      <c r="C1920" s="5" t="s">
        <v>21</v>
      </c>
      <c r="K1920" s="5">
        <v>600.0</v>
      </c>
      <c r="N1920" s="9">
        <v>44451.0</v>
      </c>
    </row>
    <row r="1921">
      <c r="A1921" s="5">
        <v>1920.0</v>
      </c>
      <c r="B1921" s="5" t="s">
        <v>2553</v>
      </c>
      <c r="C1921" s="5" t="s">
        <v>21</v>
      </c>
      <c r="K1921" s="5">
        <v>50.0</v>
      </c>
      <c r="N1921" s="9">
        <v>44802.0</v>
      </c>
    </row>
    <row r="1922">
      <c r="A1922" s="5">
        <v>1921.0</v>
      </c>
      <c r="B1922" s="5" t="s">
        <v>2554</v>
      </c>
      <c r="C1922" s="5" t="s">
        <v>21</v>
      </c>
      <c r="K1922" s="5">
        <v>70.0</v>
      </c>
      <c r="N1922" s="9">
        <v>44559.0</v>
      </c>
    </row>
    <row r="1923">
      <c r="A1923" s="5">
        <v>1922.0</v>
      </c>
      <c r="B1923" s="5" t="s">
        <v>2555</v>
      </c>
      <c r="C1923" s="5" t="s">
        <v>21</v>
      </c>
      <c r="K1923" s="5">
        <v>500.0</v>
      </c>
      <c r="N1923" s="9">
        <v>44846.0</v>
      </c>
    </row>
    <row r="1924">
      <c r="A1924" s="5">
        <v>1923.0</v>
      </c>
      <c r="B1924" s="5" t="s">
        <v>2556</v>
      </c>
      <c r="C1924" s="5" t="s">
        <v>21</v>
      </c>
      <c r="K1924" s="5">
        <v>450.0</v>
      </c>
      <c r="N1924" s="9">
        <v>45596.0</v>
      </c>
    </row>
    <row r="1925">
      <c r="A1925" s="5">
        <v>1924.0</v>
      </c>
      <c r="B1925" s="5" t="s">
        <v>2557</v>
      </c>
      <c r="C1925" s="5" t="s">
        <v>21</v>
      </c>
      <c r="K1925" s="5">
        <v>300.0</v>
      </c>
      <c r="N1925" s="9">
        <v>44979.0</v>
      </c>
    </row>
    <row r="1926">
      <c r="A1926" s="5">
        <v>1925.0</v>
      </c>
      <c r="B1926" s="5" t="s">
        <v>2558</v>
      </c>
      <c r="C1926" s="5" t="s">
        <v>21</v>
      </c>
      <c r="K1926" s="5">
        <v>250.0</v>
      </c>
      <c r="N1926" s="9">
        <v>44202.0</v>
      </c>
    </row>
    <row r="1927">
      <c r="A1927" s="5">
        <v>1926.0</v>
      </c>
      <c r="B1927" s="5" t="s">
        <v>2559</v>
      </c>
      <c r="C1927" s="5" t="s">
        <v>21</v>
      </c>
      <c r="K1927" s="5">
        <v>1300.0</v>
      </c>
      <c r="N1927" s="9">
        <v>44412.0</v>
      </c>
    </row>
    <row r="1928">
      <c r="A1928" s="5">
        <v>1927.0</v>
      </c>
      <c r="B1928" s="5" t="s">
        <v>2560</v>
      </c>
      <c r="C1928" s="5" t="s">
        <v>21</v>
      </c>
      <c r="K1928" s="5">
        <v>150.0</v>
      </c>
      <c r="N1928" s="9">
        <v>44606.0</v>
      </c>
    </row>
    <row r="1929">
      <c r="A1929" s="5">
        <v>1928.0</v>
      </c>
      <c r="B1929" s="5" t="s">
        <v>156</v>
      </c>
      <c r="C1929" s="5" t="s">
        <v>21</v>
      </c>
      <c r="K1929" s="5">
        <v>8100.0</v>
      </c>
      <c r="N1929" s="9">
        <v>43971.0</v>
      </c>
    </row>
    <row r="1930">
      <c r="A1930" s="5">
        <v>1929.0</v>
      </c>
      <c r="B1930" s="5" t="s">
        <v>2561</v>
      </c>
      <c r="C1930" s="5" t="s">
        <v>21</v>
      </c>
      <c r="K1930" s="5">
        <v>900.0</v>
      </c>
      <c r="N1930" s="9">
        <v>44364.0</v>
      </c>
    </row>
    <row r="1931">
      <c r="A1931" s="5">
        <v>1930.0</v>
      </c>
      <c r="B1931" s="5" t="s">
        <v>2562</v>
      </c>
      <c r="C1931" s="5" t="s">
        <v>21</v>
      </c>
      <c r="K1931" s="5">
        <v>300.0</v>
      </c>
      <c r="N1931" s="9">
        <v>44068.0</v>
      </c>
    </row>
    <row r="1932">
      <c r="A1932" s="5">
        <v>1931.0</v>
      </c>
      <c r="B1932" s="5" t="s">
        <v>2563</v>
      </c>
      <c r="C1932" s="5" t="s">
        <v>21</v>
      </c>
      <c r="K1932" s="5">
        <v>30.0</v>
      </c>
      <c r="N1932" s="9">
        <v>44032.0</v>
      </c>
    </row>
    <row r="1933">
      <c r="A1933" s="5">
        <v>1932.0</v>
      </c>
      <c r="B1933" s="5" t="s">
        <v>2564</v>
      </c>
      <c r="C1933" s="5" t="s">
        <v>21</v>
      </c>
      <c r="K1933" s="5">
        <v>150.0</v>
      </c>
      <c r="N1933" s="9">
        <v>44368.0</v>
      </c>
    </row>
    <row r="1934">
      <c r="A1934" s="5">
        <v>1933.0</v>
      </c>
      <c r="B1934" s="5" t="s">
        <v>2565</v>
      </c>
      <c r="C1934" s="5" t="s">
        <v>21</v>
      </c>
      <c r="K1934" s="5">
        <v>80.0</v>
      </c>
      <c r="N1934" s="9">
        <v>45454.0</v>
      </c>
    </row>
    <row r="1935">
      <c r="A1935" s="5">
        <v>1934.0</v>
      </c>
      <c r="B1935" s="5" t="s">
        <v>2566</v>
      </c>
      <c r="C1935" s="5" t="s">
        <v>21</v>
      </c>
      <c r="K1935" s="5">
        <v>3000.0</v>
      </c>
      <c r="N1935" s="9">
        <v>44174.0</v>
      </c>
    </row>
    <row r="1936">
      <c r="A1936" s="5">
        <v>1935.0</v>
      </c>
      <c r="B1936" s="5" t="s">
        <v>2567</v>
      </c>
      <c r="C1936" s="5" t="s">
        <v>21</v>
      </c>
      <c r="K1936" s="5">
        <v>9900.0</v>
      </c>
      <c r="N1936" s="9">
        <v>46119.0</v>
      </c>
    </row>
    <row r="1937">
      <c r="A1937" s="5">
        <v>1936.0</v>
      </c>
      <c r="B1937" s="5" t="s">
        <v>2568</v>
      </c>
      <c r="C1937" s="5" t="s">
        <v>21</v>
      </c>
      <c r="K1937" s="5">
        <v>50.0</v>
      </c>
      <c r="N1937" s="9">
        <v>44543.0</v>
      </c>
    </row>
    <row r="1938">
      <c r="A1938" s="5">
        <v>1937.0</v>
      </c>
      <c r="B1938" s="5" t="s">
        <v>2569</v>
      </c>
      <c r="C1938" s="5" t="s">
        <v>21</v>
      </c>
      <c r="K1938" s="5">
        <v>350.0</v>
      </c>
      <c r="N1938" s="9">
        <v>44531.0</v>
      </c>
    </row>
    <row r="1939">
      <c r="A1939" s="5">
        <v>1938.0</v>
      </c>
      <c r="B1939" s="5" t="s">
        <v>2570</v>
      </c>
      <c r="C1939" s="5" t="s">
        <v>21</v>
      </c>
      <c r="K1939" s="5">
        <v>700.0</v>
      </c>
      <c r="N1939" s="9">
        <v>45184.0</v>
      </c>
    </row>
    <row r="1940">
      <c r="A1940" s="5">
        <v>1939.0</v>
      </c>
      <c r="B1940" s="5" t="s">
        <v>2571</v>
      </c>
      <c r="C1940" s="5" t="s">
        <v>21</v>
      </c>
      <c r="K1940" s="5">
        <v>9500.0</v>
      </c>
      <c r="N1940" s="9">
        <v>44699.0</v>
      </c>
    </row>
    <row r="1941">
      <c r="A1941" s="5">
        <v>1940.0</v>
      </c>
      <c r="B1941" s="5" t="s">
        <v>2572</v>
      </c>
      <c r="C1941" s="5" t="s">
        <v>21</v>
      </c>
      <c r="K1941" s="5">
        <v>1500.0</v>
      </c>
      <c r="N1941" s="9">
        <v>43873.0</v>
      </c>
    </row>
    <row r="1942">
      <c r="A1942" s="5">
        <v>1941.0</v>
      </c>
      <c r="B1942" s="5" t="s">
        <v>2573</v>
      </c>
      <c r="C1942" s="5" t="s">
        <v>21</v>
      </c>
      <c r="K1942" s="5">
        <v>2600.0</v>
      </c>
      <c r="N1942" s="9">
        <v>44463.0</v>
      </c>
    </row>
    <row r="1943">
      <c r="A1943" s="5">
        <v>1942.0</v>
      </c>
      <c r="B1943" s="5" t="s">
        <v>2574</v>
      </c>
      <c r="C1943" s="5" t="s">
        <v>21</v>
      </c>
      <c r="K1943" s="5">
        <v>150.0</v>
      </c>
      <c r="N1943" s="9">
        <v>44921.0</v>
      </c>
    </row>
    <row r="1944">
      <c r="A1944" s="5">
        <v>1943.0</v>
      </c>
      <c r="B1944" s="5" t="s">
        <v>2575</v>
      </c>
      <c r="C1944" s="5" t="s">
        <v>21</v>
      </c>
      <c r="K1944" s="5">
        <v>20.0</v>
      </c>
      <c r="N1944" s="9">
        <v>44539.0</v>
      </c>
    </row>
    <row r="1945">
      <c r="A1945" s="5">
        <v>1944.0</v>
      </c>
      <c r="B1945" s="5" t="s">
        <v>2576</v>
      </c>
      <c r="C1945" s="5" t="s">
        <v>21</v>
      </c>
      <c r="K1945" s="5">
        <v>200.0</v>
      </c>
      <c r="N1945" s="9">
        <v>44843.0</v>
      </c>
    </row>
    <row r="1946">
      <c r="A1946" s="5">
        <v>1945.0</v>
      </c>
      <c r="B1946" s="5" t="s">
        <v>2577</v>
      </c>
      <c r="C1946" s="5" t="s">
        <v>21</v>
      </c>
      <c r="K1946" s="5">
        <v>2800.0</v>
      </c>
      <c r="N1946" s="9">
        <v>43874.0</v>
      </c>
    </row>
    <row r="1947">
      <c r="A1947" s="5">
        <v>1946.0</v>
      </c>
      <c r="B1947" s="5" t="s">
        <v>2578</v>
      </c>
      <c r="C1947" s="5" t="s">
        <v>21</v>
      </c>
      <c r="K1947" s="5">
        <v>250.0</v>
      </c>
      <c r="N1947" s="9">
        <v>44604.0</v>
      </c>
    </row>
    <row r="1948">
      <c r="A1948" s="5">
        <v>1947.0</v>
      </c>
      <c r="B1948" s="5" t="s">
        <v>2579</v>
      </c>
      <c r="C1948" s="5" t="s">
        <v>21</v>
      </c>
      <c r="K1948" s="5">
        <v>90.0</v>
      </c>
      <c r="N1948" s="9">
        <v>44821.0</v>
      </c>
    </row>
    <row r="1949">
      <c r="A1949" s="5">
        <v>1948.0</v>
      </c>
      <c r="B1949" s="5" t="s">
        <v>2580</v>
      </c>
      <c r="C1949" s="5" t="s">
        <v>21</v>
      </c>
      <c r="K1949" s="5">
        <v>100.0</v>
      </c>
      <c r="N1949" s="9">
        <v>44527.0</v>
      </c>
    </row>
    <row r="1950">
      <c r="A1950" s="5">
        <v>1949.0</v>
      </c>
      <c r="B1950" s="5" t="s">
        <v>2581</v>
      </c>
      <c r="C1950" s="5" t="s">
        <v>21</v>
      </c>
      <c r="K1950" s="5">
        <v>2400.0</v>
      </c>
      <c r="N1950" s="9">
        <v>43931.0</v>
      </c>
    </row>
    <row r="1951">
      <c r="A1951" s="5">
        <v>1950.0</v>
      </c>
      <c r="B1951" s="5" t="s">
        <v>2582</v>
      </c>
      <c r="C1951" s="5" t="s">
        <v>21</v>
      </c>
      <c r="K1951" s="5">
        <v>10.0</v>
      </c>
      <c r="N1951" s="9">
        <v>44650.0</v>
      </c>
    </row>
    <row r="1952">
      <c r="A1952" s="5">
        <v>1951.0</v>
      </c>
      <c r="B1952" s="5" t="s">
        <v>2583</v>
      </c>
      <c r="C1952" s="5" t="s">
        <v>21</v>
      </c>
      <c r="K1952" s="5">
        <v>400.0</v>
      </c>
      <c r="N1952" s="9">
        <v>44678.0</v>
      </c>
    </row>
    <row r="1953">
      <c r="A1953" s="5">
        <v>1952.0</v>
      </c>
      <c r="B1953" s="5" t="s">
        <v>2584</v>
      </c>
      <c r="C1953" s="5" t="s">
        <v>21</v>
      </c>
      <c r="K1953" s="5">
        <v>90.0</v>
      </c>
      <c r="N1953" s="9">
        <v>45123.0</v>
      </c>
    </row>
    <row r="1954">
      <c r="A1954" s="5">
        <v>1953.0</v>
      </c>
      <c r="B1954" s="5" t="s">
        <v>2585</v>
      </c>
      <c r="C1954" s="5" t="s">
        <v>21</v>
      </c>
      <c r="K1954" s="5">
        <v>2100.0</v>
      </c>
      <c r="N1954" s="9">
        <v>44200.0</v>
      </c>
    </row>
    <row r="1955">
      <c r="A1955" s="5">
        <v>1954.0</v>
      </c>
      <c r="B1955" s="5" t="s">
        <v>2586</v>
      </c>
      <c r="C1955" s="5" t="s">
        <v>21</v>
      </c>
      <c r="K1955" s="5">
        <v>200.0</v>
      </c>
      <c r="N1955" s="9">
        <v>45441.0</v>
      </c>
    </row>
    <row r="1956">
      <c r="A1956" s="5">
        <v>1955.0</v>
      </c>
      <c r="B1956" s="5" t="s">
        <v>2587</v>
      </c>
      <c r="C1956" s="5" t="s">
        <v>21</v>
      </c>
      <c r="K1956" s="5">
        <v>100.0</v>
      </c>
      <c r="N1956" s="9">
        <v>44518.0</v>
      </c>
    </row>
    <row r="1957">
      <c r="A1957" s="5">
        <v>1956.0</v>
      </c>
      <c r="B1957" s="5" t="s">
        <v>2588</v>
      </c>
      <c r="C1957" s="5" t="s">
        <v>21</v>
      </c>
      <c r="K1957" s="5">
        <v>600.0</v>
      </c>
      <c r="N1957" s="9">
        <v>44503.0</v>
      </c>
    </row>
    <row r="1958">
      <c r="A1958" s="5">
        <v>1957.0</v>
      </c>
      <c r="B1958" s="5" t="s">
        <v>2589</v>
      </c>
      <c r="C1958" s="5" t="s">
        <v>21</v>
      </c>
      <c r="K1958" s="5">
        <v>700.0</v>
      </c>
      <c r="N1958" s="9">
        <v>44182.0</v>
      </c>
    </row>
    <row r="1959">
      <c r="A1959" s="5">
        <v>1958.0</v>
      </c>
      <c r="B1959" s="5" t="s">
        <v>2590</v>
      </c>
      <c r="C1959" s="5" t="s">
        <v>21</v>
      </c>
      <c r="K1959" s="5">
        <v>350.0</v>
      </c>
      <c r="N1959" s="9">
        <v>44616.0</v>
      </c>
    </row>
    <row r="1960">
      <c r="A1960" s="5">
        <v>1959.0</v>
      </c>
      <c r="B1960" s="5" t="s">
        <v>2591</v>
      </c>
      <c r="C1960" s="5" t="s">
        <v>21</v>
      </c>
      <c r="K1960" s="5">
        <v>2000.0</v>
      </c>
      <c r="N1960" s="9">
        <v>44213.0</v>
      </c>
    </row>
    <row r="1961">
      <c r="A1961" s="5">
        <v>1960.0</v>
      </c>
      <c r="B1961" s="5" t="s">
        <v>2592</v>
      </c>
      <c r="C1961" s="5" t="s">
        <v>21</v>
      </c>
      <c r="K1961" s="5">
        <v>350.0</v>
      </c>
      <c r="N1961" s="9">
        <v>44564.0</v>
      </c>
    </row>
    <row r="1962">
      <c r="A1962" s="5">
        <v>1961.0</v>
      </c>
      <c r="B1962" s="5" t="s">
        <v>2593</v>
      </c>
      <c r="C1962" s="5" t="s">
        <v>21</v>
      </c>
      <c r="K1962" s="5">
        <v>600.0</v>
      </c>
      <c r="N1962" s="9">
        <v>44484.0</v>
      </c>
    </row>
    <row r="1963">
      <c r="A1963" s="5">
        <v>1962.0</v>
      </c>
      <c r="B1963" s="5" t="s">
        <v>2594</v>
      </c>
      <c r="C1963" s="5" t="s">
        <v>21</v>
      </c>
      <c r="K1963" s="5">
        <v>350.0</v>
      </c>
      <c r="N1963" s="9">
        <v>44546.0</v>
      </c>
    </row>
    <row r="1964">
      <c r="A1964" s="5">
        <v>1963.0</v>
      </c>
      <c r="B1964" s="5" t="s">
        <v>2595</v>
      </c>
      <c r="C1964" s="5" t="s">
        <v>21</v>
      </c>
      <c r="K1964" s="5">
        <v>400.0</v>
      </c>
      <c r="N1964" s="9">
        <v>44529.0</v>
      </c>
    </row>
    <row r="1965">
      <c r="A1965" s="5">
        <v>1964.0</v>
      </c>
      <c r="B1965" s="5" t="s">
        <v>2596</v>
      </c>
      <c r="C1965" s="5" t="s">
        <v>21</v>
      </c>
      <c r="K1965" s="5">
        <v>900.0</v>
      </c>
      <c r="N1965" s="9">
        <v>45228.0</v>
      </c>
    </row>
    <row r="1966">
      <c r="A1966" s="5">
        <v>1965.0</v>
      </c>
      <c r="B1966" s="5" t="s">
        <v>2597</v>
      </c>
      <c r="C1966" s="5" t="s">
        <v>21</v>
      </c>
      <c r="K1966" s="5">
        <v>200.0</v>
      </c>
      <c r="N1966" s="9">
        <v>44884.0</v>
      </c>
    </row>
    <row r="1967">
      <c r="A1967" s="5">
        <v>1966.0</v>
      </c>
      <c r="B1967" s="5" t="s">
        <v>2598</v>
      </c>
      <c r="C1967" s="5" t="s">
        <v>21</v>
      </c>
      <c r="K1967" s="5">
        <v>350.0</v>
      </c>
      <c r="N1967" s="9">
        <v>44760.0</v>
      </c>
    </row>
    <row r="1968">
      <c r="A1968" s="5">
        <v>1967.0</v>
      </c>
      <c r="B1968" s="5" t="s">
        <v>2599</v>
      </c>
      <c r="C1968" s="5" t="s">
        <v>21</v>
      </c>
      <c r="K1968" s="5">
        <v>600.0</v>
      </c>
      <c r="N1968" s="9">
        <v>45512.0</v>
      </c>
    </row>
    <row r="1969">
      <c r="A1969" s="5">
        <v>1968.0</v>
      </c>
      <c r="B1969" s="5" t="s">
        <v>2600</v>
      </c>
      <c r="C1969" s="5" t="s">
        <v>21</v>
      </c>
      <c r="K1969" s="5">
        <v>200.0</v>
      </c>
      <c r="N1969" s="9">
        <v>45506.0</v>
      </c>
    </row>
    <row r="1970">
      <c r="A1970" s="5">
        <v>1969.0</v>
      </c>
      <c r="B1970" s="5" t="s">
        <v>2601</v>
      </c>
      <c r="C1970" s="5" t="s">
        <v>21</v>
      </c>
      <c r="K1970" s="5">
        <v>200.0</v>
      </c>
      <c r="N1970" s="9">
        <v>43889.0</v>
      </c>
    </row>
    <row r="1971">
      <c r="A1971" s="5">
        <v>1970.0</v>
      </c>
      <c r="B1971" s="5" t="s">
        <v>2602</v>
      </c>
      <c r="C1971" s="5" t="s">
        <v>21</v>
      </c>
      <c r="K1971" s="5">
        <v>1700.0</v>
      </c>
      <c r="N1971" s="9">
        <v>44168.0</v>
      </c>
    </row>
    <row r="1972">
      <c r="A1972" s="5">
        <v>1971.0</v>
      </c>
      <c r="B1972" s="5" t="s">
        <v>2603</v>
      </c>
      <c r="C1972" s="5" t="s">
        <v>21</v>
      </c>
      <c r="N1972" s="9">
        <v>44518.0</v>
      </c>
    </row>
    <row r="1973">
      <c r="A1973" s="5">
        <v>1972.0</v>
      </c>
      <c r="B1973" s="5" t="s">
        <v>2604</v>
      </c>
      <c r="C1973" s="5" t="s">
        <v>21</v>
      </c>
      <c r="K1973" s="5">
        <v>80.0</v>
      </c>
      <c r="N1973" s="9">
        <v>44670.0</v>
      </c>
    </row>
    <row r="1974">
      <c r="A1974" s="5">
        <v>1973.0</v>
      </c>
      <c r="B1974" s="5" t="s">
        <v>2605</v>
      </c>
      <c r="C1974" s="5" t="s">
        <v>21</v>
      </c>
      <c r="K1974" s="5">
        <v>2100.0</v>
      </c>
      <c r="N1974" s="9">
        <v>44030.0</v>
      </c>
    </row>
    <row r="1975">
      <c r="A1975" s="5">
        <v>1974.0</v>
      </c>
      <c r="B1975" s="5" t="s">
        <v>2606</v>
      </c>
      <c r="C1975" s="5" t="s">
        <v>21</v>
      </c>
      <c r="K1975" s="5">
        <v>250.0</v>
      </c>
      <c r="N1975" s="9">
        <v>44540.0</v>
      </c>
    </row>
    <row r="1976">
      <c r="A1976" s="5">
        <v>1975.0</v>
      </c>
      <c r="B1976" s="5" t="s">
        <v>2607</v>
      </c>
      <c r="C1976" s="5" t="s">
        <v>21</v>
      </c>
      <c r="K1976" s="5">
        <v>7900.0</v>
      </c>
      <c r="N1976" s="9">
        <v>44676.0</v>
      </c>
    </row>
    <row r="1977">
      <c r="A1977" s="5">
        <v>1976.0</v>
      </c>
      <c r="B1977" s="5" t="s">
        <v>2608</v>
      </c>
      <c r="C1977" s="5" t="s">
        <v>21</v>
      </c>
      <c r="K1977" s="5">
        <v>50.0</v>
      </c>
      <c r="N1977" s="9">
        <v>44882.0</v>
      </c>
    </row>
    <row r="1978">
      <c r="A1978" s="5">
        <v>1977.0</v>
      </c>
      <c r="B1978" s="5" t="s">
        <v>2609</v>
      </c>
      <c r="C1978" s="5" t="s">
        <v>21</v>
      </c>
      <c r="K1978" s="5">
        <v>250.0</v>
      </c>
      <c r="N1978" s="9">
        <v>45127.0</v>
      </c>
    </row>
    <row r="1979">
      <c r="A1979" s="5">
        <v>1978.0</v>
      </c>
      <c r="B1979" s="5" t="s">
        <v>2610</v>
      </c>
      <c r="C1979" s="5" t="s">
        <v>21</v>
      </c>
      <c r="K1979" s="5">
        <v>40.0</v>
      </c>
      <c r="N1979" s="9">
        <v>44688.0</v>
      </c>
    </row>
    <row r="1980">
      <c r="A1980" s="5">
        <v>1979.0</v>
      </c>
      <c r="B1980" s="5" t="s">
        <v>2611</v>
      </c>
      <c r="C1980" s="5" t="s">
        <v>21</v>
      </c>
      <c r="K1980" s="5">
        <v>1300.0</v>
      </c>
      <c r="N1980" s="9">
        <v>44862.0</v>
      </c>
    </row>
    <row r="1981">
      <c r="A1981" s="5">
        <v>1980.0</v>
      </c>
      <c r="B1981" s="5" t="s">
        <v>2612</v>
      </c>
      <c r="C1981" s="5" t="s">
        <v>21</v>
      </c>
      <c r="K1981" s="5">
        <v>150.0</v>
      </c>
      <c r="N1981" s="9">
        <v>45405.0</v>
      </c>
    </row>
    <row r="1982">
      <c r="A1982" s="5">
        <v>1981.0</v>
      </c>
      <c r="B1982" s="5" t="s">
        <v>2613</v>
      </c>
      <c r="C1982" s="5" t="s">
        <v>21</v>
      </c>
      <c r="K1982" s="5">
        <v>100.0</v>
      </c>
      <c r="N1982" s="9">
        <v>45035.0</v>
      </c>
    </row>
    <row r="1983">
      <c r="A1983" s="5">
        <v>1982.0</v>
      </c>
      <c r="B1983" s="5" t="s">
        <v>2614</v>
      </c>
      <c r="C1983" s="5" t="s">
        <v>21</v>
      </c>
      <c r="K1983" s="5">
        <v>200.0</v>
      </c>
      <c r="N1983" s="9">
        <v>45580.0</v>
      </c>
    </row>
    <row r="1984">
      <c r="A1984" s="5">
        <v>1983.0</v>
      </c>
      <c r="B1984" s="5" t="s">
        <v>2615</v>
      </c>
      <c r="C1984" s="5" t="s">
        <v>21</v>
      </c>
      <c r="K1984" s="5">
        <v>70.0</v>
      </c>
      <c r="N1984" s="9">
        <v>44853.0</v>
      </c>
    </row>
    <row r="1985">
      <c r="A1985" s="5">
        <v>1984.0</v>
      </c>
      <c r="B1985" s="5" t="s">
        <v>2616</v>
      </c>
      <c r="C1985" s="5" t="s">
        <v>21</v>
      </c>
      <c r="K1985" s="5">
        <v>400.0</v>
      </c>
      <c r="N1985" s="9">
        <v>44758.0</v>
      </c>
    </row>
    <row r="1986">
      <c r="A1986" s="5">
        <v>1985.0</v>
      </c>
      <c r="B1986" s="5" t="s">
        <v>2617</v>
      </c>
      <c r="C1986" s="5" t="s">
        <v>21</v>
      </c>
      <c r="K1986" s="5">
        <v>150.0</v>
      </c>
      <c r="N1986" s="9">
        <v>44128.0</v>
      </c>
    </row>
    <row r="1987">
      <c r="A1987" s="5">
        <v>1986.0</v>
      </c>
      <c r="B1987" s="5" t="s">
        <v>2618</v>
      </c>
      <c r="C1987" s="5" t="s">
        <v>21</v>
      </c>
      <c r="K1987" s="5">
        <v>80.0</v>
      </c>
      <c r="N1987" s="9">
        <v>45078.0</v>
      </c>
    </row>
    <row r="1988">
      <c r="A1988" s="5">
        <v>1987.0</v>
      </c>
      <c r="B1988" s="5" t="s">
        <v>2619</v>
      </c>
      <c r="C1988" s="5" t="s">
        <v>21</v>
      </c>
      <c r="K1988" s="5">
        <v>600.0</v>
      </c>
      <c r="N1988" s="9">
        <v>45567.0</v>
      </c>
    </row>
    <row r="1989">
      <c r="A1989" s="5">
        <v>1988.0</v>
      </c>
      <c r="B1989" s="5" t="s">
        <v>2620</v>
      </c>
      <c r="C1989" s="5" t="s">
        <v>21</v>
      </c>
      <c r="K1989" s="5">
        <v>250.0</v>
      </c>
      <c r="N1989" s="9">
        <v>44737.0</v>
      </c>
    </row>
    <row r="1990">
      <c r="A1990" s="5">
        <v>1989.0</v>
      </c>
      <c r="B1990" s="5" t="s">
        <v>2621</v>
      </c>
      <c r="C1990" s="5" t="s">
        <v>21</v>
      </c>
      <c r="K1990" s="5">
        <v>450.0</v>
      </c>
      <c r="N1990" s="9">
        <v>44530.0</v>
      </c>
    </row>
    <row r="1991">
      <c r="A1991" s="5">
        <v>1990.0</v>
      </c>
      <c r="B1991" s="5" t="s">
        <v>2622</v>
      </c>
      <c r="C1991" s="5" t="s">
        <v>21</v>
      </c>
      <c r="K1991" s="5">
        <v>250.0</v>
      </c>
      <c r="N1991" s="9">
        <v>44742.0</v>
      </c>
    </row>
    <row r="1992">
      <c r="A1992" s="5">
        <v>1991.0</v>
      </c>
      <c r="B1992" s="5" t="s">
        <v>2623</v>
      </c>
      <c r="C1992" s="5" t="s">
        <v>21</v>
      </c>
      <c r="K1992" s="5">
        <v>10.0</v>
      </c>
      <c r="N1992" s="9">
        <v>44114.0</v>
      </c>
    </row>
    <row r="1993">
      <c r="A1993" s="5">
        <v>1992.0</v>
      </c>
      <c r="B1993" s="5" t="s">
        <v>2624</v>
      </c>
      <c r="C1993" s="5" t="s">
        <v>21</v>
      </c>
      <c r="K1993" s="5">
        <v>150.0</v>
      </c>
      <c r="N1993" s="9">
        <v>44802.0</v>
      </c>
    </row>
    <row r="1994">
      <c r="A1994" s="5">
        <v>1993.0</v>
      </c>
      <c r="B1994" s="5" t="s">
        <v>2625</v>
      </c>
      <c r="C1994" s="5" t="s">
        <v>21</v>
      </c>
      <c r="K1994" s="5">
        <v>350.0</v>
      </c>
      <c r="N1994" s="9">
        <v>44391.0</v>
      </c>
    </row>
    <row r="1995">
      <c r="A1995" s="5">
        <v>1994.0</v>
      </c>
      <c r="B1995" s="5" t="s">
        <v>2626</v>
      </c>
      <c r="C1995" s="5" t="s">
        <v>21</v>
      </c>
      <c r="K1995" s="5">
        <v>200.0</v>
      </c>
      <c r="N1995" s="9">
        <v>44115.0</v>
      </c>
    </row>
    <row r="1996">
      <c r="A1996" s="5">
        <v>1995.0</v>
      </c>
      <c r="B1996" s="5" t="s">
        <v>2627</v>
      </c>
      <c r="C1996" s="5" t="s">
        <v>21</v>
      </c>
      <c r="K1996" s="5">
        <v>200.0</v>
      </c>
      <c r="N1996" s="9">
        <v>44537.0</v>
      </c>
    </row>
    <row r="1997">
      <c r="A1997" s="5">
        <v>1996.0</v>
      </c>
      <c r="B1997" s="5" t="s">
        <v>2628</v>
      </c>
      <c r="C1997" s="5" t="s">
        <v>21</v>
      </c>
      <c r="K1997" s="5">
        <v>100.0</v>
      </c>
      <c r="N1997" s="9">
        <v>44757.0</v>
      </c>
    </row>
    <row r="1998">
      <c r="A1998" s="5">
        <v>1997.0</v>
      </c>
      <c r="B1998" s="5" t="s">
        <v>2629</v>
      </c>
      <c r="C1998" s="5" t="s">
        <v>21</v>
      </c>
      <c r="K1998" s="5">
        <v>200.0</v>
      </c>
      <c r="N1998" s="9">
        <v>44623.0</v>
      </c>
    </row>
    <row r="1999">
      <c r="A1999" s="5">
        <v>1998.0</v>
      </c>
      <c r="B1999" s="5" t="s">
        <v>2630</v>
      </c>
      <c r="C1999" s="5" t="s">
        <v>21</v>
      </c>
      <c r="K1999" s="5">
        <v>200.0</v>
      </c>
      <c r="N1999" s="9">
        <v>44528.0</v>
      </c>
    </row>
    <row r="2000">
      <c r="A2000" s="5">
        <v>1999.0</v>
      </c>
      <c r="B2000" s="5" t="s">
        <v>2631</v>
      </c>
      <c r="C2000" s="5" t="s">
        <v>21</v>
      </c>
      <c r="K2000" s="5">
        <v>60.0</v>
      </c>
      <c r="N2000" s="9">
        <v>44182.0</v>
      </c>
    </row>
    <row r="2001">
      <c r="A2001" s="5">
        <v>2000.0</v>
      </c>
      <c r="B2001" s="5" t="s">
        <v>2632</v>
      </c>
      <c r="C2001" s="5" t="s">
        <v>21</v>
      </c>
      <c r="K2001" s="5">
        <v>450.0</v>
      </c>
      <c r="N2001" s="9">
        <v>44966.0</v>
      </c>
    </row>
    <row r="2002">
      <c r="A2002" s="5">
        <v>2001.0</v>
      </c>
      <c r="B2002" s="5" t="s">
        <v>2633</v>
      </c>
      <c r="C2002" s="5" t="s">
        <v>21</v>
      </c>
      <c r="K2002" s="5">
        <v>5000.0</v>
      </c>
      <c r="N2002" s="9">
        <v>44204.0</v>
      </c>
    </row>
    <row r="2003">
      <c r="A2003" s="5">
        <v>2002.0</v>
      </c>
      <c r="B2003" s="5" t="s">
        <v>2634</v>
      </c>
      <c r="C2003" s="5" t="s">
        <v>21</v>
      </c>
      <c r="K2003" s="5">
        <v>1800.0</v>
      </c>
      <c r="N2003" s="9">
        <v>44111.0</v>
      </c>
    </row>
    <row r="2004">
      <c r="A2004" s="5">
        <v>2003.0</v>
      </c>
      <c r="B2004" s="5" t="s">
        <v>2635</v>
      </c>
      <c r="C2004" s="5" t="s">
        <v>21</v>
      </c>
      <c r="K2004" s="5">
        <v>400.0</v>
      </c>
      <c r="N2004" s="9">
        <v>44564.0</v>
      </c>
    </row>
    <row r="2005">
      <c r="A2005" s="5">
        <v>2004.0</v>
      </c>
      <c r="B2005" s="5" t="s">
        <v>2636</v>
      </c>
      <c r="C2005" s="5" t="s">
        <v>21</v>
      </c>
      <c r="K2005" s="5">
        <v>450.0</v>
      </c>
      <c r="N2005" s="9">
        <v>45701.0</v>
      </c>
    </row>
    <row r="2006">
      <c r="A2006" s="5">
        <v>2005.0</v>
      </c>
      <c r="B2006" s="5" t="s">
        <v>2637</v>
      </c>
      <c r="C2006" s="5" t="s">
        <v>21</v>
      </c>
      <c r="K2006" s="5">
        <v>1300.0</v>
      </c>
      <c r="N2006" s="9">
        <v>44668.0</v>
      </c>
    </row>
    <row r="2007">
      <c r="A2007" s="5">
        <v>2006.0</v>
      </c>
      <c r="B2007" s="5" t="s">
        <v>2638</v>
      </c>
      <c r="C2007" s="5" t="s">
        <v>21</v>
      </c>
      <c r="K2007" s="5">
        <v>2200.0</v>
      </c>
      <c r="N2007" s="9">
        <v>43925.0</v>
      </c>
    </row>
    <row r="2008">
      <c r="A2008" s="5">
        <v>2007.0</v>
      </c>
      <c r="B2008" s="5" t="s">
        <v>2639</v>
      </c>
      <c r="C2008" s="5" t="s">
        <v>21</v>
      </c>
      <c r="K2008" s="5">
        <v>1200.0</v>
      </c>
      <c r="N2008" s="9">
        <v>44798.0</v>
      </c>
    </row>
    <row r="2009">
      <c r="A2009" s="5">
        <v>2008.0</v>
      </c>
      <c r="B2009" s="5" t="s">
        <v>2640</v>
      </c>
      <c r="C2009" s="5" t="s">
        <v>21</v>
      </c>
      <c r="K2009" s="5">
        <v>30.0</v>
      </c>
      <c r="N2009" s="9">
        <v>44511.0</v>
      </c>
    </row>
    <row r="2010">
      <c r="A2010" s="5">
        <v>2009.0</v>
      </c>
      <c r="B2010" s="5" t="s">
        <v>2641</v>
      </c>
      <c r="C2010" s="5" t="s">
        <v>21</v>
      </c>
      <c r="N2010" s="9">
        <v>44584.0</v>
      </c>
    </row>
    <row r="2011">
      <c r="A2011" s="5">
        <v>2010.0</v>
      </c>
      <c r="B2011" s="5" t="s">
        <v>2642</v>
      </c>
      <c r="C2011" s="5" t="s">
        <v>21</v>
      </c>
      <c r="K2011" s="5">
        <v>450.0</v>
      </c>
      <c r="N2011" s="9">
        <v>44176.0</v>
      </c>
    </row>
    <row r="2012">
      <c r="A2012" s="5">
        <v>2011.0</v>
      </c>
      <c r="B2012" s="5" t="s">
        <v>2643</v>
      </c>
      <c r="C2012" s="5" t="s">
        <v>21</v>
      </c>
      <c r="K2012" s="5">
        <v>60.0</v>
      </c>
      <c r="N2012" s="9">
        <v>44643.0</v>
      </c>
    </row>
    <row r="2013">
      <c r="A2013" s="5">
        <v>2012.0</v>
      </c>
      <c r="B2013" s="5" t="s">
        <v>2644</v>
      </c>
      <c r="C2013" s="5" t="s">
        <v>21</v>
      </c>
      <c r="N2013" s="9">
        <v>44272.0</v>
      </c>
    </row>
    <row r="2014">
      <c r="A2014" s="5">
        <v>2013.0</v>
      </c>
      <c r="B2014" s="5" t="s">
        <v>2645</v>
      </c>
      <c r="C2014" s="5" t="s">
        <v>21</v>
      </c>
      <c r="K2014" s="5">
        <v>300.0</v>
      </c>
      <c r="N2014" s="9">
        <v>44554.0</v>
      </c>
    </row>
    <row r="2015">
      <c r="A2015" s="5">
        <v>2014.0</v>
      </c>
      <c r="B2015" s="5" t="s">
        <v>2646</v>
      </c>
      <c r="C2015" s="5" t="s">
        <v>21</v>
      </c>
      <c r="N2015" s="9">
        <v>43918.0</v>
      </c>
    </row>
    <row r="2016">
      <c r="A2016" s="5">
        <v>2015.0</v>
      </c>
      <c r="B2016" s="5" t="s">
        <v>2647</v>
      </c>
      <c r="C2016" s="5" t="s">
        <v>21</v>
      </c>
      <c r="K2016" s="5">
        <v>150.0</v>
      </c>
      <c r="N2016" s="9">
        <v>44581.0</v>
      </c>
    </row>
    <row r="2017">
      <c r="A2017" s="5">
        <v>2016.0</v>
      </c>
      <c r="B2017" s="5" t="s">
        <v>2648</v>
      </c>
      <c r="C2017" s="5" t="s">
        <v>21</v>
      </c>
      <c r="K2017" s="5">
        <v>60.0</v>
      </c>
      <c r="N2017" s="9">
        <v>44641.0</v>
      </c>
    </row>
    <row r="2018">
      <c r="A2018" s="5">
        <v>2017.0</v>
      </c>
      <c r="B2018" s="5" t="s">
        <v>2649</v>
      </c>
      <c r="C2018" s="5" t="s">
        <v>21</v>
      </c>
      <c r="K2018" s="5">
        <v>9600.0</v>
      </c>
      <c r="N2018" s="9">
        <v>44282.0</v>
      </c>
    </row>
    <row r="2019">
      <c r="A2019" s="5">
        <v>2018.0</v>
      </c>
      <c r="B2019" s="5" t="s">
        <v>2650</v>
      </c>
      <c r="C2019" s="5" t="s">
        <v>21</v>
      </c>
      <c r="N2019" s="9">
        <v>44529.0</v>
      </c>
    </row>
    <row r="2020">
      <c r="A2020" s="5">
        <v>2019.0</v>
      </c>
      <c r="B2020" s="5" t="s">
        <v>2651</v>
      </c>
      <c r="C2020" s="5" t="s">
        <v>21</v>
      </c>
      <c r="K2020" s="5">
        <v>800.0</v>
      </c>
      <c r="N2020" s="9">
        <v>44593.0</v>
      </c>
    </row>
    <row r="2021">
      <c r="A2021" s="5">
        <v>2020.0</v>
      </c>
      <c r="B2021" s="5" t="s">
        <v>2652</v>
      </c>
      <c r="C2021" s="5" t="s">
        <v>21</v>
      </c>
      <c r="K2021" s="5">
        <v>2500.0</v>
      </c>
      <c r="N2021" s="9">
        <v>44365.0</v>
      </c>
    </row>
    <row r="2022">
      <c r="A2022" s="5">
        <v>2021.0</v>
      </c>
      <c r="B2022" s="5" t="s">
        <v>2653</v>
      </c>
      <c r="C2022" s="5" t="s">
        <v>21</v>
      </c>
      <c r="K2022" s="5">
        <v>250.0</v>
      </c>
      <c r="N2022" s="9">
        <v>44328.0</v>
      </c>
    </row>
    <row r="2023">
      <c r="A2023" s="5">
        <v>2022.0</v>
      </c>
      <c r="B2023" s="5" t="s">
        <v>2654</v>
      </c>
      <c r="C2023" s="5" t="s">
        <v>21</v>
      </c>
      <c r="K2023" s="5">
        <v>200.0</v>
      </c>
      <c r="N2023" s="9">
        <v>44512.0</v>
      </c>
    </row>
    <row r="2024">
      <c r="A2024" s="5">
        <v>2023.0</v>
      </c>
      <c r="B2024" s="5" t="s">
        <v>2655</v>
      </c>
      <c r="C2024" s="5" t="s">
        <v>21</v>
      </c>
      <c r="K2024" s="5">
        <v>600.0</v>
      </c>
      <c r="N2024" s="9">
        <v>44508.0</v>
      </c>
    </row>
    <row r="2025">
      <c r="A2025" s="5">
        <v>2024.0</v>
      </c>
      <c r="B2025" s="5" t="s">
        <v>2656</v>
      </c>
      <c r="C2025" s="5" t="s">
        <v>21</v>
      </c>
      <c r="K2025" s="5">
        <v>80.0</v>
      </c>
      <c r="N2025" s="9">
        <v>44916.0</v>
      </c>
    </row>
    <row r="2026">
      <c r="A2026" s="5">
        <v>2025.0</v>
      </c>
      <c r="B2026" s="5" t="s">
        <v>2657</v>
      </c>
      <c r="C2026" s="5" t="s">
        <v>21</v>
      </c>
      <c r="K2026" s="5">
        <v>700.0</v>
      </c>
      <c r="N2026" s="9">
        <v>44556.0</v>
      </c>
    </row>
    <row r="2027">
      <c r="A2027" s="5">
        <v>2026.0</v>
      </c>
      <c r="B2027" s="5" t="s">
        <v>2658</v>
      </c>
      <c r="C2027" s="5" t="s">
        <v>21</v>
      </c>
      <c r="K2027" s="5">
        <v>450.0</v>
      </c>
      <c r="N2027" s="9">
        <v>44817.0</v>
      </c>
    </row>
    <row r="2028">
      <c r="A2028" s="5">
        <v>2027.0</v>
      </c>
      <c r="B2028" s="5" t="s">
        <v>2659</v>
      </c>
      <c r="C2028" s="5" t="s">
        <v>21</v>
      </c>
      <c r="K2028" s="5">
        <v>350.0</v>
      </c>
      <c r="N2028" s="9">
        <v>44382.0</v>
      </c>
    </row>
    <row r="2029">
      <c r="A2029" s="5">
        <v>2028.0</v>
      </c>
      <c r="B2029" s="5" t="s">
        <v>2660</v>
      </c>
      <c r="C2029" s="5" t="s">
        <v>21</v>
      </c>
      <c r="K2029" s="5">
        <v>2000.0</v>
      </c>
      <c r="N2029" s="9">
        <v>45159.0</v>
      </c>
    </row>
    <row r="2030">
      <c r="A2030" s="5">
        <v>2029.0</v>
      </c>
      <c r="B2030" s="5" t="s">
        <v>2661</v>
      </c>
      <c r="C2030" s="5" t="s">
        <v>21</v>
      </c>
      <c r="K2030" s="5">
        <v>300.0</v>
      </c>
      <c r="N2030" s="9">
        <v>44392.0</v>
      </c>
    </row>
    <row r="2031">
      <c r="A2031" s="5">
        <v>2030.0</v>
      </c>
      <c r="B2031" s="5" t="s">
        <v>2662</v>
      </c>
      <c r="C2031" s="5" t="s">
        <v>21</v>
      </c>
      <c r="K2031" s="5">
        <v>80.0</v>
      </c>
      <c r="N2031" s="9">
        <v>43872.0</v>
      </c>
    </row>
    <row r="2032">
      <c r="A2032" s="5">
        <v>2031.0</v>
      </c>
      <c r="B2032" s="5" t="s">
        <v>2663</v>
      </c>
      <c r="C2032" s="5" t="s">
        <v>21</v>
      </c>
      <c r="K2032" s="5">
        <v>10.0</v>
      </c>
      <c r="N2032" s="9">
        <v>44640.0</v>
      </c>
    </row>
    <row r="2033">
      <c r="A2033" s="5">
        <v>2032.0</v>
      </c>
      <c r="B2033" s="5" t="s">
        <v>2664</v>
      </c>
      <c r="C2033" s="5" t="s">
        <v>21</v>
      </c>
      <c r="N2033" s="9">
        <v>44575.0</v>
      </c>
    </row>
    <row r="2034">
      <c r="A2034" s="5">
        <v>2033.0</v>
      </c>
      <c r="B2034" s="5" t="s">
        <v>2665</v>
      </c>
      <c r="C2034" s="5" t="s">
        <v>21</v>
      </c>
      <c r="K2034" s="5">
        <v>1200.0</v>
      </c>
      <c r="N2034" s="9">
        <v>44073.0</v>
      </c>
    </row>
    <row r="2035">
      <c r="A2035" s="5">
        <v>2034.0</v>
      </c>
      <c r="B2035" s="5" t="s">
        <v>2666</v>
      </c>
      <c r="C2035" s="5" t="s">
        <v>21</v>
      </c>
      <c r="K2035" s="5">
        <v>300.0</v>
      </c>
      <c r="N2035" s="9">
        <v>45105.0</v>
      </c>
    </row>
    <row r="2036">
      <c r="A2036" s="5">
        <v>2035.0</v>
      </c>
      <c r="B2036" s="5" t="s">
        <v>2667</v>
      </c>
      <c r="C2036" s="5" t="s">
        <v>21</v>
      </c>
      <c r="K2036" s="5">
        <v>2400.0</v>
      </c>
      <c r="N2036" s="9">
        <v>45129.0</v>
      </c>
    </row>
    <row r="2037">
      <c r="A2037" s="5">
        <v>2036.0</v>
      </c>
      <c r="B2037" s="5" t="s">
        <v>2668</v>
      </c>
      <c r="C2037" s="5" t="s">
        <v>21</v>
      </c>
      <c r="K2037" s="5">
        <v>10.0</v>
      </c>
      <c r="N2037" s="9">
        <v>45096.0</v>
      </c>
    </row>
    <row r="2038">
      <c r="A2038" s="5">
        <v>2037.0</v>
      </c>
      <c r="B2038" s="5" t="s">
        <v>2669</v>
      </c>
      <c r="C2038" s="5" t="s">
        <v>21</v>
      </c>
      <c r="K2038" s="5">
        <v>300.0</v>
      </c>
      <c r="N2038" s="9">
        <v>44118.0</v>
      </c>
    </row>
    <row r="2039">
      <c r="A2039" s="5">
        <v>2038.0</v>
      </c>
      <c r="B2039" s="5" t="s">
        <v>2670</v>
      </c>
      <c r="C2039" s="5" t="s">
        <v>21</v>
      </c>
      <c r="K2039" s="5">
        <v>350.0</v>
      </c>
      <c r="N2039" s="9">
        <v>44660.0</v>
      </c>
    </row>
    <row r="2040">
      <c r="A2040" s="5">
        <v>2039.0</v>
      </c>
      <c r="B2040" s="5" t="s">
        <v>2671</v>
      </c>
      <c r="C2040" s="5" t="s">
        <v>21</v>
      </c>
      <c r="K2040" s="5">
        <v>400.0</v>
      </c>
      <c r="N2040" s="9">
        <v>44799.0</v>
      </c>
    </row>
    <row r="2041">
      <c r="A2041" s="5">
        <v>2040.0</v>
      </c>
      <c r="B2041" s="5" t="s">
        <v>2672</v>
      </c>
      <c r="C2041" s="5" t="s">
        <v>21</v>
      </c>
      <c r="K2041" s="5">
        <v>250.0</v>
      </c>
      <c r="N2041" s="9">
        <v>45058.0</v>
      </c>
    </row>
    <row r="2042">
      <c r="A2042" s="5">
        <v>2041.0</v>
      </c>
      <c r="B2042" s="5" t="s">
        <v>2673</v>
      </c>
      <c r="C2042" s="5" t="s">
        <v>21</v>
      </c>
      <c r="K2042" s="5">
        <v>20.0</v>
      </c>
      <c r="N2042" s="9">
        <v>45383.0</v>
      </c>
    </row>
    <row r="2043">
      <c r="A2043" s="5">
        <v>2042.0</v>
      </c>
      <c r="B2043" s="5" t="s">
        <v>2674</v>
      </c>
      <c r="C2043" s="5" t="s">
        <v>21</v>
      </c>
      <c r="K2043" s="5">
        <v>150.0</v>
      </c>
      <c r="N2043" s="9">
        <v>44943.0</v>
      </c>
    </row>
    <row r="2044">
      <c r="A2044" s="5">
        <v>2043.0</v>
      </c>
      <c r="B2044" s="5" t="s">
        <v>78</v>
      </c>
      <c r="C2044" s="5" t="s">
        <v>21</v>
      </c>
      <c r="K2044" s="5">
        <v>150.0</v>
      </c>
      <c r="N2044" s="9">
        <v>44390.0</v>
      </c>
    </row>
    <row r="2045">
      <c r="A2045" s="5">
        <v>2044.0</v>
      </c>
      <c r="B2045" s="5" t="s">
        <v>2675</v>
      </c>
      <c r="C2045" s="5" t="s">
        <v>21</v>
      </c>
      <c r="K2045" s="5">
        <v>50.0</v>
      </c>
      <c r="N2045" s="9">
        <v>44515.0</v>
      </c>
    </row>
    <row r="2046">
      <c r="A2046" s="5">
        <v>2045.0</v>
      </c>
      <c r="B2046" s="5" t="s">
        <v>2676</v>
      </c>
      <c r="C2046" s="5" t="s">
        <v>21</v>
      </c>
      <c r="K2046" s="5">
        <v>3800.0</v>
      </c>
      <c r="N2046" s="9">
        <v>46091.0</v>
      </c>
    </row>
    <row r="2047">
      <c r="A2047" s="5">
        <v>2046.0</v>
      </c>
      <c r="B2047" s="5" t="s">
        <v>2677</v>
      </c>
      <c r="C2047" s="5" t="s">
        <v>21</v>
      </c>
      <c r="K2047" s="5">
        <v>600.0</v>
      </c>
      <c r="N2047" s="9">
        <v>44595.0</v>
      </c>
    </row>
    <row r="2048">
      <c r="A2048" s="5">
        <v>2047.0</v>
      </c>
      <c r="B2048" s="5" t="s">
        <v>2678</v>
      </c>
      <c r="C2048" s="5" t="s">
        <v>21</v>
      </c>
      <c r="K2048" s="5">
        <v>350.0</v>
      </c>
      <c r="N2048" s="9">
        <v>44578.0</v>
      </c>
    </row>
    <row r="2049">
      <c r="A2049" s="5">
        <v>2048.0</v>
      </c>
      <c r="B2049" s="5" t="s">
        <v>2679</v>
      </c>
      <c r="C2049" s="5" t="s">
        <v>21</v>
      </c>
      <c r="K2049" s="5">
        <v>200.0</v>
      </c>
      <c r="N2049" s="9">
        <v>44629.0</v>
      </c>
    </row>
    <row r="2050">
      <c r="A2050" s="5">
        <v>2049.0</v>
      </c>
      <c r="B2050" s="5" t="s">
        <v>2680</v>
      </c>
      <c r="C2050" s="5" t="s">
        <v>21</v>
      </c>
      <c r="K2050" s="5">
        <v>1100.0</v>
      </c>
      <c r="N2050" s="9">
        <v>44575.0</v>
      </c>
    </row>
    <row r="2051">
      <c r="A2051" s="5">
        <v>2050.0</v>
      </c>
      <c r="B2051" s="5" t="s">
        <v>2681</v>
      </c>
      <c r="C2051" s="5" t="s">
        <v>21</v>
      </c>
      <c r="K2051" s="5">
        <v>100.0</v>
      </c>
      <c r="N2051" s="9">
        <v>44758.0</v>
      </c>
    </row>
    <row r="2052">
      <c r="A2052" s="5">
        <v>2051.0</v>
      </c>
      <c r="B2052" s="5" t="s">
        <v>2682</v>
      </c>
      <c r="C2052" s="5" t="s">
        <v>21</v>
      </c>
      <c r="K2052" s="5">
        <v>900.0</v>
      </c>
      <c r="N2052" s="9">
        <v>45173.0</v>
      </c>
    </row>
    <row r="2053">
      <c r="A2053" s="5">
        <v>2052.0</v>
      </c>
      <c r="B2053" s="5" t="s">
        <v>2683</v>
      </c>
      <c r="C2053" s="5" t="s">
        <v>21</v>
      </c>
      <c r="K2053" s="5">
        <v>900.0</v>
      </c>
      <c r="N2053" s="9">
        <v>45037.0</v>
      </c>
    </row>
    <row r="2054">
      <c r="A2054" s="5">
        <v>2053.0</v>
      </c>
      <c r="B2054" s="5" t="s">
        <v>2684</v>
      </c>
      <c r="C2054" s="5" t="s">
        <v>21</v>
      </c>
      <c r="K2054" s="5">
        <v>350.0</v>
      </c>
      <c r="N2054" s="9">
        <v>44612.0</v>
      </c>
    </row>
    <row r="2055">
      <c r="A2055" s="5">
        <v>2054.0</v>
      </c>
      <c r="B2055" s="5" t="s">
        <v>2685</v>
      </c>
      <c r="C2055" s="5" t="s">
        <v>21</v>
      </c>
      <c r="K2055" s="5">
        <v>300.0</v>
      </c>
      <c r="N2055" s="9">
        <v>43857.0</v>
      </c>
    </row>
    <row r="2056">
      <c r="A2056" s="5">
        <v>2055.0</v>
      </c>
      <c r="B2056" s="5" t="s">
        <v>2686</v>
      </c>
      <c r="C2056" s="5" t="s">
        <v>21</v>
      </c>
      <c r="K2056" s="5">
        <v>150.0</v>
      </c>
      <c r="N2056" s="9">
        <v>44592.0</v>
      </c>
    </row>
    <row r="2057">
      <c r="A2057" s="5">
        <v>2056.0</v>
      </c>
      <c r="B2057" s="5" t="s">
        <v>2687</v>
      </c>
      <c r="C2057" s="5" t="s">
        <v>21</v>
      </c>
      <c r="K2057" s="5">
        <v>250.0</v>
      </c>
      <c r="N2057" s="9">
        <v>44538.0</v>
      </c>
    </row>
    <row r="2058">
      <c r="A2058" s="5">
        <v>2057.0</v>
      </c>
      <c r="B2058" s="5" t="s">
        <v>2688</v>
      </c>
      <c r="C2058" s="5" t="s">
        <v>21</v>
      </c>
      <c r="K2058" s="5">
        <v>300.0</v>
      </c>
      <c r="N2058" s="9">
        <v>44521.0</v>
      </c>
    </row>
    <row r="2059">
      <c r="A2059" s="5">
        <v>2058.0</v>
      </c>
      <c r="B2059" s="5" t="s">
        <v>2689</v>
      </c>
      <c r="C2059" s="5" t="s">
        <v>21</v>
      </c>
      <c r="K2059" s="5">
        <v>1000.0</v>
      </c>
      <c r="N2059" s="9">
        <v>44673.0</v>
      </c>
    </row>
    <row r="2060">
      <c r="A2060" s="5">
        <v>2059.0</v>
      </c>
      <c r="B2060" s="5" t="s">
        <v>2690</v>
      </c>
      <c r="C2060" s="5" t="s">
        <v>21</v>
      </c>
      <c r="K2060" s="5">
        <v>300.0</v>
      </c>
      <c r="N2060" s="9">
        <v>44677.0</v>
      </c>
    </row>
    <row r="2061">
      <c r="A2061" s="5">
        <v>2060.0</v>
      </c>
      <c r="B2061" s="5" t="s">
        <v>2691</v>
      </c>
      <c r="C2061" s="5" t="s">
        <v>21</v>
      </c>
      <c r="K2061" s="5">
        <v>350.0</v>
      </c>
      <c r="N2061" s="9">
        <v>45021.0</v>
      </c>
    </row>
    <row r="2062">
      <c r="A2062" s="5">
        <v>2061.0</v>
      </c>
      <c r="B2062" s="5" t="s">
        <v>2692</v>
      </c>
      <c r="C2062" s="5" t="s">
        <v>21</v>
      </c>
      <c r="K2062" s="5">
        <v>2200.0</v>
      </c>
      <c r="N2062" s="9">
        <v>43974.0</v>
      </c>
    </row>
    <row r="2063">
      <c r="A2063" s="5">
        <v>2062.0</v>
      </c>
      <c r="B2063" s="5" t="s">
        <v>2693</v>
      </c>
      <c r="C2063" s="5" t="s">
        <v>21</v>
      </c>
      <c r="K2063" s="5">
        <v>150.0</v>
      </c>
      <c r="N2063" s="9">
        <v>44630.0</v>
      </c>
    </row>
    <row r="2064">
      <c r="A2064" s="5">
        <v>2063.0</v>
      </c>
      <c r="B2064" s="5" t="s">
        <v>2694</v>
      </c>
      <c r="C2064" s="5" t="s">
        <v>21</v>
      </c>
      <c r="K2064" s="5">
        <v>30.0</v>
      </c>
      <c r="N2064" s="9">
        <v>44809.0</v>
      </c>
    </row>
    <row r="2065">
      <c r="A2065" s="5">
        <v>2064.0</v>
      </c>
      <c r="B2065" s="5" t="s">
        <v>2695</v>
      </c>
      <c r="C2065" s="5" t="s">
        <v>21</v>
      </c>
      <c r="K2065" s="5">
        <v>250.0</v>
      </c>
      <c r="N2065" s="9">
        <v>44915.0</v>
      </c>
    </row>
    <row r="2066">
      <c r="A2066" s="5">
        <v>2065.0</v>
      </c>
      <c r="B2066" s="5" t="s">
        <v>2696</v>
      </c>
      <c r="C2066" s="5" t="s">
        <v>21</v>
      </c>
      <c r="K2066" s="5">
        <v>60.0</v>
      </c>
      <c r="N2066" s="9">
        <v>45224.0</v>
      </c>
    </row>
    <row r="2067">
      <c r="A2067" s="5">
        <v>2066.0</v>
      </c>
      <c r="B2067" s="5" t="s">
        <v>2697</v>
      </c>
      <c r="C2067" s="5" t="s">
        <v>21</v>
      </c>
      <c r="K2067" s="5">
        <v>90.0</v>
      </c>
      <c r="N2067" s="9">
        <v>44208.0</v>
      </c>
    </row>
    <row r="2068">
      <c r="A2068" s="5">
        <v>2067.0</v>
      </c>
      <c r="B2068" s="5" t="s">
        <v>2698</v>
      </c>
      <c r="C2068" s="5" t="s">
        <v>21</v>
      </c>
      <c r="K2068" s="5">
        <v>150.0</v>
      </c>
      <c r="N2068" s="9">
        <v>44864.0</v>
      </c>
    </row>
    <row r="2069">
      <c r="A2069" s="5">
        <v>2068.0</v>
      </c>
      <c r="B2069" s="5" t="s">
        <v>2699</v>
      </c>
      <c r="C2069" s="5" t="s">
        <v>21</v>
      </c>
      <c r="K2069" s="5">
        <v>30.0</v>
      </c>
      <c r="N2069" s="9">
        <v>44527.0</v>
      </c>
    </row>
    <row r="2070">
      <c r="A2070" s="5">
        <v>2069.0</v>
      </c>
      <c r="B2070" s="5" t="s">
        <v>2700</v>
      </c>
      <c r="C2070" s="5" t="s">
        <v>21</v>
      </c>
      <c r="K2070" s="5">
        <v>200.0</v>
      </c>
      <c r="N2070" s="9">
        <v>44618.0</v>
      </c>
    </row>
    <row r="2071">
      <c r="A2071" s="5">
        <v>2070.0</v>
      </c>
      <c r="B2071" s="5" t="s">
        <v>2701</v>
      </c>
      <c r="C2071" s="5" t="s">
        <v>21</v>
      </c>
      <c r="K2071" s="5">
        <v>300.0</v>
      </c>
      <c r="N2071" s="9">
        <v>44564.0</v>
      </c>
    </row>
    <row r="2072">
      <c r="A2072" s="5">
        <v>2071.0</v>
      </c>
      <c r="B2072" s="5" t="s">
        <v>2702</v>
      </c>
      <c r="C2072" s="5" t="s">
        <v>21</v>
      </c>
      <c r="K2072" s="5">
        <v>200.0</v>
      </c>
      <c r="N2072" s="9">
        <v>44738.0</v>
      </c>
    </row>
    <row r="2073">
      <c r="A2073" s="5">
        <v>2072.0</v>
      </c>
      <c r="B2073" s="5" t="s">
        <v>2703</v>
      </c>
      <c r="C2073" s="5" t="s">
        <v>21</v>
      </c>
      <c r="K2073" s="5">
        <v>250.0</v>
      </c>
      <c r="N2073" s="9">
        <v>44702.0</v>
      </c>
    </row>
    <row r="2074">
      <c r="A2074" s="5">
        <v>2073.0</v>
      </c>
      <c r="B2074" s="5" t="s">
        <v>2704</v>
      </c>
      <c r="C2074" s="5" t="s">
        <v>21</v>
      </c>
      <c r="K2074" s="5">
        <v>700.0</v>
      </c>
      <c r="N2074" s="9">
        <v>45211.0</v>
      </c>
    </row>
    <row r="2075">
      <c r="A2075" s="5">
        <v>2074.0</v>
      </c>
      <c r="B2075" s="5" t="s">
        <v>2705</v>
      </c>
      <c r="C2075" s="5" t="s">
        <v>21</v>
      </c>
      <c r="K2075" s="5">
        <v>800.0</v>
      </c>
      <c r="N2075" s="9">
        <v>44725.0</v>
      </c>
    </row>
    <row r="2076">
      <c r="A2076" s="5">
        <v>2075.0</v>
      </c>
      <c r="B2076" s="5" t="s">
        <v>2706</v>
      </c>
      <c r="C2076" s="5" t="s">
        <v>21</v>
      </c>
      <c r="K2076" s="5">
        <v>900.0</v>
      </c>
      <c r="N2076" s="9">
        <v>44004.0</v>
      </c>
    </row>
    <row r="2077">
      <c r="A2077" s="5">
        <v>2076.0</v>
      </c>
      <c r="B2077" s="5" t="s">
        <v>2707</v>
      </c>
      <c r="C2077" s="5" t="s">
        <v>21</v>
      </c>
      <c r="K2077" s="5">
        <v>450.0</v>
      </c>
      <c r="N2077" s="9">
        <v>44334.0</v>
      </c>
    </row>
    <row r="2078">
      <c r="A2078" s="5">
        <v>2077.0</v>
      </c>
      <c r="B2078" s="5" t="s">
        <v>2708</v>
      </c>
      <c r="C2078" s="5" t="s">
        <v>21</v>
      </c>
      <c r="K2078" s="5">
        <v>700.0</v>
      </c>
      <c r="N2078" s="9">
        <v>44402.0</v>
      </c>
    </row>
    <row r="2079">
      <c r="A2079" s="5">
        <v>2078.0</v>
      </c>
      <c r="B2079" s="5" t="s">
        <v>2709</v>
      </c>
      <c r="C2079" s="5" t="s">
        <v>21</v>
      </c>
      <c r="K2079" s="5">
        <v>1000.0</v>
      </c>
      <c r="N2079" s="9">
        <v>42997.0</v>
      </c>
    </row>
    <row r="2080">
      <c r="A2080" s="5">
        <v>2079.0</v>
      </c>
      <c r="B2080" s="5" t="s">
        <v>2710</v>
      </c>
      <c r="C2080" s="5" t="s">
        <v>21</v>
      </c>
      <c r="K2080" s="5">
        <v>450.0</v>
      </c>
      <c r="N2080" s="9">
        <v>44558.0</v>
      </c>
    </row>
    <row r="2081">
      <c r="A2081" s="5">
        <v>2080.0</v>
      </c>
      <c r="B2081" s="5" t="s">
        <v>2711</v>
      </c>
      <c r="C2081" s="5" t="s">
        <v>21</v>
      </c>
      <c r="K2081" s="5">
        <v>200.0</v>
      </c>
      <c r="N2081" s="9">
        <v>44462.0</v>
      </c>
    </row>
    <row r="2082">
      <c r="A2082" s="5">
        <v>2081.0</v>
      </c>
      <c r="B2082" s="5" t="s">
        <v>2712</v>
      </c>
      <c r="C2082" s="5" t="s">
        <v>21</v>
      </c>
      <c r="K2082" s="5">
        <v>1700.0</v>
      </c>
      <c r="N2082" s="9">
        <v>44026.0</v>
      </c>
    </row>
    <row r="2083">
      <c r="A2083" s="5">
        <v>2082.0</v>
      </c>
      <c r="B2083" s="5" t="s">
        <v>2713</v>
      </c>
      <c r="C2083" s="5" t="s">
        <v>21</v>
      </c>
      <c r="K2083" s="5">
        <v>150.0</v>
      </c>
      <c r="N2083" s="9">
        <v>44133.0</v>
      </c>
    </row>
    <row r="2084">
      <c r="A2084" s="5">
        <v>2083.0</v>
      </c>
      <c r="B2084" s="5" t="s">
        <v>2714</v>
      </c>
      <c r="C2084" s="5" t="s">
        <v>21</v>
      </c>
      <c r="K2084" s="5">
        <v>10.0</v>
      </c>
      <c r="N2084" s="9">
        <v>44726.0</v>
      </c>
    </row>
    <row r="2085">
      <c r="A2085" s="5">
        <v>2084.0</v>
      </c>
      <c r="B2085" s="5" t="s">
        <v>2715</v>
      </c>
      <c r="C2085" s="5" t="s">
        <v>21</v>
      </c>
      <c r="K2085" s="5">
        <v>150.0</v>
      </c>
      <c r="N2085" s="9">
        <v>44727.0</v>
      </c>
    </row>
    <row r="2086">
      <c r="A2086" s="5">
        <v>2085.0</v>
      </c>
      <c r="B2086" s="5" t="s">
        <v>2716</v>
      </c>
      <c r="C2086" s="5" t="s">
        <v>21</v>
      </c>
      <c r="K2086" s="5">
        <v>20.0</v>
      </c>
      <c r="N2086" s="9">
        <v>44009.0</v>
      </c>
    </row>
    <row r="2087">
      <c r="A2087" s="5">
        <v>2086.0</v>
      </c>
      <c r="B2087" s="5" t="s">
        <v>2717</v>
      </c>
      <c r="C2087" s="5" t="s">
        <v>21</v>
      </c>
      <c r="K2087" s="5">
        <v>200.0</v>
      </c>
      <c r="N2087" s="9">
        <v>44361.0</v>
      </c>
    </row>
    <row r="2088">
      <c r="A2088" s="5">
        <v>2087.0</v>
      </c>
      <c r="B2088" s="5" t="s">
        <v>2718</v>
      </c>
      <c r="C2088" s="5" t="s">
        <v>21</v>
      </c>
      <c r="K2088" s="5">
        <v>1100.0</v>
      </c>
      <c r="N2088" s="9">
        <v>44563.0</v>
      </c>
    </row>
    <row r="2089">
      <c r="A2089" s="5">
        <v>2088.0</v>
      </c>
      <c r="B2089" s="5" t="s">
        <v>2719</v>
      </c>
      <c r="C2089" s="5" t="s">
        <v>21</v>
      </c>
      <c r="K2089" s="5">
        <v>1100.0</v>
      </c>
      <c r="N2089" s="9">
        <v>44076.0</v>
      </c>
    </row>
    <row r="2090">
      <c r="A2090" s="5">
        <v>2089.0</v>
      </c>
      <c r="B2090" s="5" t="s">
        <v>2720</v>
      </c>
      <c r="C2090" s="5" t="s">
        <v>21</v>
      </c>
      <c r="K2090" s="5">
        <v>300.0</v>
      </c>
      <c r="N2090" s="9">
        <v>44565.0</v>
      </c>
    </row>
    <row r="2091">
      <c r="A2091" s="5">
        <v>2090.0</v>
      </c>
      <c r="B2091" s="5" t="s">
        <v>2721</v>
      </c>
      <c r="C2091" s="5" t="s">
        <v>21</v>
      </c>
      <c r="K2091" s="5">
        <v>10.0</v>
      </c>
      <c r="N2091" s="9">
        <v>44843.0</v>
      </c>
    </row>
    <row r="2092">
      <c r="A2092" s="5">
        <v>2091.0</v>
      </c>
      <c r="B2092" s="5" t="s">
        <v>2722</v>
      </c>
      <c r="C2092" s="5" t="s">
        <v>21</v>
      </c>
      <c r="K2092" s="5">
        <v>500.0</v>
      </c>
      <c r="N2092" s="9">
        <v>44644.0</v>
      </c>
    </row>
    <row r="2093">
      <c r="A2093" s="5">
        <v>2092.0</v>
      </c>
      <c r="B2093" s="5" t="s">
        <v>2723</v>
      </c>
      <c r="C2093" s="5" t="s">
        <v>21</v>
      </c>
      <c r="K2093" s="5">
        <v>100.0</v>
      </c>
      <c r="N2093" s="9">
        <v>45439.0</v>
      </c>
    </row>
    <row r="2094">
      <c r="A2094" s="5">
        <v>2093.0</v>
      </c>
      <c r="B2094" s="5" t="s">
        <v>2724</v>
      </c>
      <c r="C2094" s="5" t="s">
        <v>21</v>
      </c>
      <c r="K2094" s="5">
        <v>10.0</v>
      </c>
      <c r="N2094" s="9">
        <v>44573.0</v>
      </c>
    </row>
    <row r="2095">
      <c r="A2095" s="5">
        <v>2094.0</v>
      </c>
      <c r="B2095" s="5" t="s">
        <v>2725</v>
      </c>
      <c r="C2095" s="5" t="s">
        <v>21</v>
      </c>
      <c r="K2095" s="5">
        <v>200.0</v>
      </c>
      <c r="N2095" s="9">
        <v>43903.0</v>
      </c>
    </row>
    <row r="2096">
      <c r="A2096" s="5">
        <v>2095.0</v>
      </c>
      <c r="B2096" s="5" t="s">
        <v>2726</v>
      </c>
      <c r="C2096" s="5" t="s">
        <v>21</v>
      </c>
      <c r="K2096" s="5">
        <v>350.0</v>
      </c>
      <c r="N2096" s="9">
        <v>44053.0</v>
      </c>
    </row>
    <row r="2097">
      <c r="A2097" s="5">
        <v>2096.0</v>
      </c>
      <c r="B2097" s="5" t="s">
        <v>2727</v>
      </c>
      <c r="C2097" s="5" t="s">
        <v>21</v>
      </c>
      <c r="K2097" s="5">
        <v>900.0</v>
      </c>
      <c r="N2097" s="9">
        <v>45500.0</v>
      </c>
    </row>
    <row r="2098">
      <c r="A2098" s="5">
        <v>2097.0</v>
      </c>
      <c r="B2098" s="5" t="s">
        <v>2728</v>
      </c>
      <c r="C2098" s="5" t="s">
        <v>21</v>
      </c>
      <c r="K2098" s="5">
        <v>200.0</v>
      </c>
      <c r="N2098" s="9">
        <v>44860.0</v>
      </c>
    </row>
    <row r="2099">
      <c r="A2099" s="5">
        <v>2098.0</v>
      </c>
      <c r="B2099" s="5" t="s">
        <v>2729</v>
      </c>
      <c r="C2099" s="5" t="s">
        <v>21</v>
      </c>
      <c r="K2099" s="5">
        <v>150.0</v>
      </c>
      <c r="N2099" s="9">
        <v>44518.0</v>
      </c>
    </row>
    <row r="2100">
      <c r="A2100" s="5">
        <v>2099.0</v>
      </c>
      <c r="B2100" s="5" t="s">
        <v>2730</v>
      </c>
      <c r="C2100" s="5" t="s">
        <v>21</v>
      </c>
      <c r="K2100" s="5">
        <v>150.0</v>
      </c>
      <c r="N2100" s="9">
        <v>45478.0</v>
      </c>
    </row>
    <row r="2101">
      <c r="A2101" s="5">
        <v>2100.0</v>
      </c>
      <c r="B2101" s="5" t="s">
        <v>2731</v>
      </c>
      <c r="C2101" s="5" t="s">
        <v>21</v>
      </c>
      <c r="K2101" s="5">
        <v>100.0</v>
      </c>
      <c r="N2101" s="9">
        <v>44603.0</v>
      </c>
    </row>
    <row r="2102">
      <c r="A2102" s="5">
        <v>2101.0</v>
      </c>
      <c r="B2102" s="5" t="s">
        <v>2732</v>
      </c>
      <c r="C2102" s="5" t="s">
        <v>21</v>
      </c>
      <c r="K2102" s="5">
        <v>200.0</v>
      </c>
      <c r="N2102" s="9">
        <v>44752.0</v>
      </c>
    </row>
    <row r="2103">
      <c r="A2103" s="5">
        <v>2102.0</v>
      </c>
      <c r="B2103" s="5" t="s">
        <v>2733</v>
      </c>
      <c r="C2103" s="5" t="s">
        <v>21</v>
      </c>
      <c r="K2103" s="5">
        <v>300.0</v>
      </c>
      <c r="N2103" s="9">
        <v>43981.0</v>
      </c>
    </row>
    <row r="2104">
      <c r="A2104" s="5">
        <v>2103.0</v>
      </c>
      <c r="B2104" s="5" t="s">
        <v>2734</v>
      </c>
      <c r="C2104" s="5" t="s">
        <v>21</v>
      </c>
      <c r="K2104" s="5">
        <v>2100.0</v>
      </c>
      <c r="N2104" s="9">
        <v>44596.0</v>
      </c>
    </row>
    <row r="2105">
      <c r="A2105" s="5">
        <v>2104.0</v>
      </c>
      <c r="B2105" s="5" t="s">
        <v>2735</v>
      </c>
      <c r="C2105" s="5" t="s">
        <v>21</v>
      </c>
      <c r="K2105" s="5">
        <v>250.0</v>
      </c>
      <c r="N2105" s="9">
        <v>44972.0</v>
      </c>
    </row>
    <row r="2106">
      <c r="A2106" s="5">
        <v>2105.0</v>
      </c>
      <c r="B2106" s="5" t="s">
        <v>2736</v>
      </c>
      <c r="C2106" s="5" t="s">
        <v>21</v>
      </c>
      <c r="K2106" s="5">
        <v>2900.0</v>
      </c>
      <c r="N2106" s="9">
        <v>43860.0</v>
      </c>
    </row>
    <row r="2107">
      <c r="A2107" s="5">
        <v>2106.0</v>
      </c>
      <c r="B2107" s="5" t="s">
        <v>2737</v>
      </c>
      <c r="C2107" s="5" t="s">
        <v>21</v>
      </c>
      <c r="K2107" s="5">
        <v>2100.0</v>
      </c>
      <c r="N2107" s="9">
        <v>44584.0</v>
      </c>
    </row>
    <row r="2108">
      <c r="A2108" s="5">
        <v>2107.0</v>
      </c>
      <c r="B2108" s="5" t="s">
        <v>2738</v>
      </c>
      <c r="C2108" s="5" t="s">
        <v>21</v>
      </c>
      <c r="K2108" s="5">
        <v>2200.0</v>
      </c>
      <c r="N2108" s="9">
        <v>43867.0</v>
      </c>
    </row>
    <row r="2109">
      <c r="A2109" s="5">
        <v>2108.0</v>
      </c>
      <c r="B2109" s="5" t="s">
        <v>2739</v>
      </c>
      <c r="C2109" s="5" t="s">
        <v>21</v>
      </c>
      <c r="K2109" s="5">
        <v>3500.0</v>
      </c>
      <c r="N2109" s="9">
        <v>42516.0</v>
      </c>
    </row>
    <row r="2110">
      <c r="A2110" s="5">
        <v>2109.0</v>
      </c>
      <c r="B2110" s="5" t="s">
        <v>2740</v>
      </c>
      <c r="C2110" s="5" t="s">
        <v>21</v>
      </c>
      <c r="K2110" s="5">
        <v>800.0</v>
      </c>
      <c r="N2110" s="9">
        <v>44551.0</v>
      </c>
    </row>
    <row r="2111">
      <c r="A2111" s="5">
        <v>2110.0</v>
      </c>
      <c r="B2111" s="5" t="s">
        <v>2741</v>
      </c>
      <c r="C2111" s="5" t="s">
        <v>21</v>
      </c>
      <c r="K2111" s="5">
        <v>150.0</v>
      </c>
      <c r="N2111" s="9">
        <v>44699.0</v>
      </c>
    </row>
    <row r="2112">
      <c r="A2112" s="5">
        <v>2111.0</v>
      </c>
      <c r="B2112" s="5" t="s">
        <v>2742</v>
      </c>
      <c r="C2112" s="5" t="s">
        <v>21</v>
      </c>
      <c r="K2112" s="5">
        <v>2100.0</v>
      </c>
      <c r="N2112" s="9">
        <v>44608.0</v>
      </c>
    </row>
    <row r="2113">
      <c r="A2113" s="5">
        <v>2112.0</v>
      </c>
      <c r="B2113" s="5" t="s">
        <v>2743</v>
      </c>
      <c r="C2113" s="5" t="s">
        <v>21</v>
      </c>
      <c r="K2113" s="5">
        <v>1200.0</v>
      </c>
      <c r="N2113" s="9">
        <v>44194.0</v>
      </c>
    </row>
    <row r="2114">
      <c r="A2114" s="5">
        <v>2113.0</v>
      </c>
      <c r="B2114" s="5" t="s">
        <v>2744</v>
      </c>
      <c r="C2114" s="5" t="s">
        <v>21</v>
      </c>
      <c r="K2114" s="5">
        <v>450.0</v>
      </c>
      <c r="N2114" s="9">
        <v>44223.0</v>
      </c>
    </row>
    <row r="2115">
      <c r="A2115" s="5">
        <v>2114.0</v>
      </c>
      <c r="B2115" s="5" t="s">
        <v>2745</v>
      </c>
      <c r="C2115" s="5" t="s">
        <v>21</v>
      </c>
      <c r="K2115" s="5">
        <v>400.0</v>
      </c>
      <c r="N2115" s="9">
        <v>44832.0</v>
      </c>
    </row>
    <row r="2116">
      <c r="A2116" s="5">
        <v>2115.0</v>
      </c>
      <c r="B2116" s="5" t="s">
        <v>2746</v>
      </c>
      <c r="C2116" s="5" t="s">
        <v>21</v>
      </c>
      <c r="K2116" s="5">
        <v>250.0</v>
      </c>
      <c r="N2116" s="9">
        <v>44710.0</v>
      </c>
    </row>
    <row r="2117">
      <c r="A2117" s="5">
        <v>2116.0</v>
      </c>
      <c r="B2117" s="5" t="s">
        <v>2747</v>
      </c>
      <c r="C2117" s="5" t="s">
        <v>21</v>
      </c>
      <c r="K2117" s="5">
        <v>500.0</v>
      </c>
      <c r="N2117" s="9">
        <v>45564.0</v>
      </c>
    </row>
    <row r="2118">
      <c r="A2118" s="5">
        <v>2117.0</v>
      </c>
      <c r="B2118" s="5" t="s">
        <v>2748</v>
      </c>
      <c r="C2118" s="5" t="s">
        <v>21</v>
      </c>
      <c r="K2118" s="5">
        <v>10.0</v>
      </c>
      <c r="N2118" s="9">
        <v>45573.0</v>
      </c>
    </row>
    <row r="2119">
      <c r="A2119" s="5">
        <v>2118.0</v>
      </c>
      <c r="B2119" s="5" t="s">
        <v>2749</v>
      </c>
      <c r="C2119" s="5" t="s">
        <v>21</v>
      </c>
      <c r="K2119" s="5">
        <v>50.0</v>
      </c>
      <c r="N2119" s="9">
        <v>45749.0</v>
      </c>
    </row>
    <row r="2120">
      <c r="A2120" s="5">
        <v>2119.0</v>
      </c>
      <c r="B2120" s="5" t="s">
        <v>2750</v>
      </c>
      <c r="C2120" s="5" t="s">
        <v>21</v>
      </c>
      <c r="K2120" s="5">
        <v>30.0</v>
      </c>
      <c r="N2120" s="9">
        <v>44382.0</v>
      </c>
    </row>
    <row r="2121">
      <c r="A2121" s="5">
        <v>2120.0</v>
      </c>
      <c r="B2121" s="5" t="s">
        <v>2751</v>
      </c>
      <c r="C2121" s="5" t="s">
        <v>21</v>
      </c>
      <c r="K2121" s="5">
        <v>90.0</v>
      </c>
      <c r="N2121" s="9">
        <v>43112.0</v>
      </c>
    </row>
    <row r="2122">
      <c r="A2122" s="5">
        <v>2121.0</v>
      </c>
      <c r="B2122" s="5" t="s">
        <v>2752</v>
      </c>
      <c r="C2122" s="5" t="s">
        <v>21</v>
      </c>
      <c r="N2122" s="9">
        <v>43926.0</v>
      </c>
    </row>
    <row r="2123">
      <c r="A2123" s="5">
        <v>2122.0</v>
      </c>
      <c r="B2123" s="5" t="s">
        <v>2753</v>
      </c>
      <c r="C2123" s="5" t="s">
        <v>21</v>
      </c>
      <c r="K2123" s="5">
        <v>40.0</v>
      </c>
      <c r="N2123" s="9">
        <v>45102.0</v>
      </c>
    </row>
    <row r="2124">
      <c r="A2124" s="5">
        <v>2123.0</v>
      </c>
      <c r="B2124" s="5" t="s">
        <v>2754</v>
      </c>
      <c r="C2124" s="5" t="s">
        <v>21</v>
      </c>
      <c r="K2124" s="5">
        <v>1100.0</v>
      </c>
      <c r="N2124" s="9">
        <v>45707.0</v>
      </c>
    </row>
    <row r="2125">
      <c r="A2125" s="5">
        <v>2124.0</v>
      </c>
      <c r="B2125" s="5" t="s">
        <v>2755</v>
      </c>
      <c r="C2125" s="5" t="s">
        <v>21</v>
      </c>
      <c r="K2125" s="5">
        <v>2200.0</v>
      </c>
      <c r="N2125" s="9">
        <v>44712.0</v>
      </c>
    </row>
    <row r="2126">
      <c r="A2126" s="5">
        <v>2125.0</v>
      </c>
      <c r="B2126" s="5" t="s">
        <v>2756</v>
      </c>
      <c r="C2126" s="5" t="s">
        <v>21</v>
      </c>
      <c r="K2126" s="5">
        <v>300.0</v>
      </c>
      <c r="N2126" s="9">
        <v>44774.0</v>
      </c>
    </row>
    <row r="2127">
      <c r="A2127" s="5">
        <v>2126.0</v>
      </c>
      <c r="B2127" s="5" t="s">
        <v>2757</v>
      </c>
      <c r="C2127" s="5" t="s">
        <v>21</v>
      </c>
      <c r="K2127" s="5">
        <v>100.0</v>
      </c>
      <c r="N2127" s="9">
        <v>44859.0</v>
      </c>
    </row>
    <row r="2128">
      <c r="A2128" s="5">
        <v>2127.0</v>
      </c>
      <c r="B2128" s="5" t="s">
        <v>2758</v>
      </c>
      <c r="C2128" s="5" t="s">
        <v>21</v>
      </c>
      <c r="K2128" s="5">
        <v>450.0</v>
      </c>
      <c r="N2128" s="9">
        <v>44619.0</v>
      </c>
    </row>
    <row r="2129">
      <c r="A2129" s="5">
        <v>2128.0</v>
      </c>
      <c r="B2129" s="5" t="s">
        <v>2759</v>
      </c>
      <c r="C2129" s="5" t="s">
        <v>21</v>
      </c>
      <c r="K2129" s="5">
        <v>2100.0</v>
      </c>
      <c r="N2129" s="9">
        <v>44051.0</v>
      </c>
    </row>
    <row r="2130">
      <c r="A2130" s="5">
        <v>2129.0</v>
      </c>
      <c r="B2130" s="5" t="s">
        <v>2760</v>
      </c>
      <c r="C2130" s="5" t="s">
        <v>21</v>
      </c>
      <c r="K2130" s="5">
        <v>2400.0</v>
      </c>
      <c r="N2130" s="9">
        <v>43880.0</v>
      </c>
    </row>
    <row r="2131">
      <c r="A2131" s="5">
        <v>2130.0</v>
      </c>
      <c r="B2131" s="5" t="s">
        <v>2761</v>
      </c>
      <c r="C2131" s="5" t="s">
        <v>21</v>
      </c>
      <c r="K2131" s="5">
        <v>600.0</v>
      </c>
      <c r="N2131" s="9">
        <v>44022.0</v>
      </c>
    </row>
    <row r="2132">
      <c r="A2132" s="5">
        <v>2131.0</v>
      </c>
      <c r="B2132" s="5" t="s">
        <v>2762</v>
      </c>
      <c r="C2132" s="5" t="s">
        <v>21</v>
      </c>
      <c r="K2132" s="5">
        <v>150.0</v>
      </c>
      <c r="N2132" s="9">
        <v>45198.0</v>
      </c>
    </row>
    <row r="2133">
      <c r="A2133" s="5">
        <v>2132.0</v>
      </c>
      <c r="B2133" s="5" t="s">
        <v>2763</v>
      </c>
      <c r="C2133" s="5" t="s">
        <v>21</v>
      </c>
      <c r="K2133" s="5">
        <v>100.0</v>
      </c>
      <c r="N2133" s="9">
        <v>44308.0</v>
      </c>
    </row>
    <row r="2134">
      <c r="A2134" s="5">
        <v>2133.0</v>
      </c>
      <c r="B2134" s="5" t="s">
        <v>2764</v>
      </c>
      <c r="C2134" s="5" t="s">
        <v>21</v>
      </c>
      <c r="K2134" s="5">
        <v>450.0</v>
      </c>
      <c r="N2134" s="9">
        <v>45194.0</v>
      </c>
    </row>
    <row r="2135">
      <c r="A2135" s="5">
        <v>2134.0</v>
      </c>
      <c r="B2135" s="5" t="s">
        <v>2765</v>
      </c>
      <c r="C2135" s="5" t="s">
        <v>21</v>
      </c>
      <c r="K2135" s="5">
        <v>40.0</v>
      </c>
      <c r="N2135" s="9">
        <v>44430.0</v>
      </c>
    </row>
    <row r="2136">
      <c r="A2136" s="5">
        <v>2135.0</v>
      </c>
      <c r="B2136" s="5" t="s">
        <v>2766</v>
      </c>
      <c r="C2136" s="5" t="s">
        <v>21</v>
      </c>
      <c r="K2136" s="5">
        <v>12000.0</v>
      </c>
      <c r="N2136" s="9">
        <v>44594.0</v>
      </c>
    </row>
    <row r="2137">
      <c r="A2137" s="5">
        <v>2136.0</v>
      </c>
      <c r="B2137" s="5" t="s">
        <v>2767</v>
      </c>
      <c r="C2137" s="5" t="s">
        <v>21</v>
      </c>
      <c r="K2137" s="5">
        <v>5400.0</v>
      </c>
      <c r="N2137" s="9">
        <v>44338.0</v>
      </c>
    </row>
    <row r="2138">
      <c r="A2138" s="5">
        <v>2137.0</v>
      </c>
      <c r="B2138" s="5" t="s">
        <v>2768</v>
      </c>
      <c r="C2138" s="5" t="s">
        <v>21</v>
      </c>
      <c r="K2138" s="5">
        <v>700.0</v>
      </c>
      <c r="N2138" s="9">
        <v>44533.0</v>
      </c>
    </row>
    <row r="2139">
      <c r="A2139" s="5">
        <v>2138.0</v>
      </c>
      <c r="B2139" s="5" t="s">
        <v>2769</v>
      </c>
      <c r="C2139" s="5" t="s">
        <v>21</v>
      </c>
      <c r="K2139" s="5">
        <v>1300.0</v>
      </c>
      <c r="N2139" s="9">
        <v>44354.0</v>
      </c>
    </row>
    <row r="2140">
      <c r="A2140" s="5">
        <v>2139.0</v>
      </c>
      <c r="B2140" s="5" t="s">
        <v>2770</v>
      </c>
      <c r="C2140" s="5" t="s">
        <v>21</v>
      </c>
      <c r="K2140" s="5">
        <v>250.0</v>
      </c>
      <c r="N2140" s="9">
        <v>44719.0</v>
      </c>
    </row>
    <row r="2141">
      <c r="A2141" s="5">
        <v>2140.0</v>
      </c>
      <c r="B2141" s="5" t="s">
        <v>2771</v>
      </c>
      <c r="C2141" s="5" t="s">
        <v>21</v>
      </c>
      <c r="K2141" s="5">
        <v>2400.0</v>
      </c>
      <c r="N2141" s="9">
        <v>44535.0</v>
      </c>
    </row>
    <row r="2142">
      <c r="A2142" s="5">
        <v>2141.0</v>
      </c>
      <c r="B2142" s="5" t="s">
        <v>2772</v>
      </c>
      <c r="C2142" s="5" t="s">
        <v>21</v>
      </c>
      <c r="K2142" s="5">
        <v>1100.0</v>
      </c>
      <c r="N2142" s="9">
        <v>44023.0</v>
      </c>
    </row>
    <row r="2143">
      <c r="A2143" s="5">
        <v>2142.0</v>
      </c>
      <c r="B2143" s="5" t="s">
        <v>2773</v>
      </c>
      <c r="C2143" s="5" t="s">
        <v>21</v>
      </c>
      <c r="K2143" s="5">
        <v>200.0</v>
      </c>
      <c r="N2143" s="9">
        <v>44756.0</v>
      </c>
    </row>
    <row r="2144">
      <c r="A2144" s="5">
        <v>2143.0</v>
      </c>
      <c r="B2144" s="5" t="s">
        <v>2774</v>
      </c>
      <c r="C2144" s="5" t="s">
        <v>21</v>
      </c>
      <c r="N2144" s="9">
        <v>44529.0</v>
      </c>
    </row>
    <row r="2145">
      <c r="A2145" s="5">
        <v>2144.0</v>
      </c>
      <c r="B2145" s="5" t="s">
        <v>2775</v>
      </c>
      <c r="C2145" s="5" t="s">
        <v>21</v>
      </c>
      <c r="K2145" s="5">
        <v>2500.0</v>
      </c>
      <c r="N2145" s="9">
        <v>44613.0</v>
      </c>
    </row>
    <row r="2146">
      <c r="A2146" s="5">
        <v>2145.0</v>
      </c>
      <c r="B2146" s="5" t="s">
        <v>2776</v>
      </c>
      <c r="C2146" s="5" t="s">
        <v>21</v>
      </c>
      <c r="K2146" s="5">
        <v>250.0</v>
      </c>
      <c r="N2146" s="9">
        <v>43995.0</v>
      </c>
    </row>
    <row r="2147">
      <c r="A2147" s="5">
        <v>2146.0</v>
      </c>
      <c r="B2147" s="5" t="s">
        <v>2777</v>
      </c>
      <c r="C2147" s="5" t="s">
        <v>21</v>
      </c>
      <c r="K2147" s="5">
        <v>1000.0</v>
      </c>
      <c r="N2147" s="9">
        <v>44176.0</v>
      </c>
    </row>
    <row r="2148">
      <c r="A2148" s="5">
        <v>2147.0</v>
      </c>
      <c r="B2148" s="5" t="s">
        <v>2778</v>
      </c>
      <c r="C2148" s="5" t="s">
        <v>21</v>
      </c>
      <c r="K2148" s="5">
        <v>200.0</v>
      </c>
      <c r="N2148" s="9">
        <v>45451.0</v>
      </c>
    </row>
    <row r="2149">
      <c r="A2149" s="5">
        <v>2148.0</v>
      </c>
      <c r="B2149" s="5" t="s">
        <v>2779</v>
      </c>
      <c r="C2149" s="5" t="s">
        <v>21</v>
      </c>
      <c r="K2149" s="5">
        <v>1800.0</v>
      </c>
      <c r="N2149" s="9">
        <v>44600.0</v>
      </c>
    </row>
    <row r="2150">
      <c r="A2150" s="5">
        <v>2149.0</v>
      </c>
      <c r="B2150" s="5" t="s">
        <v>2780</v>
      </c>
      <c r="C2150" s="5" t="s">
        <v>21</v>
      </c>
      <c r="K2150" s="5">
        <v>250.0</v>
      </c>
      <c r="N2150" s="9">
        <v>44483.0</v>
      </c>
    </row>
    <row r="2151">
      <c r="A2151" s="5">
        <v>2150.0</v>
      </c>
      <c r="B2151" s="5" t="s">
        <v>2781</v>
      </c>
      <c r="C2151" s="5" t="s">
        <v>21</v>
      </c>
      <c r="K2151" s="5">
        <v>200.0</v>
      </c>
      <c r="N2151" s="9">
        <v>45436.0</v>
      </c>
    </row>
    <row r="2152">
      <c r="A2152" s="5">
        <v>2151.0</v>
      </c>
      <c r="B2152" s="5" t="s">
        <v>2782</v>
      </c>
      <c r="C2152" s="5" t="s">
        <v>21</v>
      </c>
      <c r="K2152" s="5">
        <v>2100.0</v>
      </c>
      <c r="N2152" s="9">
        <v>43848.0</v>
      </c>
    </row>
    <row r="2153">
      <c r="A2153" s="5">
        <v>2152.0</v>
      </c>
      <c r="B2153" s="5" t="s">
        <v>2783</v>
      </c>
      <c r="C2153" s="5" t="s">
        <v>21</v>
      </c>
      <c r="K2153" s="5">
        <v>200.0</v>
      </c>
      <c r="N2153" s="9">
        <v>44458.0</v>
      </c>
    </row>
    <row r="2154">
      <c r="A2154" s="5">
        <v>2153.0</v>
      </c>
      <c r="B2154" s="5" t="s">
        <v>2784</v>
      </c>
      <c r="C2154" s="5" t="s">
        <v>21</v>
      </c>
      <c r="K2154" s="5">
        <v>3200.0</v>
      </c>
      <c r="N2154" s="9">
        <v>43911.0</v>
      </c>
    </row>
    <row r="2155">
      <c r="A2155" s="5">
        <v>2154.0</v>
      </c>
      <c r="B2155" s="5" t="s">
        <v>2785</v>
      </c>
      <c r="C2155" s="5" t="s">
        <v>21</v>
      </c>
      <c r="K2155" s="5">
        <v>200.0</v>
      </c>
      <c r="N2155" s="9">
        <v>43857.0</v>
      </c>
    </row>
    <row r="2156">
      <c r="A2156" s="5">
        <v>2155.0</v>
      </c>
      <c r="B2156" s="5" t="s">
        <v>2786</v>
      </c>
      <c r="C2156" s="5" t="s">
        <v>21</v>
      </c>
      <c r="K2156" s="5">
        <v>2100.0</v>
      </c>
      <c r="N2156" s="9">
        <v>44191.0</v>
      </c>
    </row>
    <row r="2157">
      <c r="A2157" s="5">
        <v>2156.0</v>
      </c>
      <c r="B2157" s="5" t="s">
        <v>2787</v>
      </c>
      <c r="C2157" s="5" t="s">
        <v>21</v>
      </c>
      <c r="K2157" s="5">
        <v>2600.0</v>
      </c>
      <c r="N2157" s="9">
        <v>44819.0</v>
      </c>
    </row>
    <row r="2158">
      <c r="A2158" s="5">
        <v>2157.0</v>
      </c>
      <c r="B2158" s="5" t="s">
        <v>2788</v>
      </c>
      <c r="C2158" s="5" t="s">
        <v>21</v>
      </c>
      <c r="K2158" s="5">
        <v>3100.0</v>
      </c>
      <c r="N2158" s="9">
        <v>44047.0</v>
      </c>
    </row>
    <row r="2159">
      <c r="A2159" s="5">
        <v>2158.0</v>
      </c>
      <c r="B2159" s="5" t="s">
        <v>2789</v>
      </c>
      <c r="C2159" s="5" t="s">
        <v>21</v>
      </c>
      <c r="K2159" s="5">
        <v>150.0</v>
      </c>
      <c r="N2159" s="9">
        <v>45415.0</v>
      </c>
    </row>
    <row r="2160">
      <c r="A2160" s="5">
        <v>2159.0</v>
      </c>
      <c r="B2160" s="5" t="s">
        <v>2790</v>
      </c>
      <c r="C2160" s="5" t="s">
        <v>21</v>
      </c>
      <c r="K2160" s="5">
        <v>300.0</v>
      </c>
      <c r="N2160" s="9">
        <v>44868.0</v>
      </c>
    </row>
    <row r="2161">
      <c r="A2161" s="5">
        <v>2160.0</v>
      </c>
      <c r="B2161" s="5" t="s">
        <v>2791</v>
      </c>
      <c r="C2161" s="5" t="s">
        <v>21</v>
      </c>
      <c r="K2161" s="5">
        <v>1800.0</v>
      </c>
      <c r="N2161" s="9">
        <v>44666.0</v>
      </c>
    </row>
    <row r="2162">
      <c r="A2162" s="5">
        <v>2161.0</v>
      </c>
      <c r="B2162" s="5" t="s">
        <v>2792</v>
      </c>
      <c r="C2162" s="5" t="s">
        <v>21</v>
      </c>
      <c r="K2162" s="5">
        <v>600.0</v>
      </c>
      <c r="N2162" s="9">
        <v>45228.0</v>
      </c>
    </row>
    <row r="2163">
      <c r="A2163" s="5">
        <v>2162.0</v>
      </c>
      <c r="B2163" s="5" t="s">
        <v>2793</v>
      </c>
      <c r="C2163" s="5" t="s">
        <v>21</v>
      </c>
      <c r="K2163" s="5">
        <v>200.0</v>
      </c>
      <c r="N2163" s="9">
        <v>44712.0</v>
      </c>
    </row>
    <row r="2164">
      <c r="A2164" s="5">
        <v>2163.0</v>
      </c>
      <c r="B2164" s="5" t="s">
        <v>2794</v>
      </c>
      <c r="C2164" s="5" t="s">
        <v>21</v>
      </c>
      <c r="K2164" s="5">
        <v>250.0</v>
      </c>
      <c r="N2164" s="9">
        <v>44032.0</v>
      </c>
    </row>
    <row r="2165">
      <c r="A2165" s="5">
        <v>2164.0</v>
      </c>
      <c r="B2165" s="5" t="s">
        <v>2795</v>
      </c>
      <c r="C2165" s="5" t="s">
        <v>21</v>
      </c>
      <c r="K2165" s="5">
        <v>70.0</v>
      </c>
      <c r="N2165" s="9">
        <v>45128.0</v>
      </c>
    </row>
    <row r="2166">
      <c r="A2166" s="5">
        <v>2165.0</v>
      </c>
      <c r="B2166" s="5" t="s">
        <v>2796</v>
      </c>
      <c r="C2166" s="5" t="s">
        <v>21</v>
      </c>
      <c r="K2166" s="5">
        <v>700.0</v>
      </c>
      <c r="N2166" s="9">
        <v>44588.0</v>
      </c>
    </row>
    <row r="2167">
      <c r="A2167" s="5">
        <v>2166.0</v>
      </c>
      <c r="B2167" s="5" t="s">
        <v>2797</v>
      </c>
      <c r="C2167" s="5" t="s">
        <v>21</v>
      </c>
      <c r="K2167" s="5">
        <v>300.0</v>
      </c>
      <c r="N2167" s="9">
        <v>44654.0</v>
      </c>
    </row>
    <row r="2168">
      <c r="A2168" s="5">
        <v>2167.0</v>
      </c>
      <c r="B2168" s="5" t="s">
        <v>2798</v>
      </c>
      <c r="C2168" s="5" t="s">
        <v>21</v>
      </c>
      <c r="K2168" s="5">
        <v>1800.0</v>
      </c>
      <c r="N2168" s="9">
        <v>44682.0</v>
      </c>
    </row>
    <row r="2169">
      <c r="A2169" s="5">
        <v>2168.0</v>
      </c>
      <c r="B2169" s="5" t="s">
        <v>2799</v>
      </c>
      <c r="C2169" s="5" t="s">
        <v>21</v>
      </c>
      <c r="K2169" s="5">
        <v>450.0</v>
      </c>
      <c r="N2169" s="9">
        <v>45228.0</v>
      </c>
    </row>
    <row r="2170">
      <c r="A2170" s="5">
        <v>2169.0</v>
      </c>
      <c r="B2170" s="5" t="s">
        <v>2800</v>
      </c>
      <c r="C2170" s="5" t="s">
        <v>21</v>
      </c>
      <c r="K2170" s="5">
        <v>800.0</v>
      </c>
      <c r="N2170" s="9">
        <v>44554.0</v>
      </c>
    </row>
    <row r="2171">
      <c r="A2171" s="5">
        <v>2170.0</v>
      </c>
      <c r="B2171" s="5" t="s">
        <v>2801</v>
      </c>
      <c r="C2171" s="5" t="s">
        <v>21</v>
      </c>
      <c r="K2171" s="5">
        <v>300.0</v>
      </c>
      <c r="N2171" s="9">
        <v>44247.0</v>
      </c>
    </row>
    <row r="2172">
      <c r="A2172" s="5">
        <v>2171.0</v>
      </c>
      <c r="B2172" s="5" t="s">
        <v>2802</v>
      </c>
      <c r="C2172" s="5" t="s">
        <v>21</v>
      </c>
      <c r="K2172" s="5">
        <v>350.0</v>
      </c>
      <c r="N2172" s="9">
        <v>44394.0</v>
      </c>
    </row>
    <row r="2173">
      <c r="A2173" s="5">
        <v>2172.0</v>
      </c>
      <c r="B2173" s="5" t="s">
        <v>2803</v>
      </c>
      <c r="C2173" s="5" t="s">
        <v>21</v>
      </c>
      <c r="K2173" s="5">
        <v>150.0</v>
      </c>
      <c r="N2173" s="9">
        <v>44747.0</v>
      </c>
    </row>
    <row r="2174">
      <c r="A2174" s="5">
        <v>2173.0</v>
      </c>
      <c r="B2174" s="5" t="s">
        <v>2804</v>
      </c>
      <c r="C2174" s="5" t="s">
        <v>21</v>
      </c>
      <c r="K2174" s="5">
        <v>450.0</v>
      </c>
      <c r="N2174" s="9">
        <v>45237.0</v>
      </c>
    </row>
    <row r="2175">
      <c r="A2175" s="5">
        <v>2174.0</v>
      </c>
      <c r="B2175" s="5" t="s">
        <v>2805</v>
      </c>
      <c r="C2175" s="5" t="s">
        <v>21</v>
      </c>
      <c r="K2175" s="5">
        <v>100.0</v>
      </c>
      <c r="N2175" s="9">
        <v>45457.0</v>
      </c>
    </row>
    <row r="2176">
      <c r="A2176" s="5">
        <v>2175.0</v>
      </c>
      <c r="B2176" s="5" t="s">
        <v>2806</v>
      </c>
      <c r="C2176" s="5" t="s">
        <v>21</v>
      </c>
      <c r="K2176" s="5">
        <v>250.0</v>
      </c>
      <c r="N2176" s="9">
        <v>45100.0</v>
      </c>
    </row>
    <row r="2177">
      <c r="A2177" s="5">
        <v>2176.0</v>
      </c>
      <c r="B2177" s="5" t="s">
        <v>2807</v>
      </c>
      <c r="C2177" s="5" t="s">
        <v>21</v>
      </c>
      <c r="K2177" s="5">
        <v>400.0</v>
      </c>
      <c r="N2177" s="9">
        <v>43978.0</v>
      </c>
    </row>
    <row r="2178">
      <c r="A2178" s="5">
        <v>2177.0</v>
      </c>
      <c r="B2178" s="5" t="s">
        <v>2808</v>
      </c>
      <c r="C2178" s="5" t="s">
        <v>21</v>
      </c>
      <c r="K2178" s="5">
        <v>5000.0</v>
      </c>
      <c r="N2178" s="9">
        <v>43841.0</v>
      </c>
    </row>
    <row r="2179">
      <c r="A2179" s="5">
        <v>2178.0</v>
      </c>
      <c r="B2179" s="5" t="s">
        <v>2809</v>
      </c>
      <c r="C2179" s="5" t="s">
        <v>21</v>
      </c>
      <c r="K2179" s="5">
        <v>400.0</v>
      </c>
      <c r="N2179" s="9">
        <v>44178.0</v>
      </c>
    </row>
    <row r="2180">
      <c r="A2180" s="5">
        <v>2179.0</v>
      </c>
      <c r="B2180" s="5" t="s">
        <v>2810</v>
      </c>
      <c r="C2180" s="5" t="s">
        <v>21</v>
      </c>
      <c r="K2180" s="5">
        <v>1900.0</v>
      </c>
      <c r="N2180" s="9">
        <v>44371.0</v>
      </c>
    </row>
    <row r="2181">
      <c r="A2181" s="5">
        <v>2180.0</v>
      </c>
      <c r="B2181" s="5" t="s">
        <v>2811</v>
      </c>
      <c r="C2181" s="5" t="s">
        <v>21</v>
      </c>
      <c r="K2181" s="5">
        <v>600.0</v>
      </c>
      <c r="N2181" s="9">
        <v>44531.0</v>
      </c>
    </row>
    <row r="2182">
      <c r="A2182" s="5">
        <v>2181.0</v>
      </c>
      <c r="B2182" s="5" t="s">
        <v>2812</v>
      </c>
      <c r="C2182" s="5" t="s">
        <v>21</v>
      </c>
      <c r="K2182" s="5">
        <v>150.0</v>
      </c>
      <c r="N2182" s="9">
        <v>44624.0</v>
      </c>
    </row>
    <row r="2183">
      <c r="A2183" s="5">
        <v>2182.0</v>
      </c>
      <c r="B2183" s="5" t="s">
        <v>2813</v>
      </c>
      <c r="C2183" s="5" t="s">
        <v>21</v>
      </c>
      <c r="K2183" s="5">
        <v>250.0</v>
      </c>
      <c r="N2183" s="9">
        <v>45204.0</v>
      </c>
    </row>
    <row r="2184">
      <c r="A2184" s="5">
        <v>2183.0</v>
      </c>
      <c r="B2184" s="5" t="s">
        <v>2814</v>
      </c>
      <c r="C2184" s="5" t="s">
        <v>21</v>
      </c>
      <c r="K2184" s="5">
        <v>800.0</v>
      </c>
      <c r="N2184" s="9">
        <v>44592.0</v>
      </c>
    </row>
    <row r="2185">
      <c r="A2185" s="5">
        <v>2184.0</v>
      </c>
      <c r="B2185" s="5" t="s">
        <v>2815</v>
      </c>
      <c r="C2185" s="5" t="s">
        <v>21</v>
      </c>
      <c r="K2185" s="5">
        <v>150.0</v>
      </c>
      <c r="N2185" s="9">
        <v>45144.0</v>
      </c>
    </row>
    <row r="2186">
      <c r="A2186" s="5">
        <v>2185.0</v>
      </c>
      <c r="B2186" s="5" t="s">
        <v>2816</v>
      </c>
      <c r="C2186" s="5" t="s">
        <v>21</v>
      </c>
      <c r="K2186" s="5">
        <v>400.0</v>
      </c>
      <c r="N2186" s="9">
        <v>44647.0</v>
      </c>
    </row>
    <row r="2187">
      <c r="A2187" s="5">
        <v>2186.0</v>
      </c>
      <c r="B2187" s="5" t="s">
        <v>2817</v>
      </c>
      <c r="C2187" s="5" t="s">
        <v>21</v>
      </c>
      <c r="K2187" s="5">
        <v>250.0</v>
      </c>
      <c r="N2187" s="9">
        <v>44583.0</v>
      </c>
    </row>
    <row r="2188">
      <c r="A2188" s="5">
        <v>2187.0</v>
      </c>
      <c r="B2188" s="5" t="s">
        <v>2818</v>
      </c>
      <c r="C2188" s="5" t="s">
        <v>21</v>
      </c>
      <c r="K2188" s="5">
        <v>40.0</v>
      </c>
      <c r="N2188" s="9">
        <v>44972.0</v>
      </c>
    </row>
    <row r="2189">
      <c r="A2189" s="5">
        <v>2188.0</v>
      </c>
      <c r="B2189" s="5" t="s">
        <v>80</v>
      </c>
      <c r="C2189" s="5" t="s">
        <v>21</v>
      </c>
      <c r="K2189" s="5">
        <v>300.0</v>
      </c>
      <c r="N2189" s="9">
        <v>44138.0</v>
      </c>
    </row>
    <row r="2190">
      <c r="A2190" s="5">
        <v>2189.0</v>
      </c>
      <c r="B2190" s="5" t="s">
        <v>2819</v>
      </c>
      <c r="C2190" s="5" t="s">
        <v>21</v>
      </c>
      <c r="K2190" s="5">
        <v>350.0</v>
      </c>
      <c r="N2190" s="9">
        <v>44546.0</v>
      </c>
    </row>
    <row r="2191">
      <c r="A2191" s="5">
        <v>2190.0</v>
      </c>
      <c r="B2191" s="5" t="s">
        <v>2820</v>
      </c>
      <c r="C2191" s="5" t="s">
        <v>21</v>
      </c>
      <c r="K2191" s="5">
        <v>500.0</v>
      </c>
      <c r="N2191" s="9">
        <v>44060.0</v>
      </c>
    </row>
    <row r="2192">
      <c r="A2192" s="5">
        <v>2191.0</v>
      </c>
      <c r="B2192" s="5" t="s">
        <v>2821</v>
      </c>
      <c r="C2192" s="5" t="s">
        <v>21</v>
      </c>
      <c r="K2192" s="5">
        <v>2500.0</v>
      </c>
      <c r="N2192" s="9">
        <v>43856.0</v>
      </c>
    </row>
    <row r="2193">
      <c r="A2193" s="5">
        <v>2192.0</v>
      </c>
      <c r="B2193" s="5" t="s">
        <v>2822</v>
      </c>
      <c r="C2193" s="5" t="s">
        <v>21</v>
      </c>
      <c r="K2193" s="5">
        <v>500.0</v>
      </c>
      <c r="N2193" s="9">
        <v>45635.0</v>
      </c>
    </row>
    <row r="2194">
      <c r="A2194" s="5">
        <v>2193.0</v>
      </c>
      <c r="B2194" s="5" t="s">
        <v>2823</v>
      </c>
      <c r="C2194" s="5" t="s">
        <v>21</v>
      </c>
      <c r="K2194" s="5">
        <v>70.0</v>
      </c>
      <c r="N2194" s="9">
        <v>44724.0</v>
      </c>
    </row>
    <row r="2195">
      <c r="A2195" s="5">
        <v>2194.0</v>
      </c>
      <c r="B2195" s="5" t="s">
        <v>2824</v>
      </c>
      <c r="C2195" s="5" t="s">
        <v>21</v>
      </c>
      <c r="K2195" s="5">
        <v>10.0</v>
      </c>
      <c r="N2195" s="9">
        <v>45089.0</v>
      </c>
    </row>
    <row r="2196">
      <c r="A2196" s="5">
        <v>2195.0</v>
      </c>
      <c r="B2196" s="5" t="s">
        <v>2825</v>
      </c>
      <c r="C2196" s="5" t="s">
        <v>21</v>
      </c>
      <c r="K2196" s="5">
        <v>150.0</v>
      </c>
      <c r="N2196" s="9">
        <v>44875.0</v>
      </c>
    </row>
    <row r="2197">
      <c r="A2197" s="5">
        <v>2196.0</v>
      </c>
      <c r="B2197" s="5" t="s">
        <v>2826</v>
      </c>
      <c r="C2197" s="5" t="s">
        <v>21</v>
      </c>
      <c r="K2197" s="5">
        <v>200.0</v>
      </c>
      <c r="N2197" s="9">
        <v>44568.0</v>
      </c>
    </row>
    <row r="2198">
      <c r="A2198" s="5">
        <v>2197.0</v>
      </c>
      <c r="B2198" s="5" t="s">
        <v>2827</v>
      </c>
      <c r="C2198" s="5" t="s">
        <v>21</v>
      </c>
      <c r="K2198" s="5">
        <v>500.0</v>
      </c>
      <c r="N2198" s="9">
        <v>44618.0</v>
      </c>
    </row>
    <row r="2199">
      <c r="A2199" s="5">
        <v>2198.0</v>
      </c>
      <c r="B2199" s="5" t="s">
        <v>2828</v>
      </c>
      <c r="C2199" s="5" t="s">
        <v>21</v>
      </c>
      <c r="K2199" s="5">
        <v>600.0</v>
      </c>
      <c r="N2199" s="9">
        <v>45206.0</v>
      </c>
    </row>
    <row r="2200">
      <c r="A2200" s="5">
        <v>2199.0</v>
      </c>
      <c r="B2200" s="5" t="s">
        <v>2829</v>
      </c>
      <c r="C2200" s="5" t="s">
        <v>21</v>
      </c>
      <c r="K2200" s="5">
        <v>200.0</v>
      </c>
      <c r="N2200" s="9">
        <v>44655.0</v>
      </c>
    </row>
    <row r="2201">
      <c r="A2201" s="5">
        <v>2200.0</v>
      </c>
      <c r="B2201" s="5" t="s">
        <v>2830</v>
      </c>
      <c r="C2201" s="5" t="s">
        <v>21</v>
      </c>
      <c r="K2201" s="5">
        <v>250.0</v>
      </c>
      <c r="N2201" s="9">
        <v>44548.0</v>
      </c>
    </row>
    <row r="2202">
      <c r="A2202" s="5">
        <v>2201.0</v>
      </c>
      <c r="B2202" s="5" t="s">
        <v>2831</v>
      </c>
      <c r="C2202" s="5" t="s">
        <v>21</v>
      </c>
      <c r="K2202" s="5">
        <v>900.0</v>
      </c>
      <c r="N2202" s="9">
        <v>44529.0</v>
      </c>
    </row>
    <row r="2203">
      <c r="A2203" s="5">
        <v>2202.0</v>
      </c>
      <c r="B2203" s="5" t="s">
        <v>2832</v>
      </c>
      <c r="C2203" s="5" t="s">
        <v>21</v>
      </c>
      <c r="K2203" s="5">
        <v>150.0</v>
      </c>
      <c r="N2203" s="9">
        <v>44648.0</v>
      </c>
    </row>
    <row r="2204">
      <c r="A2204" s="5">
        <v>2203.0</v>
      </c>
      <c r="B2204" s="5" t="s">
        <v>2833</v>
      </c>
      <c r="C2204" s="5" t="s">
        <v>21</v>
      </c>
      <c r="N2204" s="9">
        <v>44961.0</v>
      </c>
    </row>
    <row r="2205">
      <c r="A2205" s="5">
        <v>2204.0</v>
      </c>
      <c r="B2205" s="5" t="s">
        <v>2834</v>
      </c>
      <c r="C2205" s="5" t="s">
        <v>21</v>
      </c>
      <c r="K2205" s="5">
        <v>250.0</v>
      </c>
      <c r="N2205" s="9">
        <v>44136.0</v>
      </c>
    </row>
    <row r="2206">
      <c r="A2206" s="5">
        <v>2205.0</v>
      </c>
      <c r="B2206" s="5" t="s">
        <v>2835</v>
      </c>
      <c r="C2206" s="5" t="s">
        <v>21</v>
      </c>
      <c r="K2206" s="5">
        <v>200.0</v>
      </c>
      <c r="N2206" s="9">
        <v>44190.0</v>
      </c>
    </row>
    <row r="2207">
      <c r="A2207" s="5">
        <v>2206.0</v>
      </c>
      <c r="B2207" s="5" t="s">
        <v>2836</v>
      </c>
      <c r="C2207" s="5" t="s">
        <v>21</v>
      </c>
      <c r="K2207" s="5">
        <v>150.0</v>
      </c>
      <c r="N2207" s="9">
        <v>45589.0</v>
      </c>
    </row>
    <row r="2208">
      <c r="A2208" s="5">
        <v>2207.0</v>
      </c>
      <c r="B2208" s="5" t="s">
        <v>2837</v>
      </c>
      <c r="C2208" s="5" t="s">
        <v>21</v>
      </c>
      <c r="K2208" s="5">
        <v>400.0</v>
      </c>
      <c r="N2208" s="9">
        <v>45540.0</v>
      </c>
    </row>
    <row r="2209">
      <c r="A2209" s="5">
        <v>2208.0</v>
      </c>
      <c r="B2209" s="5" t="s">
        <v>2838</v>
      </c>
      <c r="C2209" s="5" t="s">
        <v>21</v>
      </c>
      <c r="K2209" s="5">
        <v>150.0</v>
      </c>
      <c r="N2209" s="9">
        <v>44519.0</v>
      </c>
    </row>
    <row r="2210">
      <c r="A2210" s="5">
        <v>2209.0</v>
      </c>
      <c r="B2210" s="5" t="s">
        <v>2839</v>
      </c>
      <c r="C2210" s="5" t="s">
        <v>21</v>
      </c>
      <c r="N2210" s="9">
        <v>44083.0</v>
      </c>
    </row>
    <row r="2211">
      <c r="A2211" s="5">
        <v>2210.0</v>
      </c>
      <c r="B2211" s="5" t="s">
        <v>2840</v>
      </c>
      <c r="C2211" s="5" t="s">
        <v>21</v>
      </c>
      <c r="K2211" s="5">
        <v>200.0</v>
      </c>
      <c r="N2211" s="9">
        <v>43948.0</v>
      </c>
    </row>
    <row r="2212">
      <c r="A2212" s="5">
        <v>2211.0</v>
      </c>
      <c r="B2212" s="5" t="s">
        <v>2841</v>
      </c>
      <c r="C2212" s="5" t="s">
        <v>21</v>
      </c>
      <c r="K2212" s="5">
        <v>400.0</v>
      </c>
      <c r="N2212" s="9">
        <v>45112.0</v>
      </c>
    </row>
    <row r="2213">
      <c r="A2213" s="5">
        <v>2212.0</v>
      </c>
      <c r="B2213" s="5" t="s">
        <v>2842</v>
      </c>
      <c r="C2213" s="5" t="s">
        <v>21</v>
      </c>
      <c r="K2213" s="5">
        <v>3800.0</v>
      </c>
      <c r="N2213" s="9">
        <v>44517.0</v>
      </c>
    </row>
    <row r="2214">
      <c r="A2214" s="5">
        <v>2213.0</v>
      </c>
      <c r="B2214" s="5" t="s">
        <v>2843</v>
      </c>
      <c r="C2214" s="5" t="s">
        <v>21</v>
      </c>
      <c r="K2214" s="5">
        <v>1500.0</v>
      </c>
      <c r="N2214" s="9">
        <v>44331.0</v>
      </c>
    </row>
    <row r="2215">
      <c r="A2215" s="5">
        <v>2214.0</v>
      </c>
      <c r="B2215" s="5" t="s">
        <v>2844</v>
      </c>
      <c r="C2215" s="5" t="s">
        <v>21</v>
      </c>
      <c r="K2215" s="5">
        <v>90.0</v>
      </c>
      <c r="N2215" s="9">
        <v>44639.0</v>
      </c>
    </row>
    <row r="2216">
      <c r="A2216" s="5">
        <v>2215.0</v>
      </c>
      <c r="B2216" s="5" t="s">
        <v>2845</v>
      </c>
      <c r="C2216" s="5" t="s">
        <v>21</v>
      </c>
      <c r="K2216" s="5">
        <v>350.0</v>
      </c>
      <c r="N2216" s="9">
        <v>45089.0</v>
      </c>
    </row>
    <row r="2217">
      <c r="A2217" s="5">
        <v>2216.0</v>
      </c>
      <c r="B2217" s="5" t="s">
        <v>2846</v>
      </c>
      <c r="C2217" s="5" t="s">
        <v>21</v>
      </c>
      <c r="K2217" s="5">
        <v>100.0</v>
      </c>
      <c r="N2217" s="9">
        <v>44424.0</v>
      </c>
    </row>
    <row r="2218">
      <c r="A2218" s="5">
        <v>2217.0</v>
      </c>
      <c r="B2218" s="5" t="s">
        <v>2847</v>
      </c>
      <c r="C2218" s="5" t="s">
        <v>21</v>
      </c>
      <c r="K2218" s="5">
        <v>1700.0</v>
      </c>
      <c r="N2218" s="9">
        <v>44593.0</v>
      </c>
    </row>
    <row r="2219">
      <c r="A2219" s="5">
        <v>2218.0</v>
      </c>
      <c r="B2219" s="5" t="s">
        <v>2848</v>
      </c>
      <c r="C2219" s="5" t="s">
        <v>21</v>
      </c>
      <c r="K2219" s="5">
        <v>150.0</v>
      </c>
      <c r="N2219" s="9">
        <v>44573.0</v>
      </c>
    </row>
    <row r="2220">
      <c r="A2220" s="5">
        <v>2219.0</v>
      </c>
      <c r="B2220" s="5" t="s">
        <v>2849</v>
      </c>
      <c r="C2220" s="5" t="s">
        <v>21</v>
      </c>
      <c r="K2220" s="5">
        <v>70.0</v>
      </c>
      <c r="N2220" s="9">
        <v>44545.0</v>
      </c>
    </row>
    <row r="2221">
      <c r="A2221" s="5">
        <v>2220.0</v>
      </c>
      <c r="B2221" s="5" t="s">
        <v>2850</v>
      </c>
      <c r="C2221" s="5" t="s">
        <v>21</v>
      </c>
      <c r="K2221" s="5">
        <v>60.0</v>
      </c>
      <c r="N2221" s="9">
        <v>44544.0</v>
      </c>
    </row>
    <row r="2222">
      <c r="A2222" s="5">
        <v>2221.0</v>
      </c>
      <c r="B2222" s="5" t="s">
        <v>2851</v>
      </c>
      <c r="C2222" s="5" t="s">
        <v>21</v>
      </c>
      <c r="K2222" s="5">
        <v>1400.0</v>
      </c>
      <c r="N2222" s="9">
        <v>45619.0</v>
      </c>
    </row>
    <row r="2223">
      <c r="A2223" s="5">
        <v>2222.0</v>
      </c>
      <c r="B2223" s="5" t="s">
        <v>2852</v>
      </c>
      <c r="C2223" s="5" t="s">
        <v>21</v>
      </c>
      <c r="K2223" s="5">
        <v>800.0</v>
      </c>
      <c r="N2223" s="9">
        <v>44532.0</v>
      </c>
    </row>
    <row r="2224">
      <c r="A2224" s="5">
        <v>2223.0</v>
      </c>
      <c r="B2224" s="5" t="s">
        <v>2853</v>
      </c>
      <c r="C2224" s="5" t="s">
        <v>21</v>
      </c>
      <c r="K2224" s="5">
        <v>8700.0</v>
      </c>
      <c r="N2224" s="9">
        <v>44779.0</v>
      </c>
    </row>
    <row r="2225">
      <c r="A2225" s="5">
        <v>2224.0</v>
      </c>
      <c r="B2225" s="5" t="s">
        <v>2854</v>
      </c>
      <c r="C2225" s="5" t="s">
        <v>21</v>
      </c>
      <c r="K2225" s="5">
        <v>500.0</v>
      </c>
      <c r="N2225" s="9">
        <v>44606.0</v>
      </c>
    </row>
    <row r="2226">
      <c r="A2226" s="5">
        <v>2225.0</v>
      </c>
      <c r="B2226" s="5" t="s">
        <v>2855</v>
      </c>
      <c r="C2226" s="5" t="s">
        <v>21</v>
      </c>
      <c r="K2226" s="5">
        <v>800.0</v>
      </c>
      <c r="N2226" s="9">
        <v>44756.0</v>
      </c>
    </row>
    <row r="2227">
      <c r="A2227" s="5">
        <v>2226.0</v>
      </c>
      <c r="B2227" s="5" t="s">
        <v>2856</v>
      </c>
      <c r="C2227" s="5" t="s">
        <v>21</v>
      </c>
      <c r="K2227" s="5">
        <v>500.0</v>
      </c>
      <c r="N2227" s="9">
        <v>44529.0</v>
      </c>
    </row>
    <row r="2228">
      <c r="A2228" s="5">
        <v>2227.0</v>
      </c>
      <c r="B2228" s="5" t="s">
        <v>2857</v>
      </c>
      <c r="C2228" s="5" t="s">
        <v>21</v>
      </c>
      <c r="K2228" s="5">
        <v>1100.0</v>
      </c>
      <c r="N2228" s="9">
        <v>44897.0</v>
      </c>
    </row>
    <row r="2229">
      <c r="A2229" s="5">
        <v>2228.0</v>
      </c>
      <c r="B2229" s="5" t="s">
        <v>2858</v>
      </c>
      <c r="C2229" s="5" t="s">
        <v>21</v>
      </c>
      <c r="K2229" s="5">
        <v>200.0</v>
      </c>
      <c r="N2229" s="9">
        <v>44613.0</v>
      </c>
    </row>
    <row r="2230">
      <c r="A2230" s="5">
        <v>2229.0</v>
      </c>
      <c r="B2230" s="5" t="s">
        <v>2859</v>
      </c>
      <c r="C2230" s="5" t="s">
        <v>21</v>
      </c>
      <c r="K2230" s="5">
        <v>150.0</v>
      </c>
      <c r="N2230" s="9">
        <v>45669.0</v>
      </c>
    </row>
    <row r="2231">
      <c r="A2231" s="5">
        <v>2230.0</v>
      </c>
      <c r="B2231" s="5" t="s">
        <v>2860</v>
      </c>
      <c r="C2231" s="5" t="s">
        <v>21</v>
      </c>
      <c r="K2231" s="5">
        <v>1000.0</v>
      </c>
      <c r="N2231" s="9">
        <v>44044.0</v>
      </c>
    </row>
    <row r="2232">
      <c r="A2232" s="5">
        <v>2231.0</v>
      </c>
      <c r="B2232" s="5" t="s">
        <v>2861</v>
      </c>
      <c r="C2232" s="5" t="s">
        <v>21</v>
      </c>
      <c r="K2232" s="5">
        <v>800.0</v>
      </c>
      <c r="N2232" s="9">
        <v>44673.0</v>
      </c>
    </row>
    <row r="2233">
      <c r="A2233" s="5">
        <v>2232.0</v>
      </c>
      <c r="B2233" s="5" t="s">
        <v>2862</v>
      </c>
      <c r="C2233" s="5" t="s">
        <v>21</v>
      </c>
      <c r="K2233" s="5">
        <v>60.0</v>
      </c>
      <c r="N2233" s="9">
        <v>44571.0</v>
      </c>
    </row>
    <row r="2234">
      <c r="A2234" s="5">
        <v>2233.0</v>
      </c>
      <c r="B2234" s="5" t="s">
        <v>2863</v>
      </c>
      <c r="C2234" s="5" t="s">
        <v>21</v>
      </c>
      <c r="K2234" s="5">
        <v>1600.0</v>
      </c>
      <c r="N2234" s="9">
        <v>44104.0</v>
      </c>
    </row>
    <row r="2235">
      <c r="A2235" s="5">
        <v>2234.0</v>
      </c>
      <c r="B2235" s="5" t="s">
        <v>2864</v>
      </c>
      <c r="C2235" s="5" t="s">
        <v>21</v>
      </c>
      <c r="K2235" s="5">
        <v>150.0</v>
      </c>
      <c r="N2235" s="9">
        <v>45039.0</v>
      </c>
    </row>
    <row r="2236">
      <c r="A2236" s="5">
        <v>2235.0</v>
      </c>
      <c r="B2236" s="5" t="s">
        <v>2865</v>
      </c>
      <c r="C2236" s="5" t="s">
        <v>21</v>
      </c>
      <c r="K2236" s="5">
        <v>300.0</v>
      </c>
      <c r="N2236" s="9">
        <v>44528.0</v>
      </c>
    </row>
    <row r="2237">
      <c r="A2237" s="5">
        <v>2236.0</v>
      </c>
      <c r="B2237" s="5" t="s">
        <v>2866</v>
      </c>
      <c r="C2237" s="5" t="s">
        <v>21</v>
      </c>
      <c r="K2237" s="5">
        <v>1600.0</v>
      </c>
      <c r="N2237" s="9">
        <v>45275.0</v>
      </c>
    </row>
    <row r="2238">
      <c r="A2238" s="5">
        <v>2237.0</v>
      </c>
      <c r="B2238" s="5" t="s">
        <v>2867</v>
      </c>
      <c r="C2238" s="5" t="s">
        <v>21</v>
      </c>
      <c r="K2238" s="5">
        <v>20.0</v>
      </c>
      <c r="N2238" s="9">
        <v>44578.0</v>
      </c>
    </row>
    <row r="2239">
      <c r="A2239" s="5">
        <v>2238.0</v>
      </c>
      <c r="B2239" s="5" t="s">
        <v>2868</v>
      </c>
      <c r="C2239" s="5" t="s">
        <v>21</v>
      </c>
      <c r="K2239" s="5">
        <v>1700.0</v>
      </c>
      <c r="N2239" s="9">
        <v>43899.0</v>
      </c>
    </row>
    <row r="2240">
      <c r="A2240" s="5">
        <v>2239.0</v>
      </c>
      <c r="B2240" s="5" t="s">
        <v>2869</v>
      </c>
      <c r="C2240" s="5" t="s">
        <v>21</v>
      </c>
      <c r="K2240" s="5">
        <v>2800.0</v>
      </c>
      <c r="N2240" s="9">
        <v>43975.0</v>
      </c>
    </row>
    <row r="2241">
      <c r="A2241" s="5">
        <v>2240.0</v>
      </c>
      <c r="B2241" s="5" t="s">
        <v>2870</v>
      </c>
      <c r="C2241" s="5" t="s">
        <v>21</v>
      </c>
      <c r="K2241" s="5">
        <v>3700.0</v>
      </c>
      <c r="N2241" s="9">
        <v>44211.0</v>
      </c>
    </row>
    <row r="2242">
      <c r="A2242" s="5">
        <v>2241.0</v>
      </c>
      <c r="B2242" s="5" t="s">
        <v>2871</v>
      </c>
      <c r="C2242" s="5" t="s">
        <v>21</v>
      </c>
      <c r="K2242" s="5">
        <v>10.0</v>
      </c>
      <c r="N2242" s="9">
        <v>45049.0</v>
      </c>
    </row>
    <row r="2243">
      <c r="A2243" s="5">
        <v>2242.0</v>
      </c>
      <c r="B2243" s="5" t="s">
        <v>2872</v>
      </c>
      <c r="C2243" s="5" t="s">
        <v>21</v>
      </c>
      <c r="N2243" s="9">
        <v>44529.0</v>
      </c>
    </row>
    <row r="2244">
      <c r="A2244" s="5">
        <v>2243.0</v>
      </c>
      <c r="B2244" s="5" t="s">
        <v>2873</v>
      </c>
      <c r="C2244" s="5" t="s">
        <v>21</v>
      </c>
      <c r="K2244" s="5">
        <v>700.0</v>
      </c>
      <c r="N2244" s="9">
        <v>45604.0</v>
      </c>
    </row>
    <row r="2245">
      <c r="A2245" s="5">
        <v>2244.0</v>
      </c>
      <c r="B2245" s="5" t="s">
        <v>2874</v>
      </c>
      <c r="C2245" s="5" t="s">
        <v>21</v>
      </c>
      <c r="K2245" s="5">
        <v>700.0</v>
      </c>
      <c r="N2245" s="9">
        <v>44628.0</v>
      </c>
    </row>
    <row r="2246">
      <c r="A2246" s="5">
        <v>2245.0</v>
      </c>
      <c r="B2246" s="5" t="s">
        <v>2875</v>
      </c>
      <c r="C2246" s="5" t="s">
        <v>21</v>
      </c>
      <c r="K2246" s="5">
        <v>150.0</v>
      </c>
      <c r="N2246" s="9">
        <v>44245.0</v>
      </c>
    </row>
    <row r="2247">
      <c r="A2247" s="5">
        <v>2246.0</v>
      </c>
      <c r="B2247" s="5" t="s">
        <v>2876</v>
      </c>
      <c r="C2247" s="5" t="s">
        <v>21</v>
      </c>
      <c r="K2247" s="5">
        <v>1400.0</v>
      </c>
      <c r="N2247" s="9">
        <v>44586.0</v>
      </c>
    </row>
    <row r="2248">
      <c r="A2248" s="5">
        <v>2247.0</v>
      </c>
      <c r="B2248" s="5" t="s">
        <v>2877</v>
      </c>
      <c r="C2248" s="5" t="s">
        <v>21</v>
      </c>
      <c r="K2248" s="5">
        <v>350.0</v>
      </c>
      <c r="N2248" s="9">
        <v>44780.0</v>
      </c>
    </row>
    <row r="2249">
      <c r="A2249" s="5">
        <v>2248.0</v>
      </c>
      <c r="B2249" s="5" t="s">
        <v>2878</v>
      </c>
      <c r="C2249" s="5" t="s">
        <v>21</v>
      </c>
      <c r="K2249" s="5">
        <v>2000.0</v>
      </c>
      <c r="N2249" s="9">
        <v>43967.0</v>
      </c>
    </row>
    <row r="2250">
      <c r="A2250" s="5">
        <v>2249.0</v>
      </c>
      <c r="B2250" s="5" t="s">
        <v>2879</v>
      </c>
      <c r="C2250" s="5" t="s">
        <v>21</v>
      </c>
      <c r="K2250" s="5">
        <v>700.0</v>
      </c>
      <c r="N2250" s="9">
        <v>44007.0</v>
      </c>
    </row>
    <row r="2251">
      <c r="A2251" s="5">
        <v>2250.0</v>
      </c>
      <c r="B2251" s="5" t="s">
        <v>2880</v>
      </c>
      <c r="C2251" s="5" t="s">
        <v>21</v>
      </c>
      <c r="K2251" s="5">
        <v>800.0</v>
      </c>
      <c r="N2251" s="9">
        <v>44175.0</v>
      </c>
    </row>
    <row r="2252">
      <c r="A2252" s="5">
        <v>2251.0</v>
      </c>
      <c r="B2252" s="5" t="s">
        <v>2881</v>
      </c>
      <c r="C2252" s="5" t="s">
        <v>21</v>
      </c>
      <c r="K2252" s="5">
        <v>80.0</v>
      </c>
      <c r="N2252" s="9">
        <v>44582.0</v>
      </c>
    </row>
    <row r="2253">
      <c r="A2253" s="5">
        <v>2252.0</v>
      </c>
      <c r="B2253" s="5" t="s">
        <v>2882</v>
      </c>
      <c r="C2253" s="5" t="s">
        <v>21</v>
      </c>
      <c r="K2253" s="5">
        <v>900.0</v>
      </c>
      <c r="N2253" s="9">
        <v>44456.0</v>
      </c>
    </row>
    <row r="2254">
      <c r="A2254" s="5">
        <v>2253.0</v>
      </c>
      <c r="B2254" s="5" t="s">
        <v>2883</v>
      </c>
      <c r="C2254" s="5" t="s">
        <v>21</v>
      </c>
      <c r="K2254" s="5">
        <v>450.0</v>
      </c>
      <c r="N2254" s="9">
        <v>44771.0</v>
      </c>
    </row>
    <row r="2255">
      <c r="A2255" s="5">
        <v>2254.0</v>
      </c>
      <c r="B2255" s="5" t="s">
        <v>2884</v>
      </c>
      <c r="C2255" s="5" t="s">
        <v>21</v>
      </c>
      <c r="K2255" s="5">
        <v>150.0</v>
      </c>
      <c r="N2255" s="9">
        <v>45236.0</v>
      </c>
    </row>
    <row r="2256">
      <c r="A2256" s="5">
        <v>2255.0</v>
      </c>
      <c r="B2256" s="5" t="s">
        <v>2885</v>
      </c>
      <c r="C2256" s="5" t="s">
        <v>21</v>
      </c>
      <c r="K2256" s="5">
        <v>400.0</v>
      </c>
      <c r="N2256" s="9">
        <v>44383.0</v>
      </c>
    </row>
    <row r="2257">
      <c r="A2257" s="5">
        <v>2256.0</v>
      </c>
      <c r="B2257" s="5" t="s">
        <v>2886</v>
      </c>
      <c r="C2257" s="5" t="s">
        <v>21</v>
      </c>
      <c r="K2257" s="5">
        <v>350.0</v>
      </c>
      <c r="N2257" s="9">
        <v>43864.0</v>
      </c>
    </row>
    <row r="2258">
      <c r="A2258" s="5">
        <v>2257.0</v>
      </c>
      <c r="B2258" s="5" t="s">
        <v>2887</v>
      </c>
      <c r="C2258" s="5" t="s">
        <v>21</v>
      </c>
      <c r="K2258" s="5">
        <v>200.0</v>
      </c>
      <c r="N2258" s="9">
        <v>45051.0</v>
      </c>
    </row>
    <row r="2259">
      <c r="A2259" s="5">
        <v>2258.0</v>
      </c>
      <c r="B2259" s="5" t="s">
        <v>2888</v>
      </c>
      <c r="C2259" s="5" t="s">
        <v>21</v>
      </c>
      <c r="K2259" s="5">
        <v>800.0</v>
      </c>
      <c r="N2259" s="9">
        <v>44776.0</v>
      </c>
    </row>
    <row r="2260">
      <c r="A2260" s="5">
        <v>2259.0</v>
      </c>
      <c r="B2260" s="5" t="s">
        <v>2889</v>
      </c>
      <c r="C2260" s="5" t="s">
        <v>21</v>
      </c>
      <c r="K2260" s="5">
        <v>250.0</v>
      </c>
      <c r="N2260" s="9">
        <v>44658.0</v>
      </c>
    </row>
    <row r="2261">
      <c r="A2261" s="5">
        <v>2260.0</v>
      </c>
      <c r="B2261" s="5" t="s">
        <v>2890</v>
      </c>
      <c r="C2261" s="5" t="s">
        <v>21</v>
      </c>
      <c r="K2261" s="5">
        <v>350.0</v>
      </c>
      <c r="N2261" s="9">
        <v>44339.0</v>
      </c>
    </row>
    <row r="2262">
      <c r="A2262" s="5">
        <v>2261.0</v>
      </c>
      <c r="B2262" s="5" t="s">
        <v>2891</v>
      </c>
      <c r="C2262" s="5" t="s">
        <v>21</v>
      </c>
      <c r="K2262" s="5">
        <v>70.0</v>
      </c>
      <c r="N2262" s="9">
        <v>44097.0</v>
      </c>
    </row>
    <row r="2263">
      <c r="A2263" s="5">
        <v>2262.0</v>
      </c>
      <c r="B2263" s="5" t="s">
        <v>2892</v>
      </c>
      <c r="C2263" s="5" t="s">
        <v>21</v>
      </c>
      <c r="K2263" s="5">
        <v>2400.0</v>
      </c>
      <c r="N2263" s="9">
        <v>43885.0</v>
      </c>
    </row>
    <row r="2264">
      <c r="A2264" s="5">
        <v>2263.0</v>
      </c>
      <c r="B2264" s="5" t="s">
        <v>2893</v>
      </c>
      <c r="C2264" s="5" t="s">
        <v>21</v>
      </c>
      <c r="K2264" s="5">
        <v>100.0</v>
      </c>
      <c r="N2264" s="9">
        <v>44622.0</v>
      </c>
    </row>
    <row r="2265">
      <c r="A2265" s="5">
        <v>2264.0</v>
      </c>
      <c r="B2265" s="5" t="s">
        <v>2894</v>
      </c>
      <c r="C2265" s="5" t="s">
        <v>21</v>
      </c>
      <c r="K2265" s="5">
        <v>400.0</v>
      </c>
      <c r="N2265" s="9">
        <v>45031.0</v>
      </c>
    </row>
    <row r="2266">
      <c r="A2266" s="5">
        <v>2265.0</v>
      </c>
      <c r="B2266" s="5" t="s">
        <v>2895</v>
      </c>
      <c r="C2266" s="5" t="s">
        <v>21</v>
      </c>
      <c r="K2266" s="5">
        <v>350.0</v>
      </c>
      <c r="N2266" s="9">
        <v>44639.0</v>
      </c>
    </row>
    <row r="2267">
      <c r="A2267" s="5">
        <v>2266.0</v>
      </c>
      <c r="B2267" s="5" t="s">
        <v>2896</v>
      </c>
      <c r="C2267" s="5" t="s">
        <v>21</v>
      </c>
      <c r="K2267" s="5">
        <v>1200.0</v>
      </c>
      <c r="N2267" s="9">
        <v>44245.0</v>
      </c>
    </row>
    <row r="2268">
      <c r="A2268" s="5">
        <v>2267.0</v>
      </c>
      <c r="B2268" s="5" t="s">
        <v>2897</v>
      </c>
      <c r="C2268" s="5" t="s">
        <v>21</v>
      </c>
      <c r="K2268" s="5">
        <v>1200.0</v>
      </c>
      <c r="N2268" s="9">
        <v>44546.0</v>
      </c>
    </row>
    <row r="2269">
      <c r="A2269" s="5">
        <v>2268.0</v>
      </c>
      <c r="B2269" s="5" t="s">
        <v>2898</v>
      </c>
      <c r="C2269" s="5" t="s">
        <v>21</v>
      </c>
      <c r="K2269" s="5">
        <v>600.0</v>
      </c>
      <c r="N2269" s="9">
        <v>44550.0</v>
      </c>
    </row>
    <row r="2270">
      <c r="A2270" s="5">
        <v>2269.0</v>
      </c>
      <c r="B2270" s="5" t="s">
        <v>2899</v>
      </c>
      <c r="C2270" s="5" t="s">
        <v>21</v>
      </c>
      <c r="K2270" s="5">
        <v>700.0</v>
      </c>
      <c r="N2270" s="9">
        <v>44647.0</v>
      </c>
    </row>
    <row r="2271">
      <c r="A2271" s="5">
        <v>2270.0</v>
      </c>
      <c r="B2271" s="5" t="s">
        <v>2900</v>
      </c>
      <c r="C2271" s="5" t="s">
        <v>21</v>
      </c>
      <c r="K2271" s="5">
        <v>350.0</v>
      </c>
      <c r="N2271" s="9">
        <v>44348.0</v>
      </c>
    </row>
    <row r="2272">
      <c r="A2272" s="5">
        <v>2271.0</v>
      </c>
      <c r="B2272" s="5" t="s">
        <v>2901</v>
      </c>
      <c r="C2272" s="5" t="s">
        <v>21</v>
      </c>
      <c r="K2272" s="5">
        <v>250.0</v>
      </c>
      <c r="N2272" s="9">
        <v>45003.0</v>
      </c>
    </row>
    <row r="2273">
      <c r="A2273" s="5">
        <v>2272.0</v>
      </c>
      <c r="B2273" s="5" t="s">
        <v>2902</v>
      </c>
      <c r="C2273" s="5" t="s">
        <v>21</v>
      </c>
      <c r="K2273" s="5">
        <v>100.0</v>
      </c>
      <c r="N2273" s="9">
        <v>44334.0</v>
      </c>
    </row>
    <row r="2274">
      <c r="A2274" s="5">
        <v>2273.0</v>
      </c>
      <c r="B2274" s="5" t="s">
        <v>2903</v>
      </c>
      <c r="C2274" s="5" t="s">
        <v>21</v>
      </c>
      <c r="K2274" s="5">
        <v>90.0</v>
      </c>
      <c r="N2274" s="9">
        <v>45054.0</v>
      </c>
    </row>
    <row r="2275">
      <c r="A2275" s="5">
        <v>2274.0</v>
      </c>
      <c r="B2275" s="5" t="s">
        <v>2904</v>
      </c>
      <c r="C2275" s="5" t="s">
        <v>21</v>
      </c>
      <c r="K2275" s="5">
        <v>700.0</v>
      </c>
      <c r="N2275" s="9">
        <v>45497.0</v>
      </c>
    </row>
    <row r="2276">
      <c r="A2276" s="5">
        <v>2275.0</v>
      </c>
      <c r="B2276" s="5" t="s">
        <v>2905</v>
      </c>
      <c r="C2276" s="5" t="s">
        <v>21</v>
      </c>
      <c r="K2276" s="5">
        <v>400.0</v>
      </c>
      <c r="N2276" s="9">
        <v>44541.0</v>
      </c>
    </row>
    <row r="2277">
      <c r="A2277" s="5">
        <v>2276.0</v>
      </c>
      <c r="B2277" s="5" t="s">
        <v>2906</v>
      </c>
      <c r="C2277" s="5" t="s">
        <v>21</v>
      </c>
      <c r="K2277" s="5">
        <v>400.0</v>
      </c>
      <c r="N2277" s="9">
        <v>44400.0</v>
      </c>
    </row>
    <row r="2278">
      <c r="A2278" s="5">
        <v>2277.0</v>
      </c>
      <c r="B2278" s="5" t="s">
        <v>2907</v>
      </c>
      <c r="C2278" s="5" t="s">
        <v>21</v>
      </c>
      <c r="K2278" s="5">
        <v>50.0</v>
      </c>
      <c r="N2278" s="9">
        <v>44805.0</v>
      </c>
    </row>
    <row r="2279">
      <c r="A2279" s="5">
        <v>2278.0</v>
      </c>
      <c r="B2279" s="5" t="s">
        <v>2908</v>
      </c>
      <c r="C2279" s="5" t="s">
        <v>21</v>
      </c>
      <c r="N2279" s="9">
        <v>44646.0</v>
      </c>
    </row>
    <row r="2280">
      <c r="A2280" s="5">
        <v>2279.0</v>
      </c>
      <c r="B2280" s="5" t="s">
        <v>2909</v>
      </c>
      <c r="C2280" s="5" t="s">
        <v>21</v>
      </c>
      <c r="K2280" s="5">
        <v>3900.0</v>
      </c>
      <c r="N2280" s="9">
        <v>44067.0</v>
      </c>
    </row>
    <row r="2281">
      <c r="A2281" s="5">
        <v>2280.0</v>
      </c>
      <c r="B2281" s="5" t="s">
        <v>2910</v>
      </c>
      <c r="C2281" s="5" t="s">
        <v>21</v>
      </c>
      <c r="K2281" s="5">
        <v>500.0</v>
      </c>
      <c r="N2281" s="9">
        <v>45000.0</v>
      </c>
    </row>
    <row r="2282">
      <c r="A2282" s="5">
        <v>2281.0</v>
      </c>
      <c r="B2282" s="5" t="s">
        <v>2911</v>
      </c>
      <c r="C2282" s="5" t="s">
        <v>21</v>
      </c>
      <c r="K2282" s="5">
        <v>200.0</v>
      </c>
      <c r="N2282" s="9">
        <v>44750.0</v>
      </c>
    </row>
    <row r="2283">
      <c r="A2283" s="5">
        <v>2282.0</v>
      </c>
      <c r="B2283" s="5" t="s">
        <v>2912</v>
      </c>
      <c r="C2283" s="5" t="s">
        <v>21</v>
      </c>
      <c r="N2283" s="9">
        <v>44629.0</v>
      </c>
    </row>
    <row r="2284">
      <c r="A2284" s="5">
        <v>2283.0</v>
      </c>
      <c r="B2284" s="5" t="s">
        <v>2913</v>
      </c>
      <c r="C2284" s="5" t="s">
        <v>21</v>
      </c>
      <c r="K2284" s="5">
        <v>200.0</v>
      </c>
      <c r="N2284" s="9">
        <v>44583.0</v>
      </c>
    </row>
    <row r="2285">
      <c r="A2285" s="5">
        <v>2284.0</v>
      </c>
      <c r="B2285" s="5" t="s">
        <v>2914</v>
      </c>
      <c r="C2285" s="5" t="s">
        <v>21</v>
      </c>
      <c r="K2285" s="5">
        <v>149000.0</v>
      </c>
      <c r="N2285" s="9">
        <v>45924.0</v>
      </c>
    </row>
    <row r="2286">
      <c r="A2286" s="5">
        <v>2285.0</v>
      </c>
      <c r="B2286" s="5" t="s">
        <v>2915</v>
      </c>
      <c r="C2286" s="5" t="s">
        <v>21</v>
      </c>
      <c r="K2286" s="5">
        <v>500.0</v>
      </c>
      <c r="N2286" s="9">
        <v>45330.0</v>
      </c>
    </row>
    <row r="2287">
      <c r="A2287" s="5">
        <v>2286.0</v>
      </c>
      <c r="B2287" s="5" t="s">
        <v>2916</v>
      </c>
      <c r="C2287" s="5" t="s">
        <v>21</v>
      </c>
      <c r="K2287" s="5">
        <v>500.0</v>
      </c>
      <c r="N2287" s="9">
        <v>44518.0</v>
      </c>
    </row>
    <row r="2288">
      <c r="A2288" s="5">
        <v>2287.0</v>
      </c>
      <c r="B2288" s="5" t="s">
        <v>2917</v>
      </c>
      <c r="C2288" s="5" t="s">
        <v>21</v>
      </c>
      <c r="K2288" s="5">
        <v>700.0</v>
      </c>
      <c r="N2288" s="9">
        <v>44298.0</v>
      </c>
    </row>
    <row r="2289">
      <c r="A2289" s="5">
        <v>2288.0</v>
      </c>
      <c r="B2289" s="5" t="s">
        <v>2918</v>
      </c>
      <c r="C2289" s="5" t="s">
        <v>21</v>
      </c>
      <c r="K2289" s="5">
        <v>350.0</v>
      </c>
      <c r="N2289" s="9">
        <v>45136.0</v>
      </c>
    </row>
    <row r="2290">
      <c r="A2290" s="5">
        <v>2289.0</v>
      </c>
      <c r="B2290" s="5" t="s">
        <v>2919</v>
      </c>
      <c r="C2290" s="5" t="s">
        <v>21</v>
      </c>
      <c r="K2290" s="5">
        <v>150.0</v>
      </c>
      <c r="N2290" s="9">
        <v>44848.0</v>
      </c>
    </row>
    <row r="2291">
      <c r="A2291" s="5">
        <v>2290.0</v>
      </c>
      <c r="B2291" s="5" t="s">
        <v>2920</v>
      </c>
      <c r="C2291" s="5" t="s">
        <v>21</v>
      </c>
      <c r="K2291" s="5">
        <v>1000.0</v>
      </c>
      <c r="N2291" s="9">
        <v>45628.0</v>
      </c>
    </row>
    <row r="2292">
      <c r="A2292" s="5">
        <v>2291.0</v>
      </c>
      <c r="B2292" s="5" t="s">
        <v>2921</v>
      </c>
      <c r="C2292" s="5" t="s">
        <v>21</v>
      </c>
      <c r="K2292" s="5">
        <v>150.0</v>
      </c>
      <c r="N2292" s="9">
        <v>44744.0</v>
      </c>
    </row>
    <row r="2293">
      <c r="A2293" s="5">
        <v>2292.0</v>
      </c>
      <c r="B2293" s="5" t="s">
        <v>2922</v>
      </c>
      <c r="C2293" s="5" t="s">
        <v>21</v>
      </c>
      <c r="K2293" s="5">
        <v>250.0</v>
      </c>
      <c r="N2293" s="9">
        <v>45639.0</v>
      </c>
    </row>
    <row r="2294">
      <c r="A2294" s="5">
        <v>2293.0</v>
      </c>
      <c r="B2294" s="5" t="s">
        <v>2923</v>
      </c>
      <c r="C2294" s="5" t="s">
        <v>21</v>
      </c>
      <c r="K2294" s="5">
        <v>500.0</v>
      </c>
      <c r="N2294" s="9">
        <v>44985.0</v>
      </c>
    </row>
    <row r="2295">
      <c r="A2295" s="5">
        <v>2294.0</v>
      </c>
      <c r="B2295" s="5" t="s">
        <v>82</v>
      </c>
      <c r="C2295" s="5" t="s">
        <v>21</v>
      </c>
      <c r="K2295" s="5">
        <v>150.0</v>
      </c>
      <c r="N2295" s="9">
        <v>44891.0</v>
      </c>
    </row>
    <row r="2296">
      <c r="A2296" s="5">
        <v>2295.0</v>
      </c>
      <c r="B2296" s="5" t="s">
        <v>2924</v>
      </c>
      <c r="C2296" s="5" t="s">
        <v>21</v>
      </c>
      <c r="K2296" s="5">
        <v>800.0</v>
      </c>
      <c r="N2296" s="9">
        <v>44531.0</v>
      </c>
    </row>
    <row r="2297">
      <c r="A2297" s="5">
        <v>2296.0</v>
      </c>
      <c r="B2297" s="5" t="s">
        <v>2925</v>
      </c>
      <c r="C2297" s="5" t="s">
        <v>21</v>
      </c>
      <c r="K2297" s="5">
        <v>250.0</v>
      </c>
      <c r="N2297" s="9">
        <v>44864.0</v>
      </c>
    </row>
    <row r="2298">
      <c r="A2298" s="5">
        <v>2297.0</v>
      </c>
      <c r="B2298" s="5" t="s">
        <v>2926</v>
      </c>
      <c r="C2298" s="5" t="s">
        <v>21</v>
      </c>
      <c r="N2298" s="9">
        <v>44518.0</v>
      </c>
    </row>
    <row r="2299">
      <c r="A2299" s="5">
        <v>2298.0</v>
      </c>
      <c r="B2299" s="5" t="s">
        <v>2927</v>
      </c>
      <c r="C2299" s="5" t="s">
        <v>21</v>
      </c>
      <c r="K2299" s="5">
        <v>800.0</v>
      </c>
      <c r="N2299" s="9">
        <v>44436.0</v>
      </c>
    </row>
    <row r="2300">
      <c r="A2300" s="5">
        <v>2299.0</v>
      </c>
      <c r="B2300" s="5" t="s">
        <v>2928</v>
      </c>
      <c r="C2300" s="5" t="s">
        <v>21</v>
      </c>
      <c r="K2300" s="5">
        <v>1800.0</v>
      </c>
      <c r="N2300" s="9">
        <v>43925.0</v>
      </c>
    </row>
    <row r="2301">
      <c r="A2301" s="5">
        <v>2300.0</v>
      </c>
      <c r="B2301" s="5" t="s">
        <v>2929</v>
      </c>
      <c r="C2301" s="5" t="s">
        <v>21</v>
      </c>
      <c r="K2301" s="5">
        <v>200.0</v>
      </c>
      <c r="N2301" s="9">
        <v>45219.0</v>
      </c>
    </row>
    <row r="2302">
      <c r="A2302" s="5">
        <v>2301.0</v>
      </c>
      <c r="B2302" s="5" t="s">
        <v>2930</v>
      </c>
      <c r="C2302" s="5" t="s">
        <v>21</v>
      </c>
      <c r="K2302" s="5">
        <v>150.0</v>
      </c>
      <c r="N2302" s="9">
        <v>44590.0</v>
      </c>
    </row>
    <row r="2303">
      <c r="A2303" s="5">
        <v>2302.0</v>
      </c>
      <c r="B2303" s="5" t="s">
        <v>2931</v>
      </c>
      <c r="C2303" s="5" t="s">
        <v>21</v>
      </c>
      <c r="K2303" s="5">
        <v>450.0</v>
      </c>
      <c r="N2303" s="9">
        <v>44573.0</v>
      </c>
    </row>
    <row r="2304">
      <c r="A2304" s="5">
        <v>2303.0</v>
      </c>
      <c r="B2304" s="5" t="s">
        <v>2932</v>
      </c>
      <c r="C2304" s="5" t="s">
        <v>21</v>
      </c>
      <c r="K2304" s="5">
        <v>2900.0</v>
      </c>
      <c r="N2304" s="9">
        <v>44571.0</v>
      </c>
    </row>
    <row r="2305">
      <c r="A2305" s="5">
        <v>2304.0</v>
      </c>
      <c r="B2305" s="5" t="s">
        <v>2933</v>
      </c>
      <c r="C2305" s="5" t="s">
        <v>21</v>
      </c>
      <c r="K2305" s="5">
        <v>250.0</v>
      </c>
      <c r="N2305" s="9">
        <v>45651.0</v>
      </c>
    </row>
    <row r="2306">
      <c r="A2306" s="5">
        <v>2305.0</v>
      </c>
      <c r="B2306" s="5" t="s">
        <v>2934</v>
      </c>
      <c r="C2306" s="5" t="s">
        <v>21</v>
      </c>
      <c r="K2306" s="5">
        <v>450.0</v>
      </c>
      <c r="N2306" s="9">
        <v>44532.0</v>
      </c>
    </row>
    <row r="2307">
      <c r="A2307" s="5">
        <v>2306.0</v>
      </c>
      <c r="B2307" s="5" t="s">
        <v>2935</v>
      </c>
      <c r="C2307" s="5" t="s">
        <v>21</v>
      </c>
      <c r="K2307" s="5">
        <v>9100.0</v>
      </c>
      <c r="N2307" s="9">
        <v>44120.0</v>
      </c>
    </row>
    <row r="2308">
      <c r="A2308" s="5">
        <v>2307.0</v>
      </c>
      <c r="B2308" s="5" t="s">
        <v>2936</v>
      </c>
      <c r="C2308" s="5" t="s">
        <v>21</v>
      </c>
      <c r="K2308" s="5">
        <v>200.0</v>
      </c>
      <c r="N2308" s="9">
        <v>45276.0</v>
      </c>
    </row>
    <row r="2309">
      <c r="A2309" s="5">
        <v>2308.0</v>
      </c>
      <c r="B2309" s="5" t="s">
        <v>2937</v>
      </c>
      <c r="C2309" s="5" t="s">
        <v>21</v>
      </c>
      <c r="K2309" s="5">
        <v>250.0</v>
      </c>
      <c r="N2309" s="9">
        <v>44543.0</v>
      </c>
    </row>
    <row r="2310">
      <c r="A2310" s="5">
        <v>2309.0</v>
      </c>
      <c r="B2310" s="5" t="s">
        <v>2938</v>
      </c>
      <c r="C2310" s="5" t="s">
        <v>21</v>
      </c>
      <c r="K2310" s="5">
        <v>500.0</v>
      </c>
      <c r="N2310" s="9">
        <v>44644.0</v>
      </c>
    </row>
    <row r="2311">
      <c r="A2311" s="5">
        <v>2310.0</v>
      </c>
      <c r="B2311" s="5" t="s">
        <v>2939</v>
      </c>
      <c r="C2311" s="5" t="s">
        <v>21</v>
      </c>
      <c r="K2311" s="5">
        <v>2200.0</v>
      </c>
      <c r="N2311" s="9">
        <v>43889.0</v>
      </c>
    </row>
    <row r="2312">
      <c r="A2312" s="5">
        <v>2311.0</v>
      </c>
      <c r="B2312" s="5" t="s">
        <v>2940</v>
      </c>
      <c r="C2312" s="5" t="s">
        <v>21</v>
      </c>
      <c r="K2312" s="5">
        <v>250.0</v>
      </c>
      <c r="N2312" s="9">
        <v>43942.0</v>
      </c>
    </row>
    <row r="2313">
      <c r="A2313" s="5">
        <v>2312.0</v>
      </c>
      <c r="B2313" s="5" t="s">
        <v>2941</v>
      </c>
      <c r="C2313" s="5" t="s">
        <v>21</v>
      </c>
      <c r="K2313" s="5">
        <v>40.0</v>
      </c>
      <c r="N2313" s="9">
        <v>44347.0</v>
      </c>
    </row>
    <row r="2314">
      <c r="A2314" s="5">
        <v>2313.0</v>
      </c>
      <c r="B2314" s="5" t="s">
        <v>2942</v>
      </c>
      <c r="C2314" s="5" t="s">
        <v>21</v>
      </c>
      <c r="K2314" s="5">
        <v>1500.0</v>
      </c>
      <c r="N2314" s="9">
        <v>44613.0</v>
      </c>
    </row>
    <row r="2315">
      <c r="A2315" s="5">
        <v>2314.0</v>
      </c>
      <c r="B2315" s="5" t="s">
        <v>2943</v>
      </c>
      <c r="C2315" s="5" t="s">
        <v>21</v>
      </c>
      <c r="K2315" s="5">
        <v>150.0</v>
      </c>
      <c r="N2315" s="9">
        <v>44682.0</v>
      </c>
    </row>
    <row r="2316">
      <c r="A2316" s="5">
        <v>2315.0</v>
      </c>
      <c r="B2316" s="5" t="s">
        <v>2944</v>
      </c>
      <c r="C2316" s="5" t="s">
        <v>21</v>
      </c>
      <c r="K2316" s="5">
        <v>350.0</v>
      </c>
      <c r="N2316" s="9">
        <v>44023.0</v>
      </c>
    </row>
    <row r="2317">
      <c r="A2317" s="5">
        <v>2316.0</v>
      </c>
      <c r="B2317" s="5" t="s">
        <v>2945</v>
      </c>
      <c r="C2317" s="5" t="s">
        <v>21</v>
      </c>
      <c r="K2317" s="5">
        <v>200.0</v>
      </c>
      <c r="N2317" s="9">
        <v>43841.0</v>
      </c>
    </row>
    <row r="2318">
      <c r="A2318" s="5">
        <v>2317.0</v>
      </c>
      <c r="B2318" s="5" t="s">
        <v>2946</v>
      </c>
      <c r="C2318" s="5" t="s">
        <v>21</v>
      </c>
      <c r="K2318" s="5">
        <v>90.0</v>
      </c>
      <c r="N2318" s="9">
        <v>44270.0</v>
      </c>
    </row>
    <row r="2319">
      <c r="A2319" s="5">
        <v>2318.0</v>
      </c>
      <c r="B2319" s="5" t="s">
        <v>2947</v>
      </c>
      <c r="C2319" s="5" t="s">
        <v>21</v>
      </c>
      <c r="K2319" s="5">
        <v>1300.0</v>
      </c>
      <c r="N2319" s="9">
        <v>43841.0</v>
      </c>
    </row>
    <row r="2320">
      <c r="A2320" s="5">
        <v>2319.0</v>
      </c>
      <c r="B2320" s="5" t="s">
        <v>2948</v>
      </c>
      <c r="C2320" s="5" t="s">
        <v>21</v>
      </c>
      <c r="K2320" s="5">
        <v>200.0</v>
      </c>
      <c r="N2320" s="9">
        <v>44703.0</v>
      </c>
    </row>
    <row r="2321">
      <c r="A2321" s="5">
        <v>2320.0</v>
      </c>
      <c r="B2321" s="5" t="s">
        <v>2949</v>
      </c>
      <c r="C2321" s="5" t="s">
        <v>21</v>
      </c>
      <c r="N2321" s="9">
        <v>44618.0</v>
      </c>
    </row>
    <row r="2322">
      <c r="A2322" s="5">
        <v>2321.0</v>
      </c>
      <c r="B2322" s="5" t="s">
        <v>2950</v>
      </c>
      <c r="C2322" s="5" t="s">
        <v>21</v>
      </c>
      <c r="K2322" s="5">
        <v>60.0</v>
      </c>
      <c r="N2322" s="9">
        <v>45110.0</v>
      </c>
    </row>
    <row r="2323">
      <c r="A2323" s="5">
        <v>2322.0</v>
      </c>
      <c r="B2323" s="5" t="s">
        <v>2951</v>
      </c>
      <c r="C2323" s="5" t="s">
        <v>21</v>
      </c>
      <c r="K2323" s="5">
        <v>80.0</v>
      </c>
      <c r="N2323" s="9">
        <v>45031.0</v>
      </c>
    </row>
    <row r="2324">
      <c r="A2324" s="5">
        <v>2323.0</v>
      </c>
      <c r="B2324" s="5" t="s">
        <v>2952</v>
      </c>
      <c r="C2324" s="5" t="s">
        <v>21</v>
      </c>
      <c r="K2324" s="5">
        <v>1000.0</v>
      </c>
      <c r="N2324" s="9">
        <v>45556.0</v>
      </c>
    </row>
    <row r="2325">
      <c r="A2325" s="5">
        <v>2324.0</v>
      </c>
      <c r="B2325" s="5" t="s">
        <v>2953</v>
      </c>
      <c r="C2325" s="5" t="s">
        <v>21</v>
      </c>
      <c r="K2325" s="5">
        <v>300.0</v>
      </c>
      <c r="N2325" s="9">
        <v>44536.0</v>
      </c>
    </row>
    <row r="2326">
      <c r="A2326" s="5">
        <v>2325.0</v>
      </c>
      <c r="B2326" s="5" t="s">
        <v>2954</v>
      </c>
      <c r="C2326" s="5" t="s">
        <v>21</v>
      </c>
      <c r="K2326" s="5">
        <v>1600.0</v>
      </c>
      <c r="N2326" s="9">
        <v>44387.0</v>
      </c>
    </row>
    <row r="2327">
      <c r="A2327" s="5">
        <v>2326.0</v>
      </c>
      <c r="B2327" s="5" t="s">
        <v>2955</v>
      </c>
      <c r="C2327" s="5" t="s">
        <v>21</v>
      </c>
      <c r="K2327" s="5">
        <v>30.0</v>
      </c>
      <c r="N2327" s="9">
        <v>45727.0</v>
      </c>
    </row>
    <row r="2328">
      <c r="A2328" s="5">
        <v>2327.0</v>
      </c>
      <c r="B2328" s="5" t="s">
        <v>2956</v>
      </c>
      <c r="C2328" s="5" t="s">
        <v>21</v>
      </c>
      <c r="K2328" s="5">
        <v>100.0</v>
      </c>
      <c r="N2328" s="9">
        <v>44621.0</v>
      </c>
    </row>
    <row r="2329">
      <c r="A2329" s="5">
        <v>2328.0</v>
      </c>
      <c r="B2329" s="5" t="s">
        <v>2957</v>
      </c>
      <c r="C2329" s="5" t="s">
        <v>21</v>
      </c>
      <c r="K2329" s="5">
        <v>400.0</v>
      </c>
      <c r="N2329" s="9">
        <v>44940.0</v>
      </c>
    </row>
    <row r="2330">
      <c r="A2330" s="5">
        <v>2329.0</v>
      </c>
      <c r="B2330" s="5" t="s">
        <v>2958</v>
      </c>
      <c r="C2330" s="5" t="s">
        <v>21</v>
      </c>
      <c r="K2330" s="5">
        <v>1400.0</v>
      </c>
      <c r="N2330" s="9">
        <v>44547.0</v>
      </c>
    </row>
    <row r="2331">
      <c r="A2331" s="5">
        <v>2330.0</v>
      </c>
      <c r="B2331" s="5" t="s">
        <v>2959</v>
      </c>
      <c r="C2331" s="5" t="s">
        <v>21</v>
      </c>
      <c r="K2331" s="5">
        <v>200.0</v>
      </c>
      <c r="N2331" s="9">
        <v>44690.0</v>
      </c>
    </row>
    <row r="2332">
      <c r="A2332" s="5">
        <v>2331.0</v>
      </c>
      <c r="B2332" s="5" t="s">
        <v>2960</v>
      </c>
      <c r="C2332" s="5" t="s">
        <v>21</v>
      </c>
      <c r="K2332" s="5">
        <v>1800.0</v>
      </c>
      <c r="N2332" s="9">
        <v>44592.0</v>
      </c>
    </row>
    <row r="2333">
      <c r="A2333" s="5">
        <v>2332.0</v>
      </c>
      <c r="B2333" s="5" t="s">
        <v>2961</v>
      </c>
      <c r="C2333" s="5" t="s">
        <v>21</v>
      </c>
      <c r="K2333" s="5">
        <v>2600.0</v>
      </c>
      <c r="N2333" s="9">
        <v>44298.0</v>
      </c>
    </row>
    <row r="2334">
      <c r="A2334" s="5">
        <v>2333.0</v>
      </c>
      <c r="B2334" s="5" t="s">
        <v>2962</v>
      </c>
      <c r="C2334" s="5" t="s">
        <v>21</v>
      </c>
      <c r="K2334" s="5">
        <v>150.0</v>
      </c>
      <c r="N2334" s="9">
        <v>45721.0</v>
      </c>
    </row>
    <row r="2335">
      <c r="A2335" s="5">
        <v>2334.0</v>
      </c>
      <c r="B2335" s="5" t="s">
        <v>2963</v>
      </c>
      <c r="C2335" s="5" t="s">
        <v>21</v>
      </c>
      <c r="K2335" s="5">
        <v>50.0</v>
      </c>
      <c r="N2335" s="9">
        <v>44908.0</v>
      </c>
    </row>
    <row r="2336">
      <c r="A2336" s="5">
        <v>2335.0</v>
      </c>
      <c r="B2336" s="5" t="s">
        <v>2964</v>
      </c>
      <c r="C2336" s="5" t="s">
        <v>21</v>
      </c>
      <c r="K2336" s="5">
        <v>150.0</v>
      </c>
      <c r="N2336" s="9">
        <v>44754.0</v>
      </c>
    </row>
    <row r="2337">
      <c r="A2337" s="5">
        <v>2336.0</v>
      </c>
      <c r="B2337" s="5" t="s">
        <v>2965</v>
      </c>
      <c r="C2337" s="5" t="s">
        <v>21</v>
      </c>
      <c r="K2337" s="5">
        <v>350.0</v>
      </c>
      <c r="N2337" s="9">
        <v>44594.0</v>
      </c>
    </row>
    <row r="2338">
      <c r="A2338" s="5">
        <v>2337.0</v>
      </c>
      <c r="B2338" s="5" t="s">
        <v>2966</v>
      </c>
      <c r="C2338" s="5" t="s">
        <v>21</v>
      </c>
      <c r="K2338" s="5">
        <v>350.0</v>
      </c>
      <c r="N2338" s="9">
        <v>44224.0</v>
      </c>
    </row>
    <row r="2339">
      <c r="A2339" s="5">
        <v>2338.0</v>
      </c>
      <c r="B2339" s="5" t="s">
        <v>2967</v>
      </c>
      <c r="C2339" s="5" t="s">
        <v>21</v>
      </c>
      <c r="K2339" s="5">
        <v>50.0</v>
      </c>
      <c r="N2339" s="9">
        <v>44365.0</v>
      </c>
    </row>
    <row r="2340">
      <c r="A2340" s="5">
        <v>2339.0</v>
      </c>
      <c r="B2340" s="5" t="s">
        <v>2968</v>
      </c>
      <c r="C2340" s="5" t="s">
        <v>21</v>
      </c>
      <c r="K2340" s="5">
        <v>50.0</v>
      </c>
      <c r="N2340" s="9">
        <v>44986.0</v>
      </c>
    </row>
    <row r="2341">
      <c r="A2341" s="5">
        <v>2340.0</v>
      </c>
      <c r="B2341" s="5" t="s">
        <v>2969</v>
      </c>
      <c r="C2341" s="5" t="s">
        <v>21</v>
      </c>
      <c r="K2341" s="5">
        <v>150.0</v>
      </c>
      <c r="N2341" s="9">
        <v>44550.0</v>
      </c>
    </row>
    <row r="2342">
      <c r="A2342" s="5">
        <v>2341.0</v>
      </c>
      <c r="B2342" s="5" t="s">
        <v>2970</v>
      </c>
      <c r="C2342" s="5" t="s">
        <v>21</v>
      </c>
      <c r="K2342" s="5">
        <v>50.0</v>
      </c>
      <c r="N2342" s="9">
        <v>44869.0</v>
      </c>
    </row>
    <row r="2343">
      <c r="A2343" s="5">
        <v>2342.0</v>
      </c>
      <c r="B2343" s="5" t="s">
        <v>2971</v>
      </c>
      <c r="C2343" s="5" t="s">
        <v>21</v>
      </c>
      <c r="K2343" s="5">
        <v>350.0</v>
      </c>
      <c r="N2343" s="9">
        <v>43981.0</v>
      </c>
    </row>
    <row r="2344">
      <c r="A2344" s="5">
        <v>2343.0</v>
      </c>
      <c r="B2344" s="5" t="s">
        <v>2972</v>
      </c>
      <c r="C2344" s="5" t="s">
        <v>21</v>
      </c>
      <c r="K2344" s="5">
        <v>250.0</v>
      </c>
      <c r="N2344" s="9">
        <v>44527.0</v>
      </c>
    </row>
    <row r="2345">
      <c r="A2345" s="5">
        <v>2344.0</v>
      </c>
      <c r="B2345" s="5" t="s">
        <v>2973</v>
      </c>
      <c r="C2345" s="5" t="s">
        <v>21</v>
      </c>
      <c r="K2345" s="5">
        <v>600.0</v>
      </c>
      <c r="N2345" s="9">
        <v>44540.0</v>
      </c>
    </row>
    <row r="2346">
      <c r="A2346" s="5">
        <v>2345.0</v>
      </c>
      <c r="B2346" s="5" t="s">
        <v>2974</v>
      </c>
      <c r="C2346" s="5" t="s">
        <v>21</v>
      </c>
      <c r="K2346" s="5">
        <v>40.0</v>
      </c>
      <c r="N2346" s="9">
        <v>44252.0</v>
      </c>
    </row>
    <row r="2347">
      <c r="A2347" s="5">
        <v>2346.0</v>
      </c>
      <c r="B2347" s="5" t="s">
        <v>2975</v>
      </c>
      <c r="C2347" s="5" t="s">
        <v>21</v>
      </c>
      <c r="K2347" s="5">
        <v>300.0</v>
      </c>
      <c r="N2347" s="9">
        <v>44520.0</v>
      </c>
    </row>
    <row r="2348">
      <c r="A2348" s="5">
        <v>2347.0</v>
      </c>
      <c r="B2348" s="5" t="s">
        <v>2976</v>
      </c>
      <c r="C2348" s="5" t="s">
        <v>21</v>
      </c>
      <c r="K2348" s="5">
        <v>500.0</v>
      </c>
      <c r="N2348" s="9">
        <v>44544.0</v>
      </c>
    </row>
    <row r="2349">
      <c r="A2349" s="5">
        <v>2348.0</v>
      </c>
      <c r="B2349" s="5" t="s">
        <v>2977</v>
      </c>
      <c r="C2349" s="5" t="s">
        <v>21</v>
      </c>
      <c r="N2349" s="9">
        <v>44699.0</v>
      </c>
    </row>
    <row r="2350">
      <c r="A2350" s="5">
        <v>2349.0</v>
      </c>
      <c r="B2350" s="5" t="s">
        <v>2978</v>
      </c>
      <c r="C2350" s="5" t="s">
        <v>21</v>
      </c>
      <c r="K2350" s="5">
        <v>350.0</v>
      </c>
      <c r="N2350" s="9">
        <v>45581.0</v>
      </c>
    </row>
    <row r="2351">
      <c r="A2351" s="5">
        <v>2350.0</v>
      </c>
      <c r="B2351" s="5" t="s">
        <v>2979</v>
      </c>
      <c r="C2351" s="5" t="s">
        <v>21</v>
      </c>
      <c r="K2351" s="5">
        <v>300.0</v>
      </c>
      <c r="N2351" s="9">
        <v>44757.0</v>
      </c>
    </row>
    <row r="2352">
      <c r="A2352" s="5">
        <v>2351.0</v>
      </c>
      <c r="B2352" s="5" t="s">
        <v>2980</v>
      </c>
      <c r="C2352" s="5" t="s">
        <v>21</v>
      </c>
      <c r="K2352" s="5">
        <v>250.0</v>
      </c>
      <c r="N2352" s="9">
        <v>44759.0</v>
      </c>
    </row>
    <row r="2353">
      <c r="A2353" s="5">
        <v>2352.0</v>
      </c>
      <c r="B2353" s="5" t="s">
        <v>2981</v>
      </c>
      <c r="C2353" s="5" t="s">
        <v>21</v>
      </c>
      <c r="K2353" s="5">
        <v>40.0</v>
      </c>
      <c r="N2353" s="9">
        <v>44835.0</v>
      </c>
    </row>
    <row r="2354">
      <c r="A2354" s="5">
        <v>2353.0</v>
      </c>
      <c r="B2354" s="5" t="s">
        <v>2982</v>
      </c>
      <c r="C2354" s="5" t="s">
        <v>21</v>
      </c>
      <c r="K2354" s="5">
        <v>2000.0</v>
      </c>
      <c r="N2354" s="9">
        <v>44031.0</v>
      </c>
    </row>
    <row r="2355">
      <c r="A2355" s="5">
        <v>2354.0</v>
      </c>
      <c r="B2355" s="5" t="s">
        <v>2983</v>
      </c>
      <c r="C2355" s="5" t="s">
        <v>21</v>
      </c>
      <c r="K2355" s="5">
        <v>80.0</v>
      </c>
      <c r="N2355" s="9">
        <v>44524.0</v>
      </c>
    </row>
    <row r="2356">
      <c r="A2356" s="5">
        <v>2355.0</v>
      </c>
      <c r="B2356" s="5" t="s">
        <v>2984</v>
      </c>
      <c r="C2356" s="5" t="s">
        <v>21</v>
      </c>
      <c r="K2356" s="5">
        <v>10.0</v>
      </c>
      <c r="N2356" s="9">
        <v>45509.0</v>
      </c>
    </row>
    <row r="2357">
      <c r="A2357" s="5">
        <v>2356.0</v>
      </c>
      <c r="B2357" s="5" t="s">
        <v>2985</v>
      </c>
      <c r="C2357" s="5" t="s">
        <v>21</v>
      </c>
      <c r="K2357" s="5">
        <v>1800.0</v>
      </c>
      <c r="N2357" s="9">
        <v>43872.0</v>
      </c>
    </row>
    <row r="2358">
      <c r="A2358" s="5">
        <v>2357.0</v>
      </c>
      <c r="B2358" s="5" t="s">
        <v>2986</v>
      </c>
      <c r="C2358" s="5" t="s">
        <v>21</v>
      </c>
      <c r="K2358" s="5">
        <v>150.0</v>
      </c>
      <c r="N2358" s="9">
        <v>45352.0</v>
      </c>
    </row>
    <row r="2359">
      <c r="A2359" s="5">
        <v>2358.0</v>
      </c>
      <c r="B2359" s="5" t="s">
        <v>2987</v>
      </c>
      <c r="C2359" s="5" t="s">
        <v>21</v>
      </c>
      <c r="K2359" s="5">
        <v>250.0</v>
      </c>
      <c r="N2359" s="9">
        <v>44540.0</v>
      </c>
    </row>
    <row r="2360">
      <c r="A2360" s="5">
        <v>2359.0</v>
      </c>
      <c r="B2360" s="5" t="s">
        <v>2988</v>
      </c>
      <c r="C2360" s="5" t="s">
        <v>21</v>
      </c>
      <c r="K2360" s="5">
        <v>150.0</v>
      </c>
      <c r="N2360" s="9">
        <v>44601.0</v>
      </c>
    </row>
    <row r="2361">
      <c r="A2361" s="5">
        <v>2360.0</v>
      </c>
      <c r="B2361" s="5" t="s">
        <v>2989</v>
      </c>
      <c r="C2361" s="5" t="s">
        <v>21</v>
      </c>
      <c r="K2361" s="5">
        <v>300.0</v>
      </c>
      <c r="N2361" s="9">
        <v>45436.0</v>
      </c>
    </row>
    <row r="2362">
      <c r="A2362" s="5">
        <v>2361.0</v>
      </c>
      <c r="B2362" s="5" t="s">
        <v>2990</v>
      </c>
      <c r="C2362" s="5" t="s">
        <v>21</v>
      </c>
      <c r="K2362" s="5">
        <v>100.0</v>
      </c>
      <c r="N2362" s="9">
        <v>44781.0</v>
      </c>
    </row>
    <row r="2363">
      <c r="A2363" s="5">
        <v>2362.0</v>
      </c>
      <c r="B2363" s="5" t="s">
        <v>2991</v>
      </c>
      <c r="C2363" s="5" t="s">
        <v>21</v>
      </c>
      <c r="K2363" s="5">
        <v>200.0</v>
      </c>
      <c r="N2363" s="9">
        <v>44933.0</v>
      </c>
    </row>
    <row r="2364">
      <c r="A2364" s="5">
        <v>2363.0</v>
      </c>
      <c r="B2364" s="5" t="s">
        <v>2992</v>
      </c>
      <c r="C2364" s="5" t="s">
        <v>21</v>
      </c>
      <c r="K2364" s="5">
        <v>1300.0</v>
      </c>
      <c r="N2364" s="9">
        <v>44734.0</v>
      </c>
    </row>
    <row r="2365">
      <c r="A2365" s="5">
        <v>2364.0</v>
      </c>
      <c r="B2365" s="5" t="s">
        <v>2993</v>
      </c>
      <c r="C2365" s="5" t="s">
        <v>21</v>
      </c>
      <c r="K2365" s="5">
        <v>900.0</v>
      </c>
      <c r="N2365" s="9">
        <v>44522.0</v>
      </c>
    </row>
    <row r="2366">
      <c r="A2366" s="5">
        <v>2365.0</v>
      </c>
      <c r="B2366" s="5" t="s">
        <v>2994</v>
      </c>
      <c r="C2366" s="5" t="s">
        <v>21</v>
      </c>
      <c r="K2366" s="5">
        <v>250.0</v>
      </c>
      <c r="N2366" s="9">
        <v>45111.0</v>
      </c>
    </row>
    <row r="2367">
      <c r="A2367" s="5">
        <v>2366.0</v>
      </c>
      <c r="B2367" s="5" t="s">
        <v>2995</v>
      </c>
      <c r="C2367" s="5" t="s">
        <v>21</v>
      </c>
      <c r="K2367" s="5">
        <v>600.0</v>
      </c>
      <c r="N2367" s="9">
        <v>44577.0</v>
      </c>
    </row>
    <row r="2368">
      <c r="A2368" s="5">
        <v>2367.0</v>
      </c>
      <c r="B2368" s="5" t="s">
        <v>2996</v>
      </c>
      <c r="C2368" s="5" t="s">
        <v>21</v>
      </c>
      <c r="K2368" s="5">
        <v>250.0</v>
      </c>
      <c r="N2368" s="9">
        <v>44605.0</v>
      </c>
    </row>
    <row r="2369">
      <c r="A2369" s="5">
        <v>2368.0</v>
      </c>
      <c r="B2369" s="5" t="s">
        <v>2997</v>
      </c>
      <c r="C2369" s="5" t="s">
        <v>21</v>
      </c>
      <c r="K2369" s="5">
        <v>150.0</v>
      </c>
      <c r="N2369" s="9">
        <v>44598.0</v>
      </c>
    </row>
    <row r="2370">
      <c r="A2370" s="5">
        <v>2369.0</v>
      </c>
      <c r="B2370" s="5" t="s">
        <v>2998</v>
      </c>
      <c r="C2370" s="5" t="s">
        <v>21</v>
      </c>
      <c r="K2370" s="5">
        <v>200.0</v>
      </c>
      <c r="N2370" s="9">
        <v>44145.0</v>
      </c>
    </row>
    <row r="2371">
      <c r="A2371" s="5">
        <v>2370.0</v>
      </c>
      <c r="B2371" s="5" t="s">
        <v>2999</v>
      </c>
      <c r="C2371" s="5" t="s">
        <v>21</v>
      </c>
      <c r="K2371" s="5">
        <v>30.0</v>
      </c>
      <c r="N2371" s="9">
        <v>45068.0</v>
      </c>
    </row>
    <row r="2372">
      <c r="A2372" s="5">
        <v>2371.0</v>
      </c>
      <c r="B2372" s="5" t="s">
        <v>3000</v>
      </c>
      <c r="C2372" s="5" t="s">
        <v>21</v>
      </c>
      <c r="K2372" s="5">
        <v>200.0</v>
      </c>
      <c r="N2372" s="9">
        <v>44569.0</v>
      </c>
    </row>
    <row r="2373">
      <c r="A2373" s="5">
        <v>2372.0</v>
      </c>
      <c r="B2373" s="5" t="s">
        <v>3001</v>
      </c>
      <c r="C2373" s="5" t="s">
        <v>21</v>
      </c>
      <c r="K2373" s="5">
        <v>600.0</v>
      </c>
      <c r="N2373" s="9">
        <v>44552.0</v>
      </c>
    </row>
    <row r="2374">
      <c r="A2374" s="5">
        <v>2373.0</v>
      </c>
      <c r="B2374" s="5" t="s">
        <v>3002</v>
      </c>
      <c r="C2374" s="5" t="s">
        <v>21</v>
      </c>
      <c r="K2374" s="5">
        <v>30.0</v>
      </c>
      <c r="N2374" s="9">
        <v>44997.0</v>
      </c>
    </row>
    <row r="2375">
      <c r="A2375" s="5">
        <v>2374.0</v>
      </c>
      <c r="B2375" s="5" t="s">
        <v>3003</v>
      </c>
      <c r="C2375" s="5" t="s">
        <v>21</v>
      </c>
      <c r="K2375" s="5">
        <v>60.0</v>
      </c>
      <c r="N2375" s="9">
        <v>44519.0</v>
      </c>
    </row>
    <row r="2376">
      <c r="A2376" s="5">
        <v>2375.0</v>
      </c>
      <c r="B2376" s="5" t="s">
        <v>3004</v>
      </c>
      <c r="C2376" s="5" t="s">
        <v>21</v>
      </c>
      <c r="K2376" s="5">
        <v>350.0</v>
      </c>
      <c r="N2376" s="9">
        <v>44281.0</v>
      </c>
    </row>
    <row r="2377">
      <c r="A2377" s="5">
        <v>2376.0</v>
      </c>
      <c r="B2377" s="5" t="s">
        <v>3005</v>
      </c>
      <c r="C2377" s="5" t="s">
        <v>21</v>
      </c>
      <c r="K2377" s="5">
        <v>500.0</v>
      </c>
      <c r="N2377" s="9">
        <v>44047.0</v>
      </c>
    </row>
    <row r="2378">
      <c r="A2378" s="5">
        <v>2377.0</v>
      </c>
      <c r="B2378" s="5" t="s">
        <v>3006</v>
      </c>
      <c r="C2378" s="5" t="s">
        <v>21</v>
      </c>
      <c r="K2378" s="5">
        <v>70.0</v>
      </c>
      <c r="N2378" s="9">
        <v>43846.0</v>
      </c>
    </row>
    <row r="2379">
      <c r="A2379" s="5">
        <v>2378.0</v>
      </c>
      <c r="B2379" s="5" t="s">
        <v>3007</v>
      </c>
      <c r="C2379" s="5" t="s">
        <v>21</v>
      </c>
      <c r="K2379" s="5">
        <v>80.0</v>
      </c>
      <c r="N2379" s="9">
        <v>44597.0</v>
      </c>
    </row>
    <row r="2380">
      <c r="A2380" s="5">
        <v>2379.0</v>
      </c>
      <c r="B2380" s="5" t="s">
        <v>3008</v>
      </c>
      <c r="C2380" s="5" t="s">
        <v>21</v>
      </c>
      <c r="K2380" s="5">
        <v>2000.0</v>
      </c>
      <c r="N2380" s="9">
        <v>44143.0</v>
      </c>
    </row>
    <row r="2381">
      <c r="A2381" s="5">
        <v>2380.0</v>
      </c>
      <c r="B2381" s="5" t="s">
        <v>3009</v>
      </c>
      <c r="C2381" s="5" t="s">
        <v>21</v>
      </c>
      <c r="K2381" s="5">
        <v>500.0</v>
      </c>
      <c r="N2381" s="9">
        <v>44789.0</v>
      </c>
    </row>
    <row r="2382">
      <c r="A2382" s="5">
        <v>2381.0</v>
      </c>
      <c r="B2382" s="5" t="s">
        <v>3010</v>
      </c>
      <c r="C2382" s="5" t="s">
        <v>21</v>
      </c>
      <c r="K2382" s="5">
        <v>250.0</v>
      </c>
      <c r="N2382" s="9">
        <v>44519.0</v>
      </c>
    </row>
    <row r="2383">
      <c r="A2383" s="5">
        <v>2382.0</v>
      </c>
      <c r="B2383" s="5" t="s">
        <v>3011</v>
      </c>
      <c r="C2383" s="5" t="s">
        <v>21</v>
      </c>
      <c r="K2383" s="5">
        <v>1300.0</v>
      </c>
      <c r="N2383" s="9">
        <v>44589.0</v>
      </c>
    </row>
    <row r="2384">
      <c r="A2384" s="5">
        <v>2383.0</v>
      </c>
      <c r="B2384" s="5" t="s">
        <v>3012</v>
      </c>
      <c r="C2384" s="5" t="s">
        <v>21</v>
      </c>
      <c r="K2384" s="5">
        <v>100.0</v>
      </c>
      <c r="N2384" s="9">
        <v>43880.0</v>
      </c>
    </row>
    <row r="2385">
      <c r="A2385" s="5">
        <v>2384.0</v>
      </c>
      <c r="B2385" s="5" t="s">
        <v>3013</v>
      </c>
      <c r="C2385" s="5" t="s">
        <v>21</v>
      </c>
      <c r="K2385" s="5">
        <v>1900.0</v>
      </c>
      <c r="N2385" s="9">
        <v>44256.0</v>
      </c>
    </row>
    <row r="2386">
      <c r="A2386" s="5">
        <v>2385.0</v>
      </c>
      <c r="B2386" s="5" t="s">
        <v>3014</v>
      </c>
      <c r="C2386" s="5" t="s">
        <v>21</v>
      </c>
      <c r="K2386" s="5">
        <v>250.0</v>
      </c>
      <c r="N2386" s="9">
        <v>43931.0</v>
      </c>
    </row>
    <row r="2387">
      <c r="A2387" s="5">
        <v>2386.0</v>
      </c>
      <c r="B2387" s="5" t="s">
        <v>3015</v>
      </c>
      <c r="C2387" s="5" t="s">
        <v>21</v>
      </c>
      <c r="K2387" s="5">
        <v>250.0</v>
      </c>
      <c r="N2387" s="9">
        <v>45783.0</v>
      </c>
    </row>
    <row r="2388">
      <c r="A2388" s="5">
        <v>2387.0</v>
      </c>
      <c r="B2388" s="5" t="s">
        <v>3016</v>
      </c>
      <c r="C2388" s="5" t="s">
        <v>21</v>
      </c>
      <c r="K2388" s="5">
        <v>70.0</v>
      </c>
      <c r="N2388" s="9">
        <v>44589.0</v>
      </c>
    </row>
    <row r="2389">
      <c r="A2389" s="5">
        <v>2388.0</v>
      </c>
      <c r="B2389" s="5" t="s">
        <v>3017</v>
      </c>
      <c r="C2389" s="5" t="s">
        <v>21</v>
      </c>
      <c r="K2389" s="5">
        <v>250.0</v>
      </c>
      <c r="N2389" s="9">
        <v>44542.0</v>
      </c>
    </row>
    <row r="2390">
      <c r="A2390" s="5">
        <v>2389.0</v>
      </c>
      <c r="B2390" s="5" t="s">
        <v>3018</v>
      </c>
      <c r="C2390" s="5" t="s">
        <v>21</v>
      </c>
      <c r="K2390" s="5">
        <v>300.0</v>
      </c>
      <c r="N2390" s="9">
        <v>45425.0</v>
      </c>
    </row>
    <row r="2391">
      <c r="A2391" s="5">
        <v>2390.0</v>
      </c>
      <c r="B2391" s="5" t="s">
        <v>3019</v>
      </c>
      <c r="C2391" s="5" t="s">
        <v>21</v>
      </c>
      <c r="K2391" s="5">
        <v>6400.0</v>
      </c>
      <c r="N2391" s="9">
        <v>43970.0</v>
      </c>
    </row>
    <row r="2392">
      <c r="A2392" s="5">
        <v>2391.0</v>
      </c>
      <c r="B2392" s="5" t="s">
        <v>3020</v>
      </c>
      <c r="C2392" s="5" t="s">
        <v>21</v>
      </c>
      <c r="K2392" s="5">
        <v>400.0</v>
      </c>
      <c r="N2392" s="9">
        <v>45658.0</v>
      </c>
    </row>
    <row r="2393">
      <c r="A2393" s="5">
        <v>2392.0</v>
      </c>
      <c r="B2393" s="5" t="s">
        <v>3021</v>
      </c>
      <c r="C2393" s="5" t="s">
        <v>21</v>
      </c>
      <c r="K2393" s="5">
        <v>150.0</v>
      </c>
      <c r="N2393" s="9">
        <v>44999.0</v>
      </c>
    </row>
    <row r="2394">
      <c r="A2394" s="5">
        <v>2393.0</v>
      </c>
      <c r="B2394" s="5" t="s">
        <v>3022</v>
      </c>
      <c r="C2394" s="5" t="s">
        <v>21</v>
      </c>
      <c r="K2394" s="5">
        <v>350.0</v>
      </c>
      <c r="N2394" s="9">
        <v>43957.0</v>
      </c>
    </row>
    <row r="2395">
      <c r="A2395" s="5">
        <v>2394.0</v>
      </c>
      <c r="B2395" s="5" t="s">
        <v>3023</v>
      </c>
      <c r="C2395" s="5" t="s">
        <v>21</v>
      </c>
      <c r="K2395" s="5">
        <v>700.0</v>
      </c>
      <c r="N2395" s="9">
        <v>44528.0</v>
      </c>
    </row>
    <row r="2396">
      <c r="A2396" s="5">
        <v>2395.0</v>
      </c>
      <c r="B2396" s="5" t="s">
        <v>3024</v>
      </c>
      <c r="C2396" s="5" t="s">
        <v>21</v>
      </c>
      <c r="K2396" s="5">
        <v>150.0</v>
      </c>
      <c r="N2396" s="9">
        <v>44702.0</v>
      </c>
    </row>
    <row r="2397">
      <c r="A2397" s="5">
        <v>2396.0</v>
      </c>
      <c r="B2397" s="5" t="s">
        <v>3025</v>
      </c>
      <c r="C2397" s="5" t="s">
        <v>21</v>
      </c>
      <c r="K2397" s="5">
        <v>400.0</v>
      </c>
      <c r="N2397" s="9">
        <v>44750.0</v>
      </c>
    </row>
    <row r="2398">
      <c r="A2398" s="5">
        <v>2397.0</v>
      </c>
      <c r="B2398" s="5" t="s">
        <v>3026</v>
      </c>
      <c r="C2398" s="5" t="s">
        <v>21</v>
      </c>
      <c r="K2398" s="5">
        <v>70.0</v>
      </c>
      <c r="N2398" s="9">
        <v>44513.0</v>
      </c>
    </row>
    <row r="2399">
      <c r="A2399" s="5">
        <v>2398.0</v>
      </c>
      <c r="B2399" s="5" t="s">
        <v>3027</v>
      </c>
      <c r="C2399" s="5" t="s">
        <v>21</v>
      </c>
      <c r="K2399" s="5">
        <v>1100.0</v>
      </c>
      <c r="N2399" s="9">
        <v>44631.0</v>
      </c>
    </row>
    <row r="2400">
      <c r="A2400" s="5">
        <v>2399.0</v>
      </c>
      <c r="B2400" s="5" t="s">
        <v>3028</v>
      </c>
      <c r="C2400" s="5" t="s">
        <v>21</v>
      </c>
      <c r="K2400" s="5">
        <v>150.0</v>
      </c>
      <c r="N2400" s="9">
        <v>44563.0</v>
      </c>
    </row>
    <row r="2401">
      <c r="A2401" s="5">
        <v>2400.0</v>
      </c>
      <c r="B2401" s="5" t="s">
        <v>3029</v>
      </c>
      <c r="C2401" s="5" t="s">
        <v>21</v>
      </c>
      <c r="K2401" s="5">
        <v>200.0</v>
      </c>
      <c r="N2401" s="9">
        <v>44657.0</v>
      </c>
    </row>
    <row r="2402">
      <c r="A2402" s="5">
        <v>2401.0</v>
      </c>
      <c r="B2402" s="5" t="s">
        <v>3030</v>
      </c>
      <c r="C2402" s="5" t="s">
        <v>21</v>
      </c>
      <c r="K2402" s="5">
        <v>150.0</v>
      </c>
      <c r="N2402" s="9">
        <v>44522.0</v>
      </c>
    </row>
    <row r="2403">
      <c r="A2403" s="5">
        <v>2402.0</v>
      </c>
      <c r="B2403" s="5" t="s">
        <v>3031</v>
      </c>
      <c r="C2403" s="5" t="s">
        <v>21</v>
      </c>
      <c r="K2403" s="5">
        <v>1200.0</v>
      </c>
      <c r="N2403" s="9">
        <v>44545.0</v>
      </c>
    </row>
    <row r="2404">
      <c r="A2404" s="5">
        <v>2403.0</v>
      </c>
      <c r="B2404" s="5" t="s">
        <v>3032</v>
      </c>
      <c r="C2404" s="5" t="s">
        <v>21</v>
      </c>
      <c r="K2404" s="5">
        <v>300.0</v>
      </c>
      <c r="N2404" s="9">
        <v>44601.0</v>
      </c>
    </row>
    <row r="2405">
      <c r="A2405" s="5">
        <v>2404.0</v>
      </c>
      <c r="B2405" s="5" t="s">
        <v>3033</v>
      </c>
      <c r="C2405" s="5" t="s">
        <v>21</v>
      </c>
      <c r="K2405" s="5">
        <v>700.0</v>
      </c>
      <c r="N2405" s="9">
        <v>44390.0</v>
      </c>
    </row>
    <row r="2406">
      <c r="A2406" s="5">
        <v>2405.0</v>
      </c>
      <c r="B2406" s="5" t="s">
        <v>3034</v>
      </c>
      <c r="C2406" s="5" t="s">
        <v>21</v>
      </c>
      <c r="K2406" s="5">
        <v>150.0</v>
      </c>
      <c r="N2406" s="9">
        <v>44561.0</v>
      </c>
    </row>
    <row r="2407">
      <c r="A2407" s="5">
        <v>2406.0</v>
      </c>
      <c r="B2407" s="5" t="s">
        <v>3035</v>
      </c>
      <c r="C2407" s="5" t="s">
        <v>21</v>
      </c>
      <c r="K2407" s="5">
        <v>700.0</v>
      </c>
      <c r="N2407" s="9">
        <v>44197.0</v>
      </c>
    </row>
    <row r="2408">
      <c r="A2408" s="5">
        <v>2407.0</v>
      </c>
      <c r="B2408" s="5" t="s">
        <v>3036</v>
      </c>
      <c r="C2408" s="5" t="s">
        <v>21</v>
      </c>
      <c r="K2408" s="5">
        <v>250.0</v>
      </c>
      <c r="N2408" s="9">
        <v>44334.0</v>
      </c>
    </row>
    <row r="2409">
      <c r="A2409" s="5">
        <v>2408.0</v>
      </c>
      <c r="B2409" s="5" t="s">
        <v>3037</v>
      </c>
      <c r="C2409" s="5" t="s">
        <v>21</v>
      </c>
      <c r="K2409" s="5">
        <v>50.0</v>
      </c>
      <c r="N2409" s="9">
        <v>44542.0</v>
      </c>
    </row>
    <row r="2410">
      <c r="A2410" s="5">
        <v>2409.0</v>
      </c>
      <c r="B2410" s="5" t="s">
        <v>3038</v>
      </c>
      <c r="C2410" s="5" t="s">
        <v>21</v>
      </c>
      <c r="K2410" s="5">
        <v>150.0</v>
      </c>
      <c r="N2410" s="9">
        <v>44783.0</v>
      </c>
    </row>
    <row r="2411">
      <c r="A2411" s="5">
        <v>2410.0</v>
      </c>
      <c r="B2411" s="5" t="s">
        <v>3039</v>
      </c>
      <c r="C2411" s="5" t="s">
        <v>21</v>
      </c>
      <c r="K2411" s="5">
        <v>350.0</v>
      </c>
      <c r="N2411" s="9">
        <v>44517.0</v>
      </c>
    </row>
    <row r="2412">
      <c r="A2412" s="5">
        <v>2411.0</v>
      </c>
      <c r="B2412" s="5" t="s">
        <v>3040</v>
      </c>
      <c r="C2412" s="5" t="s">
        <v>21</v>
      </c>
      <c r="K2412" s="5">
        <v>350.0</v>
      </c>
      <c r="N2412" s="9">
        <v>44417.0</v>
      </c>
    </row>
    <row r="2413">
      <c r="A2413" s="5">
        <v>2412.0</v>
      </c>
      <c r="B2413" s="5" t="s">
        <v>3041</v>
      </c>
      <c r="C2413" s="5" t="s">
        <v>21</v>
      </c>
      <c r="K2413" s="5">
        <v>2300.0</v>
      </c>
      <c r="N2413" s="9">
        <v>43933.0</v>
      </c>
    </row>
    <row r="2414">
      <c r="A2414" s="5">
        <v>2413.0</v>
      </c>
      <c r="B2414" s="5" t="s">
        <v>3042</v>
      </c>
      <c r="C2414" s="5" t="s">
        <v>21</v>
      </c>
      <c r="K2414" s="5">
        <v>1100.0</v>
      </c>
      <c r="N2414" s="9">
        <v>44602.0</v>
      </c>
    </row>
    <row r="2415">
      <c r="A2415" s="5">
        <v>2414.0</v>
      </c>
      <c r="B2415" s="5" t="s">
        <v>3043</v>
      </c>
      <c r="C2415" s="5" t="s">
        <v>21</v>
      </c>
      <c r="K2415" s="5">
        <v>20.0</v>
      </c>
      <c r="N2415" s="9">
        <v>44552.0</v>
      </c>
    </row>
    <row r="2416">
      <c r="A2416" s="5">
        <v>2415.0</v>
      </c>
      <c r="B2416" s="5" t="s">
        <v>3044</v>
      </c>
      <c r="C2416" s="5" t="s">
        <v>21</v>
      </c>
      <c r="K2416" s="5">
        <v>10.0</v>
      </c>
      <c r="N2416" s="9">
        <v>44590.0</v>
      </c>
    </row>
    <row r="2417">
      <c r="A2417" s="5">
        <v>2416.0</v>
      </c>
      <c r="B2417" s="5" t="s">
        <v>3045</v>
      </c>
      <c r="C2417" s="5" t="s">
        <v>21</v>
      </c>
      <c r="K2417" s="5">
        <v>10.0</v>
      </c>
      <c r="N2417" s="9">
        <v>44916.0</v>
      </c>
    </row>
    <row r="2418">
      <c r="A2418" s="5">
        <v>2417.0</v>
      </c>
      <c r="B2418" s="5" t="s">
        <v>3046</v>
      </c>
      <c r="C2418" s="5" t="s">
        <v>21</v>
      </c>
      <c r="K2418" s="5">
        <v>1400.0</v>
      </c>
      <c r="N2418" s="9">
        <v>43972.0</v>
      </c>
    </row>
    <row r="2419">
      <c r="A2419" s="5">
        <v>2418.0</v>
      </c>
      <c r="B2419" s="5" t="s">
        <v>3047</v>
      </c>
      <c r="C2419" s="5" t="s">
        <v>21</v>
      </c>
      <c r="K2419" s="5">
        <v>20.0</v>
      </c>
      <c r="N2419" s="9">
        <v>45461.0</v>
      </c>
    </row>
    <row r="2420">
      <c r="A2420" s="5">
        <v>2419.0</v>
      </c>
      <c r="B2420" s="5" t="s">
        <v>3048</v>
      </c>
      <c r="C2420" s="5" t="s">
        <v>21</v>
      </c>
      <c r="K2420" s="5">
        <v>200.0</v>
      </c>
      <c r="N2420" s="9">
        <v>44154.0</v>
      </c>
    </row>
    <row r="2421">
      <c r="A2421" s="5">
        <v>2420.0</v>
      </c>
      <c r="B2421" s="5" t="s">
        <v>3049</v>
      </c>
      <c r="C2421" s="5" t="s">
        <v>21</v>
      </c>
      <c r="K2421" s="5">
        <v>900.0</v>
      </c>
      <c r="N2421" s="9">
        <v>44629.0</v>
      </c>
    </row>
    <row r="2422">
      <c r="A2422" s="5">
        <v>2421.0</v>
      </c>
      <c r="B2422" s="5" t="s">
        <v>3050</v>
      </c>
      <c r="C2422" s="5" t="s">
        <v>21</v>
      </c>
      <c r="K2422" s="5">
        <v>90.0</v>
      </c>
      <c r="N2422" s="9">
        <v>44963.0</v>
      </c>
    </row>
    <row r="2423">
      <c r="A2423" s="5">
        <v>2422.0</v>
      </c>
      <c r="B2423" s="5" t="s">
        <v>3051</v>
      </c>
      <c r="C2423" s="5" t="s">
        <v>21</v>
      </c>
      <c r="K2423" s="5">
        <v>700.0</v>
      </c>
      <c r="N2423" s="9">
        <v>44534.0</v>
      </c>
    </row>
    <row r="2424">
      <c r="A2424" s="5">
        <v>2423.0</v>
      </c>
      <c r="B2424" s="5" t="s">
        <v>3052</v>
      </c>
      <c r="C2424" s="5" t="s">
        <v>21</v>
      </c>
      <c r="K2424" s="5">
        <v>250.0</v>
      </c>
      <c r="N2424" s="9">
        <v>44644.0</v>
      </c>
    </row>
    <row r="2425">
      <c r="A2425" s="5">
        <v>2424.0</v>
      </c>
      <c r="B2425" s="5" t="s">
        <v>3053</v>
      </c>
      <c r="C2425" s="5" t="s">
        <v>21</v>
      </c>
      <c r="K2425" s="5">
        <v>700.0</v>
      </c>
      <c r="N2425" s="9">
        <v>44531.0</v>
      </c>
    </row>
    <row r="2426">
      <c r="A2426" s="5">
        <v>2425.0</v>
      </c>
      <c r="B2426" s="5" t="s">
        <v>3054</v>
      </c>
      <c r="C2426" s="5" t="s">
        <v>21</v>
      </c>
      <c r="K2426" s="5">
        <v>1000.0</v>
      </c>
      <c r="N2426" s="9">
        <v>45346.0</v>
      </c>
    </row>
    <row r="2427">
      <c r="A2427" s="5">
        <v>2426.0</v>
      </c>
      <c r="B2427" s="5" t="s">
        <v>3055</v>
      </c>
      <c r="C2427" s="5" t="s">
        <v>21</v>
      </c>
      <c r="K2427" s="5">
        <v>450.0</v>
      </c>
      <c r="N2427" s="9">
        <v>44028.0</v>
      </c>
    </row>
    <row r="2428">
      <c r="A2428" s="5">
        <v>2427.0</v>
      </c>
      <c r="B2428" s="5" t="s">
        <v>3056</v>
      </c>
      <c r="C2428" s="5" t="s">
        <v>21</v>
      </c>
      <c r="K2428" s="5">
        <v>200.0</v>
      </c>
      <c r="N2428" s="9">
        <v>44872.0</v>
      </c>
    </row>
    <row r="2429">
      <c r="A2429" s="5">
        <v>2428.0</v>
      </c>
      <c r="B2429" s="5" t="s">
        <v>3057</v>
      </c>
      <c r="C2429" s="5" t="s">
        <v>21</v>
      </c>
      <c r="K2429" s="5">
        <v>1000.0</v>
      </c>
      <c r="N2429" s="9">
        <v>43873.0</v>
      </c>
    </row>
    <row r="2430">
      <c r="A2430" s="5">
        <v>2429.0</v>
      </c>
      <c r="B2430" s="5" t="s">
        <v>3058</v>
      </c>
      <c r="C2430" s="5" t="s">
        <v>21</v>
      </c>
      <c r="K2430" s="5">
        <v>1000.0</v>
      </c>
      <c r="N2430" s="9">
        <v>43859.0</v>
      </c>
    </row>
    <row r="2431">
      <c r="A2431" s="5">
        <v>2430.0</v>
      </c>
      <c r="B2431" s="5" t="s">
        <v>3059</v>
      </c>
      <c r="C2431" s="5" t="s">
        <v>21</v>
      </c>
      <c r="K2431" s="5">
        <v>600.0</v>
      </c>
      <c r="N2431" s="9">
        <v>44644.0</v>
      </c>
    </row>
    <row r="2432">
      <c r="A2432" s="5">
        <v>2431.0</v>
      </c>
      <c r="B2432" s="5" t="s">
        <v>3060</v>
      </c>
      <c r="C2432" s="5" t="s">
        <v>21</v>
      </c>
      <c r="K2432" s="5">
        <v>150.0</v>
      </c>
      <c r="N2432" s="9">
        <v>44777.0</v>
      </c>
    </row>
    <row r="2433">
      <c r="A2433" s="5">
        <v>2432.0</v>
      </c>
      <c r="B2433" s="5" t="s">
        <v>3061</v>
      </c>
      <c r="C2433" s="5" t="s">
        <v>21</v>
      </c>
      <c r="K2433" s="5">
        <v>600.0</v>
      </c>
      <c r="N2433" s="9">
        <v>44251.0</v>
      </c>
    </row>
    <row r="2434">
      <c r="A2434" s="5">
        <v>2433.0</v>
      </c>
      <c r="B2434" s="5" t="s">
        <v>3062</v>
      </c>
      <c r="C2434" s="5" t="s">
        <v>21</v>
      </c>
      <c r="K2434" s="5">
        <v>250.0</v>
      </c>
      <c r="N2434" s="9">
        <v>44403.0</v>
      </c>
    </row>
    <row r="2435">
      <c r="A2435" s="5">
        <v>2434.0</v>
      </c>
      <c r="B2435" s="5" t="s">
        <v>3063</v>
      </c>
      <c r="C2435" s="5" t="s">
        <v>21</v>
      </c>
      <c r="K2435" s="5">
        <v>2500.0</v>
      </c>
      <c r="N2435" s="9">
        <v>44106.0</v>
      </c>
    </row>
    <row r="2436">
      <c r="A2436" s="5">
        <v>2435.0</v>
      </c>
      <c r="B2436" s="5" t="s">
        <v>85</v>
      </c>
      <c r="C2436" s="5" t="s">
        <v>21</v>
      </c>
      <c r="K2436" s="5">
        <v>100.0</v>
      </c>
      <c r="N2436" s="9">
        <v>45095.0</v>
      </c>
    </row>
    <row r="2437">
      <c r="A2437" s="5">
        <v>2436.0</v>
      </c>
      <c r="B2437" s="5" t="s">
        <v>3064</v>
      </c>
      <c r="C2437" s="5" t="s">
        <v>21</v>
      </c>
      <c r="K2437" s="5">
        <v>700.0</v>
      </c>
      <c r="N2437" s="9">
        <v>44490.0</v>
      </c>
    </row>
    <row r="2438">
      <c r="A2438" s="5">
        <v>2437.0</v>
      </c>
      <c r="B2438" s="5" t="s">
        <v>3065</v>
      </c>
      <c r="C2438" s="5" t="s">
        <v>21</v>
      </c>
      <c r="N2438" s="9">
        <v>44764.0</v>
      </c>
    </row>
    <row r="2439">
      <c r="A2439" s="5">
        <v>2438.0</v>
      </c>
      <c r="B2439" s="5" t="s">
        <v>3066</v>
      </c>
      <c r="C2439" s="5" t="s">
        <v>21</v>
      </c>
      <c r="K2439" s="5">
        <v>300.0</v>
      </c>
      <c r="N2439" s="9">
        <v>44394.0</v>
      </c>
    </row>
    <row r="2440">
      <c r="A2440" s="5">
        <v>2439.0</v>
      </c>
      <c r="B2440" s="5" t="s">
        <v>3067</v>
      </c>
      <c r="C2440" s="5" t="s">
        <v>21</v>
      </c>
      <c r="K2440" s="5">
        <v>200.0</v>
      </c>
      <c r="N2440" s="9">
        <v>44614.0</v>
      </c>
    </row>
    <row r="2441">
      <c r="A2441" s="5">
        <v>2440.0</v>
      </c>
      <c r="B2441" s="5" t="s">
        <v>3068</v>
      </c>
      <c r="C2441" s="5" t="s">
        <v>21</v>
      </c>
      <c r="K2441" s="5">
        <v>2400.0</v>
      </c>
      <c r="N2441" s="9">
        <v>44395.0</v>
      </c>
    </row>
    <row r="2442">
      <c r="A2442" s="5">
        <v>2441.0</v>
      </c>
      <c r="B2442" s="5" t="s">
        <v>3069</v>
      </c>
      <c r="C2442" s="5" t="s">
        <v>21</v>
      </c>
      <c r="K2442" s="5">
        <v>1400.0</v>
      </c>
      <c r="N2442" s="9">
        <v>43975.0</v>
      </c>
    </row>
    <row r="2443">
      <c r="A2443" s="5">
        <v>2442.0</v>
      </c>
      <c r="B2443" s="5" t="s">
        <v>3070</v>
      </c>
      <c r="C2443" s="5" t="s">
        <v>21</v>
      </c>
      <c r="K2443" s="5">
        <v>70.0</v>
      </c>
      <c r="N2443" s="9">
        <v>45146.0</v>
      </c>
    </row>
    <row r="2444">
      <c r="A2444" s="5">
        <v>2443.0</v>
      </c>
      <c r="B2444" s="5" t="s">
        <v>3071</v>
      </c>
      <c r="C2444" s="5" t="s">
        <v>21</v>
      </c>
      <c r="K2444" s="5">
        <v>1000.0</v>
      </c>
      <c r="N2444" s="9">
        <v>44603.0</v>
      </c>
    </row>
    <row r="2445">
      <c r="A2445" s="5">
        <v>2444.0</v>
      </c>
      <c r="B2445" s="5" t="s">
        <v>3072</v>
      </c>
      <c r="C2445" s="5" t="s">
        <v>21</v>
      </c>
      <c r="K2445" s="5">
        <v>9700.0</v>
      </c>
      <c r="N2445" s="9">
        <v>44725.0</v>
      </c>
    </row>
    <row r="2446">
      <c r="A2446" s="5">
        <v>2445.0</v>
      </c>
      <c r="B2446" s="5" t="s">
        <v>3073</v>
      </c>
      <c r="C2446" s="5" t="s">
        <v>21</v>
      </c>
      <c r="K2446" s="5">
        <v>250.0</v>
      </c>
      <c r="N2446" s="9">
        <v>44579.0</v>
      </c>
    </row>
    <row r="2447">
      <c r="A2447" s="5">
        <v>2446.0</v>
      </c>
      <c r="B2447" s="5" t="s">
        <v>3074</v>
      </c>
      <c r="C2447" s="5" t="s">
        <v>21</v>
      </c>
      <c r="K2447" s="5">
        <v>250.0</v>
      </c>
      <c r="N2447" s="9">
        <v>44952.0</v>
      </c>
    </row>
    <row r="2448">
      <c r="A2448" s="5">
        <v>2447.0</v>
      </c>
      <c r="B2448" s="5" t="s">
        <v>3075</v>
      </c>
      <c r="C2448" s="5" t="s">
        <v>21</v>
      </c>
      <c r="K2448" s="5">
        <v>300.0</v>
      </c>
      <c r="N2448" s="9">
        <v>44562.0</v>
      </c>
    </row>
    <row r="2449">
      <c r="A2449" s="5">
        <v>2448.0</v>
      </c>
      <c r="B2449" s="5" t="s">
        <v>3076</v>
      </c>
      <c r="C2449" s="5" t="s">
        <v>21</v>
      </c>
      <c r="K2449" s="5">
        <v>1000.0</v>
      </c>
      <c r="N2449" s="9">
        <v>44573.0</v>
      </c>
    </row>
    <row r="2450">
      <c r="A2450" s="5">
        <v>2449.0</v>
      </c>
      <c r="B2450" s="5" t="s">
        <v>158</v>
      </c>
      <c r="C2450" s="5" t="s">
        <v>21</v>
      </c>
      <c r="K2450" s="5">
        <v>2400.0</v>
      </c>
      <c r="N2450" s="9">
        <v>44047.0</v>
      </c>
    </row>
    <row r="2451">
      <c r="A2451" s="5">
        <v>2450.0</v>
      </c>
      <c r="B2451" s="5" t="s">
        <v>3077</v>
      </c>
      <c r="C2451" s="5" t="s">
        <v>21</v>
      </c>
      <c r="K2451" s="5">
        <v>1200.0</v>
      </c>
      <c r="N2451" s="9">
        <v>44762.0</v>
      </c>
    </row>
    <row r="2452">
      <c r="A2452" s="5">
        <v>2451.0</v>
      </c>
      <c r="B2452" s="5" t="s">
        <v>3078</v>
      </c>
      <c r="C2452" s="5" t="s">
        <v>21</v>
      </c>
      <c r="N2452" s="9">
        <v>43891.0</v>
      </c>
    </row>
    <row r="2453">
      <c r="A2453" s="5">
        <v>2452.0</v>
      </c>
      <c r="B2453" s="5" t="s">
        <v>3079</v>
      </c>
      <c r="C2453" s="5" t="s">
        <v>21</v>
      </c>
      <c r="K2453" s="5">
        <v>50.0</v>
      </c>
      <c r="N2453" s="9">
        <v>45105.0</v>
      </c>
    </row>
    <row r="2454">
      <c r="A2454" s="5">
        <v>2453.0</v>
      </c>
      <c r="B2454" s="5" t="s">
        <v>3080</v>
      </c>
      <c r="C2454" s="5" t="s">
        <v>21</v>
      </c>
      <c r="K2454" s="5">
        <v>350.0</v>
      </c>
      <c r="N2454" s="9">
        <v>43919.0</v>
      </c>
    </row>
    <row r="2455">
      <c r="A2455" s="5">
        <v>2454.0</v>
      </c>
      <c r="B2455" s="5" t="s">
        <v>3081</v>
      </c>
      <c r="C2455" s="5" t="s">
        <v>21</v>
      </c>
      <c r="K2455" s="5">
        <v>18000.0</v>
      </c>
      <c r="N2455" s="9">
        <v>46091.0</v>
      </c>
    </row>
    <row r="2456">
      <c r="A2456" s="5">
        <v>2455.0</v>
      </c>
      <c r="B2456" s="5" t="s">
        <v>3082</v>
      </c>
      <c r="C2456" s="5" t="s">
        <v>21</v>
      </c>
      <c r="K2456" s="5">
        <v>100.0</v>
      </c>
      <c r="N2456" s="9">
        <v>44532.0</v>
      </c>
    </row>
    <row r="2457">
      <c r="A2457" s="5">
        <v>2456.0</v>
      </c>
      <c r="B2457" s="5" t="s">
        <v>3083</v>
      </c>
      <c r="C2457" s="5" t="s">
        <v>21</v>
      </c>
      <c r="K2457" s="5">
        <v>700.0</v>
      </c>
      <c r="N2457" s="9">
        <v>44746.0</v>
      </c>
    </row>
    <row r="2458">
      <c r="A2458" s="5">
        <v>2457.0</v>
      </c>
      <c r="B2458" s="5" t="s">
        <v>3084</v>
      </c>
      <c r="C2458" s="5" t="s">
        <v>21</v>
      </c>
      <c r="K2458" s="5">
        <v>5700.0</v>
      </c>
      <c r="N2458" s="9">
        <v>44210.0</v>
      </c>
    </row>
    <row r="2459">
      <c r="A2459" s="5">
        <v>2458.0</v>
      </c>
      <c r="B2459" s="5" t="s">
        <v>3085</v>
      </c>
      <c r="C2459" s="5" t="s">
        <v>21</v>
      </c>
      <c r="K2459" s="5">
        <v>600.0</v>
      </c>
      <c r="N2459" s="9">
        <v>44250.0</v>
      </c>
    </row>
    <row r="2460">
      <c r="A2460" s="5">
        <v>2459.0</v>
      </c>
      <c r="B2460" s="5" t="s">
        <v>3086</v>
      </c>
      <c r="C2460" s="5" t="s">
        <v>21</v>
      </c>
      <c r="K2460" s="5">
        <v>150.0</v>
      </c>
      <c r="N2460" s="9">
        <v>44582.0</v>
      </c>
    </row>
    <row r="2461">
      <c r="A2461" s="5">
        <v>2460.0</v>
      </c>
      <c r="B2461" s="5" t="s">
        <v>3087</v>
      </c>
      <c r="C2461" s="5" t="s">
        <v>21</v>
      </c>
      <c r="K2461" s="5">
        <v>450.0</v>
      </c>
      <c r="N2461" s="9">
        <v>44533.0</v>
      </c>
    </row>
    <row r="2462">
      <c r="A2462" s="5">
        <v>2461.0</v>
      </c>
      <c r="B2462" s="5" t="s">
        <v>3088</v>
      </c>
      <c r="C2462" s="5" t="s">
        <v>21</v>
      </c>
      <c r="K2462" s="5">
        <v>60.0</v>
      </c>
      <c r="N2462" s="9">
        <v>45010.0</v>
      </c>
    </row>
    <row r="2463">
      <c r="A2463" s="5">
        <v>2462.0</v>
      </c>
      <c r="B2463" s="5" t="s">
        <v>3089</v>
      </c>
      <c r="C2463" s="5" t="s">
        <v>21</v>
      </c>
      <c r="K2463" s="5">
        <v>150.0</v>
      </c>
      <c r="N2463" s="9">
        <v>44602.0</v>
      </c>
    </row>
    <row r="2464">
      <c r="A2464" s="5">
        <v>2463.0</v>
      </c>
      <c r="B2464" s="5" t="s">
        <v>3090</v>
      </c>
      <c r="C2464" s="5" t="s">
        <v>21</v>
      </c>
      <c r="K2464" s="5">
        <v>150.0</v>
      </c>
      <c r="N2464" s="9">
        <v>45268.0</v>
      </c>
    </row>
    <row r="2465">
      <c r="A2465" s="5">
        <v>2464.0</v>
      </c>
      <c r="B2465" s="5" t="s">
        <v>3091</v>
      </c>
      <c r="C2465" s="5" t="s">
        <v>21</v>
      </c>
      <c r="K2465" s="5">
        <v>10.0</v>
      </c>
      <c r="N2465" s="9">
        <v>45529.0</v>
      </c>
    </row>
    <row r="2466">
      <c r="A2466" s="5">
        <v>2465.0</v>
      </c>
      <c r="B2466" s="5" t="s">
        <v>3092</v>
      </c>
      <c r="C2466" s="5" t="s">
        <v>21</v>
      </c>
      <c r="K2466" s="5">
        <v>200.0</v>
      </c>
      <c r="N2466" s="9">
        <v>44591.0</v>
      </c>
    </row>
    <row r="2467">
      <c r="A2467" s="5">
        <v>2466.0</v>
      </c>
      <c r="B2467" s="5" t="s">
        <v>3093</v>
      </c>
      <c r="C2467" s="5" t="s">
        <v>21</v>
      </c>
      <c r="N2467" s="9">
        <v>44634.0</v>
      </c>
    </row>
    <row r="2468">
      <c r="A2468" s="5">
        <v>2467.0</v>
      </c>
      <c r="B2468" s="5" t="s">
        <v>3094</v>
      </c>
      <c r="C2468" s="5" t="s">
        <v>21</v>
      </c>
      <c r="K2468" s="5">
        <v>200.0</v>
      </c>
      <c r="N2468" s="9">
        <v>44759.0</v>
      </c>
    </row>
    <row r="2469">
      <c r="A2469" s="5">
        <v>2468.0</v>
      </c>
      <c r="B2469" s="5" t="s">
        <v>3095</v>
      </c>
      <c r="C2469" s="5" t="s">
        <v>21</v>
      </c>
      <c r="K2469" s="5">
        <v>40.0</v>
      </c>
      <c r="N2469" s="9">
        <v>44605.0</v>
      </c>
    </row>
    <row r="2470">
      <c r="A2470" s="5">
        <v>2469.0</v>
      </c>
      <c r="B2470" s="5" t="s">
        <v>3096</v>
      </c>
      <c r="C2470" s="5" t="s">
        <v>21</v>
      </c>
      <c r="K2470" s="5">
        <v>200.0</v>
      </c>
      <c r="N2470" s="9">
        <v>43855.0</v>
      </c>
    </row>
    <row r="2471">
      <c r="A2471" s="5">
        <v>2470.0</v>
      </c>
      <c r="B2471" s="5" t="s">
        <v>3097</v>
      </c>
      <c r="C2471" s="5" t="s">
        <v>21</v>
      </c>
      <c r="K2471" s="5">
        <v>100.0</v>
      </c>
      <c r="N2471" s="9">
        <v>45323.0</v>
      </c>
    </row>
    <row r="2472">
      <c r="A2472" s="5">
        <v>2471.0</v>
      </c>
      <c r="B2472" s="5" t="s">
        <v>3098</v>
      </c>
      <c r="C2472" s="5" t="s">
        <v>21</v>
      </c>
      <c r="K2472" s="5">
        <v>300.0</v>
      </c>
      <c r="N2472" s="9">
        <v>45226.0</v>
      </c>
    </row>
    <row r="2473">
      <c r="A2473" s="5">
        <v>2472.0</v>
      </c>
      <c r="B2473" s="5" t="s">
        <v>3099</v>
      </c>
      <c r="C2473" s="5" t="s">
        <v>21</v>
      </c>
      <c r="K2473" s="5">
        <v>700.0</v>
      </c>
      <c r="N2473" s="9">
        <v>44482.0</v>
      </c>
    </row>
    <row r="2474">
      <c r="A2474" s="5">
        <v>2473.0</v>
      </c>
      <c r="B2474" s="5" t="s">
        <v>3100</v>
      </c>
      <c r="C2474" s="5" t="s">
        <v>21</v>
      </c>
      <c r="K2474" s="5">
        <v>40.0</v>
      </c>
      <c r="N2474" s="9">
        <v>44519.0</v>
      </c>
    </row>
    <row r="2475">
      <c r="A2475" s="5">
        <v>2474.0</v>
      </c>
      <c r="B2475" s="5" t="s">
        <v>3101</v>
      </c>
      <c r="C2475" s="5" t="s">
        <v>21</v>
      </c>
      <c r="K2475" s="5">
        <v>400.0</v>
      </c>
      <c r="N2475" s="9">
        <v>45630.0</v>
      </c>
    </row>
    <row r="2476">
      <c r="A2476" s="5">
        <v>2475.0</v>
      </c>
      <c r="B2476" s="5" t="s">
        <v>3102</v>
      </c>
      <c r="C2476" s="5" t="s">
        <v>21</v>
      </c>
      <c r="K2476" s="5">
        <v>300.0</v>
      </c>
      <c r="N2476" s="9">
        <v>43970.0</v>
      </c>
    </row>
    <row r="2477">
      <c r="A2477" s="5">
        <v>2476.0</v>
      </c>
      <c r="B2477" s="5" t="s">
        <v>3103</v>
      </c>
      <c r="C2477" s="5" t="s">
        <v>21</v>
      </c>
      <c r="K2477" s="5">
        <v>60.0</v>
      </c>
      <c r="N2477" s="9">
        <v>44788.0</v>
      </c>
    </row>
    <row r="2478">
      <c r="A2478" s="5">
        <v>2477.0</v>
      </c>
      <c r="B2478" s="5" t="s">
        <v>3104</v>
      </c>
      <c r="C2478" s="5" t="s">
        <v>21</v>
      </c>
      <c r="K2478" s="5">
        <v>1000.0</v>
      </c>
      <c r="N2478" s="9">
        <v>43899.0</v>
      </c>
    </row>
    <row r="2479">
      <c r="A2479" s="5">
        <v>2478.0</v>
      </c>
      <c r="B2479" s="5" t="s">
        <v>3105</v>
      </c>
      <c r="C2479" s="5" t="s">
        <v>21</v>
      </c>
      <c r="K2479" s="5">
        <v>800.0</v>
      </c>
      <c r="N2479" s="9">
        <v>44359.0</v>
      </c>
    </row>
    <row r="2480">
      <c r="A2480" s="5">
        <v>2479.0</v>
      </c>
      <c r="B2480" s="5" t="s">
        <v>3106</v>
      </c>
      <c r="C2480" s="5" t="s">
        <v>21</v>
      </c>
      <c r="K2480" s="5">
        <v>1600.0</v>
      </c>
      <c r="N2480" s="9">
        <v>44348.0</v>
      </c>
    </row>
    <row r="2481">
      <c r="A2481" s="5">
        <v>2480.0</v>
      </c>
      <c r="B2481" s="5" t="s">
        <v>3107</v>
      </c>
      <c r="C2481" s="5" t="s">
        <v>21</v>
      </c>
      <c r="K2481" s="5">
        <v>2900.0</v>
      </c>
      <c r="N2481" s="9">
        <v>44058.0</v>
      </c>
    </row>
    <row r="2482">
      <c r="A2482" s="5">
        <v>2481.0</v>
      </c>
      <c r="B2482" s="5" t="s">
        <v>3108</v>
      </c>
      <c r="C2482" s="5" t="s">
        <v>21</v>
      </c>
      <c r="K2482" s="5">
        <v>1000.0</v>
      </c>
      <c r="N2482" s="9">
        <v>44063.0</v>
      </c>
    </row>
    <row r="2483">
      <c r="A2483" s="5">
        <v>2482.0</v>
      </c>
      <c r="B2483" s="5" t="s">
        <v>3109</v>
      </c>
      <c r="C2483" s="5" t="s">
        <v>21</v>
      </c>
      <c r="K2483" s="5">
        <v>250.0</v>
      </c>
      <c r="N2483" s="9">
        <v>44979.0</v>
      </c>
    </row>
    <row r="2484">
      <c r="A2484" s="5">
        <v>2483.0</v>
      </c>
      <c r="B2484" s="5" t="s">
        <v>3110</v>
      </c>
      <c r="C2484" s="5" t="s">
        <v>21</v>
      </c>
      <c r="K2484" s="5">
        <v>800.0</v>
      </c>
      <c r="N2484" s="9">
        <v>44206.0</v>
      </c>
    </row>
    <row r="2485">
      <c r="A2485" s="5">
        <v>2484.0</v>
      </c>
      <c r="B2485" s="5" t="s">
        <v>3111</v>
      </c>
      <c r="C2485" s="5" t="s">
        <v>21</v>
      </c>
      <c r="K2485" s="5">
        <v>150.0</v>
      </c>
      <c r="N2485" s="9">
        <v>45072.0</v>
      </c>
    </row>
    <row r="2486">
      <c r="A2486" s="5">
        <v>2485.0</v>
      </c>
      <c r="B2486" s="5" t="s">
        <v>3112</v>
      </c>
      <c r="C2486" s="5" t="s">
        <v>21</v>
      </c>
      <c r="K2486" s="5">
        <v>350.0</v>
      </c>
      <c r="N2486" s="9">
        <v>44201.0</v>
      </c>
    </row>
    <row r="2487">
      <c r="A2487" s="5">
        <v>2486.0</v>
      </c>
      <c r="B2487" s="5" t="s">
        <v>3113</v>
      </c>
      <c r="C2487" s="5" t="s">
        <v>21</v>
      </c>
      <c r="K2487" s="5">
        <v>200.0</v>
      </c>
      <c r="N2487" s="9">
        <v>45158.0</v>
      </c>
    </row>
    <row r="2488">
      <c r="A2488" s="5">
        <v>2487.0</v>
      </c>
      <c r="B2488" s="5" t="s">
        <v>3114</v>
      </c>
      <c r="C2488" s="5" t="s">
        <v>21</v>
      </c>
      <c r="K2488" s="5">
        <v>350.0</v>
      </c>
      <c r="N2488" s="9">
        <v>43963.0</v>
      </c>
    </row>
    <row r="2489">
      <c r="A2489" s="5">
        <v>2488.0</v>
      </c>
      <c r="B2489" s="5" t="s">
        <v>3115</v>
      </c>
      <c r="C2489" s="5" t="s">
        <v>21</v>
      </c>
      <c r="K2489" s="5">
        <v>300.0</v>
      </c>
      <c r="N2489" s="9">
        <v>45340.0</v>
      </c>
    </row>
    <row r="2490">
      <c r="A2490" s="5">
        <v>2489.0</v>
      </c>
      <c r="B2490" s="5" t="s">
        <v>3116</v>
      </c>
      <c r="C2490" s="5" t="s">
        <v>21</v>
      </c>
      <c r="K2490" s="5">
        <v>150.0</v>
      </c>
      <c r="N2490" s="9">
        <v>44496.0</v>
      </c>
    </row>
    <row r="2491">
      <c r="A2491" s="5">
        <v>2490.0</v>
      </c>
      <c r="B2491" s="5" t="s">
        <v>3117</v>
      </c>
      <c r="C2491" s="5" t="s">
        <v>21</v>
      </c>
      <c r="K2491" s="5">
        <v>500.0</v>
      </c>
      <c r="N2491" s="9">
        <v>44833.0</v>
      </c>
    </row>
    <row r="2492">
      <c r="A2492" s="5">
        <v>2491.0</v>
      </c>
      <c r="B2492" s="5" t="s">
        <v>3118</v>
      </c>
      <c r="C2492" s="5" t="s">
        <v>21</v>
      </c>
      <c r="K2492" s="5">
        <v>500.0</v>
      </c>
      <c r="N2492" s="9">
        <v>44155.0</v>
      </c>
    </row>
    <row r="2493">
      <c r="A2493" s="5">
        <v>2492.0</v>
      </c>
      <c r="B2493" s="5" t="s">
        <v>3119</v>
      </c>
      <c r="C2493" s="5" t="s">
        <v>21</v>
      </c>
      <c r="K2493" s="5">
        <v>300.0</v>
      </c>
      <c r="N2493" s="9">
        <v>44567.0</v>
      </c>
    </row>
    <row r="2494">
      <c r="A2494" s="5">
        <v>2493.0</v>
      </c>
      <c r="B2494" s="5" t="s">
        <v>3120</v>
      </c>
      <c r="C2494" s="5" t="s">
        <v>21</v>
      </c>
      <c r="N2494" s="9">
        <v>43848.0</v>
      </c>
    </row>
    <row r="2495">
      <c r="A2495" s="5">
        <v>2494.0</v>
      </c>
      <c r="B2495" s="5" t="s">
        <v>3121</v>
      </c>
      <c r="C2495" s="5" t="s">
        <v>21</v>
      </c>
      <c r="K2495" s="5">
        <v>450.0</v>
      </c>
      <c r="N2495" s="9">
        <v>44359.0</v>
      </c>
    </row>
    <row r="2496">
      <c r="A2496" s="5">
        <v>2495.0</v>
      </c>
      <c r="B2496" s="5" t="s">
        <v>3122</v>
      </c>
      <c r="C2496" s="5" t="s">
        <v>21</v>
      </c>
      <c r="K2496" s="5">
        <v>250.0</v>
      </c>
      <c r="N2496" s="9">
        <v>44090.0</v>
      </c>
    </row>
    <row r="2497">
      <c r="A2497" s="5">
        <v>2496.0</v>
      </c>
      <c r="B2497" s="5" t="s">
        <v>87</v>
      </c>
      <c r="C2497" s="5" t="s">
        <v>21</v>
      </c>
      <c r="K2497" s="5">
        <v>30.0</v>
      </c>
      <c r="N2497" s="9">
        <v>44124.0</v>
      </c>
    </row>
    <row r="2498">
      <c r="A2498" s="5">
        <v>2497.0</v>
      </c>
      <c r="B2498" s="5" t="s">
        <v>3123</v>
      </c>
      <c r="C2498" s="5" t="s">
        <v>21</v>
      </c>
      <c r="K2498" s="5">
        <v>27000.0</v>
      </c>
      <c r="N2498" s="9">
        <v>46085.0</v>
      </c>
    </row>
    <row r="2499">
      <c r="A2499" s="5">
        <v>2498.0</v>
      </c>
      <c r="B2499" s="5" t="s">
        <v>3124</v>
      </c>
      <c r="C2499" s="5" t="s">
        <v>21</v>
      </c>
      <c r="K2499" s="5">
        <v>1200.0</v>
      </c>
      <c r="N2499" s="9">
        <v>44038.0</v>
      </c>
    </row>
    <row r="2500">
      <c r="A2500" s="5">
        <v>2499.0</v>
      </c>
      <c r="B2500" s="5" t="s">
        <v>3125</v>
      </c>
      <c r="C2500" s="5" t="s">
        <v>21</v>
      </c>
      <c r="K2500" s="5">
        <v>40.0</v>
      </c>
      <c r="N2500" s="9">
        <v>45117.0</v>
      </c>
    </row>
    <row r="2501">
      <c r="A2501" s="5">
        <v>2500.0</v>
      </c>
      <c r="B2501" s="5" t="s">
        <v>159</v>
      </c>
      <c r="C2501" s="5" t="s">
        <v>21</v>
      </c>
      <c r="K2501" s="5">
        <v>1400.0</v>
      </c>
      <c r="N2501" s="9">
        <v>44946.0</v>
      </c>
    </row>
    <row r="2502">
      <c r="A2502" s="5">
        <v>2501.0</v>
      </c>
      <c r="B2502" s="5" t="s">
        <v>3126</v>
      </c>
      <c r="C2502" s="5" t="s">
        <v>21</v>
      </c>
      <c r="K2502" s="5">
        <v>90.0</v>
      </c>
      <c r="N2502" s="9">
        <v>43985.0</v>
      </c>
    </row>
    <row r="2503">
      <c r="A2503" s="5">
        <v>2502.0</v>
      </c>
      <c r="B2503" s="5" t="s">
        <v>3127</v>
      </c>
      <c r="C2503" s="5" t="s">
        <v>21</v>
      </c>
      <c r="K2503" s="5">
        <v>1300.0</v>
      </c>
      <c r="N2503" s="9">
        <v>44095.0</v>
      </c>
    </row>
    <row r="2504">
      <c r="A2504" s="5">
        <v>2503.0</v>
      </c>
      <c r="B2504" s="5" t="s">
        <v>3128</v>
      </c>
      <c r="C2504" s="5" t="s">
        <v>21</v>
      </c>
      <c r="K2504" s="5">
        <v>350.0</v>
      </c>
      <c r="N2504" s="9">
        <v>44252.0</v>
      </c>
    </row>
    <row r="2505">
      <c r="A2505" s="5">
        <v>2504.0</v>
      </c>
      <c r="B2505" s="5" t="s">
        <v>3129</v>
      </c>
      <c r="C2505" s="5" t="s">
        <v>21</v>
      </c>
      <c r="K2505" s="5">
        <v>600.0</v>
      </c>
      <c r="N2505" s="9">
        <v>44598.0</v>
      </c>
    </row>
    <row r="2506">
      <c r="A2506" s="5">
        <v>2505.0</v>
      </c>
      <c r="B2506" s="5" t="s">
        <v>3130</v>
      </c>
      <c r="C2506" s="5" t="s">
        <v>21</v>
      </c>
      <c r="K2506" s="5">
        <v>70.0</v>
      </c>
      <c r="N2506" s="9">
        <v>44281.0</v>
      </c>
    </row>
    <row r="2507">
      <c r="A2507" s="5">
        <v>2506.0</v>
      </c>
      <c r="B2507" s="5" t="s">
        <v>3131</v>
      </c>
      <c r="C2507" s="5" t="s">
        <v>21</v>
      </c>
      <c r="K2507" s="5">
        <v>40.0</v>
      </c>
      <c r="N2507" s="9">
        <v>44610.0</v>
      </c>
    </row>
    <row r="2508">
      <c r="A2508" s="5">
        <v>2507.0</v>
      </c>
      <c r="B2508" s="5" t="s">
        <v>3132</v>
      </c>
      <c r="C2508" s="5" t="s">
        <v>21</v>
      </c>
      <c r="K2508" s="5">
        <v>600.0</v>
      </c>
      <c r="N2508" s="9">
        <v>45321.0</v>
      </c>
    </row>
    <row r="2509">
      <c r="A2509" s="5">
        <v>2508.0</v>
      </c>
      <c r="B2509" s="5" t="s">
        <v>3133</v>
      </c>
      <c r="C2509" s="5" t="s">
        <v>21</v>
      </c>
      <c r="K2509" s="5">
        <v>150.0</v>
      </c>
      <c r="N2509" s="9">
        <v>44739.0</v>
      </c>
    </row>
    <row r="2510">
      <c r="A2510" s="5">
        <v>2509.0</v>
      </c>
      <c r="B2510" s="5" t="s">
        <v>3134</v>
      </c>
      <c r="C2510" s="5" t="s">
        <v>21</v>
      </c>
      <c r="K2510" s="5">
        <v>100.0</v>
      </c>
      <c r="N2510" s="9">
        <v>45044.0</v>
      </c>
    </row>
    <row r="2511">
      <c r="A2511" s="5">
        <v>2510.0</v>
      </c>
      <c r="B2511" s="5" t="s">
        <v>3135</v>
      </c>
      <c r="C2511" s="5" t="s">
        <v>21</v>
      </c>
      <c r="K2511" s="5">
        <v>5900.0</v>
      </c>
      <c r="N2511" s="9">
        <v>45075.0</v>
      </c>
    </row>
    <row r="2512">
      <c r="A2512" s="5">
        <v>2511.0</v>
      </c>
      <c r="B2512" s="5" t="s">
        <v>3136</v>
      </c>
      <c r="C2512" s="5" t="s">
        <v>21</v>
      </c>
      <c r="K2512" s="5">
        <v>90.0</v>
      </c>
      <c r="N2512" s="9">
        <v>45256.0</v>
      </c>
    </row>
    <row r="2513">
      <c r="A2513" s="5">
        <v>2512.0</v>
      </c>
      <c r="B2513" s="5" t="s">
        <v>3137</v>
      </c>
      <c r="C2513" s="5" t="s">
        <v>21</v>
      </c>
      <c r="K2513" s="5">
        <v>30.0</v>
      </c>
      <c r="N2513" s="9">
        <v>44408.0</v>
      </c>
    </row>
    <row r="2514">
      <c r="A2514" s="5">
        <v>2513.0</v>
      </c>
      <c r="B2514" s="5" t="s">
        <v>3138</v>
      </c>
      <c r="C2514" s="5" t="s">
        <v>21</v>
      </c>
      <c r="K2514" s="5">
        <v>250.0</v>
      </c>
      <c r="N2514" s="9">
        <v>44563.0</v>
      </c>
    </row>
    <row r="2515">
      <c r="A2515" s="5">
        <v>2514.0</v>
      </c>
      <c r="B2515" s="5" t="s">
        <v>3139</v>
      </c>
      <c r="C2515" s="5" t="s">
        <v>21</v>
      </c>
      <c r="K2515" s="5">
        <v>700.0</v>
      </c>
      <c r="N2515" s="9">
        <v>44392.0</v>
      </c>
    </row>
    <row r="2516">
      <c r="A2516" s="5">
        <v>2515.0</v>
      </c>
      <c r="B2516" s="5" t="s">
        <v>3140</v>
      </c>
      <c r="C2516" s="5" t="s">
        <v>21</v>
      </c>
      <c r="N2516" s="9">
        <v>44618.0</v>
      </c>
    </row>
    <row r="2517">
      <c r="A2517" s="5">
        <v>2516.0</v>
      </c>
      <c r="B2517" s="5" t="s">
        <v>3141</v>
      </c>
      <c r="C2517" s="5" t="s">
        <v>21</v>
      </c>
      <c r="K2517" s="5">
        <v>60.0</v>
      </c>
      <c r="N2517" s="9">
        <v>44522.0</v>
      </c>
    </row>
    <row r="2518">
      <c r="A2518" s="5">
        <v>2517.0</v>
      </c>
      <c r="B2518" s="5" t="s">
        <v>3142</v>
      </c>
      <c r="C2518" s="5" t="s">
        <v>21</v>
      </c>
      <c r="K2518" s="5">
        <v>4200.0</v>
      </c>
      <c r="N2518" s="9">
        <v>44354.0</v>
      </c>
    </row>
    <row r="2519">
      <c r="A2519" s="5">
        <v>2518.0</v>
      </c>
      <c r="B2519" s="5" t="s">
        <v>3143</v>
      </c>
      <c r="C2519" s="5" t="s">
        <v>21</v>
      </c>
      <c r="N2519" s="9">
        <v>44219.0</v>
      </c>
    </row>
    <row r="2520">
      <c r="A2520" s="5">
        <v>2519.0</v>
      </c>
      <c r="B2520" s="5" t="s">
        <v>3144</v>
      </c>
      <c r="C2520" s="5" t="s">
        <v>21</v>
      </c>
      <c r="N2520" s="9">
        <v>44608.0</v>
      </c>
    </row>
    <row r="2521">
      <c r="A2521" s="5">
        <v>2520.0</v>
      </c>
      <c r="B2521" s="5" t="s">
        <v>3145</v>
      </c>
      <c r="C2521" s="5" t="s">
        <v>21</v>
      </c>
      <c r="K2521" s="5">
        <v>150.0</v>
      </c>
      <c r="N2521" s="9">
        <v>44139.0</v>
      </c>
    </row>
    <row r="2522">
      <c r="A2522" s="5">
        <v>2521.0</v>
      </c>
      <c r="B2522" s="5" t="s">
        <v>3146</v>
      </c>
      <c r="C2522" s="5" t="s">
        <v>21</v>
      </c>
      <c r="K2522" s="5">
        <v>200.0</v>
      </c>
      <c r="N2522" s="9">
        <v>44709.0</v>
      </c>
    </row>
    <row r="2523">
      <c r="A2523" s="5">
        <v>2522.0</v>
      </c>
      <c r="B2523" s="5" t="s">
        <v>3147</v>
      </c>
      <c r="C2523" s="5" t="s">
        <v>21</v>
      </c>
      <c r="K2523" s="5">
        <v>1900.0</v>
      </c>
      <c r="N2523" s="9">
        <v>44545.0</v>
      </c>
    </row>
    <row r="2524">
      <c r="A2524" s="5">
        <v>2523.0</v>
      </c>
      <c r="B2524" s="5" t="s">
        <v>3148</v>
      </c>
      <c r="C2524" s="5" t="s">
        <v>21</v>
      </c>
      <c r="K2524" s="5">
        <v>300.0</v>
      </c>
      <c r="N2524" s="9">
        <v>44526.0</v>
      </c>
    </row>
    <row r="2525">
      <c r="A2525" s="5">
        <v>2524.0</v>
      </c>
      <c r="B2525" s="5" t="s">
        <v>3149</v>
      </c>
      <c r="C2525" s="5" t="s">
        <v>21</v>
      </c>
      <c r="K2525" s="5">
        <v>90.0</v>
      </c>
      <c r="N2525" s="9">
        <v>44282.0</v>
      </c>
    </row>
    <row r="2526">
      <c r="A2526" s="5">
        <v>2525.0</v>
      </c>
      <c r="B2526" s="5" t="s">
        <v>3150</v>
      </c>
      <c r="C2526" s="5" t="s">
        <v>21</v>
      </c>
      <c r="K2526" s="5">
        <v>100.0</v>
      </c>
      <c r="N2526" s="9">
        <v>44634.0</v>
      </c>
    </row>
    <row r="2527">
      <c r="A2527" s="5">
        <v>2526.0</v>
      </c>
      <c r="B2527" s="5" t="s">
        <v>3151</v>
      </c>
      <c r="C2527" s="5" t="s">
        <v>21</v>
      </c>
      <c r="K2527" s="5">
        <v>1600.0</v>
      </c>
      <c r="N2527" s="9">
        <v>44549.0</v>
      </c>
    </row>
    <row r="2528">
      <c r="A2528" s="5">
        <v>2527.0</v>
      </c>
      <c r="B2528" s="5" t="s">
        <v>3152</v>
      </c>
      <c r="C2528" s="5" t="s">
        <v>21</v>
      </c>
      <c r="K2528" s="5">
        <v>400.0</v>
      </c>
      <c r="N2528" s="9">
        <v>43849.0</v>
      </c>
    </row>
    <row r="2529">
      <c r="A2529" s="5">
        <v>2528.0</v>
      </c>
      <c r="B2529" s="5" t="s">
        <v>3153</v>
      </c>
      <c r="C2529" s="5" t="s">
        <v>21</v>
      </c>
      <c r="K2529" s="5">
        <v>150.0</v>
      </c>
      <c r="N2529" s="9">
        <v>44889.0</v>
      </c>
    </row>
    <row r="2530">
      <c r="A2530" s="5">
        <v>2529.0</v>
      </c>
      <c r="B2530" s="5" t="s">
        <v>3154</v>
      </c>
      <c r="C2530" s="5" t="s">
        <v>21</v>
      </c>
      <c r="K2530" s="5">
        <v>200.0</v>
      </c>
      <c r="N2530" s="9">
        <v>45314.0</v>
      </c>
    </row>
    <row r="2531">
      <c r="A2531" s="5">
        <v>2530.0</v>
      </c>
      <c r="B2531" s="5" t="s">
        <v>3155</v>
      </c>
      <c r="C2531" s="5" t="s">
        <v>21</v>
      </c>
      <c r="K2531" s="5">
        <v>400.0</v>
      </c>
      <c r="N2531" s="9">
        <v>44565.0</v>
      </c>
    </row>
    <row r="2532">
      <c r="A2532" s="5">
        <v>2531.0</v>
      </c>
      <c r="B2532" s="5" t="s">
        <v>3156</v>
      </c>
      <c r="C2532" s="5" t="s">
        <v>21</v>
      </c>
      <c r="K2532" s="5">
        <v>11000.0</v>
      </c>
      <c r="N2532" s="9">
        <v>43891.0</v>
      </c>
    </row>
    <row r="2533">
      <c r="A2533" s="5">
        <v>2532.0</v>
      </c>
      <c r="B2533" s="5" t="s">
        <v>3157</v>
      </c>
      <c r="C2533" s="5" t="s">
        <v>21</v>
      </c>
      <c r="K2533" s="5">
        <v>1600.0</v>
      </c>
      <c r="N2533" s="9">
        <v>44548.0</v>
      </c>
    </row>
    <row r="2534">
      <c r="A2534" s="5">
        <v>2533.0</v>
      </c>
      <c r="B2534" s="5" t="s">
        <v>3158</v>
      </c>
      <c r="C2534" s="5" t="s">
        <v>21</v>
      </c>
      <c r="K2534" s="5">
        <v>150.0</v>
      </c>
      <c r="N2534" s="9">
        <v>44908.0</v>
      </c>
    </row>
    <row r="2535">
      <c r="A2535" s="5">
        <v>2534.0</v>
      </c>
      <c r="B2535" s="5" t="s">
        <v>3159</v>
      </c>
      <c r="C2535" s="5" t="s">
        <v>21</v>
      </c>
      <c r="K2535" s="5">
        <v>400.0</v>
      </c>
      <c r="N2535" s="9">
        <v>44554.0</v>
      </c>
    </row>
    <row r="2536">
      <c r="A2536" s="5">
        <v>2535.0</v>
      </c>
      <c r="B2536" s="5" t="s">
        <v>3160</v>
      </c>
      <c r="C2536" s="5" t="s">
        <v>21</v>
      </c>
      <c r="K2536" s="5">
        <v>20.0</v>
      </c>
      <c r="N2536" s="9">
        <v>44531.0</v>
      </c>
    </row>
    <row r="2537">
      <c r="A2537" s="5">
        <v>2536.0</v>
      </c>
      <c r="B2537" s="5" t="s">
        <v>3161</v>
      </c>
      <c r="C2537" s="5" t="s">
        <v>21</v>
      </c>
      <c r="K2537" s="5">
        <v>200.0</v>
      </c>
      <c r="N2537" s="9">
        <v>43957.0</v>
      </c>
    </row>
    <row r="2538">
      <c r="A2538" s="5">
        <v>2537.0</v>
      </c>
      <c r="B2538" s="5" t="s">
        <v>3162</v>
      </c>
      <c r="C2538" s="5" t="s">
        <v>21</v>
      </c>
      <c r="K2538" s="5">
        <v>90.0</v>
      </c>
      <c r="N2538" s="9">
        <v>44719.0</v>
      </c>
    </row>
    <row r="2539">
      <c r="A2539" s="5">
        <v>2538.0</v>
      </c>
      <c r="B2539" s="5" t="s">
        <v>3163</v>
      </c>
      <c r="C2539" s="5" t="s">
        <v>21</v>
      </c>
      <c r="K2539" s="5">
        <v>100.0</v>
      </c>
      <c r="N2539" s="9">
        <v>44835.0</v>
      </c>
    </row>
    <row r="2540">
      <c r="A2540" s="5">
        <v>2539.0</v>
      </c>
      <c r="B2540" s="5" t="s">
        <v>3164</v>
      </c>
      <c r="C2540" s="5" t="s">
        <v>21</v>
      </c>
      <c r="K2540" s="5">
        <v>250.0</v>
      </c>
      <c r="N2540" s="9">
        <v>45573.0</v>
      </c>
    </row>
    <row r="2541">
      <c r="A2541" s="5">
        <v>2540.0</v>
      </c>
      <c r="B2541" s="5" t="s">
        <v>3165</v>
      </c>
      <c r="C2541" s="5" t="s">
        <v>21</v>
      </c>
      <c r="K2541" s="5">
        <v>3300.0</v>
      </c>
      <c r="N2541" s="9">
        <v>44531.0</v>
      </c>
    </row>
    <row r="2542">
      <c r="A2542" s="5">
        <v>2541.0</v>
      </c>
      <c r="B2542" s="5" t="s">
        <v>3166</v>
      </c>
      <c r="C2542" s="5" t="s">
        <v>21</v>
      </c>
      <c r="K2542" s="5">
        <v>1600.0</v>
      </c>
      <c r="N2542" s="9">
        <v>44270.0</v>
      </c>
    </row>
    <row r="2543">
      <c r="A2543" s="5">
        <v>2542.0</v>
      </c>
      <c r="B2543" s="5" t="s">
        <v>3167</v>
      </c>
      <c r="C2543" s="5" t="s">
        <v>21</v>
      </c>
      <c r="K2543" s="5">
        <v>250.0</v>
      </c>
      <c r="N2543" s="9">
        <v>45344.0</v>
      </c>
    </row>
    <row r="2544">
      <c r="A2544" s="5">
        <v>2543.0</v>
      </c>
      <c r="B2544" s="5" t="s">
        <v>3168</v>
      </c>
      <c r="C2544" s="5" t="s">
        <v>21</v>
      </c>
      <c r="K2544" s="5">
        <v>200.0</v>
      </c>
      <c r="N2544" s="9">
        <v>44582.0</v>
      </c>
    </row>
    <row r="2545">
      <c r="A2545" s="5">
        <v>2544.0</v>
      </c>
      <c r="B2545" s="5" t="s">
        <v>3169</v>
      </c>
      <c r="C2545" s="5" t="s">
        <v>21</v>
      </c>
      <c r="K2545" s="5">
        <v>80.0</v>
      </c>
      <c r="N2545" s="9">
        <v>44142.0</v>
      </c>
    </row>
    <row r="2546">
      <c r="A2546" s="5">
        <v>2545.0</v>
      </c>
      <c r="B2546" s="5" t="s">
        <v>3170</v>
      </c>
      <c r="C2546" s="5" t="s">
        <v>21</v>
      </c>
      <c r="K2546" s="5">
        <v>200.0</v>
      </c>
      <c r="N2546" s="9">
        <v>44626.0</v>
      </c>
    </row>
    <row r="2547">
      <c r="A2547" s="5">
        <v>2546.0</v>
      </c>
      <c r="B2547" s="5" t="s">
        <v>3171</v>
      </c>
      <c r="C2547" s="5" t="s">
        <v>21</v>
      </c>
      <c r="K2547" s="5">
        <v>250.0</v>
      </c>
      <c r="N2547" s="9">
        <v>44625.0</v>
      </c>
    </row>
    <row r="2548">
      <c r="A2548" s="5">
        <v>2547.0</v>
      </c>
      <c r="B2548" s="5" t="s">
        <v>3172</v>
      </c>
      <c r="C2548" s="5" t="s">
        <v>21</v>
      </c>
      <c r="K2548" s="5">
        <v>50.0</v>
      </c>
      <c r="N2548" s="9">
        <v>44618.0</v>
      </c>
    </row>
    <row r="2549">
      <c r="A2549" s="5">
        <v>2548.0</v>
      </c>
      <c r="B2549" s="5" t="s">
        <v>3173</v>
      </c>
      <c r="C2549" s="5" t="s">
        <v>21</v>
      </c>
      <c r="K2549" s="5">
        <v>350.0</v>
      </c>
      <c r="N2549" s="9">
        <v>43919.0</v>
      </c>
    </row>
    <row r="2550">
      <c r="A2550" s="5">
        <v>2549.0</v>
      </c>
      <c r="B2550" s="5" t="s">
        <v>3174</v>
      </c>
      <c r="C2550" s="5" t="s">
        <v>21</v>
      </c>
      <c r="K2550" s="5">
        <v>60.0</v>
      </c>
      <c r="N2550" s="9">
        <v>44578.0</v>
      </c>
    </row>
    <row r="2551">
      <c r="A2551" s="5">
        <v>2550.0</v>
      </c>
      <c r="B2551" s="5" t="s">
        <v>3175</v>
      </c>
      <c r="C2551" s="5" t="s">
        <v>21</v>
      </c>
      <c r="K2551" s="5">
        <v>800.0</v>
      </c>
      <c r="N2551" s="9">
        <v>44713.0</v>
      </c>
    </row>
    <row r="2552">
      <c r="A2552" s="5">
        <v>2551.0</v>
      </c>
      <c r="B2552" s="5" t="s">
        <v>3176</v>
      </c>
      <c r="C2552" s="5" t="s">
        <v>21</v>
      </c>
      <c r="K2552" s="5">
        <v>700.0</v>
      </c>
      <c r="N2552" s="9">
        <v>44544.0</v>
      </c>
    </row>
    <row r="2553">
      <c r="A2553" s="5">
        <v>2552.0</v>
      </c>
      <c r="B2553" s="5" t="s">
        <v>3177</v>
      </c>
      <c r="C2553" s="5" t="s">
        <v>21</v>
      </c>
      <c r="K2553" s="5">
        <v>150.0</v>
      </c>
      <c r="N2553" s="9">
        <v>43860.0</v>
      </c>
    </row>
    <row r="2554">
      <c r="A2554" s="5">
        <v>2553.0</v>
      </c>
      <c r="B2554" s="5" t="s">
        <v>3178</v>
      </c>
      <c r="C2554" s="5" t="s">
        <v>21</v>
      </c>
      <c r="K2554" s="5">
        <v>350.0</v>
      </c>
      <c r="N2554" s="9">
        <v>44170.0</v>
      </c>
    </row>
    <row r="2555">
      <c r="A2555" s="5">
        <v>2554.0</v>
      </c>
      <c r="B2555" s="5" t="s">
        <v>3179</v>
      </c>
      <c r="C2555" s="5" t="s">
        <v>21</v>
      </c>
      <c r="K2555" s="5">
        <v>900.0</v>
      </c>
      <c r="N2555" s="9">
        <v>44481.0</v>
      </c>
    </row>
    <row r="2556">
      <c r="A2556" s="5">
        <v>2555.0</v>
      </c>
      <c r="B2556" s="5" t="s">
        <v>3180</v>
      </c>
      <c r="C2556" s="5" t="s">
        <v>21</v>
      </c>
      <c r="K2556" s="5">
        <v>800.0</v>
      </c>
      <c r="N2556" s="9">
        <v>44905.0</v>
      </c>
    </row>
    <row r="2557">
      <c r="A2557" s="5">
        <v>2556.0</v>
      </c>
      <c r="B2557" s="5" t="s">
        <v>3181</v>
      </c>
      <c r="C2557" s="5" t="s">
        <v>21</v>
      </c>
      <c r="K2557" s="5">
        <v>10.0</v>
      </c>
      <c r="N2557" s="9">
        <v>44539.0</v>
      </c>
    </row>
    <row r="2558">
      <c r="A2558" s="5">
        <v>2557.0</v>
      </c>
      <c r="B2558" s="5" t="s">
        <v>90</v>
      </c>
      <c r="C2558" s="5" t="s">
        <v>21</v>
      </c>
      <c r="K2558" s="5">
        <v>1600.0</v>
      </c>
      <c r="N2558" s="9">
        <v>43840.0</v>
      </c>
    </row>
    <row r="2559">
      <c r="A2559" s="5">
        <v>2558.0</v>
      </c>
      <c r="B2559" s="5" t="s">
        <v>3182</v>
      </c>
      <c r="C2559" s="5" t="s">
        <v>21</v>
      </c>
      <c r="K2559" s="5">
        <v>250.0</v>
      </c>
      <c r="N2559" s="9">
        <v>43973.0</v>
      </c>
    </row>
    <row r="2560">
      <c r="A2560" s="5">
        <v>2559.0</v>
      </c>
      <c r="B2560" s="5" t="s">
        <v>3183</v>
      </c>
      <c r="C2560" s="5" t="s">
        <v>21</v>
      </c>
      <c r="K2560" s="5">
        <v>1000.0</v>
      </c>
      <c r="N2560" s="9">
        <v>44464.0</v>
      </c>
    </row>
    <row r="2561">
      <c r="A2561" s="5">
        <v>2560.0</v>
      </c>
      <c r="B2561" s="5" t="s">
        <v>3184</v>
      </c>
      <c r="C2561" s="5" t="s">
        <v>21</v>
      </c>
      <c r="K2561" s="5">
        <v>700.0</v>
      </c>
      <c r="N2561" s="9">
        <v>44835.0</v>
      </c>
    </row>
    <row r="2562">
      <c r="A2562" s="5">
        <v>2561.0</v>
      </c>
      <c r="B2562" s="5" t="s">
        <v>3185</v>
      </c>
      <c r="C2562" s="5" t="s">
        <v>21</v>
      </c>
      <c r="K2562" s="5">
        <v>1200.0</v>
      </c>
      <c r="N2562" s="9">
        <v>44524.0</v>
      </c>
    </row>
    <row r="2563">
      <c r="A2563" s="5">
        <v>2562.0</v>
      </c>
      <c r="B2563" s="5" t="s">
        <v>3186</v>
      </c>
      <c r="C2563" s="5" t="s">
        <v>21</v>
      </c>
      <c r="K2563" s="5">
        <v>3500.0</v>
      </c>
      <c r="N2563" s="9">
        <v>43950.0</v>
      </c>
    </row>
    <row r="2564">
      <c r="A2564" s="5">
        <v>2563.0</v>
      </c>
      <c r="B2564" s="5" t="s">
        <v>3187</v>
      </c>
      <c r="C2564" s="5" t="s">
        <v>21</v>
      </c>
      <c r="K2564" s="5">
        <v>500.0</v>
      </c>
      <c r="N2564" s="9">
        <v>44720.0</v>
      </c>
    </row>
    <row r="2565">
      <c r="A2565" s="5">
        <v>2564.0</v>
      </c>
      <c r="B2565" s="5" t="s">
        <v>3188</v>
      </c>
      <c r="C2565" s="5" t="s">
        <v>21</v>
      </c>
      <c r="K2565" s="5">
        <v>800.0</v>
      </c>
      <c r="N2565" s="9">
        <v>43863.0</v>
      </c>
    </row>
    <row r="2566">
      <c r="A2566" s="5">
        <v>2565.0</v>
      </c>
      <c r="B2566" s="5" t="s">
        <v>3189</v>
      </c>
      <c r="C2566" s="5" t="s">
        <v>21</v>
      </c>
      <c r="K2566" s="5">
        <v>150.0</v>
      </c>
      <c r="N2566" s="9">
        <v>44542.0</v>
      </c>
    </row>
    <row r="2567">
      <c r="A2567" s="5">
        <v>2566.0</v>
      </c>
      <c r="B2567" s="5" t="s">
        <v>3190</v>
      </c>
      <c r="C2567" s="5" t="s">
        <v>21</v>
      </c>
      <c r="K2567" s="5">
        <v>350.0</v>
      </c>
      <c r="N2567" s="9">
        <v>44630.0</v>
      </c>
    </row>
    <row r="2568">
      <c r="A2568" s="5">
        <v>2567.0</v>
      </c>
      <c r="B2568" s="5" t="s">
        <v>3191</v>
      </c>
      <c r="C2568" s="5" t="s">
        <v>21</v>
      </c>
      <c r="K2568" s="5">
        <v>800.0</v>
      </c>
      <c r="N2568" s="9">
        <v>45471.0</v>
      </c>
    </row>
    <row r="2569">
      <c r="A2569" s="5">
        <v>2568.0</v>
      </c>
      <c r="B2569" s="5" t="s">
        <v>3192</v>
      </c>
      <c r="C2569" s="5" t="s">
        <v>21</v>
      </c>
      <c r="K2569" s="5">
        <v>250.0</v>
      </c>
      <c r="N2569" s="9">
        <v>44204.0</v>
      </c>
    </row>
    <row r="2570">
      <c r="A2570" s="5">
        <v>2569.0</v>
      </c>
      <c r="B2570" s="5" t="s">
        <v>3193</v>
      </c>
      <c r="C2570" s="5" t="s">
        <v>21</v>
      </c>
      <c r="K2570" s="5">
        <v>80.0</v>
      </c>
      <c r="N2570" s="9">
        <v>44518.0</v>
      </c>
    </row>
    <row r="2571">
      <c r="A2571" s="5">
        <v>2570.0</v>
      </c>
      <c r="B2571" s="5" t="s">
        <v>3194</v>
      </c>
      <c r="C2571" s="5" t="s">
        <v>21</v>
      </c>
      <c r="K2571" s="5">
        <v>200.0</v>
      </c>
      <c r="N2571" s="9">
        <v>45089.0</v>
      </c>
    </row>
    <row r="2572">
      <c r="A2572" s="5">
        <v>2571.0</v>
      </c>
      <c r="B2572" s="5" t="s">
        <v>3195</v>
      </c>
      <c r="C2572" s="5" t="s">
        <v>21</v>
      </c>
      <c r="K2572" s="5">
        <v>1100.0</v>
      </c>
      <c r="N2572" s="9">
        <v>44160.0</v>
      </c>
    </row>
    <row r="2573">
      <c r="A2573" s="5">
        <v>2572.0</v>
      </c>
      <c r="B2573" s="5" t="s">
        <v>3196</v>
      </c>
      <c r="C2573" s="5" t="s">
        <v>21</v>
      </c>
      <c r="K2573" s="5">
        <v>700.0</v>
      </c>
      <c r="N2573" s="9">
        <v>44780.0</v>
      </c>
    </row>
    <row r="2574">
      <c r="A2574" s="5">
        <v>2573.0</v>
      </c>
      <c r="B2574" s="5" t="s">
        <v>3197</v>
      </c>
      <c r="C2574" s="5" t="s">
        <v>21</v>
      </c>
      <c r="K2574" s="5">
        <v>300.0</v>
      </c>
      <c r="N2574" s="9">
        <v>44696.0</v>
      </c>
    </row>
    <row r="2575">
      <c r="A2575" s="5">
        <v>2574.0</v>
      </c>
      <c r="B2575" s="5" t="s">
        <v>3198</v>
      </c>
      <c r="C2575" s="5" t="s">
        <v>21</v>
      </c>
      <c r="K2575" s="5">
        <v>3400.0</v>
      </c>
      <c r="N2575" s="9">
        <v>43986.0</v>
      </c>
    </row>
    <row r="2576">
      <c r="A2576" s="5">
        <v>2575.0</v>
      </c>
      <c r="B2576" s="5" t="s">
        <v>3199</v>
      </c>
      <c r="C2576" s="5" t="s">
        <v>21</v>
      </c>
      <c r="K2576" s="5">
        <v>500.0</v>
      </c>
      <c r="N2576" s="9">
        <v>45253.0</v>
      </c>
    </row>
    <row r="2577">
      <c r="A2577" s="5">
        <v>2576.0</v>
      </c>
      <c r="B2577" s="5" t="s">
        <v>3200</v>
      </c>
      <c r="C2577" s="5" t="s">
        <v>21</v>
      </c>
      <c r="K2577" s="5">
        <v>300.0</v>
      </c>
      <c r="N2577" s="9">
        <v>44546.0</v>
      </c>
    </row>
    <row r="2578">
      <c r="A2578" s="5">
        <v>2577.0</v>
      </c>
      <c r="B2578" s="5" t="s">
        <v>3201</v>
      </c>
      <c r="C2578" s="5" t="s">
        <v>21</v>
      </c>
      <c r="K2578" s="5">
        <v>3300.0</v>
      </c>
      <c r="N2578" s="9">
        <v>43884.0</v>
      </c>
    </row>
    <row r="2579">
      <c r="A2579" s="5">
        <v>2578.0</v>
      </c>
      <c r="B2579" s="5" t="s">
        <v>3202</v>
      </c>
      <c r="C2579" s="5" t="s">
        <v>21</v>
      </c>
      <c r="K2579" s="5">
        <v>50.0</v>
      </c>
      <c r="N2579" s="9">
        <v>44664.0</v>
      </c>
    </row>
    <row r="2580">
      <c r="A2580" s="5">
        <v>2579.0</v>
      </c>
      <c r="B2580" s="5" t="s">
        <v>3203</v>
      </c>
      <c r="C2580" s="5" t="s">
        <v>21</v>
      </c>
      <c r="N2580" s="9">
        <v>44519.0</v>
      </c>
    </row>
    <row r="2581">
      <c r="A2581" s="5">
        <v>2580.0</v>
      </c>
      <c r="B2581" s="5" t="s">
        <v>3204</v>
      </c>
      <c r="C2581" s="5" t="s">
        <v>21</v>
      </c>
      <c r="K2581" s="5">
        <v>20.0</v>
      </c>
      <c r="N2581" s="9">
        <v>44204.0</v>
      </c>
    </row>
    <row r="2582">
      <c r="A2582" s="5">
        <v>2581.0</v>
      </c>
      <c r="B2582" s="5" t="s">
        <v>3205</v>
      </c>
      <c r="C2582" s="5" t="s">
        <v>21</v>
      </c>
      <c r="K2582" s="5">
        <v>450.0</v>
      </c>
      <c r="N2582" s="9">
        <v>45513.0</v>
      </c>
    </row>
    <row r="2583">
      <c r="A2583" s="5">
        <v>2582.0</v>
      </c>
      <c r="B2583" s="5" t="s">
        <v>3206</v>
      </c>
      <c r="C2583" s="5" t="s">
        <v>21</v>
      </c>
      <c r="K2583" s="5">
        <v>350.0</v>
      </c>
      <c r="N2583" s="9">
        <v>44769.0</v>
      </c>
    </row>
    <row r="2584">
      <c r="A2584" s="5">
        <v>2583.0</v>
      </c>
      <c r="B2584" s="5" t="s">
        <v>3207</v>
      </c>
      <c r="C2584" s="5" t="s">
        <v>21</v>
      </c>
      <c r="K2584" s="5">
        <v>150.0</v>
      </c>
      <c r="N2584" s="9">
        <v>44143.0</v>
      </c>
    </row>
    <row r="2585">
      <c r="A2585" s="5">
        <v>2584.0</v>
      </c>
      <c r="B2585" s="5" t="s">
        <v>3208</v>
      </c>
      <c r="C2585" s="5" t="s">
        <v>21</v>
      </c>
      <c r="K2585" s="5">
        <v>60.0</v>
      </c>
      <c r="N2585" s="9">
        <v>43940.0</v>
      </c>
    </row>
    <row r="2586">
      <c r="A2586" s="5">
        <v>2585.0</v>
      </c>
      <c r="B2586" s="5" t="s">
        <v>3209</v>
      </c>
      <c r="C2586" s="5" t="s">
        <v>21</v>
      </c>
      <c r="K2586" s="5">
        <v>350.0</v>
      </c>
      <c r="N2586" s="9">
        <v>44600.0</v>
      </c>
    </row>
    <row r="2587">
      <c r="A2587" s="5">
        <v>2586.0</v>
      </c>
      <c r="B2587" s="5" t="s">
        <v>3210</v>
      </c>
      <c r="C2587" s="5" t="s">
        <v>21</v>
      </c>
      <c r="K2587" s="5">
        <v>40.0</v>
      </c>
      <c r="N2587" s="9">
        <v>45581.0</v>
      </c>
    </row>
    <row r="2588">
      <c r="A2588" s="5">
        <v>2587.0</v>
      </c>
      <c r="B2588" s="5" t="s">
        <v>3211</v>
      </c>
      <c r="C2588" s="5" t="s">
        <v>21</v>
      </c>
      <c r="K2588" s="5">
        <v>250.0</v>
      </c>
      <c r="N2588" s="9">
        <v>44003.0</v>
      </c>
    </row>
    <row r="2589">
      <c r="A2589" s="5">
        <v>2588.0</v>
      </c>
      <c r="B2589" s="5" t="s">
        <v>3212</v>
      </c>
      <c r="C2589" s="5" t="s">
        <v>21</v>
      </c>
      <c r="K2589" s="5">
        <v>70.0</v>
      </c>
      <c r="N2589" s="9">
        <v>45214.0</v>
      </c>
    </row>
    <row r="2590">
      <c r="A2590" s="5">
        <v>2589.0</v>
      </c>
      <c r="B2590" s="5" t="s">
        <v>3213</v>
      </c>
      <c r="C2590" s="5" t="s">
        <v>21</v>
      </c>
      <c r="K2590" s="5">
        <v>100.0</v>
      </c>
      <c r="N2590" s="9">
        <v>44574.0</v>
      </c>
    </row>
    <row r="2591">
      <c r="A2591" s="5">
        <v>2590.0</v>
      </c>
      <c r="B2591" s="5" t="s">
        <v>3214</v>
      </c>
      <c r="C2591" s="5" t="s">
        <v>21</v>
      </c>
      <c r="K2591" s="5">
        <v>350.0</v>
      </c>
      <c r="N2591" s="9">
        <v>44783.0</v>
      </c>
    </row>
    <row r="2592">
      <c r="A2592" s="5">
        <v>2591.0</v>
      </c>
      <c r="B2592" s="5" t="s">
        <v>3215</v>
      </c>
      <c r="C2592" s="5" t="s">
        <v>21</v>
      </c>
      <c r="K2592" s="5">
        <v>2800.0</v>
      </c>
      <c r="N2592" s="9">
        <v>44533.0</v>
      </c>
    </row>
    <row r="2593">
      <c r="A2593" s="5">
        <v>2592.0</v>
      </c>
      <c r="B2593" s="5" t="s">
        <v>3216</v>
      </c>
      <c r="C2593" s="5" t="s">
        <v>21</v>
      </c>
      <c r="K2593" s="5">
        <v>80.0</v>
      </c>
      <c r="N2593" s="9">
        <v>44756.0</v>
      </c>
    </row>
    <row r="2594">
      <c r="A2594" s="5">
        <v>2593.0</v>
      </c>
      <c r="B2594" s="5" t="s">
        <v>3217</v>
      </c>
      <c r="C2594" s="5" t="s">
        <v>21</v>
      </c>
      <c r="K2594" s="5">
        <v>150.0</v>
      </c>
      <c r="N2594" s="9">
        <v>44381.0</v>
      </c>
    </row>
    <row r="2595">
      <c r="A2595" s="5">
        <v>2594.0</v>
      </c>
      <c r="B2595" s="5" t="s">
        <v>3218</v>
      </c>
      <c r="C2595" s="5" t="s">
        <v>21</v>
      </c>
      <c r="K2595" s="5">
        <v>400.0</v>
      </c>
      <c r="N2595" s="9">
        <v>45066.0</v>
      </c>
    </row>
    <row r="2596">
      <c r="A2596" s="5">
        <v>2595.0</v>
      </c>
      <c r="B2596" s="5" t="s">
        <v>3219</v>
      </c>
      <c r="C2596" s="5" t="s">
        <v>21</v>
      </c>
      <c r="K2596" s="5">
        <v>60.0</v>
      </c>
      <c r="N2596" s="9">
        <v>45675.0</v>
      </c>
    </row>
    <row r="2597">
      <c r="A2597" s="5">
        <v>2596.0</v>
      </c>
      <c r="B2597" s="5" t="s">
        <v>3220</v>
      </c>
      <c r="C2597" s="5" t="s">
        <v>21</v>
      </c>
      <c r="K2597" s="5">
        <v>1500.0</v>
      </c>
      <c r="N2597" s="9">
        <v>44729.0</v>
      </c>
    </row>
    <row r="2598">
      <c r="A2598" s="5">
        <v>2597.0</v>
      </c>
      <c r="B2598" s="5" t="s">
        <v>3221</v>
      </c>
      <c r="C2598" s="5" t="s">
        <v>21</v>
      </c>
      <c r="K2598" s="5">
        <v>10.0</v>
      </c>
      <c r="N2598" s="9">
        <v>44654.0</v>
      </c>
    </row>
    <row r="2599">
      <c r="A2599" s="5">
        <v>2598.0</v>
      </c>
      <c r="B2599" s="5" t="s">
        <v>3222</v>
      </c>
      <c r="C2599" s="5" t="s">
        <v>21</v>
      </c>
      <c r="K2599" s="5">
        <v>200.0</v>
      </c>
      <c r="N2599" s="9">
        <v>45498.0</v>
      </c>
    </row>
    <row r="2600">
      <c r="A2600" s="5">
        <v>2599.0</v>
      </c>
      <c r="B2600" s="5" t="s">
        <v>3223</v>
      </c>
      <c r="C2600" s="5" t="s">
        <v>21</v>
      </c>
      <c r="K2600" s="5">
        <v>250.0</v>
      </c>
      <c r="N2600" s="9">
        <v>44787.0</v>
      </c>
    </row>
    <row r="2601">
      <c r="A2601" s="5">
        <v>2600.0</v>
      </c>
      <c r="B2601" s="5" t="s">
        <v>3224</v>
      </c>
      <c r="C2601" s="5" t="s">
        <v>21</v>
      </c>
      <c r="N2601" s="9">
        <v>43898.0</v>
      </c>
    </row>
    <row r="2602">
      <c r="A2602" s="5">
        <v>2601.0</v>
      </c>
      <c r="B2602" s="5" t="s">
        <v>3225</v>
      </c>
      <c r="C2602" s="5" t="s">
        <v>21</v>
      </c>
      <c r="K2602" s="5">
        <v>5300.0</v>
      </c>
      <c r="N2602" s="9">
        <v>43848.0</v>
      </c>
    </row>
    <row r="2603">
      <c r="A2603" s="5">
        <v>2602.0</v>
      </c>
      <c r="B2603" s="5" t="s">
        <v>3226</v>
      </c>
      <c r="C2603" s="5" t="s">
        <v>21</v>
      </c>
      <c r="K2603" s="5">
        <v>250.0</v>
      </c>
      <c r="N2603" s="9">
        <v>45071.0</v>
      </c>
    </row>
    <row r="2604">
      <c r="A2604" s="5">
        <v>2603.0</v>
      </c>
      <c r="B2604" s="5" t="s">
        <v>3227</v>
      </c>
      <c r="C2604" s="5" t="s">
        <v>21</v>
      </c>
      <c r="K2604" s="5">
        <v>60.0</v>
      </c>
      <c r="N2604" s="9">
        <v>44526.0</v>
      </c>
    </row>
    <row r="2605">
      <c r="A2605" s="5">
        <v>2604.0</v>
      </c>
      <c r="B2605" s="5" t="s">
        <v>3228</v>
      </c>
      <c r="C2605" s="5" t="s">
        <v>21</v>
      </c>
      <c r="N2605" s="9">
        <v>44723.0</v>
      </c>
    </row>
    <row r="2606">
      <c r="A2606" s="5">
        <v>2605.0</v>
      </c>
      <c r="B2606" s="5" t="s">
        <v>3229</v>
      </c>
      <c r="C2606" s="5" t="s">
        <v>21</v>
      </c>
      <c r="K2606" s="5">
        <v>150.0</v>
      </c>
      <c r="N2606" s="9">
        <v>44591.0</v>
      </c>
    </row>
    <row r="2607">
      <c r="A2607" s="5">
        <v>2606.0</v>
      </c>
      <c r="B2607" s="5" t="s">
        <v>3230</v>
      </c>
      <c r="C2607" s="5" t="s">
        <v>21</v>
      </c>
      <c r="K2607" s="5">
        <v>250.0</v>
      </c>
      <c r="N2607" s="9">
        <v>45359.0</v>
      </c>
    </row>
    <row r="2608">
      <c r="A2608" s="5">
        <v>2607.0</v>
      </c>
      <c r="B2608" s="5" t="s">
        <v>3231</v>
      </c>
      <c r="C2608" s="5" t="s">
        <v>21</v>
      </c>
      <c r="K2608" s="5">
        <v>4600.0</v>
      </c>
      <c r="N2608" s="9">
        <v>45199.0</v>
      </c>
    </row>
    <row r="2609">
      <c r="A2609" s="5">
        <v>2608.0</v>
      </c>
      <c r="B2609" s="5" t="s">
        <v>91</v>
      </c>
      <c r="C2609" s="5" t="s">
        <v>21</v>
      </c>
      <c r="K2609" s="5">
        <v>2800.0</v>
      </c>
      <c r="N2609" s="9">
        <v>45686.0</v>
      </c>
    </row>
    <row r="2610">
      <c r="A2610" s="5">
        <v>2609.0</v>
      </c>
      <c r="B2610" s="5" t="s">
        <v>3232</v>
      </c>
      <c r="C2610" s="5" t="s">
        <v>21</v>
      </c>
      <c r="K2610" s="5">
        <v>100.0</v>
      </c>
      <c r="N2610" s="9">
        <v>45067.0</v>
      </c>
    </row>
    <row r="2611">
      <c r="A2611" s="5">
        <v>2610.0</v>
      </c>
      <c r="B2611" s="5" t="s">
        <v>3233</v>
      </c>
      <c r="C2611" s="5" t="s">
        <v>21</v>
      </c>
      <c r="K2611" s="5">
        <v>450.0</v>
      </c>
      <c r="N2611" s="9">
        <v>44931.0</v>
      </c>
    </row>
    <row r="2612">
      <c r="A2612" s="5">
        <v>2611.0</v>
      </c>
      <c r="B2612" s="5" t="s">
        <v>3234</v>
      </c>
      <c r="C2612" s="5" t="s">
        <v>21</v>
      </c>
      <c r="K2612" s="5">
        <v>400.0</v>
      </c>
      <c r="N2612" s="9">
        <v>42729.0</v>
      </c>
    </row>
    <row r="2613">
      <c r="A2613" s="5">
        <v>2612.0</v>
      </c>
      <c r="B2613" s="5" t="s">
        <v>3235</v>
      </c>
      <c r="C2613" s="5" t="s">
        <v>21</v>
      </c>
      <c r="K2613" s="5">
        <v>1700.0</v>
      </c>
      <c r="N2613" s="9">
        <v>43997.0</v>
      </c>
    </row>
    <row r="2614">
      <c r="A2614" s="5">
        <v>2613.0</v>
      </c>
      <c r="B2614" s="5" t="s">
        <v>3236</v>
      </c>
      <c r="C2614" s="5" t="s">
        <v>21</v>
      </c>
      <c r="K2614" s="5">
        <v>90.0</v>
      </c>
      <c r="N2614" s="9">
        <v>45089.0</v>
      </c>
    </row>
    <row r="2615">
      <c r="A2615" s="5">
        <v>2614.0</v>
      </c>
      <c r="B2615" s="5" t="s">
        <v>3237</v>
      </c>
      <c r="C2615" s="5" t="s">
        <v>21</v>
      </c>
      <c r="K2615" s="5">
        <v>30.0</v>
      </c>
      <c r="N2615" s="9">
        <v>45132.0</v>
      </c>
    </row>
    <row r="2616">
      <c r="A2616" s="5">
        <v>2615.0</v>
      </c>
      <c r="B2616" s="5" t="s">
        <v>3238</v>
      </c>
      <c r="C2616" s="5" t="s">
        <v>21</v>
      </c>
      <c r="K2616" s="5">
        <v>90.0</v>
      </c>
      <c r="N2616" s="9">
        <v>44988.0</v>
      </c>
    </row>
    <row r="2617">
      <c r="A2617" s="5">
        <v>2616.0</v>
      </c>
      <c r="B2617" s="5" t="s">
        <v>3239</v>
      </c>
      <c r="C2617" s="5" t="s">
        <v>21</v>
      </c>
      <c r="K2617" s="5">
        <v>600.0</v>
      </c>
      <c r="N2617" s="9">
        <v>44559.0</v>
      </c>
    </row>
    <row r="2618">
      <c r="A2618" s="5">
        <v>2617.0</v>
      </c>
      <c r="B2618" s="5" t="s">
        <v>3240</v>
      </c>
      <c r="C2618" s="5" t="s">
        <v>21</v>
      </c>
      <c r="K2618" s="5">
        <v>350.0</v>
      </c>
      <c r="N2618" s="9">
        <v>44517.0</v>
      </c>
    </row>
    <row r="2619">
      <c r="A2619" s="5">
        <v>2618.0</v>
      </c>
      <c r="B2619" s="5" t="s">
        <v>3241</v>
      </c>
      <c r="C2619" s="5" t="s">
        <v>21</v>
      </c>
      <c r="K2619" s="5">
        <v>200.0</v>
      </c>
      <c r="N2619" s="9">
        <v>44544.0</v>
      </c>
    </row>
    <row r="2620">
      <c r="A2620" s="5">
        <v>2619.0</v>
      </c>
      <c r="B2620" s="5" t="s">
        <v>3242</v>
      </c>
      <c r="C2620" s="5" t="s">
        <v>21</v>
      </c>
      <c r="K2620" s="5">
        <v>50.0</v>
      </c>
      <c r="N2620" s="9">
        <v>44594.0</v>
      </c>
    </row>
    <row r="2621">
      <c r="A2621" s="5">
        <v>2620.0</v>
      </c>
      <c r="B2621" s="5" t="s">
        <v>3243</v>
      </c>
      <c r="C2621" s="5" t="s">
        <v>21</v>
      </c>
      <c r="K2621" s="5">
        <v>40.0</v>
      </c>
      <c r="N2621" s="9">
        <v>44288.0</v>
      </c>
    </row>
    <row r="2622">
      <c r="A2622" s="5">
        <v>2621.0</v>
      </c>
      <c r="B2622" s="5" t="s">
        <v>3244</v>
      </c>
      <c r="C2622" s="5" t="s">
        <v>21</v>
      </c>
      <c r="K2622" s="5">
        <v>90.0</v>
      </c>
      <c r="N2622" s="9">
        <v>44166.0</v>
      </c>
    </row>
    <row r="2623">
      <c r="A2623" s="5">
        <v>2622.0</v>
      </c>
      <c r="B2623" s="5" t="s">
        <v>3245</v>
      </c>
      <c r="C2623" s="5" t="s">
        <v>21</v>
      </c>
      <c r="K2623" s="5">
        <v>200.0</v>
      </c>
      <c r="N2623" s="9">
        <v>44717.0</v>
      </c>
    </row>
    <row r="2624">
      <c r="A2624" s="5">
        <v>2623.0</v>
      </c>
      <c r="B2624" s="5" t="s">
        <v>3246</v>
      </c>
      <c r="C2624" s="5" t="s">
        <v>21</v>
      </c>
      <c r="N2624" s="9">
        <v>44545.0</v>
      </c>
    </row>
    <row r="2625">
      <c r="A2625" s="5">
        <v>2624.0</v>
      </c>
      <c r="B2625" s="5" t="s">
        <v>3247</v>
      </c>
      <c r="C2625" s="5" t="s">
        <v>21</v>
      </c>
      <c r="K2625" s="5">
        <v>200.0</v>
      </c>
      <c r="N2625" s="9">
        <v>45101.0</v>
      </c>
    </row>
    <row r="2626">
      <c r="A2626" s="5">
        <v>2625.0</v>
      </c>
      <c r="B2626" s="5" t="s">
        <v>3248</v>
      </c>
      <c r="C2626" s="5" t="s">
        <v>21</v>
      </c>
      <c r="K2626" s="5">
        <v>800.0</v>
      </c>
      <c r="N2626" s="9">
        <v>44502.0</v>
      </c>
    </row>
    <row r="2627">
      <c r="A2627" s="5">
        <v>2626.0</v>
      </c>
      <c r="B2627" s="5" t="s">
        <v>3249</v>
      </c>
      <c r="C2627" s="5" t="s">
        <v>21</v>
      </c>
      <c r="K2627" s="5">
        <v>300.0</v>
      </c>
      <c r="N2627" s="9">
        <v>44945.0</v>
      </c>
    </row>
    <row r="2628">
      <c r="A2628" s="5">
        <v>2627.0</v>
      </c>
      <c r="B2628" s="5" t="s">
        <v>3250</v>
      </c>
      <c r="C2628" s="5" t="s">
        <v>21</v>
      </c>
      <c r="K2628" s="5">
        <v>700.0</v>
      </c>
      <c r="N2628" s="9">
        <v>44905.0</v>
      </c>
    </row>
    <row r="2629">
      <c r="A2629" s="5">
        <v>2628.0</v>
      </c>
      <c r="B2629" s="5" t="s">
        <v>3251</v>
      </c>
      <c r="C2629" s="5" t="s">
        <v>21</v>
      </c>
      <c r="K2629" s="5">
        <v>200.0</v>
      </c>
      <c r="N2629" s="9">
        <v>44946.0</v>
      </c>
    </row>
    <row r="2630">
      <c r="A2630" s="5">
        <v>2629.0</v>
      </c>
      <c r="B2630" s="5" t="s">
        <v>3252</v>
      </c>
      <c r="C2630" s="5" t="s">
        <v>21</v>
      </c>
      <c r="K2630" s="5">
        <v>150.0</v>
      </c>
      <c r="N2630" s="9">
        <v>44959.0</v>
      </c>
    </row>
    <row r="2631">
      <c r="A2631" s="5">
        <v>2630.0</v>
      </c>
      <c r="B2631" s="5" t="s">
        <v>3253</v>
      </c>
      <c r="C2631" s="5" t="s">
        <v>21</v>
      </c>
      <c r="K2631" s="5">
        <v>450.0</v>
      </c>
      <c r="N2631" s="9">
        <v>45252.0</v>
      </c>
    </row>
    <row r="2632">
      <c r="A2632" s="5">
        <v>2631.0</v>
      </c>
      <c r="B2632" s="5" t="s">
        <v>3254</v>
      </c>
      <c r="C2632" s="5" t="s">
        <v>21</v>
      </c>
      <c r="K2632" s="5">
        <v>500.0</v>
      </c>
      <c r="N2632" s="9">
        <v>44072.0</v>
      </c>
    </row>
    <row r="2633">
      <c r="A2633" s="5">
        <v>2632.0</v>
      </c>
      <c r="B2633" s="5" t="s">
        <v>3255</v>
      </c>
      <c r="C2633" s="5" t="s">
        <v>21</v>
      </c>
      <c r="K2633" s="5">
        <v>1500.0</v>
      </c>
      <c r="N2633" s="9">
        <v>43966.0</v>
      </c>
    </row>
    <row r="2634">
      <c r="A2634" s="5">
        <v>2633.0</v>
      </c>
      <c r="B2634" s="5" t="s">
        <v>3256</v>
      </c>
      <c r="C2634" s="5" t="s">
        <v>21</v>
      </c>
      <c r="K2634" s="5">
        <v>2600.0</v>
      </c>
      <c r="N2634" s="9">
        <v>43970.0</v>
      </c>
    </row>
    <row r="2635">
      <c r="A2635" s="5">
        <v>2634.0</v>
      </c>
      <c r="B2635" s="5" t="s">
        <v>3257</v>
      </c>
      <c r="C2635" s="5" t="s">
        <v>21</v>
      </c>
      <c r="K2635" s="5">
        <v>350.0</v>
      </c>
      <c r="N2635" s="9">
        <v>44420.0</v>
      </c>
    </row>
    <row r="2636">
      <c r="A2636" s="5">
        <v>2635.0</v>
      </c>
      <c r="B2636" s="5" t="s">
        <v>3258</v>
      </c>
      <c r="C2636" s="5" t="s">
        <v>21</v>
      </c>
      <c r="K2636" s="5">
        <v>90.0</v>
      </c>
      <c r="N2636" s="9">
        <v>45760.0</v>
      </c>
    </row>
    <row r="2637">
      <c r="A2637" s="5">
        <v>2636.0</v>
      </c>
      <c r="B2637" s="5" t="s">
        <v>3259</v>
      </c>
      <c r="C2637" s="5" t="s">
        <v>21</v>
      </c>
      <c r="K2637" s="5">
        <v>80.0</v>
      </c>
      <c r="N2637" s="9">
        <v>44554.0</v>
      </c>
    </row>
    <row r="2638">
      <c r="A2638" s="5">
        <v>2637.0</v>
      </c>
      <c r="B2638" s="5" t="s">
        <v>3260</v>
      </c>
      <c r="C2638" s="5" t="s">
        <v>21</v>
      </c>
      <c r="K2638" s="5">
        <v>500.0</v>
      </c>
      <c r="N2638" s="9">
        <v>44736.0</v>
      </c>
    </row>
    <row r="2639">
      <c r="A2639" s="5">
        <v>2638.0</v>
      </c>
      <c r="B2639" s="5" t="s">
        <v>3261</v>
      </c>
      <c r="C2639" s="5" t="s">
        <v>21</v>
      </c>
      <c r="K2639" s="5">
        <v>900.0</v>
      </c>
      <c r="N2639" s="9">
        <v>44226.0</v>
      </c>
    </row>
    <row r="2640">
      <c r="A2640" s="5">
        <v>2639.0</v>
      </c>
      <c r="B2640" s="5" t="s">
        <v>3262</v>
      </c>
      <c r="C2640" s="5" t="s">
        <v>21</v>
      </c>
      <c r="K2640" s="5">
        <v>300.0</v>
      </c>
      <c r="N2640" s="9">
        <v>44558.0</v>
      </c>
    </row>
    <row r="2641">
      <c r="A2641" s="5">
        <v>2640.0</v>
      </c>
      <c r="B2641" s="5" t="s">
        <v>3263</v>
      </c>
      <c r="C2641" s="5" t="s">
        <v>21</v>
      </c>
      <c r="K2641" s="5">
        <v>200.0</v>
      </c>
      <c r="N2641" s="9">
        <v>44705.0</v>
      </c>
    </row>
    <row r="2642">
      <c r="A2642" s="5">
        <v>2641.0</v>
      </c>
      <c r="B2642" s="5" t="s">
        <v>3264</v>
      </c>
      <c r="C2642" s="5" t="s">
        <v>21</v>
      </c>
      <c r="K2642" s="5">
        <v>450.0</v>
      </c>
      <c r="N2642" s="9">
        <v>44187.0</v>
      </c>
    </row>
    <row r="2643">
      <c r="A2643" s="5">
        <v>2642.0</v>
      </c>
      <c r="B2643" s="5" t="s">
        <v>3265</v>
      </c>
      <c r="C2643" s="5" t="s">
        <v>21</v>
      </c>
      <c r="K2643" s="5">
        <v>4500.0</v>
      </c>
      <c r="N2643" s="9">
        <v>45553.0</v>
      </c>
    </row>
    <row r="2644">
      <c r="A2644" s="5">
        <v>2643.0</v>
      </c>
      <c r="B2644" s="5" t="s">
        <v>3266</v>
      </c>
      <c r="C2644" s="5" t="s">
        <v>21</v>
      </c>
      <c r="K2644" s="5">
        <v>600.0</v>
      </c>
      <c r="N2644" s="9">
        <v>44532.0</v>
      </c>
    </row>
    <row r="2645">
      <c r="A2645" s="5">
        <v>2644.0</v>
      </c>
      <c r="B2645" s="5" t="s">
        <v>3267</v>
      </c>
      <c r="C2645" s="5" t="s">
        <v>21</v>
      </c>
      <c r="K2645" s="5">
        <v>1000.0</v>
      </c>
      <c r="N2645" s="9">
        <v>45543.0</v>
      </c>
    </row>
    <row r="2646">
      <c r="A2646" s="5">
        <v>2645.0</v>
      </c>
      <c r="B2646" s="5" t="s">
        <v>3268</v>
      </c>
      <c r="C2646" s="5" t="s">
        <v>21</v>
      </c>
      <c r="K2646" s="5">
        <v>1000.0</v>
      </c>
      <c r="N2646" s="9">
        <v>44291.0</v>
      </c>
    </row>
    <row r="2647">
      <c r="A2647" s="5">
        <v>2646.0</v>
      </c>
      <c r="B2647" s="5" t="s">
        <v>3269</v>
      </c>
      <c r="C2647" s="5" t="s">
        <v>21</v>
      </c>
      <c r="K2647" s="5">
        <v>2000.0</v>
      </c>
      <c r="N2647" s="9">
        <v>44136.0</v>
      </c>
    </row>
    <row r="2648">
      <c r="A2648" s="5">
        <v>2647.0</v>
      </c>
      <c r="B2648" s="5" t="s">
        <v>3270</v>
      </c>
      <c r="C2648" s="5" t="s">
        <v>21</v>
      </c>
      <c r="K2648" s="5">
        <v>150.0</v>
      </c>
      <c r="N2648" s="9">
        <v>46125.0</v>
      </c>
    </row>
    <row r="2649">
      <c r="A2649" s="5">
        <v>2648.0</v>
      </c>
      <c r="B2649" s="5" t="s">
        <v>3271</v>
      </c>
      <c r="C2649" s="5" t="s">
        <v>21</v>
      </c>
      <c r="K2649" s="5">
        <v>900.0</v>
      </c>
      <c r="N2649" s="9">
        <v>45265.0</v>
      </c>
    </row>
    <row r="2650">
      <c r="A2650" s="5">
        <v>2649.0</v>
      </c>
      <c r="B2650" s="5" t="s">
        <v>3272</v>
      </c>
      <c r="C2650" s="5" t="s">
        <v>21</v>
      </c>
      <c r="K2650" s="5">
        <v>1200.0</v>
      </c>
      <c r="N2650" s="9">
        <v>44898.0</v>
      </c>
    </row>
    <row r="2651">
      <c r="A2651" s="5">
        <v>2650.0</v>
      </c>
      <c r="B2651" s="5" t="s">
        <v>3273</v>
      </c>
      <c r="C2651" s="5" t="s">
        <v>21</v>
      </c>
      <c r="K2651" s="5">
        <v>80.0</v>
      </c>
      <c r="N2651" s="9">
        <v>44221.0</v>
      </c>
    </row>
    <row r="2652">
      <c r="A2652" s="5">
        <v>2651.0</v>
      </c>
      <c r="B2652" s="5" t="s">
        <v>3274</v>
      </c>
      <c r="C2652" s="5" t="s">
        <v>21</v>
      </c>
      <c r="K2652" s="5">
        <v>500.0</v>
      </c>
      <c r="N2652" s="9">
        <v>44172.0</v>
      </c>
    </row>
    <row r="2653">
      <c r="A2653" s="5">
        <v>2652.0</v>
      </c>
      <c r="B2653" s="5" t="s">
        <v>3275</v>
      </c>
      <c r="C2653" s="5" t="s">
        <v>21</v>
      </c>
      <c r="K2653" s="5">
        <v>500.0</v>
      </c>
      <c r="N2653" s="9">
        <v>45343.0</v>
      </c>
    </row>
    <row r="2654">
      <c r="A2654" s="5">
        <v>2653.0</v>
      </c>
      <c r="B2654" s="5" t="s">
        <v>3276</v>
      </c>
      <c r="C2654" s="5" t="s">
        <v>21</v>
      </c>
      <c r="K2654" s="5">
        <v>300.0</v>
      </c>
      <c r="N2654" s="9">
        <v>44187.0</v>
      </c>
    </row>
    <row r="2655">
      <c r="A2655" s="5">
        <v>2654.0</v>
      </c>
      <c r="B2655" s="5" t="s">
        <v>3277</v>
      </c>
      <c r="C2655" s="5" t="s">
        <v>21</v>
      </c>
      <c r="K2655" s="5">
        <v>250.0</v>
      </c>
      <c r="N2655" s="9">
        <v>45103.0</v>
      </c>
    </row>
    <row r="2656">
      <c r="A2656" s="5">
        <v>2655.0</v>
      </c>
      <c r="B2656" s="5" t="s">
        <v>3278</v>
      </c>
      <c r="C2656" s="5" t="s">
        <v>21</v>
      </c>
      <c r="K2656" s="5">
        <v>90.0</v>
      </c>
      <c r="N2656" s="9">
        <v>44599.0</v>
      </c>
    </row>
    <row r="2657">
      <c r="A2657" s="5">
        <v>2656.0</v>
      </c>
      <c r="B2657" s="5" t="s">
        <v>3279</v>
      </c>
      <c r="C2657" s="5" t="s">
        <v>21</v>
      </c>
      <c r="K2657" s="5">
        <v>300.0</v>
      </c>
      <c r="N2657" s="9">
        <v>44784.0</v>
      </c>
    </row>
    <row r="2658">
      <c r="A2658" s="5">
        <v>2657.0</v>
      </c>
      <c r="B2658" s="5" t="s">
        <v>3280</v>
      </c>
      <c r="C2658" s="5" t="s">
        <v>21</v>
      </c>
      <c r="N2658" s="9">
        <v>44533.0</v>
      </c>
    </row>
    <row r="2659">
      <c r="A2659" s="5">
        <v>2658.0</v>
      </c>
      <c r="B2659" s="5" t="s">
        <v>3281</v>
      </c>
      <c r="C2659" s="5" t="s">
        <v>21</v>
      </c>
      <c r="K2659" s="5">
        <v>250.0</v>
      </c>
      <c r="N2659" s="9">
        <v>44966.0</v>
      </c>
    </row>
    <row r="2660">
      <c r="A2660" s="5">
        <v>2659.0</v>
      </c>
      <c r="B2660" s="5" t="s">
        <v>3282</v>
      </c>
      <c r="C2660" s="5" t="s">
        <v>21</v>
      </c>
      <c r="K2660" s="5">
        <v>600.0</v>
      </c>
      <c r="N2660" s="9">
        <v>44584.0</v>
      </c>
    </row>
    <row r="2661">
      <c r="A2661" s="5">
        <v>2660.0</v>
      </c>
      <c r="B2661" s="5" t="s">
        <v>3283</v>
      </c>
      <c r="C2661" s="5" t="s">
        <v>21</v>
      </c>
      <c r="K2661" s="5">
        <v>500.0</v>
      </c>
      <c r="N2661" s="9">
        <v>45493.0</v>
      </c>
    </row>
    <row r="2662">
      <c r="A2662" s="5">
        <v>2661.0</v>
      </c>
      <c r="B2662" s="5" t="s">
        <v>3284</v>
      </c>
      <c r="C2662" s="5" t="s">
        <v>21</v>
      </c>
      <c r="K2662" s="5">
        <v>700.0</v>
      </c>
      <c r="N2662" s="9">
        <v>44599.0</v>
      </c>
    </row>
    <row r="2663">
      <c r="A2663" s="5">
        <v>2662.0</v>
      </c>
      <c r="B2663" s="5" t="s">
        <v>3285</v>
      </c>
      <c r="C2663" s="5" t="s">
        <v>21</v>
      </c>
      <c r="K2663" s="5">
        <v>700.0</v>
      </c>
      <c r="N2663" s="9">
        <v>44809.0</v>
      </c>
    </row>
    <row r="2664">
      <c r="A2664" s="5">
        <v>2663.0</v>
      </c>
      <c r="B2664" s="5" t="s">
        <v>3286</v>
      </c>
      <c r="C2664" s="5" t="s">
        <v>21</v>
      </c>
      <c r="K2664" s="5">
        <v>30.0</v>
      </c>
      <c r="N2664" s="9">
        <v>44727.0</v>
      </c>
    </row>
    <row r="2665">
      <c r="A2665" s="5">
        <v>2664.0</v>
      </c>
      <c r="B2665" s="5" t="s">
        <v>3287</v>
      </c>
      <c r="C2665" s="5" t="s">
        <v>21</v>
      </c>
      <c r="K2665" s="5">
        <v>900.0</v>
      </c>
      <c r="N2665" s="9">
        <v>44549.0</v>
      </c>
    </row>
    <row r="2666">
      <c r="A2666" s="5">
        <v>2665.0</v>
      </c>
      <c r="B2666" s="5" t="s">
        <v>3288</v>
      </c>
      <c r="C2666" s="5" t="s">
        <v>21</v>
      </c>
      <c r="K2666" s="5">
        <v>250.0</v>
      </c>
      <c r="N2666" s="9">
        <v>44052.0</v>
      </c>
    </row>
    <row r="2667">
      <c r="A2667" s="5">
        <v>2666.0</v>
      </c>
      <c r="B2667" s="5" t="s">
        <v>3289</v>
      </c>
      <c r="C2667" s="5" t="s">
        <v>21</v>
      </c>
      <c r="K2667" s="5">
        <v>150.0</v>
      </c>
      <c r="N2667" s="9">
        <v>44637.0</v>
      </c>
    </row>
    <row r="2668">
      <c r="A2668" s="5">
        <v>2667.0</v>
      </c>
      <c r="B2668" s="5" t="s">
        <v>3290</v>
      </c>
      <c r="C2668" s="5" t="s">
        <v>21</v>
      </c>
      <c r="K2668" s="5">
        <v>150.0</v>
      </c>
      <c r="N2668" s="9">
        <v>44620.0</v>
      </c>
    </row>
    <row r="2669">
      <c r="A2669" s="5">
        <v>2668.0</v>
      </c>
      <c r="B2669" s="5" t="s">
        <v>3291</v>
      </c>
      <c r="C2669" s="5" t="s">
        <v>21</v>
      </c>
      <c r="K2669" s="5">
        <v>1700.0</v>
      </c>
      <c r="N2669" s="9">
        <v>44509.0</v>
      </c>
    </row>
    <row r="2670">
      <c r="A2670" s="5">
        <v>2669.0</v>
      </c>
      <c r="B2670" s="5" t="s">
        <v>3292</v>
      </c>
      <c r="C2670" s="5" t="s">
        <v>21</v>
      </c>
      <c r="K2670" s="5">
        <v>50.0</v>
      </c>
      <c r="N2670" s="9">
        <v>44577.0</v>
      </c>
    </row>
    <row r="2671">
      <c r="A2671" s="5">
        <v>2670.0</v>
      </c>
      <c r="B2671" s="5" t="s">
        <v>3293</v>
      </c>
      <c r="C2671" s="5" t="s">
        <v>21</v>
      </c>
      <c r="K2671" s="5">
        <v>100.0</v>
      </c>
      <c r="N2671" s="9">
        <v>44532.0</v>
      </c>
    </row>
    <row r="2672">
      <c r="A2672" s="5">
        <v>2671.0</v>
      </c>
      <c r="B2672" s="5" t="s">
        <v>3294</v>
      </c>
      <c r="C2672" s="5" t="s">
        <v>21</v>
      </c>
      <c r="K2672" s="5">
        <v>300.0</v>
      </c>
      <c r="N2672" s="9">
        <v>45202.0</v>
      </c>
    </row>
    <row r="2673">
      <c r="A2673" s="5">
        <v>2672.0</v>
      </c>
      <c r="B2673" s="5" t="s">
        <v>3295</v>
      </c>
      <c r="C2673" s="5" t="s">
        <v>21</v>
      </c>
      <c r="K2673" s="5">
        <v>200.0</v>
      </c>
      <c r="N2673" s="9">
        <v>45614.0</v>
      </c>
    </row>
    <row r="2674">
      <c r="A2674" s="5">
        <v>2673.0</v>
      </c>
      <c r="B2674" s="5" t="s">
        <v>3296</v>
      </c>
      <c r="C2674" s="5" t="s">
        <v>21</v>
      </c>
      <c r="K2674" s="5">
        <v>70.0</v>
      </c>
      <c r="N2674" s="9">
        <v>44531.0</v>
      </c>
    </row>
    <row r="2675">
      <c r="A2675" s="5">
        <v>2674.0</v>
      </c>
      <c r="B2675" s="5" t="s">
        <v>3297</v>
      </c>
      <c r="C2675" s="5" t="s">
        <v>21</v>
      </c>
      <c r="K2675" s="5">
        <v>150.0</v>
      </c>
      <c r="N2675" s="9">
        <v>44309.0</v>
      </c>
    </row>
    <row r="2676">
      <c r="A2676" s="5">
        <v>2675.0</v>
      </c>
      <c r="B2676" s="5" t="s">
        <v>3298</v>
      </c>
      <c r="C2676" s="5" t="s">
        <v>21</v>
      </c>
      <c r="K2676" s="5">
        <v>600.0</v>
      </c>
      <c r="N2676" s="9">
        <v>45473.0</v>
      </c>
    </row>
    <row r="2677">
      <c r="A2677" s="5">
        <v>2676.0</v>
      </c>
      <c r="B2677" s="5" t="s">
        <v>3299</v>
      </c>
      <c r="C2677" s="5" t="s">
        <v>21</v>
      </c>
      <c r="K2677" s="5">
        <v>300.0</v>
      </c>
      <c r="N2677" s="9">
        <v>44642.0</v>
      </c>
    </row>
    <row r="2678">
      <c r="A2678" s="5">
        <v>2677.0</v>
      </c>
      <c r="B2678" s="5" t="s">
        <v>3300</v>
      </c>
      <c r="C2678" s="5" t="s">
        <v>21</v>
      </c>
      <c r="K2678" s="5">
        <v>350.0</v>
      </c>
      <c r="N2678" s="9">
        <v>44456.0</v>
      </c>
    </row>
    <row r="2679">
      <c r="A2679" s="5">
        <v>2678.0</v>
      </c>
      <c r="B2679" s="5" t="s">
        <v>3301</v>
      </c>
      <c r="C2679" s="5" t="s">
        <v>21</v>
      </c>
      <c r="K2679" s="5">
        <v>1800.0</v>
      </c>
      <c r="N2679" s="9">
        <v>44043.0</v>
      </c>
    </row>
    <row r="2680">
      <c r="A2680" s="5">
        <v>2679.0</v>
      </c>
      <c r="B2680" s="5" t="s">
        <v>3302</v>
      </c>
      <c r="C2680" s="5" t="s">
        <v>21</v>
      </c>
      <c r="K2680" s="5">
        <v>300.0</v>
      </c>
      <c r="N2680" s="9">
        <v>44362.0</v>
      </c>
    </row>
    <row r="2681">
      <c r="A2681" s="5">
        <v>2680.0</v>
      </c>
      <c r="B2681" s="5" t="s">
        <v>3303</v>
      </c>
      <c r="C2681" s="5" t="s">
        <v>21</v>
      </c>
      <c r="K2681" s="5">
        <v>50.0</v>
      </c>
      <c r="N2681" s="9">
        <v>45121.0</v>
      </c>
    </row>
    <row r="2682">
      <c r="A2682" s="5">
        <v>2681.0</v>
      </c>
      <c r="B2682" s="5" t="s">
        <v>3304</v>
      </c>
      <c r="C2682" s="5" t="s">
        <v>21</v>
      </c>
      <c r="K2682" s="5">
        <v>150.0</v>
      </c>
      <c r="N2682" s="9">
        <v>44535.0</v>
      </c>
    </row>
    <row r="2683">
      <c r="A2683" s="5">
        <v>2682.0</v>
      </c>
      <c r="B2683" s="5" t="s">
        <v>3305</v>
      </c>
      <c r="C2683" s="5" t="s">
        <v>21</v>
      </c>
      <c r="K2683" s="5">
        <v>200.0</v>
      </c>
      <c r="N2683" s="9">
        <v>44573.0</v>
      </c>
    </row>
    <row r="2684">
      <c r="A2684" s="5">
        <v>2683.0</v>
      </c>
      <c r="B2684" s="5" t="s">
        <v>3306</v>
      </c>
      <c r="C2684" s="5" t="s">
        <v>21</v>
      </c>
      <c r="K2684" s="5">
        <v>20.0</v>
      </c>
      <c r="N2684" s="9">
        <v>45332.0</v>
      </c>
    </row>
    <row r="2685">
      <c r="A2685" s="5">
        <v>2684.0</v>
      </c>
      <c r="B2685" s="5" t="s">
        <v>3307</v>
      </c>
      <c r="C2685" s="5" t="s">
        <v>21</v>
      </c>
      <c r="K2685" s="5">
        <v>150.0</v>
      </c>
      <c r="N2685" s="9">
        <v>45421.0</v>
      </c>
    </row>
    <row r="2686">
      <c r="A2686" s="5">
        <v>2685.0</v>
      </c>
      <c r="B2686" s="5" t="s">
        <v>3308</v>
      </c>
      <c r="C2686" s="5" t="s">
        <v>21</v>
      </c>
      <c r="K2686" s="5">
        <v>4200.0</v>
      </c>
      <c r="N2686" s="9">
        <v>45096.0</v>
      </c>
    </row>
    <row r="2687">
      <c r="A2687" s="5">
        <v>2686.0</v>
      </c>
      <c r="B2687" s="5" t="s">
        <v>3309</v>
      </c>
      <c r="C2687" s="5" t="s">
        <v>21</v>
      </c>
      <c r="K2687" s="5">
        <v>600.0</v>
      </c>
      <c r="N2687" s="9">
        <v>45497.0</v>
      </c>
    </row>
    <row r="2688">
      <c r="A2688" s="5">
        <v>2687.0</v>
      </c>
      <c r="B2688" s="5" t="s">
        <v>3310</v>
      </c>
      <c r="C2688" s="5" t="s">
        <v>21</v>
      </c>
      <c r="K2688" s="5">
        <v>900.0</v>
      </c>
      <c r="N2688" s="9">
        <v>44562.0</v>
      </c>
    </row>
    <row r="2689">
      <c r="A2689" s="5">
        <v>2688.0</v>
      </c>
      <c r="B2689" s="5" t="s">
        <v>3311</v>
      </c>
      <c r="C2689" s="5" t="s">
        <v>21</v>
      </c>
      <c r="K2689" s="5">
        <v>70.0</v>
      </c>
      <c r="N2689" s="9">
        <v>44251.0</v>
      </c>
    </row>
    <row r="2690">
      <c r="A2690" s="5">
        <v>2689.0</v>
      </c>
      <c r="B2690" s="5" t="s">
        <v>3312</v>
      </c>
      <c r="C2690" s="5" t="s">
        <v>21</v>
      </c>
      <c r="K2690" s="5">
        <v>150.0</v>
      </c>
      <c r="N2690" s="9">
        <v>44630.0</v>
      </c>
    </row>
    <row r="2691">
      <c r="A2691" s="5">
        <v>2690.0</v>
      </c>
      <c r="B2691" s="5" t="s">
        <v>3313</v>
      </c>
      <c r="C2691" s="5" t="s">
        <v>21</v>
      </c>
      <c r="K2691" s="5">
        <v>700.0</v>
      </c>
      <c r="N2691" s="9">
        <v>44547.0</v>
      </c>
    </row>
    <row r="2692">
      <c r="A2692" s="5">
        <v>2691.0</v>
      </c>
      <c r="B2692" s="5" t="s">
        <v>3314</v>
      </c>
      <c r="C2692" s="5" t="s">
        <v>21</v>
      </c>
      <c r="K2692" s="5">
        <v>1600.0</v>
      </c>
      <c r="N2692" s="9">
        <v>44955.0</v>
      </c>
    </row>
    <row r="2693">
      <c r="A2693" s="5">
        <v>2692.0</v>
      </c>
      <c r="B2693" s="5" t="s">
        <v>3315</v>
      </c>
      <c r="C2693" s="5" t="s">
        <v>21</v>
      </c>
      <c r="K2693" s="5">
        <v>4800.0</v>
      </c>
      <c r="N2693" s="9">
        <v>44234.0</v>
      </c>
    </row>
    <row r="2694">
      <c r="A2694" s="5">
        <v>2693.0</v>
      </c>
      <c r="B2694" s="5" t="s">
        <v>3316</v>
      </c>
      <c r="C2694" s="5" t="s">
        <v>21</v>
      </c>
      <c r="K2694" s="5">
        <v>800.0</v>
      </c>
      <c r="N2694" s="9">
        <v>44545.0</v>
      </c>
    </row>
    <row r="2695">
      <c r="A2695" s="5">
        <v>2694.0</v>
      </c>
      <c r="B2695" s="5" t="s">
        <v>3317</v>
      </c>
      <c r="C2695" s="5" t="s">
        <v>21</v>
      </c>
      <c r="K2695" s="5">
        <v>5200.0</v>
      </c>
      <c r="N2695" s="9">
        <v>42933.0</v>
      </c>
    </row>
    <row r="2696">
      <c r="A2696" s="5">
        <v>2695.0</v>
      </c>
      <c r="B2696" s="5" t="s">
        <v>3318</v>
      </c>
      <c r="C2696" s="5" t="s">
        <v>21</v>
      </c>
      <c r="K2696" s="5">
        <v>250.0</v>
      </c>
      <c r="N2696" s="9">
        <v>44364.0</v>
      </c>
    </row>
    <row r="2697">
      <c r="A2697" s="5">
        <v>2696.0</v>
      </c>
      <c r="B2697" s="5" t="s">
        <v>3319</v>
      </c>
      <c r="C2697" s="5" t="s">
        <v>21</v>
      </c>
      <c r="N2697" s="9">
        <v>44839.0</v>
      </c>
    </row>
    <row r="2698">
      <c r="A2698" s="5">
        <v>2697.0</v>
      </c>
      <c r="B2698" s="5" t="s">
        <v>3320</v>
      </c>
      <c r="C2698" s="5" t="s">
        <v>21</v>
      </c>
      <c r="K2698" s="5">
        <v>600.0</v>
      </c>
      <c r="N2698" s="9">
        <v>44162.0</v>
      </c>
    </row>
    <row r="2699">
      <c r="A2699" s="5">
        <v>2698.0</v>
      </c>
      <c r="B2699" s="5" t="s">
        <v>3321</v>
      </c>
      <c r="C2699" s="5" t="s">
        <v>21</v>
      </c>
      <c r="K2699" s="5">
        <v>600.0</v>
      </c>
      <c r="N2699" s="9">
        <v>45505.0</v>
      </c>
    </row>
    <row r="2700">
      <c r="A2700" s="5">
        <v>2699.0</v>
      </c>
      <c r="B2700" s="5" t="s">
        <v>3322</v>
      </c>
      <c r="C2700" s="5" t="s">
        <v>21</v>
      </c>
      <c r="K2700" s="5">
        <v>200.0</v>
      </c>
      <c r="N2700" s="9">
        <v>44335.0</v>
      </c>
    </row>
    <row r="2701">
      <c r="A2701" s="5">
        <v>2700.0</v>
      </c>
      <c r="B2701" s="5" t="s">
        <v>3323</v>
      </c>
      <c r="C2701" s="5" t="s">
        <v>21</v>
      </c>
      <c r="K2701" s="5">
        <v>300.0</v>
      </c>
      <c r="N2701" s="9">
        <v>43873.0</v>
      </c>
    </row>
    <row r="2702">
      <c r="A2702" s="5">
        <v>2701.0</v>
      </c>
      <c r="B2702" s="5" t="s">
        <v>3324</v>
      </c>
      <c r="C2702" s="5" t="s">
        <v>21</v>
      </c>
      <c r="K2702" s="5">
        <v>600.0</v>
      </c>
      <c r="N2702" s="9">
        <v>44696.0</v>
      </c>
    </row>
    <row r="2703">
      <c r="A2703" s="5">
        <v>2702.0</v>
      </c>
      <c r="B2703" s="5" t="s">
        <v>3325</v>
      </c>
      <c r="C2703" s="5" t="s">
        <v>21</v>
      </c>
      <c r="K2703" s="5">
        <v>600.0</v>
      </c>
      <c r="N2703" s="9">
        <v>44597.0</v>
      </c>
    </row>
    <row r="2704">
      <c r="A2704" s="5">
        <v>2703.0</v>
      </c>
      <c r="B2704" s="5" t="s">
        <v>3326</v>
      </c>
      <c r="C2704" s="5" t="s">
        <v>21</v>
      </c>
      <c r="K2704" s="5">
        <v>100.0</v>
      </c>
      <c r="N2704" s="9">
        <v>43864.0</v>
      </c>
    </row>
    <row r="2705">
      <c r="A2705" s="5">
        <v>2704.0</v>
      </c>
      <c r="B2705" s="5" t="s">
        <v>3327</v>
      </c>
      <c r="C2705" s="5" t="s">
        <v>21</v>
      </c>
      <c r="K2705" s="5">
        <v>300.0</v>
      </c>
      <c r="N2705" s="9">
        <v>44132.0</v>
      </c>
    </row>
    <row r="2706">
      <c r="A2706" s="5">
        <v>2705.0</v>
      </c>
      <c r="B2706" s="5" t="s">
        <v>3328</v>
      </c>
      <c r="C2706" s="5" t="s">
        <v>21</v>
      </c>
      <c r="K2706" s="5">
        <v>1200.0</v>
      </c>
      <c r="N2706" s="9">
        <v>44615.0</v>
      </c>
    </row>
    <row r="2707">
      <c r="A2707" s="5">
        <v>2706.0</v>
      </c>
      <c r="B2707" s="5" t="s">
        <v>3329</v>
      </c>
      <c r="C2707" s="5" t="s">
        <v>21</v>
      </c>
      <c r="K2707" s="5">
        <v>800.0</v>
      </c>
      <c r="N2707" s="9">
        <v>43974.0</v>
      </c>
    </row>
    <row r="2708">
      <c r="A2708" s="5">
        <v>2707.0</v>
      </c>
      <c r="B2708" s="5" t="s">
        <v>3330</v>
      </c>
      <c r="C2708" s="5" t="s">
        <v>21</v>
      </c>
      <c r="K2708" s="5">
        <v>150.0</v>
      </c>
      <c r="N2708" s="9">
        <v>45066.0</v>
      </c>
    </row>
    <row r="2709">
      <c r="A2709" s="5">
        <v>2708.0</v>
      </c>
      <c r="B2709" s="5" t="s">
        <v>3331</v>
      </c>
      <c r="C2709" s="5" t="s">
        <v>21</v>
      </c>
      <c r="K2709" s="5">
        <v>800.0</v>
      </c>
      <c r="N2709" s="9">
        <v>43967.0</v>
      </c>
    </row>
    <row r="2710">
      <c r="A2710" s="5">
        <v>2709.0</v>
      </c>
      <c r="B2710" s="5" t="s">
        <v>3332</v>
      </c>
      <c r="C2710" s="5" t="s">
        <v>21</v>
      </c>
      <c r="K2710" s="5">
        <v>100.0</v>
      </c>
      <c r="N2710" s="9">
        <v>44576.0</v>
      </c>
    </row>
    <row r="2711">
      <c r="A2711" s="5">
        <v>2710.0</v>
      </c>
      <c r="B2711" s="5" t="s">
        <v>3333</v>
      </c>
      <c r="C2711" s="5" t="s">
        <v>21</v>
      </c>
      <c r="K2711" s="5">
        <v>2300.0</v>
      </c>
      <c r="N2711" s="9">
        <v>44351.0</v>
      </c>
    </row>
    <row r="2712">
      <c r="A2712" s="5">
        <v>2711.0</v>
      </c>
      <c r="B2712" s="5" t="s">
        <v>3334</v>
      </c>
      <c r="C2712" s="5" t="s">
        <v>21</v>
      </c>
      <c r="K2712" s="5">
        <v>4200.0</v>
      </c>
      <c r="N2712" s="9">
        <v>43878.0</v>
      </c>
    </row>
    <row r="2713">
      <c r="A2713" s="5">
        <v>2712.0</v>
      </c>
      <c r="B2713" s="5" t="s">
        <v>3335</v>
      </c>
      <c r="C2713" s="5" t="s">
        <v>21</v>
      </c>
      <c r="K2713" s="5">
        <v>1300.0</v>
      </c>
      <c r="N2713" s="9">
        <v>44280.0</v>
      </c>
    </row>
    <row r="2714">
      <c r="A2714" s="5">
        <v>2713.0</v>
      </c>
      <c r="B2714" s="5" t="s">
        <v>3336</v>
      </c>
      <c r="C2714" s="5" t="s">
        <v>21</v>
      </c>
      <c r="K2714" s="5">
        <v>400.0</v>
      </c>
      <c r="N2714" s="9">
        <v>44607.0</v>
      </c>
    </row>
    <row r="2715">
      <c r="A2715" s="5">
        <v>2714.0</v>
      </c>
      <c r="B2715" s="5" t="s">
        <v>3337</v>
      </c>
      <c r="C2715" s="5" t="s">
        <v>21</v>
      </c>
      <c r="K2715" s="5">
        <v>250.0</v>
      </c>
      <c r="N2715" s="9">
        <v>44720.0</v>
      </c>
    </row>
    <row r="2716">
      <c r="A2716" s="5">
        <v>2715.0</v>
      </c>
      <c r="B2716" s="5" t="s">
        <v>3338</v>
      </c>
      <c r="C2716" s="5" t="s">
        <v>21</v>
      </c>
      <c r="N2716" s="9">
        <v>44524.0</v>
      </c>
    </row>
    <row r="2717">
      <c r="A2717" s="5">
        <v>2716.0</v>
      </c>
      <c r="B2717" s="5" t="s">
        <v>3339</v>
      </c>
      <c r="C2717" s="5" t="s">
        <v>21</v>
      </c>
      <c r="K2717" s="5">
        <v>100.0</v>
      </c>
      <c r="N2717" s="9">
        <v>44681.0</v>
      </c>
    </row>
    <row r="2718">
      <c r="A2718" s="5">
        <v>2717.0</v>
      </c>
      <c r="B2718" s="5" t="s">
        <v>3340</v>
      </c>
      <c r="C2718" s="5" t="s">
        <v>21</v>
      </c>
      <c r="K2718" s="5">
        <v>500.0</v>
      </c>
      <c r="N2718" s="9">
        <v>44602.0</v>
      </c>
    </row>
    <row r="2719">
      <c r="A2719" s="5">
        <v>2718.0</v>
      </c>
      <c r="B2719" s="5" t="s">
        <v>3341</v>
      </c>
      <c r="C2719" s="5" t="s">
        <v>21</v>
      </c>
      <c r="N2719" s="9">
        <v>44524.0</v>
      </c>
    </row>
    <row r="2720">
      <c r="A2720" s="5">
        <v>2719.0</v>
      </c>
      <c r="B2720" s="5" t="s">
        <v>3342</v>
      </c>
      <c r="C2720" s="5" t="s">
        <v>21</v>
      </c>
      <c r="K2720" s="5">
        <v>100.0</v>
      </c>
      <c r="N2720" s="9">
        <v>44533.0</v>
      </c>
    </row>
    <row r="2721">
      <c r="A2721" s="5">
        <v>2720.0</v>
      </c>
      <c r="B2721" s="5" t="s">
        <v>3343</v>
      </c>
      <c r="C2721" s="5" t="s">
        <v>21</v>
      </c>
      <c r="K2721" s="5">
        <v>250.0</v>
      </c>
      <c r="N2721" s="9">
        <v>45505.0</v>
      </c>
    </row>
    <row r="2722">
      <c r="A2722" s="5">
        <v>2721.0</v>
      </c>
      <c r="B2722" s="5" t="s">
        <v>3344</v>
      </c>
      <c r="C2722" s="5" t="s">
        <v>21</v>
      </c>
      <c r="K2722" s="5">
        <v>100.0</v>
      </c>
      <c r="N2722" s="9">
        <v>45458.0</v>
      </c>
    </row>
    <row r="2723">
      <c r="A2723" s="5">
        <v>2722.0</v>
      </c>
      <c r="B2723" s="5" t="s">
        <v>3345</v>
      </c>
      <c r="C2723" s="5" t="s">
        <v>21</v>
      </c>
      <c r="K2723" s="5">
        <v>40.0</v>
      </c>
      <c r="N2723" s="9">
        <v>44791.0</v>
      </c>
    </row>
    <row r="2724">
      <c r="A2724" s="5">
        <v>2723.0</v>
      </c>
      <c r="B2724" s="5" t="s">
        <v>3346</v>
      </c>
      <c r="C2724" s="5" t="s">
        <v>21</v>
      </c>
      <c r="K2724" s="5">
        <v>500.0</v>
      </c>
      <c r="N2724" s="9">
        <v>44647.0</v>
      </c>
    </row>
    <row r="2725">
      <c r="A2725" s="5">
        <v>2724.0</v>
      </c>
      <c r="B2725" s="5" t="s">
        <v>3347</v>
      </c>
      <c r="C2725" s="5" t="s">
        <v>21</v>
      </c>
      <c r="N2725" s="9">
        <v>44520.0</v>
      </c>
    </row>
    <row r="2726">
      <c r="A2726" s="5">
        <v>2725.0</v>
      </c>
      <c r="B2726" s="5" t="s">
        <v>3348</v>
      </c>
      <c r="C2726" s="5" t="s">
        <v>21</v>
      </c>
      <c r="K2726" s="5">
        <v>3200.0</v>
      </c>
      <c r="N2726" s="9">
        <v>43931.0</v>
      </c>
    </row>
    <row r="2727">
      <c r="A2727" s="5">
        <v>2726.0</v>
      </c>
      <c r="B2727" s="5" t="s">
        <v>3349</v>
      </c>
      <c r="C2727" s="5" t="s">
        <v>21</v>
      </c>
      <c r="K2727" s="5">
        <v>60.0</v>
      </c>
      <c r="N2727" s="9">
        <v>44652.0</v>
      </c>
    </row>
    <row r="2728">
      <c r="A2728" s="5">
        <v>2727.0</v>
      </c>
      <c r="B2728" s="5" t="s">
        <v>3350</v>
      </c>
      <c r="C2728" s="5" t="s">
        <v>21</v>
      </c>
      <c r="K2728" s="5">
        <v>200.0</v>
      </c>
      <c r="N2728" s="9">
        <v>45182.0</v>
      </c>
    </row>
    <row r="2729">
      <c r="A2729" s="5">
        <v>2728.0</v>
      </c>
      <c r="B2729" s="5" t="s">
        <v>3351</v>
      </c>
      <c r="C2729" s="5" t="s">
        <v>21</v>
      </c>
      <c r="K2729" s="5">
        <v>1200.0</v>
      </c>
      <c r="N2729" s="9">
        <v>44598.0</v>
      </c>
    </row>
    <row r="2730">
      <c r="A2730" s="5">
        <v>2729.0</v>
      </c>
      <c r="B2730" s="5" t="s">
        <v>3352</v>
      </c>
      <c r="C2730" s="5" t="s">
        <v>21</v>
      </c>
      <c r="K2730" s="5">
        <v>2700.0</v>
      </c>
      <c r="N2730" s="9">
        <v>44439.0</v>
      </c>
    </row>
    <row r="2731">
      <c r="A2731" s="5">
        <v>2730.0</v>
      </c>
      <c r="B2731" s="5" t="s">
        <v>3353</v>
      </c>
      <c r="C2731" s="5" t="s">
        <v>21</v>
      </c>
      <c r="K2731" s="5">
        <v>80.0</v>
      </c>
      <c r="N2731" s="9">
        <v>44620.0</v>
      </c>
    </row>
    <row r="2732">
      <c r="A2732" s="5">
        <v>2731.0</v>
      </c>
      <c r="B2732" s="5" t="s">
        <v>3354</v>
      </c>
      <c r="C2732" s="5" t="s">
        <v>21</v>
      </c>
      <c r="K2732" s="5">
        <v>1000.0</v>
      </c>
      <c r="N2732" s="9">
        <v>44402.0</v>
      </c>
    </row>
    <row r="2733">
      <c r="A2733" s="5">
        <v>2732.0</v>
      </c>
      <c r="B2733" s="5" t="s">
        <v>3355</v>
      </c>
      <c r="C2733" s="5" t="s">
        <v>21</v>
      </c>
      <c r="K2733" s="5">
        <v>150.0</v>
      </c>
      <c r="N2733" s="9">
        <v>45017.0</v>
      </c>
    </row>
    <row r="2734">
      <c r="A2734" s="5">
        <v>2733.0</v>
      </c>
      <c r="B2734" s="5" t="s">
        <v>3356</v>
      </c>
      <c r="C2734" s="5" t="s">
        <v>21</v>
      </c>
      <c r="K2734" s="5">
        <v>30.0</v>
      </c>
      <c r="N2734" s="9">
        <v>43936.0</v>
      </c>
    </row>
    <row r="2735">
      <c r="A2735" s="5">
        <v>2734.0</v>
      </c>
      <c r="B2735" s="5" t="s">
        <v>3357</v>
      </c>
      <c r="C2735" s="5" t="s">
        <v>21</v>
      </c>
      <c r="K2735" s="5">
        <v>300.0</v>
      </c>
      <c r="N2735" s="9">
        <v>44606.0</v>
      </c>
    </row>
    <row r="2736">
      <c r="A2736" s="5">
        <v>2735.0</v>
      </c>
      <c r="B2736" s="5" t="s">
        <v>3358</v>
      </c>
      <c r="C2736" s="5" t="s">
        <v>21</v>
      </c>
      <c r="K2736" s="5">
        <v>100.0</v>
      </c>
      <c r="N2736" s="9">
        <v>44560.0</v>
      </c>
    </row>
    <row r="2737">
      <c r="A2737" s="5">
        <v>2736.0</v>
      </c>
      <c r="B2737" s="5" t="s">
        <v>3359</v>
      </c>
      <c r="C2737" s="5" t="s">
        <v>21</v>
      </c>
      <c r="K2737" s="5">
        <v>100.0</v>
      </c>
      <c r="N2737" s="9">
        <v>44651.0</v>
      </c>
    </row>
    <row r="2738">
      <c r="A2738" s="5">
        <v>2737.0</v>
      </c>
      <c r="B2738" s="5" t="s">
        <v>3360</v>
      </c>
      <c r="C2738" s="5" t="s">
        <v>21</v>
      </c>
      <c r="N2738" s="9">
        <v>44128.0</v>
      </c>
    </row>
    <row r="2739">
      <c r="A2739" s="5">
        <v>2738.0</v>
      </c>
      <c r="B2739" s="5" t="s">
        <v>3361</v>
      </c>
      <c r="C2739" s="5" t="s">
        <v>21</v>
      </c>
      <c r="K2739" s="5">
        <v>450.0</v>
      </c>
      <c r="N2739" s="9">
        <v>44536.0</v>
      </c>
    </row>
    <row r="2740">
      <c r="A2740" s="5">
        <v>2739.0</v>
      </c>
      <c r="B2740" s="5" t="s">
        <v>3362</v>
      </c>
      <c r="C2740" s="5" t="s">
        <v>21</v>
      </c>
      <c r="K2740" s="5">
        <v>450.0</v>
      </c>
      <c r="N2740" s="9">
        <v>44588.0</v>
      </c>
    </row>
    <row r="2741">
      <c r="A2741" s="5">
        <v>2740.0</v>
      </c>
      <c r="B2741" s="5" t="s">
        <v>3363</v>
      </c>
      <c r="C2741" s="5" t="s">
        <v>21</v>
      </c>
      <c r="K2741" s="5">
        <v>250.0</v>
      </c>
      <c r="N2741" s="9">
        <v>45462.0</v>
      </c>
    </row>
    <row r="2742">
      <c r="A2742" s="5">
        <v>2741.0</v>
      </c>
      <c r="B2742" s="5" t="s">
        <v>3364</v>
      </c>
      <c r="C2742" s="5" t="s">
        <v>21</v>
      </c>
      <c r="K2742" s="5">
        <v>1900.0</v>
      </c>
      <c r="N2742" s="9">
        <v>43883.0</v>
      </c>
    </row>
    <row r="2743">
      <c r="A2743" s="5">
        <v>2742.0</v>
      </c>
      <c r="B2743" s="5" t="s">
        <v>3365</v>
      </c>
      <c r="C2743" s="5" t="s">
        <v>21</v>
      </c>
      <c r="K2743" s="5">
        <v>50.0</v>
      </c>
      <c r="N2743" s="9">
        <v>44924.0</v>
      </c>
    </row>
    <row r="2744">
      <c r="A2744" s="5">
        <v>2743.0</v>
      </c>
      <c r="B2744" s="5" t="s">
        <v>3366</v>
      </c>
      <c r="C2744" s="5" t="s">
        <v>21</v>
      </c>
      <c r="K2744" s="5">
        <v>350.0</v>
      </c>
      <c r="N2744" s="9">
        <v>45082.0</v>
      </c>
    </row>
    <row r="2745">
      <c r="A2745" s="5">
        <v>2744.0</v>
      </c>
      <c r="B2745" s="5" t="s">
        <v>3367</v>
      </c>
      <c r="C2745" s="5" t="s">
        <v>21</v>
      </c>
      <c r="K2745" s="5">
        <v>250.0</v>
      </c>
      <c r="N2745" s="9">
        <v>44036.0</v>
      </c>
    </row>
    <row r="2746">
      <c r="A2746" s="5">
        <v>2745.0</v>
      </c>
      <c r="B2746" s="5" t="s">
        <v>3368</v>
      </c>
      <c r="C2746" s="5" t="s">
        <v>21</v>
      </c>
      <c r="K2746" s="5">
        <v>50.0</v>
      </c>
      <c r="N2746" s="9">
        <v>44194.0</v>
      </c>
    </row>
    <row r="2747">
      <c r="A2747" s="5">
        <v>2746.0</v>
      </c>
      <c r="B2747" s="5" t="s">
        <v>3369</v>
      </c>
      <c r="C2747" s="5" t="s">
        <v>21</v>
      </c>
      <c r="K2747" s="5">
        <v>500.0</v>
      </c>
      <c r="N2747" s="9">
        <v>44022.0</v>
      </c>
    </row>
    <row r="2748">
      <c r="A2748" s="5">
        <v>2747.0</v>
      </c>
      <c r="B2748" s="5" t="s">
        <v>3370</v>
      </c>
      <c r="C2748" s="5" t="s">
        <v>21</v>
      </c>
      <c r="K2748" s="5">
        <v>1900.0</v>
      </c>
      <c r="N2748" s="9">
        <v>43893.0</v>
      </c>
    </row>
    <row r="2749">
      <c r="A2749" s="5">
        <v>2748.0</v>
      </c>
      <c r="B2749" s="5" t="s">
        <v>3371</v>
      </c>
      <c r="C2749" s="5" t="s">
        <v>21</v>
      </c>
      <c r="K2749" s="5">
        <v>250.0</v>
      </c>
      <c r="N2749" s="9">
        <v>45160.0</v>
      </c>
    </row>
    <row r="2750">
      <c r="A2750" s="5">
        <v>2749.0</v>
      </c>
      <c r="B2750" s="5" t="s">
        <v>3372</v>
      </c>
      <c r="C2750" s="5" t="s">
        <v>21</v>
      </c>
      <c r="K2750" s="5">
        <v>300.0</v>
      </c>
      <c r="N2750" s="9">
        <v>44742.0</v>
      </c>
    </row>
    <row r="2751">
      <c r="A2751" s="5">
        <v>2750.0</v>
      </c>
      <c r="B2751" s="5" t="s">
        <v>3373</v>
      </c>
      <c r="C2751" s="5" t="s">
        <v>21</v>
      </c>
      <c r="K2751" s="5">
        <v>700.0</v>
      </c>
      <c r="N2751" s="9">
        <v>44331.0</v>
      </c>
    </row>
    <row r="2752">
      <c r="A2752" s="5">
        <v>2751.0</v>
      </c>
      <c r="B2752" s="5" t="s">
        <v>3374</v>
      </c>
      <c r="C2752" s="5" t="s">
        <v>21</v>
      </c>
      <c r="K2752" s="5">
        <v>10.0</v>
      </c>
      <c r="N2752" s="9">
        <v>44561.0</v>
      </c>
    </row>
    <row r="2753">
      <c r="A2753" s="5">
        <v>2752.0</v>
      </c>
      <c r="B2753" s="5" t="s">
        <v>3375</v>
      </c>
      <c r="C2753" s="5" t="s">
        <v>21</v>
      </c>
      <c r="K2753" s="5">
        <v>250.0</v>
      </c>
      <c r="N2753" s="9">
        <v>45316.0</v>
      </c>
    </row>
    <row r="2754">
      <c r="A2754" s="5">
        <v>2753.0</v>
      </c>
      <c r="B2754" s="5" t="s">
        <v>3376</v>
      </c>
      <c r="C2754" s="5" t="s">
        <v>21</v>
      </c>
      <c r="K2754" s="5">
        <v>100.0</v>
      </c>
      <c r="N2754" s="9">
        <v>44537.0</v>
      </c>
    </row>
    <row r="2755">
      <c r="A2755" s="5">
        <v>2754.0</v>
      </c>
      <c r="B2755" s="5" t="s">
        <v>3377</v>
      </c>
      <c r="C2755" s="5" t="s">
        <v>21</v>
      </c>
      <c r="K2755" s="5">
        <v>100.0</v>
      </c>
      <c r="N2755" s="9">
        <v>44229.0</v>
      </c>
    </row>
    <row r="2756">
      <c r="A2756" s="5">
        <v>2755.0</v>
      </c>
      <c r="B2756" s="5" t="s">
        <v>3378</v>
      </c>
      <c r="C2756" s="5" t="s">
        <v>21</v>
      </c>
      <c r="K2756" s="5">
        <v>150.0</v>
      </c>
      <c r="N2756" s="9">
        <v>44689.0</v>
      </c>
    </row>
    <row r="2757">
      <c r="A2757" s="5">
        <v>2756.0</v>
      </c>
      <c r="B2757" s="5" t="s">
        <v>3379</v>
      </c>
      <c r="C2757" s="5" t="s">
        <v>21</v>
      </c>
      <c r="K2757" s="5">
        <v>50.0</v>
      </c>
      <c r="N2757" s="9">
        <v>44537.0</v>
      </c>
    </row>
    <row r="2758">
      <c r="A2758" s="5">
        <v>2757.0</v>
      </c>
      <c r="B2758" s="5" t="s">
        <v>3380</v>
      </c>
      <c r="C2758" s="5" t="s">
        <v>21</v>
      </c>
      <c r="K2758" s="5">
        <v>3500.0</v>
      </c>
      <c r="N2758" s="9">
        <v>43880.0</v>
      </c>
    </row>
    <row r="2759">
      <c r="A2759" s="5">
        <v>2758.0</v>
      </c>
      <c r="B2759" s="5" t="s">
        <v>3381</v>
      </c>
      <c r="C2759" s="5" t="s">
        <v>21</v>
      </c>
      <c r="K2759" s="5">
        <v>500.0</v>
      </c>
      <c r="N2759" s="9">
        <v>44025.0</v>
      </c>
    </row>
    <row r="2760">
      <c r="A2760" s="5">
        <v>2759.0</v>
      </c>
      <c r="B2760" s="5" t="s">
        <v>3382</v>
      </c>
      <c r="C2760" s="5" t="s">
        <v>21</v>
      </c>
      <c r="N2760" s="9">
        <v>44701.0</v>
      </c>
    </row>
    <row r="2761">
      <c r="A2761" s="5">
        <v>2760.0</v>
      </c>
      <c r="B2761" s="5" t="s">
        <v>3383</v>
      </c>
      <c r="C2761" s="5" t="s">
        <v>21</v>
      </c>
      <c r="K2761" s="5">
        <v>700.0</v>
      </c>
      <c r="N2761" s="9">
        <v>44618.0</v>
      </c>
    </row>
    <row r="2762">
      <c r="A2762" s="5">
        <v>2761.0</v>
      </c>
      <c r="B2762" s="5" t="s">
        <v>3384</v>
      </c>
      <c r="C2762" s="5" t="s">
        <v>21</v>
      </c>
      <c r="K2762" s="5">
        <v>400.0</v>
      </c>
      <c r="N2762" s="9">
        <v>44531.0</v>
      </c>
    </row>
    <row r="2763">
      <c r="A2763" s="5">
        <v>2762.0</v>
      </c>
      <c r="B2763" s="5" t="s">
        <v>3385</v>
      </c>
      <c r="C2763" s="5" t="s">
        <v>21</v>
      </c>
      <c r="K2763" s="5">
        <v>40.0</v>
      </c>
      <c r="N2763" s="9">
        <v>44530.0</v>
      </c>
    </row>
    <row r="2764">
      <c r="A2764" s="5">
        <v>2763.0</v>
      </c>
      <c r="B2764" s="5" t="s">
        <v>3386</v>
      </c>
      <c r="C2764" s="5" t="s">
        <v>21</v>
      </c>
      <c r="K2764" s="5">
        <v>400.0</v>
      </c>
      <c r="N2764" s="9">
        <v>45063.0</v>
      </c>
    </row>
    <row r="2765">
      <c r="A2765" s="5">
        <v>2764.0</v>
      </c>
      <c r="B2765" s="5" t="s">
        <v>3387</v>
      </c>
      <c r="C2765" s="5" t="s">
        <v>21</v>
      </c>
      <c r="K2765" s="5">
        <v>350.0</v>
      </c>
      <c r="N2765" s="9">
        <v>44748.0</v>
      </c>
    </row>
    <row r="2766">
      <c r="A2766" s="5">
        <v>2765.0</v>
      </c>
      <c r="B2766" s="5" t="s">
        <v>3388</v>
      </c>
      <c r="C2766" s="5" t="s">
        <v>21</v>
      </c>
      <c r="K2766" s="5">
        <v>300.0</v>
      </c>
      <c r="N2766" s="9">
        <v>45499.0</v>
      </c>
    </row>
    <row r="2767">
      <c r="A2767" s="5">
        <v>2766.0</v>
      </c>
      <c r="B2767" s="5" t="s">
        <v>3389</v>
      </c>
      <c r="C2767" s="5" t="s">
        <v>21</v>
      </c>
      <c r="K2767" s="5">
        <v>1500.0</v>
      </c>
      <c r="N2767" s="9">
        <v>44295.0</v>
      </c>
    </row>
    <row r="2768">
      <c r="A2768" s="5">
        <v>2767.0</v>
      </c>
      <c r="B2768" s="5" t="s">
        <v>3390</v>
      </c>
      <c r="C2768" s="5" t="s">
        <v>21</v>
      </c>
      <c r="K2768" s="5">
        <v>300.0</v>
      </c>
      <c r="N2768" s="9">
        <v>44006.0</v>
      </c>
    </row>
    <row r="2769">
      <c r="A2769" s="5">
        <v>2768.0</v>
      </c>
      <c r="B2769" s="5" t="s">
        <v>3391</v>
      </c>
      <c r="C2769" s="5" t="s">
        <v>21</v>
      </c>
      <c r="K2769" s="5">
        <v>10.0</v>
      </c>
      <c r="N2769" s="9">
        <v>44009.0</v>
      </c>
    </row>
    <row r="2770">
      <c r="A2770" s="5">
        <v>2769.0</v>
      </c>
      <c r="B2770" s="5" t="s">
        <v>3392</v>
      </c>
      <c r="C2770" s="5" t="s">
        <v>21</v>
      </c>
      <c r="K2770" s="5">
        <v>150.0</v>
      </c>
      <c r="N2770" s="9">
        <v>45525.0</v>
      </c>
    </row>
    <row r="2771">
      <c r="A2771" s="5">
        <v>2770.0</v>
      </c>
      <c r="B2771" s="5" t="s">
        <v>3393</v>
      </c>
      <c r="C2771" s="5" t="s">
        <v>21</v>
      </c>
      <c r="K2771" s="5">
        <v>150.0</v>
      </c>
      <c r="N2771" s="9">
        <v>44548.0</v>
      </c>
    </row>
    <row r="2772">
      <c r="A2772" s="5">
        <v>2771.0</v>
      </c>
      <c r="B2772" s="5" t="s">
        <v>3394</v>
      </c>
      <c r="C2772" s="5" t="s">
        <v>21</v>
      </c>
      <c r="K2772" s="5">
        <v>600.0</v>
      </c>
      <c r="N2772" s="9">
        <v>45374.0</v>
      </c>
    </row>
    <row r="2773">
      <c r="A2773" s="5">
        <v>2772.0</v>
      </c>
      <c r="B2773" s="5" t="s">
        <v>3395</v>
      </c>
      <c r="C2773" s="5" t="s">
        <v>21</v>
      </c>
      <c r="K2773" s="5">
        <v>200.0</v>
      </c>
      <c r="N2773" s="9">
        <v>44584.0</v>
      </c>
    </row>
    <row r="2774">
      <c r="A2774" s="5">
        <v>2773.0</v>
      </c>
      <c r="B2774" s="5" t="s">
        <v>3396</v>
      </c>
      <c r="C2774" s="5" t="s">
        <v>21</v>
      </c>
      <c r="K2774" s="5">
        <v>60.0</v>
      </c>
      <c r="N2774" s="9">
        <v>44711.0</v>
      </c>
    </row>
    <row r="2775">
      <c r="A2775" s="5">
        <v>2774.0</v>
      </c>
      <c r="B2775" s="5" t="s">
        <v>3397</v>
      </c>
      <c r="C2775" s="5" t="s">
        <v>21</v>
      </c>
      <c r="K2775" s="5">
        <v>1600.0</v>
      </c>
      <c r="N2775" s="9">
        <v>44477.0</v>
      </c>
    </row>
    <row r="2776">
      <c r="A2776" s="5">
        <v>2775.0</v>
      </c>
      <c r="B2776" s="5" t="s">
        <v>3398</v>
      </c>
      <c r="C2776" s="5" t="s">
        <v>21</v>
      </c>
      <c r="K2776" s="5">
        <v>2600.0</v>
      </c>
      <c r="N2776" s="9">
        <v>45617.0</v>
      </c>
    </row>
    <row r="2777">
      <c r="A2777" s="5">
        <v>2776.0</v>
      </c>
      <c r="B2777" s="5" t="s">
        <v>3399</v>
      </c>
      <c r="C2777" s="5" t="s">
        <v>21</v>
      </c>
      <c r="K2777" s="5">
        <v>900.0</v>
      </c>
      <c r="N2777" s="9">
        <v>44480.0</v>
      </c>
    </row>
    <row r="2778">
      <c r="A2778" s="5">
        <v>2777.0</v>
      </c>
      <c r="B2778" s="5" t="s">
        <v>3400</v>
      </c>
      <c r="C2778" s="5" t="s">
        <v>21</v>
      </c>
      <c r="K2778" s="5">
        <v>5200.0</v>
      </c>
      <c r="N2778" s="9">
        <v>44529.0</v>
      </c>
    </row>
    <row r="2779">
      <c r="A2779" s="5">
        <v>2778.0</v>
      </c>
      <c r="B2779" s="5" t="s">
        <v>3401</v>
      </c>
      <c r="C2779" s="5" t="s">
        <v>21</v>
      </c>
      <c r="K2779" s="5">
        <v>1800.0</v>
      </c>
      <c r="N2779" s="9">
        <v>44565.0</v>
      </c>
    </row>
    <row r="2780">
      <c r="A2780" s="5">
        <v>2779.0</v>
      </c>
      <c r="B2780" s="5" t="s">
        <v>3402</v>
      </c>
      <c r="C2780" s="5" t="s">
        <v>21</v>
      </c>
      <c r="K2780" s="5">
        <v>60.0</v>
      </c>
      <c r="N2780" s="9">
        <v>44715.0</v>
      </c>
    </row>
    <row r="2781">
      <c r="A2781" s="5">
        <v>2780.0</v>
      </c>
      <c r="B2781" s="5" t="s">
        <v>3403</v>
      </c>
      <c r="C2781" s="5" t="s">
        <v>21</v>
      </c>
      <c r="K2781" s="5">
        <v>30.0</v>
      </c>
      <c r="N2781" s="9">
        <v>44544.0</v>
      </c>
    </row>
    <row r="2782">
      <c r="A2782" s="5">
        <v>2781.0</v>
      </c>
      <c r="B2782" s="5" t="s">
        <v>3404</v>
      </c>
      <c r="C2782" s="5" t="s">
        <v>21</v>
      </c>
      <c r="K2782" s="5">
        <v>1000.0</v>
      </c>
      <c r="N2782" s="9">
        <v>44594.0</v>
      </c>
    </row>
    <row r="2783">
      <c r="A2783" s="5">
        <v>2782.0</v>
      </c>
      <c r="B2783" s="5" t="s">
        <v>3405</v>
      </c>
      <c r="C2783" s="5" t="s">
        <v>21</v>
      </c>
      <c r="K2783" s="5">
        <v>400.0</v>
      </c>
      <c r="N2783" s="9">
        <v>44352.0</v>
      </c>
    </row>
    <row r="2784">
      <c r="A2784" s="5">
        <v>2783.0</v>
      </c>
      <c r="B2784" s="5" t="s">
        <v>3406</v>
      </c>
      <c r="C2784" s="5" t="s">
        <v>21</v>
      </c>
      <c r="K2784" s="5">
        <v>40.0</v>
      </c>
      <c r="N2784" s="9">
        <v>45109.0</v>
      </c>
    </row>
    <row r="2785">
      <c r="A2785" s="5">
        <v>2784.0</v>
      </c>
      <c r="B2785" s="5" t="s">
        <v>3407</v>
      </c>
      <c r="C2785" s="5" t="s">
        <v>21</v>
      </c>
      <c r="K2785" s="5">
        <v>500.0</v>
      </c>
      <c r="N2785" s="9">
        <v>44073.0</v>
      </c>
    </row>
    <row r="2786">
      <c r="A2786" s="5">
        <v>2785.0</v>
      </c>
      <c r="B2786" s="5" t="s">
        <v>3408</v>
      </c>
      <c r="C2786" s="5" t="s">
        <v>21</v>
      </c>
      <c r="K2786" s="5">
        <v>60.0</v>
      </c>
      <c r="N2786" s="9">
        <v>44565.0</v>
      </c>
    </row>
    <row r="2787">
      <c r="A2787" s="5">
        <v>2786.0</v>
      </c>
      <c r="B2787" s="5" t="s">
        <v>3409</v>
      </c>
      <c r="C2787" s="5" t="s">
        <v>21</v>
      </c>
      <c r="K2787" s="5">
        <v>350.0</v>
      </c>
      <c r="N2787" s="9">
        <v>44764.0</v>
      </c>
    </row>
    <row r="2788">
      <c r="A2788" s="5">
        <v>2787.0</v>
      </c>
      <c r="B2788" s="5" t="s">
        <v>3410</v>
      </c>
      <c r="C2788" s="5" t="s">
        <v>21</v>
      </c>
      <c r="K2788" s="5">
        <v>600.0</v>
      </c>
      <c r="N2788" s="9">
        <v>44559.0</v>
      </c>
    </row>
    <row r="2789">
      <c r="A2789" s="5">
        <v>2788.0</v>
      </c>
      <c r="B2789" s="5" t="s">
        <v>3411</v>
      </c>
      <c r="C2789" s="5" t="s">
        <v>21</v>
      </c>
      <c r="K2789" s="5">
        <v>150.0</v>
      </c>
      <c r="N2789" s="9">
        <v>44569.0</v>
      </c>
    </row>
    <row r="2790">
      <c r="A2790" s="5">
        <v>2789.0</v>
      </c>
      <c r="B2790" s="5" t="s">
        <v>3412</v>
      </c>
      <c r="C2790" s="5" t="s">
        <v>21</v>
      </c>
      <c r="K2790" s="5">
        <v>150.0</v>
      </c>
      <c r="N2790" s="9">
        <v>44237.0</v>
      </c>
    </row>
    <row r="2791">
      <c r="A2791" s="5">
        <v>2790.0</v>
      </c>
      <c r="B2791" s="5" t="s">
        <v>3413</v>
      </c>
      <c r="C2791" s="5" t="s">
        <v>21</v>
      </c>
      <c r="K2791" s="5">
        <v>450.0</v>
      </c>
      <c r="N2791" s="9">
        <v>44609.0</v>
      </c>
    </row>
    <row r="2792">
      <c r="A2792" s="5">
        <v>2791.0</v>
      </c>
      <c r="B2792" s="5" t="s">
        <v>3414</v>
      </c>
      <c r="C2792" s="5" t="s">
        <v>21</v>
      </c>
      <c r="K2792" s="5">
        <v>300.0</v>
      </c>
      <c r="N2792" s="9">
        <v>44754.0</v>
      </c>
    </row>
    <row r="2793">
      <c r="A2793" s="5">
        <v>2792.0</v>
      </c>
      <c r="B2793" s="5" t="s">
        <v>3415</v>
      </c>
      <c r="C2793" s="5" t="s">
        <v>21</v>
      </c>
      <c r="K2793" s="5">
        <v>150.0</v>
      </c>
      <c r="N2793" s="9">
        <v>44555.0</v>
      </c>
    </row>
    <row r="2794">
      <c r="A2794" s="5">
        <v>2793.0</v>
      </c>
      <c r="B2794" s="5" t="s">
        <v>3416</v>
      </c>
      <c r="C2794" s="5" t="s">
        <v>21</v>
      </c>
      <c r="K2794" s="5">
        <v>1000.0</v>
      </c>
      <c r="N2794" s="9">
        <v>44566.0</v>
      </c>
    </row>
    <row r="2795">
      <c r="A2795" s="5">
        <v>2794.0</v>
      </c>
      <c r="B2795" s="5" t="s">
        <v>3417</v>
      </c>
      <c r="C2795" s="5" t="s">
        <v>21</v>
      </c>
      <c r="N2795" s="9">
        <v>44535.0</v>
      </c>
    </row>
    <row r="2796">
      <c r="A2796" s="5">
        <v>2795.0</v>
      </c>
      <c r="B2796" s="5" t="s">
        <v>3418</v>
      </c>
      <c r="C2796" s="5" t="s">
        <v>21</v>
      </c>
      <c r="K2796" s="5">
        <v>250.0</v>
      </c>
      <c r="N2796" s="9">
        <v>44540.0</v>
      </c>
    </row>
    <row r="2797">
      <c r="A2797" s="5">
        <v>2796.0</v>
      </c>
      <c r="B2797" s="5" t="s">
        <v>3419</v>
      </c>
      <c r="C2797" s="5" t="s">
        <v>21</v>
      </c>
      <c r="K2797" s="5">
        <v>100.0</v>
      </c>
      <c r="N2797" s="9">
        <v>45497.0</v>
      </c>
    </row>
    <row r="2798">
      <c r="A2798" s="5">
        <v>2797.0</v>
      </c>
      <c r="B2798" s="5" t="s">
        <v>3420</v>
      </c>
      <c r="C2798" s="5" t="s">
        <v>21</v>
      </c>
      <c r="K2798" s="5">
        <v>100.0</v>
      </c>
      <c r="N2798" s="9">
        <v>45070.0</v>
      </c>
    </row>
    <row r="2799">
      <c r="A2799" s="5">
        <v>2798.0</v>
      </c>
      <c r="B2799" s="5" t="s">
        <v>3421</v>
      </c>
      <c r="C2799" s="5" t="s">
        <v>21</v>
      </c>
      <c r="K2799" s="5">
        <v>3600.0</v>
      </c>
      <c r="N2799" s="9">
        <v>43902.0</v>
      </c>
    </row>
    <row r="2800">
      <c r="A2800" s="5">
        <v>2799.0</v>
      </c>
      <c r="B2800" s="5" t="s">
        <v>3422</v>
      </c>
      <c r="C2800" s="5" t="s">
        <v>21</v>
      </c>
      <c r="K2800" s="5">
        <v>800.0</v>
      </c>
      <c r="N2800" s="9">
        <v>44786.0</v>
      </c>
    </row>
    <row r="2801">
      <c r="A2801" s="5">
        <v>2800.0</v>
      </c>
      <c r="B2801" s="5" t="s">
        <v>3423</v>
      </c>
      <c r="C2801" s="5" t="s">
        <v>21</v>
      </c>
      <c r="K2801" s="5">
        <v>2000.0</v>
      </c>
      <c r="N2801" s="9">
        <v>44531.0</v>
      </c>
    </row>
    <row r="2802">
      <c r="A2802" s="5">
        <v>2801.0</v>
      </c>
      <c r="B2802" s="5" t="s">
        <v>3424</v>
      </c>
      <c r="C2802" s="5" t="s">
        <v>21</v>
      </c>
      <c r="K2802" s="5">
        <v>300.0</v>
      </c>
      <c r="N2802" s="9">
        <v>44569.0</v>
      </c>
    </row>
    <row r="2803">
      <c r="A2803" s="5">
        <v>2802.0</v>
      </c>
      <c r="B2803" s="5" t="s">
        <v>3425</v>
      </c>
      <c r="C2803" s="5" t="s">
        <v>21</v>
      </c>
      <c r="K2803" s="5">
        <v>19000.0</v>
      </c>
      <c r="N2803" s="9">
        <v>46085.0</v>
      </c>
    </row>
    <row r="2804">
      <c r="A2804" s="5">
        <v>2803.0</v>
      </c>
      <c r="B2804" s="5" t="s">
        <v>3426</v>
      </c>
      <c r="C2804" s="5" t="s">
        <v>21</v>
      </c>
      <c r="K2804" s="5">
        <v>300.0</v>
      </c>
      <c r="N2804" s="9">
        <v>44200.0</v>
      </c>
    </row>
    <row r="2805">
      <c r="A2805" s="5">
        <v>2804.0</v>
      </c>
      <c r="B2805" s="5" t="s">
        <v>3427</v>
      </c>
      <c r="C2805" s="5" t="s">
        <v>21</v>
      </c>
      <c r="K2805" s="5">
        <v>30.0</v>
      </c>
      <c r="N2805" s="9">
        <v>44629.0</v>
      </c>
    </row>
    <row r="2806">
      <c r="A2806" s="5">
        <v>2805.0</v>
      </c>
      <c r="B2806" s="5" t="s">
        <v>3428</v>
      </c>
      <c r="C2806" s="5" t="s">
        <v>21</v>
      </c>
      <c r="K2806" s="5">
        <v>1700.0</v>
      </c>
      <c r="N2806" s="9">
        <v>43907.0</v>
      </c>
    </row>
    <row r="2807">
      <c r="A2807" s="5">
        <v>2806.0</v>
      </c>
      <c r="B2807" s="5" t="s">
        <v>3429</v>
      </c>
      <c r="C2807" s="5" t="s">
        <v>21</v>
      </c>
      <c r="K2807" s="5">
        <v>600.0</v>
      </c>
      <c r="N2807" s="9">
        <v>45037.0</v>
      </c>
    </row>
    <row r="2808">
      <c r="A2808" s="5">
        <v>2807.0</v>
      </c>
      <c r="B2808" s="5" t="s">
        <v>3430</v>
      </c>
      <c r="C2808" s="5" t="s">
        <v>21</v>
      </c>
      <c r="K2808" s="5">
        <v>300.0</v>
      </c>
      <c r="N2808" s="9">
        <v>45252.0</v>
      </c>
    </row>
    <row r="2809">
      <c r="A2809" s="5">
        <v>2808.0</v>
      </c>
      <c r="B2809" s="5" t="s">
        <v>3431</v>
      </c>
      <c r="C2809" s="5" t="s">
        <v>21</v>
      </c>
      <c r="K2809" s="5">
        <v>10.0</v>
      </c>
      <c r="N2809" s="9">
        <v>44367.0</v>
      </c>
    </row>
    <row r="2810">
      <c r="A2810" s="5">
        <v>2809.0</v>
      </c>
      <c r="B2810" s="5" t="s">
        <v>3432</v>
      </c>
      <c r="C2810" s="5" t="s">
        <v>21</v>
      </c>
      <c r="K2810" s="5">
        <v>900.0</v>
      </c>
      <c r="N2810" s="9">
        <v>44343.0</v>
      </c>
    </row>
    <row r="2811">
      <c r="A2811" s="5">
        <v>2810.0</v>
      </c>
      <c r="B2811" s="5" t="s">
        <v>3433</v>
      </c>
      <c r="C2811" s="5" t="s">
        <v>21</v>
      </c>
      <c r="K2811" s="5">
        <v>800.0</v>
      </c>
      <c r="N2811" s="9">
        <v>44526.0</v>
      </c>
    </row>
    <row r="2812">
      <c r="A2812" s="5">
        <v>2811.0</v>
      </c>
      <c r="B2812" s="5" t="s">
        <v>3434</v>
      </c>
      <c r="C2812" s="5" t="s">
        <v>21</v>
      </c>
      <c r="K2812" s="5">
        <v>2400.0</v>
      </c>
      <c r="N2812" s="9">
        <v>44017.0</v>
      </c>
    </row>
    <row r="2813">
      <c r="A2813" s="5">
        <v>2812.0</v>
      </c>
      <c r="B2813" s="5" t="s">
        <v>3435</v>
      </c>
      <c r="C2813" s="5" t="s">
        <v>21</v>
      </c>
      <c r="K2813" s="5">
        <v>300.0</v>
      </c>
      <c r="N2813" s="9">
        <v>45686.0</v>
      </c>
    </row>
    <row r="2814">
      <c r="A2814" s="5">
        <v>2813.0</v>
      </c>
      <c r="B2814" s="5" t="s">
        <v>3436</v>
      </c>
      <c r="C2814" s="5" t="s">
        <v>21</v>
      </c>
      <c r="N2814" s="9">
        <v>44523.0</v>
      </c>
    </row>
    <row r="2815">
      <c r="A2815" s="5">
        <v>2814.0</v>
      </c>
      <c r="B2815" s="5" t="s">
        <v>3437</v>
      </c>
      <c r="C2815" s="5" t="s">
        <v>21</v>
      </c>
      <c r="K2815" s="5">
        <v>40.0</v>
      </c>
      <c r="N2815" s="9">
        <v>44675.0</v>
      </c>
    </row>
    <row r="2816">
      <c r="A2816" s="5">
        <v>2815.0</v>
      </c>
      <c r="B2816" s="5" t="s">
        <v>3438</v>
      </c>
      <c r="C2816" s="5" t="s">
        <v>21</v>
      </c>
      <c r="K2816" s="5">
        <v>100.0</v>
      </c>
      <c r="N2816" s="9">
        <v>44728.0</v>
      </c>
    </row>
    <row r="2817">
      <c r="A2817" s="5">
        <v>2816.0</v>
      </c>
      <c r="B2817" s="5" t="s">
        <v>3439</v>
      </c>
      <c r="C2817" s="5" t="s">
        <v>21</v>
      </c>
      <c r="K2817" s="5">
        <v>1300.0</v>
      </c>
      <c r="N2817" s="9">
        <v>44418.0</v>
      </c>
    </row>
    <row r="2818">
      <c r="A2818" s="5">
        <v>2817.0</v>
      </c>
      <c r="B2818" s="5" t="s">
        <v>3440</v>
      </c>
      <c r="C2818" s="5" t="s">
        <v>21</v>
      </c>
      <c r="K2818" s="5">
        <v>1100.0</v>
      </c>
      <c r="N2818" s="9">
        <v>44516.0</v>
      </c>
    </row>
    <row r="2819">
      <c r="A2819" s="5">
        <v>2818.0</v>
      </c>
      <c r="B2819" s="5" t="s">
        <v>3441</v>
      </c>
      <c r="C2819" s="5" t="s">
        <v>21</v>
      </c>
      <c r="K2819" s="5">
        <v>100.0</v>
      </c>
      <c r="N2819" s="9">
        <v>44599.0</v>
      </c>
    </row>
    <row r="2820">
      <c r="A2820" s="5">
        <v>2819.0</v>
      </c>
      <c r="B2820" s="5" t="s">
        <v>3442</v>
      </c>
      <c r="C2820" s="5" t="s">
        <v>21</v>
      </c>
      <c r="K2820" s="5">
        <v>100.0</v>
      </c>
      <c r="N2820" s="9">
        <v>44596.0</v>
      </c>
    </row>
    <row r="2821">
      <c r="A2821" s="5">
        <v>2820.0</v>
      </c>
      <c r="B2821" s="5" t="s">
        <v>3443</v>
      </c>
      <c r="C2821" s="5" t="s">
        <v>21</v>
      </c>
      <c r="K2821" s="5">
        <v>1200.0</v>
      </c>
      <c r="N2821" s="9">
        <v>45483.0</v>
      </c>
    </row>
    <row r="2822">
      <c r="A2822" s="5">
        <v>2821.0</v>
      </c>
      <c r="B2822" s="5" t="s">
        <v>3444</v>
      </c>
      <c r="C2822" s="5" t="s">
        <v>21</v>
      </c>
      <c r="N2822" s="9">
        <v>44524.0</v>
      </c>
    </row>
    <row r="2823">
      <c r="A2823" s="5">
        <v>2822.0</v>
      </c>
      <c r="B2823" s="5" t="s">
        <v>3445</v>
      </c>
      <c r="C2823" s="5" t="s">
        <v>21</v>
      </c>
      <c r="K2823" s="5">
        <v>1100.0</v>
      </c>
      <c r="N2823" s="9">
        <v>44165.0</v>
      </c>
    </row>
    <row r="2824">
      <c r="A2824" s="5">
        <v>2823.0</v>
      </c>
      <c r="B2824" s="5" t="s">
        <v>3446</v>
      </c>
      <c r="C2824" s="5" t="s">
        <v>21</v>
      </c>
      <c r="K2824" s="5">
        <v>40.0</v>
      </c>
      <c r="N2824" s="9">
        <v>44539.0</v>
      </c>
    </row>
    <row r="2825">
      <c r="A2825" s="5">
        <v>2824.0</v>
      </c>
      <c r="B2825" s="5" t="s">
        <v>3447</v>
      </c>
      <c r="C2825" s="5" t="s">
        <v>21</v>
      </c>
      <c r="K2825" s="5">
        <v>700.0</v>
      </c>
      <c r="N2825" s="9">
        <v>44206.0</v>
      </c>
    </row>
    <row r="2826">
      <c r="A2826" s="5">
        <v>2825.0</v>
      </c>
      <c r="B2826" s="5" t="s">
        <v>3448</v>
      </c>
      <c r="C2826" s="5" t="s">
        <v>21</v>
      </c>
      <c r="K2826" s="5">
        <v>1000.0</v>
      </c>
      <c r="N2826" s="9">
        <v>44694.0</v>
      </c>
    </row>
    <row r="2827">
      <c r="A2827" s="5">
        <v>2826.0</v>
      </c>
      <c r="B2827" s="5" t="s">
        <v>3449</v>
      </c>
      <c r="C2827" s="5" t="s">
        <v>21</v>
      </c>
      <c r="K2827" s="5">
        <v>150.0</v>
      </c>
      <c r="N2827" s="9">
        <v>44645.0</v>
      </c>
    </row>
    <row r="2828">
      <c r="A2828" s="5">
        <v>2827.0</v>
      </c>
      <c r="B2828" s="5" t="s">
        <v>3450</v>
      </c>
      <c r="C2828" s="5" t="s">
        <v>21</v>
      </c>
      <c r="K2828" s="5">
        <v>900.0</v>
      </c>
      <c r="N2828" s="9">
        <v>44552.0</v>
      </c>
    </row>
    <row r="2829">
      <c r="A2829" s="5">
        <v>2828.0</v>
      </c>
      <c r="B2829" s="5" t="s">
        <v>3451</v>
      </c>
      <c r="C2829" s="5" t="s">
        <v>21</v>
      </c>
      <c r="K2829" s="5">
        <v>500.0</v>
      </c>
      <c r="N2829" s="9">
        <v>44634.0</v>
      </c>
    </row>
    <row r="2830">
      <c r="A2830" s="5">
        <v>2829.0</v>
      </c>
      <c r="B2830" s="5" t="s">
        <v>3452</v>
      </c>
      <c r="C2830" s="5" t="s">
        <v>21</v>
      </c>
      <c r="K2830" s="5">
        <v>150.0</v>
      </c>
      <c r="N2830" s="9">
        <v>45463.0</v>
      </c>
    </row>
    <row r="2831">
      <c r="A2831" s="5">
        <v>2830.0</v>
      </c>
      <c r="B2831" s="5" t="s">
        <v>3453</v>
      </c>
      <c r="C2831" s="5" t="s">
        <v>21</v>
      </c>
      <c r="N2831" s="9">
        <v>43938.0</v>
      </c>
    </row>
    <row r="2832">
      <c r="A2832" s="5">
        <v>2831.0</v>
      </c>
      <c r="B2832" s="5" t="s">
        <v>3454</v>
      </c>
      <c r="C2832" s="5" t="s">
        <v>21</v>
      </c>
      <c r="K2832" s="5">
        <v>50.0</v>
      </c>
      <c r="N2832" s="9">
        <v>44013.0</v>
      </c>
    </row>
    <row r="2833">
      <c r="A2833" s="5">
        <v>2832.0</v>
      </c>
      <c r="B2833" s="5" t="s">
        <v>3455</v>
      </c>
      <c r="C2833" s="5" t="s">
        <v>21</v>
      </c>
      <c r="K2833" s="5">
        <v>150.0</v>
      </c>
      <c r="N2833" s="9">
        <v>44516.0</v>
      </c>
    </row>
    <row r="2834">
      <c r="A2834" s="5">
        <v>2833.0</v>
      </c>
      <c r="B2834" s="5" t="s">
        <v>3456</v>
      </c>
      <c r="C2834" s="5" t="s">
        <v>21</v>
      </c>
      <c r="K2834" s="5">
        <v>1800.0</v>
      </c>
      <c r="N2834" s="9">
        <v>44257.0</v>
      </c>
    </row>
    <row r="2835">
      <c r="A2835" s="5">
        <v>2834.0</v>
      </c>
      <c r="B2835" s="5" t="s">
        <v>3457</v>
      </c>
      <c r="C2835" s="5" t="s">
        <v>21</v>
      </c>
      <c r="K2835" s="5">
        <v>90.0</v>
      </c>
      <c r="N2835" s="9">
        <v>45181.0</v>
      </c>
    </row>
    <row r="2836">
      <c r="A2836" s="5">
        <v>2835.0</v>
      </c>
      <c r="B2836" s="5" t="s">
        <v>3458</v>
      </c>
      <c r="C2836" s="5" t="s">
        <v>21</v>
      </c>
      <c r="K2836" s="5">
        <v>350.0</v>
      </c>
      <c r="N2836" s="9">
        <v>44198.0</v>
      </c>
    </row>
    <row r="2837">
      <c r="A2837" s="5">
        <v>2836.0</v>
      </c>
      <c r="B2837" s="5" t="s">
        <v>3459</v>
      </c>
      <c r="C2837" s="5" t="s">
        <v>21</v>
      </c>
      <c r="K2837" s="5">
        <v>2000.0</v>
      </c>
      <c r="N2837" s="9">
        <v>44611.0</v>
      </c>
    </row>
    <row r="2838">
      <c r="A2838" s="5">
        <v>2837.0</v>
      </c>
      <c r="B2838" s="5" t="s">
        <v>3460</v>
      </c>
      <c r="C2838" s="5" t="s">
        <v>21</v>
      </c>
      <c r="K2838" s="5">
        <v>600.0</v>
      </c>
      <c r="N2838" s="9">
        <v>44682.0</v>
      </c>
    </row>
    <row r="2839">
      <c r="A2839" s="5">
        <v>2838.0</v>
      </c>
      <c r="B2839" s="5" t="s">
        <v>3461</v>
      </c>
      <c r="C2839" s="5" t="s">
        <v>21</v>
      </c>
      <c r="K2839" s="5">
        <v>900.0</v>
      </c>
      <c r="N2839" s="9">
        <v>45180.0</v>
      </c>
    </row>
    <row r="2840">
      <c r="A2840" s="5">
        <v>2839.0</v>
      </c>
      <c r="B2840" s="5" t="s">
        <v>3462</v>
      </c>
      <c r="C2840" s="5" t="s">
        <v>21</v>
      </c>
      <c r="K2840" s="5">
        <v>300.0</v>
      </c>
      <c r="N2840" s="9">
        <v>44530.0</v>
      </c>
    </row>
    <row r="2841">
      <c r="A2841" s="5">
        <v>2840.0</v>
      </c>
      <c r="B2841" s="5" t="s">
        <v>3463</v>
      </c>
      <c r="C2841" s="5" t="s">
        <v>21</v>
      </c>
      <c r="K2841" s="5">
        <v>900.0</v>
      </c>
      <c r="N2841" s="9">
        <v>44582.0</v>
      </c>
    </row>
    <row r="2842">
      <c r="A2842" s="5">
        <v>2841.0</v>
      </c>
      <c r="B2842" s="5" t="s">
        <v>3464</v>
      </c>
      <c r="C2842" s="5" t="s">
        <v>21</v>
      </c>
      <c r="K2842" s="5">
        <v>70.0</v>
      </c>
      <c r="N2842" s="9">
        <v>44064.0</v>
      </c>
    </row>
    <row r="2843">
      <c r="A2843" s="5">
        <v>2842.0</v>
      </c>
      <c r="B2843" s="5" t="s">
        <v>3465</v>
      </c>
      <c r="C2843" s="5" t="s">
        <v>21</v>
      </c>
      <c r="K2843" s="5">
        <v>250.0</v>
      </c>
      <c r="N2843" s="9">
        <v>44600.0</v>
      </c>
    </row>
    <row r="2844">
      <c r="A2844" s="5">
        <v>2843.0</v>
      </c>
      <c r="B2844" s="5" t="s">
        <v>3466</v>
      </c>
      <c r="C2844" s="5" t="s">
        <v>21</v>
      </c>
      <c r="K2844" s="5">
        <v>200.0</v>
      </c>
      <c r="N2844" s="9">
        <v>43965.0</v>
      </c>
    </row>
    <row r="2845">
      <c r="A2845" s="5">
        <v>2844.0</v>
      </c>
      <c r="B2845" s="5" t="s">
        <v>3467</v>
      </c>
      <c r="C2845" s="5" t="s">
        <v>21</v>
      </c>
      <c r="K2845" s="5">
        <v>10.0</v>
      </c>
      <c r="N2845" s="9">
        <v>44558.0</v>
      </c>
    </row>
    <row r="2846">
      <c r="A2846" s="5">
        <v>2845.0</v>
      </c>
      <c r="B2846" s="5" t="s">
        <v>3468</v>
      </c>
      <c r="C2846" s="5" t="s">
        <v>21</v>
      </c>
      <c r="K2846" s="5">
        <v>500.0</v>
      </c>
      <c r="N2846" s="9">
        <v>44608.0</v>
      </c>
    </row>
    <row r="2847">
      <c r="A2847" s="5">
        <v>2846.0</v>
      </c>
      <c r="B2847" s="5" t="s">
        <v>3469</v>
      </c>
      <c r="C2847" s="5" t="s">
        <v>21</v>
      </c>
      <c r="K2847" s="5">
        <v>200.0</v>
      </c>
      <c r="N2847" s="9">
        <v>44624.0</v>
      </c>
    </row>
    <row r="2848">
      <c r="A2848" s="5">
        <v>2847.0</v>
      </c>
      <c r="B2848" s="5" t="s">
        <v>3470</v>
      </c>
      <c r="C2848" s="5" t="s">
        <v>21</v>
      </c>
      <c r="K2848" s="5">
        <v>400.0</v>
      </c>
      <c r="N2848" s="9">
        <v>44572.0</v>
      </c>
    </row>
    <row r="2849">
      <c r="A2849" s="5">
        <v>2848.0</v>
      </c>
      <c r="B2849" s="5" t="s">
        <v>3471</v>
      </c>
      <c r="C2849" s="5" t="s">
        <v>21</v>
      </c>
      <c r="K2849" s="5">
        <v>800.0</v>
      </c>
      <c r="N2849" s="9">
        <v>44015.0</v>
      </c>
    </row>
    <row r="2850">
      <c r="A2850" s="5">
        <v>2849.0</v>
      </c>
      <c r="B2850" s="5" t="s">
        <v>3472</v>
      </c>
      <c r="C2850" s="5" t="s">
        <v>21</v>
      </c>
      <c r="K2850" s="5">
        <v>150.0</v>
      </c>
      <c r="N2850" s="9">
        <v>44547.0</v>
      </c>
    </row>
    <row r="2851">
      <c r="A2851" s="5">
        <v>2850.0</v>
      </c>
      <c r="B2851" s="5" t="s">
        <v>3473</v>
      </c>
      <c r="C2851" s="5" t="s">
        <v>21</v>
      </c>
      <c r="K2851" s="5">
        <v>150.0</v>
      </c>
      <c r="N2851" s="9">
        <v>44163.0</v>
      </c>
    </row>
    <row r="2852">
      <c r="A2852" s="5">
        <v>2851.0</v>
      </c>
      <c r="B2852" s="5" t="s">
        <v>3474</v>
      </c>
      <c r="C2852" s="5" t="s">
        <v>21</v>
      </c>
      <c r="K2852" s="5">
        <v>700.0</v>
      </c>
      <c r="N2852" s="9">
        <v>44976.0</v>
      </c>
    </row>
    <row r="2853">
      <c r="A2853" s="5">
        <v>2852.0</v>
      </c>
      <c r="B2853" s="5" t="s">
        <v>3475</v>
      </c>
      <c r="C2853" s="5" t="s">
        <v>21</v>
      </c>
      <c r="K2853" s="5">
        <v>250.0</v>
      </c>
      <c r="N2853" s="9">
        <v>44714.0</v>
      </c>
    </row>
    <row r="2854">
      <c r="A2854" s="5">
        <v>2853.0</v>
      </c>
      <c r="B2854" s="5" t="s">
        <v>3476</v>
      </c>
      <c r="C2854" s="5" t="s">
        <v>21</v>
      </c>
      <c r="K2854" s="5">
        <v>70.0</v>
      </c>
      <c r="N2854" s="9">
        <v>44693.0</v>
      </c>
    </row>
    <row r="2855">
      <c r="A2855" s="5">
        <v>2854.0</v>
      </c>
      <c r="B2855" s="5" t="s">
        <v>3477</v>
      </c>
      <c r="C2855" s="5" t="s">
        <v>21</v>
      </c>
      <c r="K2855" s="5">
        <v>400.0</v>
      </c>
      <c r="N2855" s="9">
        <v>44715.0</v>
      </c>
    </row>
    <row r="2856">
      <c r="A2856" s="5">
        <v>2855.0</v>
      </c>
      <c r="B2856" s="5" t="s">
        <v>3478</v>
      </c>
      <c r="C2856" s="5" t="s">
        <v>21</v>
      </c>
      <c r="K2856" s="5">
        <v>20.0</v>
      </c>
      <c r="N2856" s="9">
        <v>44751.0</v>
      </c>
    </row>
    <row r="2857">
      <c r="A2857" s="5">
        <v>2856.0</v>
      </c>
      <c r="B2857" s="5" t="s">
        <v>3479</v>
      </c>
      <c r="C2857" s="5" t="s">
        <v>21</v>
      </c>
      <c r="K2857" s="5">
        <v>300.0</v>
      </c>
      <c r="N2857" s="9">
        <v>45733.0</v>
      </c>
    </row>
    <row r="2858">
      <c r="A2858" s="5">
        <v>2857.0</v>
      </c>
      <c r="B2858" s="5" t="s">
        <v>3480</v>
      </c>
      <c r="C2858" s="5" t="s">
        <v>21</v>
      </c>
      <c r="K2858" s="5">
        <v>250.0</v>
      </c>
      <c r="N2858" s="9">
        <v>44765.0</v>
      </c>
    </row>
    <row r="2859">
      <c r="A2859" s="5">
        <v>2858.0</v>
      </c>
      <c r="B2859" s="5" t="s">
        <v>3481</v>
      </c>
      <c r="C2859" s="5" t="s">
        <v>21</v>
      </c>
      <c r="K2859" s="5">
        <v>500.0</v>
      </c>
      <c r="N2859" s="9">
        <v>44250.0</v>
      </c>
    </row>
    <row r="2860">
      <c r="A2860" s="5">
        <v>2859.0</v>
      </c>
      <c r="B2860" s="5" t="s">
        <v>3482</v>
      </c>
      <c r="C2860" s="5" t="s">
        <v>21</v>
      </c>
      <c r="K2860" s="5">
        <v>1400.0</v>
      </c>
      <c r="N2860" s="9">
        <v>44530.0</v>
      </c>
    </row>
    <row r="2861">
      <c r="A2861" s="5">
        <v>2860.0</v>
      </c>
      <c r="B2861" s="5" t="s">
        <v>3483</v>
      </c>
      <c r="C2861" s="5" t="s">
        <v>21</v>
      </c>
      <c r="K2861" s="5">
        <v>10.0</v>
      </c>
      <c r="N2861" s="9">
        <v>44779.0</v>
      </c>
    </row>
    <row r="2862">
      <c r="A2862" s="5">
        <v>2861.0</v>
      </c>
      <c r="B2862" s="5" t="s">
        <v>3484</v>
      </c>
      <c r="C2862" s="5" t="s">
        <v>21</v>
      </c>
      <c r="N2862" s="9">
        <v>44564.0</v>
      </c>
    </row>
    <row r="2863">
      <c r="A2863" s="5">
        <v>2862.0</v>
      </c>
      <c r="B2863" s="5" t="s">
        <v>3485</v>
      </c>
      <c r="C2863" s="5" t="s">
        <v>21</v>
      </c>
      <c r="K2863" s="5">
        <v>450.0</v>
      </c>
      <c r="N2863" s="9">
        <v>44574.0</v>
      </c>
    </row>
    <row r="2864">
      <c r="A2864" s="5">
        <v>2863.0</v>
      </c>
      <c r="B2864" s="5" t="s">
        <v>3486</v>
      </c>
      <c r="C2864" s="5" t="s">
        <v>21</v>
      </c>
      <c r="K2864" s="5">
        <v>2800.0</v>
      </c>
      <c r="N2864" s="9">
        <v>44123.0</v>
      </c>
    </row>
    <row r="2865">
      <c r="A2865" s="5">
        <v>2864.0</v>
      </c>
      <c r="B2865" s="5" t="s">
        <v>3487</v>
      </c>
      <c r="C2865" s="5" t="s">
        <v>21</v>
      </c>
      <c r="K2865" s="5">
        <v>150.0</v>
      </c>
      <c r="N2865" s="9">
        <v>43875.0</v>
      </c>
    </row>
    <row r="2866">
      <c r="A2866" s="5">
        <v>2865.0</v>
      </c>
      <c r="B2866" s="5" t="s">
        <v>3488</v>
      </c>
      <c r="C2866" s="5" t="s">
        <v>21</v>
      </c>
      <c r="N2866" s="9">
        <v>44518.0</v>
      </c>
    </row>
    <row r="2867">
      <c r="A2867" s="5">
        <v>2866.0</v>
      </c>
      <c r="B2867" s="5" t="s">
        <v>3489</v>
      </c>
      <c r="C2867" s="5" t="s">
        <v>21</v>
      </c>
      <c r="K2867" s="5">
        <v>3800.0</v>
      </c>
      <c r="N2867" s="9">
        <v>44565.0</v>
      </c>
    </row>
    <row r="2868">
      <c r="A2868" s="5">
        <v>2867.0</v>
      </c>
      <c r="B2868" s="5" t="s">
        <v>3490</v>
      </c>
      <c r="C2868" s="5" t="s">
        <v>21</v>
      </c>
      <c r="K2868" s="5">
        <v>20.0</v>
      </c>
      <c r="N2868" s="9">
        <v>45054.0</v>
      </c>
    </row>
    <row r="2869">
      <c r="A2869" s="5">
        <v>2868.0</v>
      </c>
      <c r="B2869" s="5" t="s">
        <v>3491</v>
      </c>
      <c r="C2869" s="5" t="s">
        <v>21</v>
      </c>
      <c r="K2869" s="5">
        <v>1000.0</v>
      </c>
      <c r="N2869" s="9">
        <v>44148.0</v>
      </c>
    </row>
    <row r="2870">
      <c r="A2870" s="5">
        <v>2869.0</v>
      </c>
      <c r="B2870" s="5" t="s">
        <v>3492</v>
      </c>
      <c r="C2870" s="5" t="s">
        <v>21</v>
      </c>
      <c r="K2870" s="5">
        <v>300.0</v>
      </c>
      <c r="N2870" s="9">
        <v>44539.0</v>
      </c>
    </row>
    <row r="2871">
      <c r="A2871" s="5">
        <v>2870.0</v>
      </c>
      <c r="B2871" s="5" t="s">
        <v>3493</v>
      </c>
      <c r="C2871" s="5" t="s">
        <v>21</v>
      </c>
      <c r="K2871" s="5">
        <v>700.0</v>
      </c>
      <c r="N2871" s="9">
        <v>44211.0</v>
      </c>
    </row>
    <row r="2872">
      <c r="A2872" s="5">
        <v>2871.0</v>
      </c>
      <c r="B2872" s="5" t="s">
        <v>94</v>
      </c>
      <c r="C2872" s="5" t="s">
        <v>21</v>
      </c>
      <c r="K2872" s="5">
        <v>300.0</v>
      </c>
      <c r="N2872" s="9">
        <v>44644.0</v>
      </c>
    </row>
    <row r="2873">
      <c r="A2873" s="5">
        <v>2872.0</v>
      </c>
      <c r="B2873" s="5" t="s">
        <v>3494</v>
      </c>
      <c r="C2873" s="5" t="s">
        <v>21</v>
      </c>
      <c r="K2873" s="5">
        <v>900.0</v>
      </c>
      <c r="N2873" s="9">
        <v>44137.0</v>
      </c>
    </row>
    <row r="2874">
      <c r="A2874" s="5">
        <v>2873.0</v>
      </c>
      <c r="B2874" s="5" t="s">
        <v>3495</v>
      </c>
      <c r="C2874" s="5" t="s">
        <v>21</v>
      </c>
      <c r="K2874" s="5">
        <v>600.0</v>
      </c>
      <c r="N2874" s="9">
        <v>44933.0</v>
      </c>
    </row>
    <row r="2875">
      <c r="A2875" s="5">
        <v>2874.0</v>
      </c>
      <c r="B2875" s="5" t="s">
        <v>3496</v>
      </c>
      <c r="C2875" s="5" t="s">
        <v>21</v>
      </c>
      <c r="K2875" s="5">
        <v>150.0</v>
      </c>
      <c r="N2875" s="9">
        <v>44730.0</v>
      </c>
    </row>
    <row r="2876">
      <c r="A2876" s="5">
        <v>2875.0</v>
      </c>
      <c r="B2876" s="5" t="s">
        <v>3497</v>
      </c>
      <c r="C2876" s="5" t="s">
        <v>21</v>
      </c>
      <c r="K2876" s="5">
        <v>800.0</v>
      </c>
      <c r="N2876" s="9">
        <v>45117.0</v>
      </c>
    </row>
    <row r="2877">
      <c r="A2877" s="5">
        <v>2876.0</v>
      </c>
      <c r="B2877" s="5" t="s">
        <v>3498</v>
      </c>
      <c r="C2877" s="5" t="s">
        <v>21</v>
      </c>
      <c r="K2877" s="5">
        <v>20.0</v>
      </c>
      <c r="N2877" s="9">
        <v>44652.0</v>
      </c>
    </row>
    <row r="2878">
      <c r="A2878" s="5">
        <v>2877.0</v>
      </c>
      <c r="B2878" s="5" t="s">
        <v>3499</v>
      </c>
      <c r="C2878" s="5" t="s">
        <v>21</v>
      </c>
      <c r="K2878" s="5">
        <v>250.0</v>
      </c>
      <c r="N2878" s="9">
        <v>44580.0</v>
      </c>
    </row>
    <row r="2879">
      <c r="A2879" s="5">
        <v>2878.0</v>
      </c>
      <c r="B2879" s="5" t="s">
        <v>3500</v>
      </c>
      <c r="C2879" s="5" t="s">
        <v>21</v>
      </c>
      <c r="K2879" s="5">
        <v>300.0</v>
      </c>
      <c r="N2879" s="9">
        <v>45135.0</v>
      </c>
    </row>
    <row r="2880">
      <c r="A2880" s="5">
        <v>2879.0</v>
      </c>
      <c r="B2880" s="5" t="s">
        <v>3501</v>
      </c>
      <c r="C2880" s="5" t="s">
        <v>21</v>
      </c>
      <c r="N2880" s="9">
        <v>44715.0</v>
      </c>
    </row>
    <row r="2881">
      <c r="A2881" s="5">
        <v>2880.0</v>
      </c>
      <c r="B2881" s="5" t="s">
        <v>3502</v>
      </c>
      <c r="C2881" s="5" t="s">
        <v>21</v>
      </c>
      <c r="K2881" s="5">
        <v>700.0</v>
      </c>
      <c r="N2881" s="9">
        <v>44089.0</v>
      </c>
    </row>
    <row r="2882">
      <c r="A2882" s="5">
        <v>2881.0</v>
      </c>
      <c r="B2882" s="5" t="s">
        <v>3503</v>
      </c>
      <c r="C2882" s="5" t="s">
        <v>21</v>
      </c>
      <c r="K2882" s="5">
        <v>50.0</v>
      </c>
      <c r="N2882" s="9">
        <v>44185.0</v>
      </c>
    </row>
    <row r="2883">
      <c r="A2883" s="5">
        <v>2882.0</v>
      </c>
      <c r="B2883" s="5" t="s">
        <v>3504</v>
      </c>
      <c r="C2883" s="5" t="s">
        <v>21</v>
      </c>
      <c r="K2883" s="5">
        <v>1400.0</v>
      </c>
      <c r="N2883" s="9">
        <v>43886.0</v>
      </c>
    </row>
    <row r="2884">
      <c r="A2884" s="5">
        <v>2883.0</v>
      </c>
      <c r="B2884" s="5" t="s">
        <v>3505</v>
      </c>
      <c r="C2884" s="5" t="s">
        <v>21</v>
      </c>
      <c r="K2884" s="5">
        <v>800.0</v>
      </c>
      <c r="N2884" s="9">
        <v>44041.0</v>
      </c>
    </row>
    <row r="2885">
      <c r="A2885" s="5">
        <v>2884.0</v>
      </c>
      <c r="B2885" s="5" t="s">
        <v>3506</v>
      </c>
      <c r="C2885" s="5" t="s">
        <v>21</v>
      </c>
      <c r="K2885" s="5">
        <v>2200.0</v>
      </c>
      <c r="N2885" s="9">
        <v>44942.0</v>
      </c>
    </row>
    <row r="2886">
      <c r="A2886" s="5">
        <v>2885.0</v>
      </c>
      <c r="B2886" s="5" t="s">
        <v>3507</v>
      </c>
      <c r="C2886" s="5" t="s">
        <v>21</v>
      </c>
      <c r="K2886" s="5">
        <v>300.0</v>
      </c>
      <c r="N2886" s="9">
        <v>44456.0</v>
      </c>
    </row>
    <row r="2887">
      <c r="A2887" s="5">
        <v>2886.0</v>
      </c>
      <c r="B2887" s="5" t="s">
        <v>3508</v>
      </c>
      <c r="C2887" s="5" t="s">
        <v>21</v>
      </c>
      <c r="K2887" s="5">
        <v>800.0</v>
      </c>
      <c r="N2887" s="9">
        <v>44536.0</v>
      </c>
    </row>
    <row r="2888">
      <c r="A2888" s="5">
        <v>2887.0</v>
      </c>
      <c r="B2888" s="5" t="s">
        <v>3509</v>
      </c>
      <c r="C2888" s="5" t="s">
        <v>21</v>
      </c>
      <c r="K2888" s="5">
        <v>150.0</v>
      </c>
      <c r="N2888" s="9">
        <v>44584.0</v>
      </c>
    </row>
    <row r="2889">
      <c r="A2889" s="5">
        <v>2888.0</v>
      </c>
      <c r="B2889" s="5" t="s">
        <v>97</v>
      </c>
      <c r="C2889" s="5" t="s">
        <v>21</v>
      </c>
      <c r="K2889" s="5">
        <v>10.0</v>
      </c>
      <c r="N2889" s="9">
        <v>44515.0</v>
      </c>
    </row>
    <row r="2890">
      <c r="A2890" s="5">
        <v>2889.0</v>
      </c>
      <c r="B2890" s="5" t="s">
        <v>3510</v>
      </c>
      <c r="C2890" s="5" t="s">
        <v>21</v>
      </c>
      <c r="K2890" s="5">
        <v>200.0</v>
      </c>
      <c r="N2890" s="9">
        <v>44390.0</v>
      </c>
    </row>
    <row r="2891">
      <c r="A2891" s="5">
        <v>2890.0</v>
      </c>
      <c r="B2891" s="5" t="s">
        <v>3511</v>
      </c>
      <c r="C2891" s="5" t="s">
        <v>21</v>
      </c>
      <c r="K2891" s="5">
        <v>200.0</v>
      </c>
      <c r="N2891" s="9">
        <v>43874.0</v>
      </c>
    </row>
    <row r="2892">
      <c r="A2892" s="5">
        <v>2891.0</v>
      </c>
      <c r="B2892" s="5" t="s">
        <v>3512</v>
      </c>
      <c r="C2892" s="5" t="s">
        <v>21</v>
      </c>
      <c r="K2892" s="5">
        <v>150.0</v>
      </c>
      <c r="N2892" s="9">
        <v>45004.0</v>
      </c>
    </row>
    <row r="2893">
      <c r="A2893" s="5">
        <v>2892.0</v>
      </c>
      <c r="B2893" s="5" t="s">
        <v>3513</v>
      </c>
      <c r="C2893" s="5" t="s">
        <v>21</v>
      </c>
      <c r="K2893" s="5">
        <v>90.0</v>
      </c>
      <c r="N2893" s="9">
        <v>45071.0</v>
      </c>
    </row>
    <row r="2894">
      <c r="A2894" s="5">
        <v>2893.0</v>
      </c>
      <c r="B2894" s="5" t="s">
        <v>3514</v>
      </c>
      <c r="C2894" s="5" t="s">
        <v>21</v>
      </c>
      <c r="K2894" s="5">
        <v>600.0</v>
      </c>
      <c r="N2894" s="9">
        <v>44450.0</v>
      </c>
    </row>
    <row r="2895">
      <c r="A2895" s="5">
        <v>2894.0</v>
      </c>
      <c r="B2895" s="5" t="s">
        <v>3515</v>
      </c>
      <c r="C2895" s="5" t="s">
        <v>21</v>
      </c>
      <c r="K2895" s="5">
        <v>70.0</v>
      </c>
      <c r="N2895" s="9">
        <v>45029.0</v>
      </c>
    </row>
    <row r="2896">
      <c r="A2896" s="5">
        <v>2895.0</v>
      </c>
      <c r="B2896" s="5" t="s">
        <v>3516</v>
      </c>
      <c r="C2896" s="5" t="s">
        <v>21</v>
      </c>
      <c r="K2896" s="5">
        <v>250.0</v>
      </c>
      <c r="N2896" s="9">
        <v>44265.0</v>
      </c>
    </row>
    <row r="2897">
      <c r="A2897" s="5">
        <v>2896.0</v>
      </c>
      <c r="B2897" s="5" t="s">
        <v>3517</v>
      </c>
      <c r="C2897" s="5" t="s">
        <v>21</v>
      </c>
      <c r="K2897" s="5">
        <v>800.0</v>
      </c>
      <c r="N2897" s="9">
        <v>44379.0</v>
      </c>
    </row>
    <row r="2898">
      <c r="A2898" s="5">
        <v>2897.0</v>
      </c>
      <c r="B2898" s="5" t="s">
        <v>3518</v>
      </c>
      <c r="C2898" s="5" t="s">
        <v>21</v>
      </c>
      <c r="K2898" s="5">
        <v>1300.0</v>
      </c>
      <c r="N2898" s="9">
        <v>44191.0</v>
      </c>
    </row>
    <row r="2899">
      <c r="A2899" s="5">
        <v>2898.0</v>
      </c>
      <c r="B2899" s="5" t="s">
        <v>3519</v>
      </c>
      <c r="C2899" s="5" t="s">
        <v>21</v>
      </c>
      <c r="K2899" s="5">
        <v>600.0</v>
      </c>
      <c r="N2899" s="9">
        <v>45231.0</v>
      </c>
    </row>
    <row r="2900">
      <c r="A2900" s="5">
        <v>2899.0</v>
      </c>
      <c r="B2900" s="5" t="s">
        <v>3520</v>
      </c>
      <c r="C2900" s="5" t="s">
        <v>21</v>
      </c>
      <c r="K2900" s="5">
        <v>900.0</v>
      </c>
      <c r="N2900" s="9">
        <v>44880.0</v>
      </c>
    </row>
    <row r="2901">
      <c r="A2901" s="5">
        <v>2900.0</v>
      </c>
      <c r="B2901" s="5" t="s">
        <v>3521</v>
      </c>
      <c r="C2901" s="5" t="s">
        <v>21</v>
      </c>
      <c r="K2901" s="5">
        <v>50.0</v>
      </c>
      <c r="N2901" s="9">
        <v>44561.0</v>
      </c>
    </row>
    <row r="2902">
      <c r="A2902" s="5">
        <v>2901.0</v>
      </c>
      <c r="B2902" s="5" t="s">
        <v>3522</v>
      </c>
      <c r="C2902" s="5" t="s">
        <v>21</v>
      </c>
      <c r="K2902" s="5">
        <v>500.0</v>
      </c>
      <c r="N2902" s="9">
        <v>44603.0</v>
      </c>
    </row>
    <row r="2903">
      <c r="A2903" s="5">
        <v>2902.0</v>
      </c>
      <c r="B2903" s="5" t="s">
        <v>3523</v>
      </c>
      <c r="C2903" s="5" t="s">
        <v>21</v>
      </c>
      <c r="K2903" s="5">
        <v>1000.0</v>
      </c>
      <c r="N2903" s="9">
        <v>44927.0</v>
      </c>
    </row>
    <row r="2904">
      <c r="A2904" s="5">
        <v>2903.0</v>
      </c>
      <c r="B2904" s="5" t="s">
        <v>3524</v>
      </c>
      <c r="C2904" s="5" t="s">
        <v>21</v>
      </c>
      <c r="K2904" s="5">
        <v>20.0</v>
      </c>
      <c r="N2904" s="9">
        <v>44588.0</v>
      </c>
    </row>
    <row r="2905">
      <c r="A2905" s="5">
        <v>2904.0</v>
      </c>
      <c r="B2905" s="5" t="s">
        <v>3525</v>
      </c>
      <c r="C2905" s="5" t="s">
        <v>21</v>
      </c>
      <c r="K2905" s="5">
        <v>400.0</v>
      </c>
      <c r="N2905" s="9">
        <v>44660.0</v>
      </c>
    </row>
    <row r="2906">
      <c r="A2906" s="5">
        <v>2905.0</v>
      </c>
      <c r="B2906" s="5" t="s">
        <v>3526</v>
      </c>
      <c r="C2906" s="5" t="s">
        <v>21</v>
      </c>
      <c r="K2906" s="5">
        <v>30.0</v>
      </c>
      <c r="N2906" s="9">
        <v>44602.0</v>
      </c>
    </row>
    <row r="2907">
      <c r="A2907" s="5">
        <v>2906.0</v>
      </c>
      <c r="B2907" s="5" t="s">
        <v>3527</v>
      </c>
      <c r="C2907" s="5" t="s">
        <v>21</v>
      </c>
      <c r="K2907" s="5">
        <v>150.0</v>
      </c>
      <c r="N2907" s="9">
        <v>45471.0</v>
      </c>
    </row>
    <row r="2908">
      <c r="A2908" s="5">
        <v>2907.0</v>
      </c>
      <c r="B2908" s="5" t="s">
        <v>3528</v>
      </c>
      <c r="C2908" s="5" t="s">
        <v>21</v>
      </c>
      <c r="K2908" s="5">
        <v>100.0</v>
      </c>
      <c r="N2908" s="9">
        <v>45325.0</v>
      </c>
    </row>
    <row r="2909">
      <c r="A2909" s="5">
        <v>2908.0</v>
      </c>
      <c r="B2909" s="5" t="s">
        <v>3529</v>
      </c>
      <c r="C2909" s="5" t="s">
        <v>21</v>
      </c>
      <c r="K2909" s="5">
        <v>350.0</v>
      </c>
      <c r="N2909" s="9">
        <v>44326.0</v>
      </c>
    </row>
    <row r="2910">
      <c r="A2910" s="5">
        <v>2909.0</v>
      </c>
      <c r="B2910" s="5" t="s">
        <v>3530</v>
      </c>
      <c r="C2910" s="5" t="s">
        <v>21</v>
      </c>
      <c r="K2910" s="5">
        <v>300.0</v>
      </c>
      <c r="N2910" s="9">
        <v>44536.0</v>
      </c>
    </row>
    <row r="2911">
      <c r="A2911" s="5">
        <v>2910.0</v>
      </c>
      <c r="B2911" s="5" t="s">
        <v>3531</v>
      </c>
      <c r="C2911" s="5" t="s">
        <v>21</v>
      </c>
      <c r="K2911" s="5">
        <v>350.0</v>
      </c>
      <c r="N2911" s="9">
        <v>44297.0</v>
      </c>
    </row>
    <row r="2912">
      <c r="A2912" s="5">
        <v>2911.0</v>
      </c>
      <c r="B2912" s="5" t="s">
        <v>3532</v>
      </c>
      <c r="C2912" s="5" t="s">
        <v>21</v>
      </c>
      <c r="K2912" s="5">
        <v>150.0</v>
      </c>
      <c r="N2912" s="9">
        <v>44631.0</v>
      </c>
    </row>
    <row r="2913">
      <c r="A2913" s="5">
        <v>2912.0</v>
      </c>
      <c r="B2913" s="5" t="s">
        <v>3533</v>
      </c>
      <c r="C2913" s="5" t="s">
        <v>21</v>
      </c>
      <c r="K2913" s="5">
        <v>600.0</v>
      </c>
      <c r="N2913" s="9">
        <v>44617.0</v>
      </c>
    </row>
    <row r="2914">
      <c r="A2914" s="5">
        <v>2913.0</v>
      </c>
      <c r="B2914" s="5" t="s">
        <v>3534</v>
      </c>
      <c r="C2914" s="5" t="s">
        <v>21</v>
      </c>
      <c r="K2914" s="5">
        <v>10.0</v>
      </c>
      <c r="N2914" s="9">
        <v>44969.0</v>
      </c>
    </row>
    <row r="2915">
      <c r="A2915" s="5">
        <v>2914.0</v>
      </c>
      <c r="B2915" s="5" t="s">
        <v>3535</v>
      </c>
      <c r="C2915" s="5" t="s">
        <v>21</v>
      </c>
      <c r="K2915" s="5">
        <v>1600.0</v>
      </c>
      <c r="N2915" s="9">
        <v>44516.0</v>
      </c>
    </row>
    <row r="2916">
      <c r="A2916" s="5">
        <v>2915.0</v>
      </c>
      <c r="B2916" s="5" t="s">
        <v>3536</v>
      </c>
      <c r="C2916" s="5" t="s">
        <v>21</v>
      </c>
      <c r="K2916" s="5">
        <v>21000.0</v>
      </c>
      <c r="N2916" s="9">
        <v>46064.0</v>
      </c>
    </row>
    <row r="2917">
      <c r="A2917" s="5">
        <v>2916.0</v>
      </c>
      <c r="B2917" s="5" t="s">
        <v>3537</v>
      </c>
      <c r="C2917" s="5" t="s">
        <v>21</v>
      </c>
      <c r="K2917" s="5">
        <v>100.0</v>
      </c>
      <c r="N2917" s="9">
        <v>45196.0</v>
      </c>
    </row>
    <row r="2918">
      <c r="A2918" s="5">
        <v>2917.0</v>
      </c>
      <c r="B2918" s="5" t="s">
        <v>3538</v>
      </c>
      <c r="C2918" s="5" t="s">
        <v>21</v>
      </c>
      <c r="K2918" s="5">
        <v>50.0</v>
      </c>
      <c r="N2918" s="9">
        <v>44723.0</v>
      </c>
    </row>
    <row r="2919">
      <c r="A2919" s="5">
        <v>2918.0</v>
      </c>
      <c r="B2919" s="5" t="s">
        <v>3539</v>
      </c>
      <c r="C2919" s="5" t="s">
        <v>21</v>
      </c>
      <c r="K2919" s="5">
        <v>250.0</v>
      </c>
      <c r="N2919" s="9">
        <v>44670.0</v>
      </c>
    </row>
    <row r="2920">
      <c r="A2920" s="5">
        <v>2919.0</v>
      </c>
      <c r="B2920" s="5" t="s">
        <v>3540</v>
      </c>
      <c r="C2920" s="5" t="s">
        <v>21</v>
      </c>
      <c r="K2920" s="5">
        <v>2900.0</v>
      </c>
      <c r="N2920" s="9">
        <v>44535.0</v>
      </c>
    </row>
    <row r="2921">
      <c r="A2921" s="5">
        <v>2920.0</v>
      </c>
      <c r="B2921" s="5" t="s">
        <v>3541</v>
      </c>
      <c r="C2921" s="5" t="s">
        <v>21</v>
      </c>
      <c r="K2921" s="5">
        <v>10.0</v>
      </c>
      <c r="N2921" s="9">
        <v>44746.0</v>
      </c>
    </row>
    <row r="2922">
      <c r="A2922" s="5">
        <v>2921.0</v>
      </c>
      <c r="B2922" s="5" t="s">
        <v>3542</v>
      </c>
      <c r="C2922" s="5" t="s">
        <v>21</v>
      </c>
      <c r="K2922" s="5">
        <v>250.0</v>
      </c>
      <c r="N2922" s="9">
        <v>44427.0</v>
      </c>
    </row>
    <row r="2923">
      <c r="A2923" s="5">
        <v>2922.0</v>
      </c>
      <c r="B2923" s="5" t="s">
        <v>3543</v>
      </c>
      <c r="C2923" s="5" t="s">
        <v>21</v>
      </c>
      <c r="K2923" s="5">
        <v>80.0</v>
      </c>
      <c r="N2923" s="9">
        <v>44259.0</v>
      </c>
    </row>
    <row r="2924">
      <c r="A2924" s="5">
        <v>2923.0</v>
      </c>
      <c r="B2924" s="5" t="s">
        <v>3544</v>
      </c>
      <c r="C2924" s="5" t="s">
        <v>21</v>
      </c>
      <c r="K2924" s="5">
        <v>50.0</v>
      </c>
      <c r="N2924" s="9">
        <v>44430.0</v>
      </c>
    </row>
    <row r="2925">
      <c r="A2925" s="5">
        <v>2924.0</v>
      </c>
      <c r="B2925" s="5" t="s">
        <v>3545</v>
      </c>
      <c r="C2925" s="5" t="s">
        <v>21</v>
      </c>
      <c r="K2925" s="5">
        <v>10.0</v>
      </c>
      <c r="N2925" s="9">
        <v>44587.0</v>
      </c>
    </row>
    <row r="2926">
      <c r="A2926" s="5">
        <v>2925.0</v>
      </c>
      <c r="B2926" s="5" t="s">
        <v>3546</v>
      </c>
      <c r="C2926" s="5" t="s">
        <v>21</v>
      </c>
      <c r="K2926" s="5">
        <v>80.0</v>
      </c>
      <c r="N2926" s="9">
        <v>44009.0</v>
      </c>
    </row>
    <row r="2927">
      <c r="A2927" s="5">
        <v>2926.0</v>
      </c>
      <c r="B2927" s="5" t="s">
        <v>3547</v>
      </c>
      <c r="C2927" s="5" t="s">
        <v>21</v>
      </c>
      <c r="K2927" s="5">
        <v>150.0</v>
      </c>
      <c r="N2927" s="9">
        <v>44824.0</v>
      </c>
    </row>
    <row r="2928">
      <c r="A2928" s="5">
        <v>2927.0</v>
      </c>
      <c r="B2928" s="5" t="s">
        <v>3548</v>
      </c>
      <c r="C2928" s="5" t="s">
        <v>21</v>
      </c>
      <c r="K2928" s="5">
        <v>600.0</v>
      </c>
      <c r="N2928" s="9">
        <v>44576.0</v>
      </c>
    </row>
    <row r="2929">
      <c r="A2929" s="5">
        <v>2928.0</v>
      </c>
      <c r="B2929" s="5" t="s">
        <v>3549</v>
      </c>
      <c r="C2929" s="5" t="s">
        <v>21</v>
      </c>
      <c r="K2929" s="5">
        <v>700.0</v>
      </c>
      <c r="N2929" s="9">
        <v>44480.0</v>
      </c>
    </row>
    <row r="2930">
      <c r="A2930" s="5">
        <v>2929.0</v>
      </c>
      <c r="B2930" s="5" t="s">
        <v>3550</v>
      </c>
      <c r="C2930" s="5" t="s">
        <v>21</v>
      </c>
      <c r="K2930" s="5">
        <v>250.0</v>
      </c>
      <c r="N2930" s="9">
        <v>44538.0</v>
      </c>
    </row>
    <row r="2931">
      <c r="A2931" s="5">
        <v>2930.0</v>
      </c>
      <c r="B2931" s="5" t="s">
        <v>3551</v>
      </c>
      <c r="C2931" s="5" t="s">
        <v>21</v>
      </c>
      <c r="K2931" s="5">
        <v>1700.0</v>
      </c>
      <c r="N2931" s="9">
        <v>44380.0</v>
      </c>
    </row>
    <row r="2932">
      <c r="A2932" s="5">
        <v>2931.0</v>
      </c>
      <c r="B2932" s="5" t="s">
        <v>3552</v>
      </c>
      <c r="C2932" s="5" t="s">
        <v>21</v>
      </c>
      <c r="K2932" s="5">
        <v>150.0</v>
      </c>
      <c r="N2932" s="9">
        <v>45278.0</v>
      </c>
    </row>
    <row r="2933">
      <c r="A2933" s="5">
        <v>2932.0</v>
      </c>
      <c r="B2933" s="5" t="s">
        <v>3553</v>
      </c>
      <c r="C2933" s="5" t="s">
        <v>21</v>
      </c>
      <c r="K2933" s="5">
        <v>250.0</v>
      </c>
      <c r="N2933" s="9">
        <v>44533.0</v>
      </c>
    </row>
    <row r="2934">
      <c r="A2934" s="5">
        <v>2933.0</v>
      </c>
      <c r="B2934" s="5" t="s">
        <v>3554</v>
      </c>
      <c r="C2934" s="5" t="s">
        <v>21</v>
      </c>
      <c r="K2934" s="5">
        <v>250.0</v>
      </c>
      <c r="N2934" s="9">
        <v>44977.0</v>
      </c>
    </row>
    <row r="2935">
      <c r="A2935" s="5">
        <v>2934.0</v>
      </c>
      <c r="B2935" s="5" t="s">
        <v>3555</v>
      </c>
      <c r="C2935" s="5" t="s">
        <v>21</v>
      </c>
      <c r="K2935" s="5">
        <v>80.0</v>
      </c>
      <c r="N2935" s="9">
        <v>45068.0</v>
      </c>
    </row>
    <row r="2936">
      <c r="A2936" s="5">
        <v>2935.0</v>
      </c>
      <c r="B2936" s="5" t="s">
        <v>3556</v>
      </c>
      <c r="C2936" s="5" t="s">
        <v>21</v>
      </c>
      <c r="K2936" s="5">
        <v>500.0</v>
      </c>
      <c r="N2936" s="9">
        <v>45085.0</v>
      </c>
    </row>
    <row r="2937">
      <c r="A2937" s="5">
        <v>2936.0</v>
      </c>
      <c r="B2937" s="5" t="s">
        <v>3557</v>
      </c>
      <c r="C2937" s="5" t="s">
        <v>21</v>
      </c>
      <c r="K2937" s="5">
        <v>250.0</v>
      </c>
      <c r="N2937" s="9">
        <v>44884.0</v>
      </c>
    </row>
    <row r="2938">
      <c r="A2938" s="5">
        <v>2937.0</v>
      </c>
      <c r="B2938" s="5" t="s">
        <v>3558</v>
      </c>
      <c r="C2938" s="5" t="s">
        <v>21</v>
      </c>
      <c r="K2938" s="5">
        <v>700.0</v>
      </c>
      <c r="N2938" s="9">
        <v>44283.0</v>
      </c>
    </row>
    <row r="2939">
      <c r="A2939" s="5">
        <v>2938.0</v>
      </c>
      <c r="B2939" s="5" t="s">
        <v>3559</v>
      </c>
      <c r="C2939" s="5" t="s">
        <v>21</v>
      </c>
      <c r="K2939" s="5">
        <v>150.0</v>
      </c>
      <c r="N2939" s="9">
        <v>44582.0</v>
      </c>
    </row>
    <row r="2940">
      <c r="A2940" s="5">
        <v>2939.0</v>
      </c>
      <c r="B2940" s="5" t="s">
        <v>3560</v>
      </c>
      <c r="C2940" s="5" t="s">
        <v>21</v>
      </c>
      <c r="K2940" s="5">
        <v>2500.0</v>
      </c>
      <c r="N2940" s="9">
        <v>44390.0</v>
      </c>
    </row>
    <row r="2941">
      <c r="A2941" s="5">
        <v>2940.0</v>
      </c>
      <c r="B2941" s="5" t="s">
        <v>3561</v>
      </c>
      <c r="C2941" s="5" t="s">
        <v>21</v>
      </c>
      <c r="K2941" s="5">
        <v>150.0</v>
      </c>
      <c r="N2941" s="9">
        <v>43883.0</v>
      </c>
    </row>
    <row r="2942">
      <c r="A2942" s="5">
        <v>2941.0</v>
      </c>
      <c r="B2942" s="5" t="s">
        <v>3562</v>
      </c>
      <c r="C2942" s="5" t="s">
        <v>21</v>
      </c>
      <c r="K2942" s="5">
        <v>40.0</v>
      </c>
      <c r="N2942" s="9">
        <v>44755.0</v>
      </c>
    </row>
    <row r="2943">
      <c r="A2943" s="5">
        <v>2942.0</v>
      </c>
      <c r="B2943" s="5" t="s">
        <v>3563</v>
      </c>
      <c r="C2943" s="5" t="s">
        <v>21</v>
      </c>
      <c r="K2943" s="5">
        <v>600.0</v>
      </c>
      <c r="N2943" s="9">
        <v>44529.0</v>
      </c>
    </row>
    <row r="2944">
      <c r="A2944" s="5">
        <v>2943.0</v>
      </c>
      <c r="B2944" s="5" t="s">
        <v>3564</v>
      </c>
      <c r="C2944" s="5" t="s">
        <v>21</v>
      </c>
      <c r="K2944" s="5">
        <v>200.0</v>
      </c>
      <c r="N2944" s="9">
        <v>44880.0</v>
      </c>
    </row>
    <row r="2945">
      <c r="A2945" s="5">
        <v>2944.0</v>
      </c>
      <c r="B2945" s="5" t="s">
        <v>3565</v>
      </c>
      <c r="C2945" s="5" t="s">
        <v>21</v>
      </c>
      <c r="K2945" s="5">
        <v>100.0</v>
      </c>
      <c r="N2945" s="9">
        <v>44421.0</v>
      </c>
    </row>
    <row r="2946">
      <c r="A2946" s="5">
        <v>2945.0</v>
      </c>
      <c r="B2946" s="5" t="s">
        <v>3566</v>
      </c>
      <c r="C2946" s="5" t="s">
        <v>21</v>
      </c>
      <c r="K2946" s="5">
        <v>100.0</v>
      </c>
      <c r="N2946" s="9">
        <v>44583.0</v>
      </c>
    </row>
    <row r="2947">
      <c r="A2947" s="5">
        <v>2946.0</v>
      </c>
      <c r="B2947" s="5" t="s">
        <v>3567</v>
      </c>
      <c r="C2947" s="5" t="s">
        <v>21</v>
      </c>
      <c r="K2947" s="5">
        <v>450.0</v>
      </c>
      <c r="N2947" s="9">
        <v>43842.0</v>
      </c>
    </row>
    <row r="2948">
      <c r="A2948" s="5">
        <v>2947.0</v>
      </c>
      <c r="B2948" s="5" t="s">
        <v>3568</v>
      </c>
      <c r="C2948" s="5" t="s">
        <v>21</v>
      </c>
      <c r="K2948" s="5">
        <v>900.0</v>
      </c>
      <c r="N2948" s="9">
        <v>44639.0</v>
      </c>
    </row>
    <row r="2949">
      <c r="A2949" s="5">
        <v>2948.0</v>
      </c>
      <c r="B2949" s="5" t="s">
        <v>3569</v>
      </c>
      <c r="C2949" s="5" t="s">
        <v>21</v>
      </c>
      <c r="K2949" s="5">
        <v>1500.0</v>
      </c>
      <c r="N2949" s="9">
        <v>44462.0</v>
      </c>
    </row>
    <row r="2950">
      <c r="A2950" s="5">
        <v>2949.0</v>
      </c>
      <c r="B2950" s="5" t="s">
        <v>3570</v>
      </c>
      <c r="C2950" s="5" t="s">
        <v>21</v>
      </c>
      <c r="K2950" s="5">
        <v>450.0</v>
      </c>
      <c r="N2950" s="9">
        <v>44542.0</v>
      </c>
    </row>
    <row r="2951">
      <c r="A2951" s="5">
        <v>2950.0</v>
      </c>
      <c r="B2951" s="5" t="s">
        <v>3571</v>
      </c>
      <c r="C2951" s="5" t="s">
        <v>21</v>
      </c>
      <c r="N2951" s="9">
        <v>44436.0</v>
      </c>
    </row>
    <row r="2952">
      <c r="A2952" s="5">
        <v>2951.0</v>
      </c>
      <c r="B2952" s="5" t="s">
        <v>3572</v>
      </c>
      <c r="C2952" s="5" t="s">
        <v>21</v>
      </c>
      <c r="K2952" s="5">
        <v>10.0</v>
      </c>
      <c r="N2952" s="9">
        <v>45454.0</v>
      </c>
    </row>
    <row r="2953">
      <c r="A2953" s="5">
        <v>2952.0</v>
      </c>
      <c r="B2953" s="5" t="s">
        <v>3573</v>
      </c>
      <c r="C2953" s="5" t="s">
        <v>21</v>
      </c>
      <c r="K2953" s="5">
        <v>700.0</v>
      </c>
      <c r="N2953" s="9">
        <v>44984.0</v>
      </c>
    </row>
    <row r="2954">
      <c r="A2954" s="5">
        <v>2953.0</v>
      </c>
      <c r="B2954" s="5" t="s">
        <v>3574</v>
      </c>
      <c r="C2954" s="5" t="s">
        <v>21</v>
      </c>
      <c r="K2954" s="5">
        <v>450.0</v>
      </c>
      <c r="N2954" s="9">
        <v>45159.0</v>
      </c>
    </row>
    <row r="2955">
      <c r="A2955" s="5">
        <v>2954.0</v>
      </c>
      <c r="B2955" s="5" t="s">
        <v>3575</v>
      </c>
      <c r="C2955" s="5" t="s">
        <v>21</v>
      </c>
      <c r="K2955" s="5">
        <v>500.0</v>
      </c>
      <c r="N2955" s="9">
        <v>44207.0</v>
      </c>
    </row>
    <row r="2956">
      <c r="A2956" s="5">
        <v>2955.0</v>
      </c>
      <c r="B2956" s="5" t="s">
        <v>3576</v>
      </c>
      <c r="C2956" s="5" t="s">
        <v>21</v>
      </c>
      <c r="N2956" s="9">
        <v>44575.0</v>
      </c>
    </row>
    <row r="2957">
      <c r="A2957" s="5">
        <v>2956.0</v>
      </c>
      <c r="B2957" s="5" t="s">
        <v>3577</v>
      </c>
      <c r="C2957" s="5" t="s">
        <v>21</v>
      </c>
      <c r="K2957" s="5">
        <v>700.0</v>
      </c>
      <c r="N2957" s="9">
        <v>44620.0</v>
      </c>
    </row>
    <row r="2958">
      <c r="A2958" s="5">
        <v>2957.0</v>
      </c>
      <c r="B2958" s="5" t="s">
        <v>3578</v>
      </c>
      <c r="C2958" s="5" t="s">
        <v>21</v>
      </c>
      <c r="K2958" s="5">
        <v>200.0</v>
      </c>
      <c r="N2958" s="9">
        <v>44525.0</v>
      </c>
    </row>
    <row r="2959">
      <c r="A2959" s="5">
        <v>2958.0</v>
      </c>
      <c r="B2959" s="5" t="s">
        <v>3579</v>
      </c>
      <c r="C2959" s="5" t="s">
        <v>21</v>
      </c>
      <c r="K2959" s="5">
        <v>150.0</v>
      </c>
      <c r="N2959" s="9">
        <v>44659.0</v>
      </c>
    </row>
    <row r="2960">
      <c r="A2960" s="5">
        <v>2959.0</v>
      </c>
      <c r="B2960" s="5" t="s">
        <v>3580</v>
      </c>
      <c r="C2960" s="5" t="s">
        <v>21</v>
      </c>
      <c r="K2960" s="5">
        <v>20.0</v>
      </c>
      <c r="N2960" s="9">
        <v>44573.0</v>
      </c>
    </row>
    <row r="2961">
      <c r="A2961" s="5">
        <v>2960.0</v>
      </c>
      <c r="B2961" s="5" t="s">
        <v>3581</v>
      </c>
      <c r="C2961" s="5" t="s">
        <v>21</v>
      </c>
      <c r="K2961" s="5">
        <v>150.0</v>
      </c>
      <c r="N2961" s="9">
        <v>44541.0</v>
      </c>
    </row>
    <row r="2962">
      <c r="A2962" s="5">
        <v>2961.0</v>
      </c>
      <c r="B2962" s="5" t="s">
        <v>3582</v>
      </c>
      <c r="C2962" s="5" t="s">
        <v>21</v>
      </c>
      <c r="K2962" s="5">
        <v>80.0</v>
      </c>
      <c r="N2962" s="9">
        <v>45068.0</v>
      </c>
    </row>
    <row r="2963">
      <c r="A2963" s="5">
        <v>2962.0</v>
      </c>
      <c r="B2963" s="5" t="s">
        <v>3583</v>
      </c>
      <c r="C2963" s="5" t="s">
        <v>21</v>
      </c>
      <c r="K2963" s="5">
        <v>300.0</v>
      </c>
      <c r="N2963" s="9">
        <v>44883.0</v>
      </c>
    </row>
    <row r="2964">
      <c r="A2964" s="5">
        <v>2963.0</v>
      </c>
      <c r="B2964" s="5" t="s">
        <v>3584</v>
      </c>
      <c r="C2964" s="5" t="s">
        <v>21</v>
      </c>
      <c r="K2964" s="5">
        <v>150.0</v>
      </c>
      <c r="N2964" s="9">
        <v>44878.0</v>
      </c>
    </row>
    <row r="2965">
      <c r="A2965" s="5">
        <v>2964.0</v>
      </c>
      <c r="B2965" s="5" t="s">
        <v>3585</v>
      </c>
      <c r="C2965" s="5" t="s">
        <v>21</v>
      </c>
      <c r="K2965" s="5">
        <v>1100.0</v>
      </c>
      <c r="N2965" s="9">
        <v>44700.0</v>
      </c>
    </row>
    <row r="2966">
      <c r="A2966" s="5">
        <v>2965.0</v>
      </c>
      <c r="B2966" s="5" t="s">
        <v>3586</v>
      </c>
      <c r="C2966" s="5" t="s">
        <v>21</v>
      </c>
      <c r="K2966" s="5">
        <v>100.0</v>
      </c>
      <c r="N2966" s="9">
        <v>44926.0</v>
      </c>
    </row>
    <row r="2967">
      <c r="A2967" s="5">
        <v>2966.0</v>
      </c>
      <c r="B2967" s="5" t="s">
        <v>3587</v>
      </c>
      <c r="C2967" s="5" t="s">
        <v>21</v>
      </c>
      <c r="K2967" s="5">
        <v>80.0</v>
      </c>
      <c r="N2967" s="9">
        <v>45006.0</v>
      </c>
    </row>
    <row r="2968">
      <c r="A2968" s="5">
        <v>2967.0</v>
      </c>
      <c r="B2968" s="5" t="s">
        <v>3588</v>
      </c>
      <c r="C2968" s="5" t="s">
        <v>21</v>
      </c>
      <c r="K2968" s="5">
        <v>150.0</v>
      </c>
      <c r="N2968" s="9">
        <v>44696.0</v>
      </c>
    </row>
    <row r="2969">
      <c r="A2969" s="5">
        <v>2968.0</v>
      </c>
      <c r="B2969" s="5" t="s">
        <v>3589</v>
      </c>
      <c r="C2969" s="5" t="s">
        <v>21</v>
      </c>
      <c r="K2969" s="5">
        <v>40.0</v>
      </c>
      <c r="N2969" s="9">
        <v>44666.0</v>
      </c>
    </row>
    <row r="2970">
      <c r="A2970" s="5">
        <v>2969.0</v>
      </c>
      <c r="B2970" s="5" t="s">
        <v>3590</v>
      </c>
      <c r="C2970" s="5" t="s">
        <v>21</v>
      </c>
      <c r="K2970" s="5">
        <v>1300.0</v>
      </c>
      <c r="N2970" s="9">
        <v>44283.0</v>
      </c>
    </row>
    <row r="2971">
      <c r="A2971" s="5">
        <v>2970.0</v>
      </c>
      <c r="B2971" s="5" t="s">
        <v>3591</v>
      </c>
      <c r="C2971" s="5" t="s">
        <v>21</v>
      </c>
      <c r="K2971" s="5">
        <v>700.0</v>
      </c>
      <c r="N2971" s="9">
        <v>44864.0</v>
      </c>
    </row>
    <row r="2972">
      <c r="A2972" s="5">
        <v>2971.0</v>
      </c>
      <c r="B2972" s="5" t="s">
        <v>3592</v>
      </c>
      <c r="C2972" s="5" t="s">
        <v>21</v>
      </c>
      <c r="K2972" s="5">
        <v>300.0</v>
      </c>
      <c r="N2972" s="9">
        <v>44545.0</v>
      </c>
    </row>
    <row r="2973">
      <c r="A2973" s="5">
        <v>2972.0</v>
      </c>
      <c r="B2973" s="5" t="s">
        <v>3593</v>
      </c>
      <c r="C2973" s="5" t="s">
        <v>21</v>
      </c>
      <c r="K2973" s="5">
        <v>1900.0</v>
      </c>
      <c r="N2973" s="9">
        <v>44818.0</v>
      </c>
    </row>
    <row r="2974">
      <c r="A2974" s="5">
        <v>2973.0</v>
      </c>
      <c r="B2974" s="5" t="s">
        <v>3594</v>
      </c>
      <c r="C2974" s="5" t="s">
        <v>21</v>
      </c>
      <c r="K2974" s="5">
        <v>30.0</v>
      </c>
      <c r="N2974" s="9">
        <v>44534.0</v>
      </c>
    </row>
    <row r="2975">
      <c r="A2975" s="5">
        <v>2974.0</v>
      </c>
      <c r="B2975" s="5" t="s">
        <v>3595</v>
      </c>
      <c r="C2975" s="5" t="s">
        <v>21</v>
      </c>
      <c r="K2975" s="5">
        <v>450.0</v>
      </c>
      <c r="N2975" s="9">
        <v>44663.0</v>
      </c>
    </row>
    <row r="2976">
      <c r="A2976" s="5">
        <v>2975.0</v>
      </c>
      <c r="B2976" s="5" t="s">
        <v>3596</v>
      </c>
      <c r="C2976" s="5" t="s">
        <v>21</v>
      </c>
      <c r="K2976" s="5">
        <v>450.0</v>
      </c>
      <c r="N2976" s="9">
        <v>44682.0</v>
      </c>
    </row>
    <row r="2977">
      <c r="A2977" s="5">
        <v>2976.0</v>
      </c>
      <c r="B2977" s="5" t="s">
        <v>3597</v>
      </c>
      <c r="C2977" s="5" t="s">
        <v>21</v>
      </c>
      <c r="K2977" s="5">
        <v>250.0</v>
      </c>
      <c r="N2977" s="9">
        <v>44540.0</v>
      </c>
    </row>
    <row r="2978">
      <c r="A2978" s="5">
        <v>2977.0</v>
      </c>
      <c r="B2978" s="5" t="s">
        <v>3598</v>
      </c>
      <c r="C2978" s="5" t="s">
        <v>21</v>
      </c>
      <c r="K2978" s="5">
        <v>1100.0</v>
      </c>
      <c r="N2978" s="9">
        <v>44739.0</v>
      </c>
    </row>
    <row r="2979">
      <c r="A2979" s="5">
        <v>2978.0</v>
      </c>
      <c r="B2979" s="5" t="s">
        <v>3599</v>
      </c>
      <c r="C2979" s="5" t="s">
        <v>21</v>
      </c>
      <c r="K2979" s="5">
        <v>300.0</v>
      </c>
      <c r="N2979" s="9">
        <v>44103.0</v>
      </c>
    </row>
    <row r="2980">
      <c r="A2980" s="5">
        <v>2979.0</v>
      </c>
      <c r="B2980" s="5" t="s">
        <v>3600</v>
      </c>
      <c r="C2980" s="5" t="s">
        <v>21</v>
      </c>
      <c r="K2980" s="5">
        <v>800.0</v>
      </c>
      <c r="N2980" s="9">
        <v>44522.0</v>
      </c>
    </row>
    <row r="2981">
      <c r="A2981" s="5">
        <v>2980.0</v>
      </c>
      <c r="B2981" s="5" t="s">
        <v>3601</v>
      </c>
      <c r="C2981" s="5" t="s">
        <v>21</v>
      </c>
      <c r="K2981" s="5">
        <v>2800.0</v>
      </c>
      <c r="N2981" s="9">
        <v>44598.0</v>
      </c>
    </row>
    <row r="2982">
      <c r="A2982" s="5">
        <v>2981.0</v>
      </c>
      <c r="B2982" s="5" t="s">
        <v>3602</v>
      </c>
      <c r="C2982" s="5" t="s">
        <v>21</v>
      </c>
      <c r="K2982" s="5">
        <v>1900.0</v>
      </c>
      <c r="N2982" s="9">
        <v>43864.0</v>
      </c>
    </row>
    <row r="2983">
      <c r="A2983" s="5">
        <v>2982.0</v>
      </c>
      <c r="B2983" s="5" t="s">
        <v>3603</v>
      </c>
      <c r="C2983" s="5" t="s">
        <v>21</v>
      </c>
      <c r="K2983" s="5">
        <v>500.0</v>
      </c>
      <c r="N2983" s="9">
        <v>44761.0</v>
      </c>
    </row>
    <row r="2984">
      <c r="A2984" s="5">
        <v>2983.0</v>
      </c>
      <c r="B2984" s="5" t="s">
        <v>3604</v>
      </c>
      <c r="C2984" s="5" t="s">
        <v>21</v>
      </c>
      <c r="K2984" s="5">
        <v>700.0</v>
      </c>
      <c r="N2984" s="9">
        <v>45504.0</v>
      </c>
    </row>
    <row r="2985">
      <c r="A2985" s="5">
        <v>2984.0</v>
      </c>
      <c r="B2985" s="5" t="s">
        <v>3605</v>
      </c>
      <c r="C2985" s="5" t="s">
        <v>21</v>
      </c>
      <c r="K2985" s="5">
        <v>200.0</v>
      </c>
      <c r="N2985" s="9">
        <v>44402.0</v>
      </c>
    </row>
    <row r="2986">
      <c r="A2986" s="5">
        <v>2985.0</v>
      </c>
      <c r="B2986" s="5" t="s">
        <v>3606</v>
      </c>
      <c r="C2986" s="5" t="s">
        <v>21</v>
      </c>
      <c r="K2986" s="5">
        <v>50.0</v>
      </c>
      <c r="N2986" s="9">
        <v>44196.0</v>
      </c>
    </row>
    <row r="2987">
      <c r="A2987" s="5">
        <v>2986.0</v>
      </c>
      <c r="B2987" s="5" t="s">
        <v>3607</v>
      </c>
      <c r="C2987" s="5" t="s">
        <v>21</v>
      </c>
      <c r="K2987" s="5">
        <v>700.0</v>
      </c>
      <c r="N2987" s="9">
        <v>44269.0</v>
      </c>
    </row>
    <row r="2988">
      <c r="A2988" s="5">
        <v>2987.0</v>
      </c>
      <c r="B2988" s="5" t="s">
        <v>3608</v>
      </c>
      <c r="C2988" s="5" t="s">
        <v>21</v>
      </c>
      <c r="K2988" s="5">
        <v>10.0</v>
      </c>
      <c r="N2988" s="9">
        <v>44534.0</v>
      </c>
    </row>
    <row r="2989">
      <c r="A2989" s="5">
        <v>2988.0</v>
      </c>
      <c r="B2989" s="5" t="s">
        <v>3609</v>
      </c>
      <c r="C2989" s="5" t="s">
        <v>21</v>
      </c>
      <c r="K2989" s="5">
        <v>350.0</v>
      </c>
      <c r="N2989" s="9">
        <v>44061.0</v>
      </c>
    </row>
    <row r="2990">
      <c r="A2990" s="5">
        <v>2989.0</v>
      </c>
      <c r="B2990" s="5" t="s">
        <v>3610</v>
      </c>
      <c r="C2990" s="5" t="s">
        <v>21</v>
      </c>
      <c r="K2990" s="5">
        <v>300.0</v>
      </c>
      <c r="N2990" s="9">
        <v>44866.0</v>
      </c>
    </row>
    <row r="2991">
      <c r="A2991" s="5">
        <v>2990.0</v>
      </c>
      <c r="B2991" s="5" t="s">
        <v>3611</v>
      </c>
      <c r="C2991" s="5" t="s">
        <v>21</v>
      </c>
      <c r="K2991" s="5">
        <v>1100.0</v>
      </c>
      <c r="N2991" s="9">
        <v>44774.0</v>
      </c>
    </row>
    <row r="2992">
      <c r="A2992" s="5">
        <v>2991.0</v>
      </c>
      <c r="B2992" s="5" t="s">
        <v>3612</v>
      </c>
      <c r="C2992" s="5" t="s">
        <v>21</v>
      </c>
      <c r="K2992" s="5">
        <v>250.0</v>
      </c>
      <c r="N2992" s="9">
        <v>44867.0</v>
      </c>
    </row>
    <row r="2993">
      <c r="A2993" s="5">
        <v>2992.0</v>
      </c>
      <c r="B2993" s="5" t="s">
        <v>3613</v>
      </c>
      <c r="C2993" s="5" t="s">
        <v>21</v>
      </c>
      <c r="K2993" s="5">
        <v>90.0</v>
      </c>
      <c r="N2993" s="9">
        <v>43974.0</v>
      </c>
    </row>
    <row r="2994">
      <c r="A2994" s="5">
        <v>2993.0</v>
      </c>
      <c r="B2994" s="5" t="s">
        <v>3614</v>
      </c>
      <c r="C2994" s="5" t="s">
        <v>21</v>
      </c>
      <c r="K2994" s="5">
        <v>400.0</v>
      </c>
      <c r="N2994" s="9">
        <v>44675.0</v>
      </c>
    </row>
    <row r="2995">
      <c r="A2995" s="5">
        <v>2994.0</v>
      </c>
      <c r="B2995" s="5" t="s">
        <v>3615</v>
      </c>
      <c r="C2995" s="5" t="s">
        <v>21</v>
      </c>
      <c r="K2995" s="5">
        <v>18000.0</v>
      </c>
      <c r="N2995" s="9">
        <v>43849.0</v>
      </c>
    </row>
    <row r="2996">
      <c r="A2996" s="5">
        <v>2995.0</v>
      </c>
      <c r="B2996" s="5" t="s">
        <v>3616</v>
      </c>
      <c r="C2996" s="5" t="s">
        <v>21</v>
      </c>
      <c r="K2996" s="5">
        <v>400.0</v>
      </c>
      <c r="N2996" s="9">
        <v>44523.0</v>
      </c>
    </row>
    <row r="2997">
      <c r="A2997" s="5">
        <v>2996.0</v>
      </c>
      <c r="B2997" s="5" t="s">
        <v>3617</v>
      </c>
      <c r="C2997" s="5" t="s">
        <v>21</v>
      </c>
      <c r="K2997" s="5">
        <v>700.0</v>
      </c>
      <c r="N2997" s="9">
        <v>44263.0</v>
      </c>
    </row>
    <row r="2998">
      <c r="A2998" s="5">
        <v>2997.0</v>
      </c>
      <c r="B2998" s="5" t="s">
        <v>3618</v>
      </c>
      <c r="C2998" s="5" t="s">
        <v>21</v>
      </c>
      <c r="K2998" s="5">
        <v>200.0</v>
      </c>
      <c r="N2998" s="9">
        <v>44883.0</v>
      </c>
    </row>
    <row r="2999">
      <c r="A2999" s="5">
        <v>2998.0</v>
      </c>
      <c r="B2999" s="5" t="s">
        <v>3619</v>
      </c>
      <c r="C2999" s="5" t="s">
        <v>21</v>
      </c>
      <c r="K2999" s="5">
        <v>1700.0</v>
      </c>
      <c r="N2999" s="9">
        <v>44514.0</v>
      </c>
    </row>
    <row r="3000">
      <c r="A3000" s="5">
        <v>2999.0</v>
      </c>
      <c r="B3000" s="5" t="s">
        <v>3620</v>
      </c>
      <c r="C3000" s="5" t="s">
        <v>21</v>
      </c>
      <c r="K3000" s="5">
        <v>10.0</v>
      </c>
      <c r="N3000" s="9">
        <v>44519.0</v>
      </c>
    </row>
    <row r="3001">
      <c r="A3001" s="5">
        <v>3000.0</v>
      </c>
      <c r="B3001" s="5" t="s">
        <v>3621</v>
      </c>
      <c r="C3001" s="5" t="s">
        <v>21</v>
      </c>
      <c r="K3001" s="5">
        <v>400.0</v>
      </c>
      <c r="N3001" s="9">
        <v>44608.0</v>
      </c>
    </row>
    <row r="3002">
      <c r="A3002" s="5">
        <v>3001.0</v>
      </c>
      <c r="B3002" s="5" t="s">
        <v>3622</v>
      </c>
      <c r="C3002" s="5" t="s">
        <v>21</v>
      </c>
      <c r="K3002" s="5">
        <v>250.0</v>
      </c>
      <c r="N3002" s="9">
        <v>44542.0</v>
      </c>
    </row>
    <row r="3003">
      <c r="A3003" s="5">
        <v>3002.0</v>
      </c>
      <c r="B3003" s="5" t="s">
        <v>3623</v>
      </c>
      <c r="C3003" s="5" t="s">
        <v>21</v>
      </c>
      <c r="K3003" s="5">
        <v>400.0</v>
      </c>
      <c r="N3003" s="9">
        <v>43934.0</v>
      </c>
    </row>
    <row r="3004">
      <c r="A3004" s="5">
        <v>3003.0</v>
      </c>
      <c r="B3004" s="5" t="s">
        <v>3624</v>
      </c>
      <c r="C3004" s="5" t="s">
        <v>21</v>
      </c>
      <c r="K3004" s="5">
        <v>400.0</v>
      </c>
      <c r="N3004" s="9">
        <v>45338.0</v>
      </c>
    </row>
    <row r="3005">
      <c r="A3005" s="5">
        <v>3004.0</v>
      </c>
      <c r="B3005" s="5" t="s">
        <v>3625</v>
      </c>
      <c r="C3005" s="5" t="s">
        <v>21</v>
      </c>
      <c r="K3005" s="5">
        <v>20.0</v>
      </c>
      <c r="N3005" s="9">
        <v>44884.0</v>
      </c>
    </row>
    <row r="3006">
      <c r="A3006" s="5">
        <v>3005.0</v>
      </c>
      <c r="B3006" s="5" t="s">
        <v>3626</v>
      </c>
      <c r="C3006" s="5" t="s">
        <v>21</v>
      </c>
      <c r="K3006" s="5">
        <v>500.0</v>
      </c>
      <c r="N3006" s="9">
        <v>44775.0</v>
      </c>
    </row>
    <row r="3007">
      <c r="A3007" s="5">
        <v>3006.0</v>
      </c>
      <c r="B3007" s="5" t="s">
        <v>3627</v>
      </c>
      <c r="C3007" s="5" t="s">
        <v>21</v>
      </c>
      <c r="K3007" s="5">
        <v>2800.0</v>
      </c>
      <c r="N3007" s="9">
        <v>44029.0</v>
      </c>
    </row>
    <row r="3008">
      <c r="A3008" s="5">
        <v>3007.0</v>
      </c>
      <c r="B3008" s="5" t="s">
        <v>3628</v>
      </c>
      <c r="C3008" s="5" t="s">
        <v>21</v>
      </c>
      <c r="K3008" s="5">
        <v>30.0</v>
      </c>
      <c r="N3008" s="9">
        <v>43865.0</v>
      </c>
    </row>
    <row r="3009">
      <c r="A3009" s="5">
        <v>3008.0</v>
      </c>
      <c r="B3009" s="5" t="s">
        <v>3629</v>
      </c>
      <c r="C3009" s="5" t="s">
        <v>21</v>
      </c>
      <c r="K3009" s="5">
        <v>1200.0</v>
      </c>
      <c r="N3009" s="9">
        <v>44386.0</v>
      </c>
    </row>
    <row r="3010">
      <c r="A3010" s="5">
        <v>3009.0</v>
      </c>
      <c r="B3010" s="5" t="s">
        <v>3630</v>
      </c>
      <c r="C3010" s="5" t="s">
        <v>21</v>
      </c>
      <c r="K3010" s="5">
        <v>1800.0</v>
      </c>
      <c r="N3010" s="9">
        <v>45138.0</v>
      </c>
    </row>
    <row r="3011">
      <c r="A3011" s="5">
        <v>3010.0</v>
      </c>
      <c r="B3011" s="5" t="s">
        <v>3631</v>
      </c>
      <c r="C3011" s="5" t="s">
        <v>21</v>
      </c>
      <c r="K3011" s="5">
        <v>80.0</v>
      </c>
      <c r="N3011" s="9">
        <v>44040.0</v>
      </c>
    </row>
    <row r="3012">
      <c r="A3012" s="5">
        <v>3011.0</v>
      </c>
      <c r="B3012" s="5" t="s">
        <v>3632</v>
      </c>
      <c r="C3012" s="5" t="s">
        <v>21</v>
      </c>
      <c r="K3012" s="5">
        <v>350.0</v>
      </c>
      <c r="N3012" s="9">
        <v>44967.0</v>
      </c>
    </row>
    <row r="3013">
      <c r="A3013" s="5">
        <v>3012.0</v>
      </c>
      <c r="B3013" s="5" t="s">
        <v>3633</v>
      </c>
      <c r="C3013" s="5" t="s">
        <v>21</v>
      </c>
      <c r="K3013" s="5">
        <v>200.0</v>
      </c>
      <c r="N3013" s="9">
        <v>44145.0</v>
      </c>
    </row>
    <row r="3014">
      <c r="A3014" s="5">
        <v>3013.0</v>
      </c>
      <c r="B3014" s="5" t="s">
        <v>3634</v>
      </c>
      <c r="C3014" s="5" t="s">
        <v>21</v>
      </c>
      <c r="K3014" s="5">
        <v>1000.0</v>
      </c>
      <c r="N3014" s="9">
        <v>44503.0</v>
      </c>
    </row>
    <row r="3015">
      <c r="A3015" s="5">
        <v>3014.0</v>
      </c>
      <c r="B3015" s="5" t="s">
        <v>3635</v>
      </c>
      <c r="C3015" s="5" t="s">
        <v>21</v>
      </c>
      <c r="K3015" s="5">
        <v>200.0</v>
      </c>
      <c r="N3015" s="9">
        <v>44845.0</v>
      </c>
    </row>
    <row r="3016">
      <c r="A3016" s="5">
        <v>3015.0</v>
      </c>
      <c r="B3016" s="5" t="s">
        <v>3636</v>
      </c>
      <c r="C3016" s="5" t="s">
        <v>21</v>
      </c>
      <c r="K3016" s="5">
        <v>900.0</v>
      </c>
      <c r="N3016" s="9">
        <v>44615.0</v>
      </c>
    </row>
    <row r="3017">
      <c r="A3017" s="5">
        <v>3016.0</v>
      </c>
      <c r="B3017" s="5" t="s">
        <v>3637</v>
      </c>
      <c r="C3017" s="5" t="s">
        <v>21</v>
      </c>
      <c r="K3017" s="5">
        <v>600.0</v>
      </c>
      <c r="N3017" s="9">
        <v>44143.0</v>
      </c>
    </row>
    <row r="3018">
      <c r="A3018" s="5">
        <v>3017.0</v>
      </c>
      <c r="B3018" s="5" t="s">
        <v>3638</v>
      </c>
      <c r="C3018" s="5" t="s">
        <v>21</v>
      </c>
      <c r="K3018" s="5">
        <v>300.0</v>
      </c>
      <c r="N3018" s="9">
        <v>45507.0</v>
      </c>
    </row>
    <row r="3019">
      <c r="A3019" s="5">
        <v>3018.0</v>
      </c>
      <c r="B3019" s="5" t="s">
        <v>3639</v>
      </c>
      <c r="C3019" s="5" t="s">
        <v>21</v>
      </c>
      <c r="K3019" s="5">
        <v>1300.0</v>
      </c>
      <c r="N3019" s="9">
        <v>44230.0</v>
      </c>
    </row>
    <row r="3020">
      <c r="A3020" s="5">
        <v>3019.0</v>
      </c>
      <c r="B3020" s="5" t="s">
        <v>3640</v>
      </c>
      <c r="C3020" s="5" t="s">
        <v>21</v>
      </c>
      <c r="K3020" s="5">
        <v>1400.0</v>
      </c>
      <c r="N3020" s="9">
        <v>44517.0</v>
      </c>
    </row>
    <row r="3021">
      <c r="A3021" s="5">
        <v>3020.0</v>
      </c>
      <c r="B3021" s="5" t="s">
        <v>3641</v>
      </c>
      <c r="C3021" s="5" t="s">
        <v>21</v>
      </c>
      <c r="K3021" s="5">
        <v>250.0</v>
      </c>
      <c r="N3021" s="9">
        <v>44264.0</v>
      </c>
    </row>
    <row r="3022">
      <c r="A3022" s="5">
        <v>3021.0</v>
      </c>
      <c r="B3022" s="5" t="s">
        <v>3642</v>
      </c>
      <c r="C3022" s="5" t="s">
        <v>21</v>
      </c>
      <c r="K3022" s="5">
        <v>300.0</v>
      </c>
      <c r="N3022" s="9">
        <v>44540.0</v>
      </c>
    </row>
    <row r="3023">
      <c r="A3023" s="5">
        <v>3022.0</v>
      </c>
      <c r="B3023" s="5" t="s">
        <v>3643</v>
      </c>
      <c r="C3023" s="5" t="s">
        <v>21</v>
      </c>
      <c r="K3023" s="5">
        <v>100.0</v>
      </c>
      <c r="N3023" s="9">
        <v>44345.0</v>
      </c>
    </row>
    <row r="3024">
      <c r="A3024" s="5">
        <v>3023.0</v>
      </c>
      <c r="B3024" s="5" t="s">
        <v>3644</v>
      </c>
      <c r="C3024" s="5" t="s">
        <v>21</v>
      </c>
      <c r="K3024" s="5">
        <v>1100.0</v>
      </c>
      <c r="N3024" s="9">
        <v>44538.0</v>
      </c>
    </row>
    <row r="3025">
      <c r="A3025" s="5">
        <v>3024.0</v>
      </c>
      <c r="B3025" s="5" t="s">
        <v>3645</v>
      </c>
      <c r="C3025" s="5" t="s">
        <v>21</v>
      </c>
      <c r="N3025" s="9">
        <v>44519.0</v>
      </c>
    </row>
    <row r="3026">
      <c r="A3026" s="5">
        <v>3025.0</v>
      </c>
      <c r="B3026" s="5" t="s">
        <v>3646</v>
      </c>
      <c r="C3026" s="5" t="s">
        <v>21</v>
      </c>
      <c r="K3026" s="5">
        <v>90.0</v>
      </c>
      <c r="N3026" s="9">
        <v>44552.0</v>
      </c>
    </row>
    <row r="3027">
      <c r="A3027" s="5">
        <v>3026.0</v>
      </c>
      <c r="B3027" s="5" t="s">
        <v>3647</v>
      </c>
      <c r="C3027" s="5" t="s">
        <v>21</v>
      </c>
      <c r="N3027" s="9">
        <v>43912.0</v>
      </c>
    </row>
    <row r="3028">
      <c r="A3028" s="5">
        <v>3027.0</v>
      </c>
      <c r="B3028" s="5" t="s">
        <v>3648</v>
      </c>
      <c r="C3028" s="5" t="s">
        <v>21</v>
      </c>
      <c r="K3028" s="5">
        <v>800.0</v>
      </c>
      <c r="N3028" s="9">
        <v>45051.0</v>
      </c>
    </row>
    <row r="3029">
      <c r="A3029" s="5">
        <v>3028.0</v>
      </c>
      <c r="B3029" s="5" t="s">
        <v>3649</v>
      </c>
      <c r="C3029" s="5" t="s">
        <v>21</v>
      </c>
      <c r="K3029" s="5">
        <v>300.0</v>
      </c>
      <c r="N3029" s="9">
        <v>44418.0</v>
      </c>
    </row>
    <row r="3030">
      <c r="A3030" s="5">
        <v>3029.0</v>
      </c>
      <c r="B3030" s="5" t="s">
        <v>3650</v>
      </c>
      <c r="C3030" s="5" t="s">
        <v>21</v>
      </c>
      <c r="K3030" s="5">
        <v>150.0</v>
      </c>
      <c r="N3030" s="9">
        <v>44595.0</v>
      </c>
    </row>
    <row r="3031">
      <c r="A3031" s="5">
        <v>3030.0</v>
      </c>
      <c r="B3031" s="5" t="s">
        <v>3651</v>
      </c>
      <c r="C3031" s="5" t="s">
        <v>21</v>
      </c>
      <c r="K3031" s="5">
        <v>300.0</v>
      </c>
      <c r="N3031" s="9">
        <v>44660.0</v>
      </c>
    </row>
    <row r="3032">
      <c r="A3032" s="5">
        <v>3031.0</v>
      </c>
      <c r="B3032" s="5" t="s">
        <v>3652</v>
      </c>
      <c r="C3032" s="5" t="s">
        <v>21</v>
      </c>
      <c r="K3032" s="5">
        <v>2100.0</v>
      </c>
      <c r="N3032" s="9">
        <v>44360.0</v>
      </c>
    </row>
    <row r="3033">
      <c r="A3033" s="5">
        <v>3032.0</v>
      </c>
      <c r="B3033" s="5" t="s">
        <v>99</v>
      </c>
      <c r="C3033" s="5" t="s">
        <v>21</v>
      </c>
      <c r="K3033" s="5">
        <v>10.0</v>
      </c>
      <c r="N3033" s="9">
        <v>43958.0</v>
      </c>
    </row>
    <row r="3034">
      <c r="A3034" s="5">
        <v>3033.0</v>
      </c>
      <c r="B3034" s="5" t="s">
        <v>3653</v>
      </c>
      <c r="C3034" s="5" t="s">
        <v>21</v>
      </c>
      <c r="K3034" s="5">
        <v>600.0</v>
      </c>
      <c r="N3034" s="9">
        <v>44656.0</v>
      </c>
    </row>
    <row r="3035">
      <c r="A3035" s="5">
        <v>3034.0</v>
      </c>
      <c r="B3035" s="5" t="s">
        <v>3654</v>
      </c>
      <c r="C3035" s="5" t="s">
        <v>21</v>
      </c>
      <c r="K3035" s="5">
        <v>200.0</v>
      </c>
      <c r="N3035" s="9">
        <v>44047.0</v>
      </c>
    </row>
    <row r="3036">
      <c r="A3036" s="5">
        <v>3035.0</v>
      </c>
      <c r="B3036" s="5" t="s">
        <v>3655</v>
      </c>
      <c r="C3036" s="5" t="s">
        <v>21</v>
      </c>
      <c r="K3036" s="5">
        <v>30.0</v>
      </c>
      <c r="N3036" s="9">
        <v>44404.0</v>
      </c>
    </row>
    <row r="3037">
      <c r="A3037" s="5">
        <v>3036.0</v>
      </c>
      <c r="B3037" s="5" t="s">
        <v>3656</v>
      </c>
      <c r="C3037" s="5" t="s">
        <v>21</v>
      </c>
      <c r="K3037" s="5">
        <v>400.0</v>
      </c>
      <c r="N3037" s="9">
        <v>44516.0</v>
      </c>
    </row>
    <row r="3038">
      <c r="A3038" s="5">
        <v>3037.0</v>
      </c>
      <c r="B3038" s="5" t="s">
        <v>3657</v>
      </c>
      <c r="C3038" s="5" t="s">
        <v>21</v>
      </c>
      <c r="K3038" s="5">
        <v>1800.0</v>
      </c>
      <c r="N3038" s="9">
        <v>44350.0</v>
      </c>
    </row>
    <row r="3039">
      <c r="A3039" s="5">
        <v>3038.0</v>
      </c>
      <c r="B3039" s="5" t="s">
        <v>3658</v>
      </c>
      <c r="C3039" s="5" t="s">
        <v>21</v>
      </c>
      <c r="K3039" s="5">
        <v>600.0</v>
      </c>
      <c r="N3039" s="9">
        <v>44760.0</v>
      </c>
    </row>
    <row r="3040">
      <c r="A3040" s="5">
        <v>3039.0</v>
      </c>
      <c r="B3040" s="5" t="s">
        <v>3659</v>
      </c>
      <c r="C3040" s="5" t="s">
        <v>21</v>
      </c>
      <c r="K3040" s="5">
        <v>50.0</v>
      </c>
      <c r="N3040" s="9">
        <v>44473.0</v>
      </c>
    </row>
    <row r="3041">
      <c r="A3041" s="5">
        <v>3040.0</v>
      </c>
      <c r="B3041" s="5" t="s">
        <v>3660</v>
      </c>
      <c r="C3041" s="5" t="s">
        <v>21</v>
      </c>
      <c r="K3041" s="5">
        <v>500.0</v>
      </c>
      <c r="N3041" s="9">
        <v>44691.0</v>
      </c>
    </row>
    <row r="3042">
      <c r="A3042" s="5">
        <v>3041.0</v>
      </c>
      <c r="B3042" s="5" t="s">
        <v>3661</v>
      </c>
      <c r="C3042" s="5" t="s">
        <v>21</v>
      </c>
      <c r="K3042" s="5">
        <v>600.0</v>
      </c>
      <c r="N3042" s="9">
        <v>45758.0</v>
      </c>
    </row>
    <row r="3043">
      <c r="A3043" s="5">
        <v>3042.0</v>
      </c>
      <c r="B3043" s="5" t="s">
        <v>3662</v>
      </c>
      <c r="C3043" s="5" t="s">
        <v>21</v>
      </c>
      <c r="K3043" s="5">
        <v>250.0</v>
      </c>
      <c r="N3043" s="9">
        <v>45177.0</v>
      </c>
    </row>
    <row r="3044">
      <c r="A3044" s="5">
        <v>3043.0</v>
      </c>
      <c r="B3044" s="5" t="s">
        <v>3663</v>
      </c>
      <c r="C3044" s="5" t="s">
        <v>21</v>
      </c>
      <c r="K3044" s="5">
        <v>900.0</v>
      </c>
      <c r="N3044" s="9">
        <v>44601.0</v>
      </c>
    </row>
    <row r="3045">
      <c r="A3045" s="5">
        <v>3044.0</v>
      </c>
      <c r="B3045" s="5" t="s">
        <v>101</v>
      </c>
      <c r="C3045" s="5" t="s">
        <v>21</v>
      </c>
      <c r="K3045" s="5">
        <v>200.0</v>
      </c>
      <c r="N3045" s="9">
        <v>44267.0</v>
      </c>
    </row>
    <row r="3046">
      <c r="A3046" s="5">
        <v>3045.0</v>
      </c>
      <c r="B3046" s="5" t="s">
        <v>3664</v>
      </c>
      <c r="C3046" s="5" t="s">
        <v>21</v>
      </c>
      <c r="K3046" s="5">
        <v>6400.0</v>
      </c>
      <c r="N3046" s="9">
        <v>44174.0</v>
      </c>
    </row>
    <row r="3047">
      <c r="A3047" s="5">
        <v>3046.0</v>
      </c>
      <c r="B3047" s="5" t="s">
        <v>3665</v>
      </c>
      <c r="C3047" s="5" t="s">
        <v>21</v>
      </c>
      <c r="K3047" s="5">
        <v>2300.0</v>
      </c>
      <c r="N3047" s="9">
        <v>44572.0</v>
      </c>
    </row>
    <row r="3048">
      <c r="A3048" s="5">
        <v>3047.0</v>
      </c>
      <c r="B3048" s="5" t="s">
        <v>3666</v>
      </c>
      <c r="C3048" s="5" t="s">
        <v>21</v>
      </c>
      <c r="K3048" s="5">
        <v>700.0</v>
      </c>
      <c r="N3048" s="9">
        <v>44773.0</v>
      </c>
    </row>
    <row r="3049">
      <c r="A3049" s="5">
        <v>3048.0</v>
      </c>
      <c r="B3049" s="5" t="s">
        <v>3667</v>
      </c>
      <c r="C3049" s="5" t="s">
        <v>21</v>
      </c>
      <c r="K3049" s="5">
        <v>10.0</v>
      </c>
      <c r="N3049" s="9">
        <v>43900.0</v>
      </c>
    </row>
    <row r="3050">
      <c r="A3050" s="5">
        <v>3049.0</v>
      </c>
      <c r="B3050" s="5" t="s">
        <v>3668</v>
      </c>
      <c r="C3050" s="5" t="s">
        <v>21</v>
      </c>
      <c r="K3050" s="5">
        <v>150.0</v>
      </c>
      <c r="N3050" s="9">
        <v>44076.0</v>
      </c>
    </row>
    <row r="3051">
      <c r="A3051" s="5">
        <v>3050.0</v>
      </c>
      <c r="B3051" s="5" t="s">
        <v>3669</v>
      </c>
      <c r="C3051" s="5" t="s">
        <v>21</v>
      </c>
      <c r="K3051" s="5">
        <v>150.0</v>
      </c>
      <c r="N3051" s="9">
        <v>44585.0</v>
      </c>
    </row>
    <row r="3052">
      <c r="A3052" s="5">
        <v>3051.0</v>
      </c>
      <c r="B3052" s="5" t="s">
        <v>3670</v>
      </c>
      <c r="C3052" s="5" t="s">
        <v>21</v>
      </c>
      <c r="K3052" s="5">
        <v>600.0</v>
      </c>
      <c r="N3052" s="9">
        <v>44828.0</v>
      </c>
    </row>
    <row r="3053">
      <c r="A3053" s="5">
        <v>3052.0</v>
      </c>
      <c r="B3053" s="5" t="s">
        <v>3671</v>
      </c>
      <c r="C3053" s="5" t="s">
        <v>21</v>
      </c>
      <c r="K3053" s="5">
        <v>40.0</v>
      </c>
      <c r="N3053" s="9">
        <v>45272.0</v>
      </c>
    </row>
    <row r="3054">
      <c r="A3054" s="5">
        <v>3053.0</v>
      </c>
      <c r="B3054" s="5" t="s">
        <v>3672</v>
      </c>
      <c r="C3054" s="5" t="s">
        <v>21</v>
      </c>
      <c r="K3054" s="5">
        <v>200.0</v>
      </c>
      <c r="N3054" s="9">
        <v>45167.0</v>
      </c>
    </row>
    <row r="3055">
      <c r="A3055" s="5">
        <v>3054.0</v>
      </c>
      <c r="B3055" s="5" t="s">
        <v>3673</v>
      </c>
      <c r="C3055" s="5" t="s">
        <v>21</v>
      </c>
      <c r="N3055" s="9">
        <v>44528.0</v>
      </c>
    </row>
    <row r="3056">
      <c r="A3056" s="5">
        <v>3055.0</v>
      </c>
      <c r="B3056" s="5" t="s">
        <v>3674</v>
      </c>
      <c r="C3056" s="5" t="s">
        <v>21</v>
      </c>
      <c r="K3056" s="5">
        <v>200.0</v>
      </c>
      <c r="N3056" s="9">
        <v>44341.0</v>
      </c>
    </row>
    <row r="3057">
      <c r="A3057" s="5">
        <v>3056.0</v>
      </c>
      <c r="B3057" s="5" t="s">
        <v>3675</v>
      </c>
      <c r="C3057" s="5" t="s">
        <v>21</v>
      </c>
      <c r="K3057" s="5">
        <v>30.0</v>
      </c>
      <c r="N3057" s="9">
        <v>45363.0</v>
      </c>
    </row>
    <row r="3058">
      <c r="A3058" s="5">
        <v>3057.0</v>
      </c>
      <c r="B3058" s="5" t="s">
        <v>3676</v>
      </c>
      <c r="C3058" s="5" t="s">
        <v>21</v>
      </c>
      <c r="K3058" s="5">
        <v>350.0</v>
      </c>
      <c r="N3058" s="9">
        <v>44572.0</v>
      </c>
    </row>
    <row r="3059">
      <c r="A3059" s="5">
        <v>3058.0</v>
      </c>
      <c r="B3059" s="5" t="s">
        <v>3677</v>
      </c>
      <c r="C3059" s="5" t="s">
        <v>21</v>
      </c>
      <c r="K3059" s="5">
        <v>30.0</v>
      </c>
      <c r="N3059" s="9">
        <v>44871.0</v>
      </c>
    </row>
    <row r="3060">
      <c r="A3060" s="5">
        <v>3059.0</v>
      </c>
      <c r="B3060" s="5" t="s">
        <v>3678</v>
      </c>
      <c r="C3060" s="5" t="s">
        <v>21</v>
      </c>
      <c r="K3060" s="5">
        <v>2700.0</v>
      </c>
      <c r="N3060" s="9">
        <v>44052.0</v>
      </c>
    </row>
    <row r="3061">
      <c r="A3061" s="5">
        <v>3060.0</v>
      </c>
      <c r="B3061" s="5" t="s">
        <v>3679</v>
      </c>
      <c r="C3061" s="5" t="s">
        <v>21</v>
      </c>
      <c r="K3061" s="5">
        <v>700.0</v>
      </c>
      <c r="N3061" s="9">
        <v>44523.0</v>
      </c>
    </row>
    <row r="3062">
      <c r="A3062" s="5">
        <v>3061.0</v>
      </c>
      <c r="B3062" s="5" t="s">
        <v>3680</v>
      </c>
      <c r="C3062" s="5" t="s">
        <v>21</v>
      </c>
      <c r="K3062" s="5">
        <v>4100.0</v>
      </c>
      <c r="N3062" s="9">
        <v>44535.0</v>
      </c>
    </row>
    <row r="3063">
      <c r="A3063" s="5">
        <v>3062.0</v>
      </c>
      <c r="B3063" s="5" t="s">
        <v>3681</v>
      </c>
      <c r="C3063" s="5" t="s">
        <v>21</v>
      </c>
      <c r="K3063" s="5">
        <v>300.0</v>
      </c>
      <c r="N3063" s="9">
        <v>45499.0</v>
      </c>
    </row>
    <row r="3064">
      <c r="A3064" s="5">
        <v>3063.0</v>
      </c>
      <c r="B3064" s="5" t="s">
        <v>3682</v>
      </c>
      <c r="C3064" s="5" t="s">
        <v>21</v>
      </c>
      <c r="K3064" s="5">
        <v>10.0</v>
      </c>
      <c r="N3064" s="9">
        <v>44518.0</v>
      </c>
    </row>
    <row r="3065">
      <c r="A3065" s="5">
        <v>3064.0</v>
      </c>
      <c r="B3065" s="5" t="s">
        <v>3683</v>
      </c>
      <c r="C3065" s="5" t="s">
        <v>21</v>
      </c>
      <c r="K3065" s="5">
        <v>100.0</v>
      </c>
      <c r="N3065" s="9">
        <v>44577.0</v>
      </c>
    </row>
    <row r="3066">
      <c r="A3066" s="5">
        <v>3065.0</v>
      </c>
      <c r="B3066" s="5" t="s">
        <v>3684</v>
      </c>
      <c r="C3066" s="5" t="s">
        <v>21</v>
      </c>
      <c r="K3066" s="5">
        <v>250.0</v>
      </c>
      <c r="N3066" s="9">
        <v>44900.0</v>
      </c>
    </row>
    <row r="3067">
      <c r="A3067" s="5">
        <v>3066.0</v>
      </c>
      <c r="B3067" s="5" t="s">
        <v>3685</v>
      </c>
      <c r="C3067" s="5" t="s">
        <v>21</v>
      </c>
      <c r="K3067" s="5">
        <v>800.0</v>
      </c>
      <c r="N3067" s="9">
        <v>44099.0</v>
      </c>
    </row>
    <row r="3068">
      <c r="A3068" s="5">
        <v>3067.0</v>
      </c>
      <c r="B3068" s="5" t="s">
        <v>3686</v>
      </c>
      <c r="C3068" s="5" t="s">
        <v>21</v>
      </c>
      <c r="K3068" s="5">
        <v>100.0</v>
      </c>
      <c r="N3068" s="9">
        <v>45502.0</v>
      </c>
    </row>
    <row r="3069">
      <c r="A3069" s="5">
        <v>3068.0</v>
      </c>
      <c r="B3069" s="5" t="s">
        <v>3687</v>
      </c>
      <c r="C3069" s="5" t="s">
        <v>21</v>
      </c>
      <c r="K3069" s="5">
        <v>4000.0</v>
      </c>
      <c r="N3069" s="9">
        <v>43989.0</v>
      </c>
    </row>
    <row r="3070">
      <c r="A3070" s="5">
        <v>3069.0</v>
      </c>
      <c r="B3070" s="5" t="s">
        <v>3688</v>
      </c>
      <c r="C3070" s="5" t="s">
        <v>21</v>
      </c>
      <c r="K3070" s="5">
        <v>500.0</v>
      </c>
      <c r="N3070" s="9">
        <v>44451.0</v>
      </c>
    </row>
    <row r="3071">
      <c r="A3071" s="5">
        <v>3070.0</v>
      </c>
      <c r="B3071" s="5" t="s">
        <v>3689</v>
      </c>
      <c r="C3071" s="5" t="s">
        <v>21</v>
      </c>
      <c r="K3071" s="5">
        <v>1100.0</v>
      </c>
      <c r="N3071" s="9">
        <v>44692.0</v>
      </c>
    </row>
    <row r="3072">
      <c r="A3072" s="5">
        <v>3071.0</v>
      </c>
      <c r="B3072" s="10" t="s">
        <v>3690</v>
      </c>
      <c r="C3072" s="5" t="s">
        <v>21</v>
      </c>
      <c r="N3072" s="9">
        <v>44623.0</v>
      </c>
    </row>
    <row r="3073">
      <c r="A3073" s="5">
        <v>3072.0</v>
      </c>
      <c r="B3073" s="5" t="s">
        <v>3691</v>
      </c>
      <c r="C3073" s="5" t="s">
        <v>21</v>
      </c>
      <c r="N3073" s="9">
        <v>44644.0</v>
      </c>
    </row>
    <row r="3074">
      <c r="A3074" s="5">
        <v>3073.0</v>
      </c>
      <c r="B3074" s="5" t="s">
        <v>3692</v>
      </c>
      <c r="C3074" s="5" t="s">
        <v>21</v>
      </c>
      <c r="N3074" s="9">
        <v>44602.0</v>
      </c>
    </row>
    <row r="3075">
      <c r="A3075" s="5">
        <v>3074.0</v>
      </c>
      <c r="B3075" s="5" t="s">
        <v>3693</v>
      </c>
      <c r="C3075" s="5" t="s">
        <v>21</v>
      </c>
      <c r="K3075" s="5">
        <v>150.0</v>
      </c>
      <c r="N3075" s="9">
        <v>44691.0</v>
      </c>
    </row>
    <row r="3076">
      <c r="A3076" s="5">
        <v>3075.0</v>
      </c>
      <c r="B3076" s="5" t="s">
        <v>3694</v>
      </c>
      <c r="C3076" s="5" t="s">
        <v>21</v>
      </c>
      <c r="K3076" s="5">
        <v>350.0</v>
      </c>
      <c r="N3076" s="9">
        <v>44485.0</v>
      </c>
    </row>
    <row r="3077">
      <c r="A3077" s="5">
        <v>3076.0</v>
      </c>
      <c r="B3077" s="5" t="s">
        <v>3695</v>
      </c>
      <c r="C3077" s="5" t="s">
        <v>21</v>
      </c>
      <c r="K3077" s="5">
        <v>350.0</v>
      </c>
      <c r="N3077" s="9">
        <v>44525.0</v>
      </c>
    </row>
    <row r="3078">
      <c r="A3078" s="5">
        <v>3077.0</v>
      </c>
      <c r="B3078" s="5" t="s">
        <v>3696</v>
      </c>
      <c r="C3078" s="5" t="s">
        <v>21</v>
      </c>
      <c r="K3078" s="5">
        <v>250.0</v>
      </c>
      <c r="N3078" s="9">
        <v>44755.0</v>
      </c>
    </row>
    <row r="3079">
      <c r="A3079" s="5">
        <v>3078.0</v>
      </c>
      <c r="B3079" s="5" t="s">
        <v>3697</v>
      </c>
      <c r="C3079" s="5" t="s">
        <v>21</v>
      </c>
      <c r="K3079" s="5">
        <v>100.0</v>
      </c>
      <c r="N3079" s="9">
        <v>44559.0</v>
      </c>
    </row>
    <row r="3080">
      <c r="A3080" s="5">
        <v>3079.0</v>
      </c>
      <c r="B3080" s="5" t="s">
        <v>3698</v>
      </c>
      <c r="C3080" s="5" t="s">
        <v>21</v>
      </c>
      <c r="K3080" s="5">
        <v>200.0</v>
      </c>
      <c r="N3080" s="9">
        <v>45298.0</v>
      </c>
    </row>
    <row r="3081">
      <c r="A3081" s="5">
        <v>3080.0</v>
      </c>
      <c r="B3081" s="5" t="s">
        <v>3699</v>
      </c>
      <c r="C3081" s="5" t="s">
        <v>21</v>
      </c>
      <c r="K3081" s="5">
        <v>600.0</v>
      </c>
      <c r="N3081" s="9">
        <v>44543.0</v>
      </c>
    </row>
    <row r="3082">
      <c r="A3082" s="5">
        <v>3081.0</v>
      </c>
      <c r="B3082" s="5" t="s">
        <v>3700</v>
      </c>
      <c r="C3082" s="5" t="s">
        <v>21</v>
      </c>
      <c r="K3082" s="5">
        <v>250.0</v>
      </c>
      <c r="N3082" s="9">
        <v>44610.0</v>
      </c>
    </row>
    <row r="3083">
      <c r="A3083" s="5">
        <v>3082.0</v>
      </c>
      <c r="B3083" s="5" t="s">
        <v>3701</v>
      </c>
      <c r="C3083" s="5" t="s">
        <v>21</v>
      </c>
      <c r="K3083" s="5">
        <v>100.0</v>
      </c>
      <c r="N3083" s="9">
        <v>44873.0</v>
      </c>
    </row>
    <row r="3084">
      <c r="A3084" s="5">
        <v>3083.0</v>
      </c>
      <c r="B3084" s="5" t="s">
        <v>3702</v>
      </c>
      <c r="C3084" s="5" t="s">
        <v>21</v>
      </c>
      <c r="K3084" s="5">
        <v>200.0</v>
      </c>
      <c r="N3084" s="9">
        <v>44688.0</v>
      </c>
    </row>
    <row r="3085">
      <c r="A3085" s="5">
        <v>3084.0</v>
      </c>
      <c r="B3085" s="5" t="s">
        <v>3703</v>
      </c>
      <c r="C3085" s="5" t="s">
        <v>21</v>
      </c>
      <c r="K3085" s="5">
        <v>200.0</v>
      </c>
      <c r="N3085" s="9">
        <v>45136.0</v>
      </c>
    </row>
    <row r="3086">
      <c r="A3086" s="5">
        <v>3085.0</v>
      </c>
      <c r="B3086" s="5" t="s">
        <v>3704</v>
      </c>
      <c r="C3086" s="5" t="s">
        <v>21</v>
      </c>
      <c r="K3086" s="5">
        <v>3100.0</v>
      </c>
      <c r="N3086" s="9">
        <v>44264.0</v>
      </c>
    </row>
    <row r="3087">
      <c r="A3087" s="5">
        <v>3086.0</v>
      </c>
      <c r="B3087" s="5" t="s">
        <v>3705</v>
      </c>
      <c r="C3087" s="5" t="s">
        <v>21</v>
      </c>
      <c r="K3087" s="5">
        <v>50.0</v>
      </c>
      <c r="N3087" s="9">
        <v>45383.0</v>
      </c>
    </row>
    <row r="3088">
      <c r="A3088" s="5">
        <v>3087.0</v>
      </c>
      <c r="B3088" s="5" t="s">
        <v>3706</v>
      </c>
      <c r="C3088" s="5" t="s">
        <v>21</v>
      </c>
      <c r="K3088" s="5">
        <v>150.0</v>
      </c>
      <c r="N3088" s="9">
        <v>44582.0</v>
      </c>
    </row>
    <row r="3089">
      <c r="A3089" s="5">
        <v>3088.0</v>
      </c>
      <c r="B3089" s="5" t="s">
        <v>3707</v>
      </c>
      <c r="C3089" s="5" t="s">
        <v>21</v>
      </c>
      <c r="K3089" s="5">
        <v>350.0</v>
      </c>
      <c r="N3089" s="9">
        <v>44598.0</v>
      </c>
    </row>
    <row r="3090">
      <c r="A3090" s="5">
        <v>3089.0</v>
      </c>
      <c r="B3090" s="5" t="s">
        <v>3708</v>
      </c>
      <c r="C3090" s="5" t="s">
        <v>21</v>
      </c>
      <c r="K3090" s="5">
        <v>500.0</v>
      </c>
      <c r="N3090" s="9">
        <v>44043.0</v>
      </c>
    </row>
    <row r="3091">
      <c r="A3091" s="5">
        <v>3090.0</v>
      </c>
      <c r="B3091" s="5" t="s">
        <v>162</v>
      </c>
      <c r="C3091" s="5" t="s">
        <v>21</v>
      </c>
      <c r="K3091" s="5">
        <v>700.0</v>
      </c>
      <c r="N3091" s="9">
        <v>43971.0</v>
      </c>
    </row>
    <row r="3092">
      <c r="A3092" s="5">
        <v>3091.0</v>
      </c>
      <c r="B3092" s="5" t="s">
        <v>3709</v>
      </c>
      <c r="C3092" s="5" t="s">
        <v>21</v>
      </c>
      <c r="K3092" s="5">
        <v>50.0</v>
      </c>
      <c r="N3092" s="9">
        <v>44444.0</v>
      </c>
    </row>
    <row r="3093">
      <c r="A3093" s="5">
        <v>3092.0</v>
      </c>
      <c r="B3093" s="5" t="s">
        <v>3710</v>
      </c>
      <c r="C3093" s="5" t="s">
        <v>21</v>
      </c>
      <c r="K3093" s="5">
        <v>350.0</v>
      </c>
      <c r="N3093" s="9">
        <v>45540.0</v>
      </c>
    </row>
    <row r="3094">
      <c r="A3094" s="5">
        <v>3093.0</v>
      </c>
      <c r="B3094" s="5" t="s">
        <v>3711</v>
      </c>
      <c r="C3094" s="5" t="s">
        <v>21</v>
      </c>
      <c r="K3094" s="5">
        <v>1200.0</v>
      </c>
      <c r="N3094" s="9">
        <v>44803.0</v>
      </c>
    </row>
    <row r="3095">
      <c r="A3095" s="5">
        <v>3094.0</v>
      </c>
      <c r="B3095" s="5" t="s">
        <v>3712</v>
      </c>
      <c r="C3095" s="5" t="s">
        <v>21</v>
      </c>
      <c r="K3095" s="5">
        <v>4900.0</v>
      </c>
      <c r="N3095" s="9">
        <v>43946.0</v>
      </c>
    </row>
    <row r="3096">
      <c r="A3096" s="5">
        <v>3095.0</v>
      </c>
      <c r="B3096" s="5" t="s">
        <v>3713</v>
      </c>
      <c r="C3096" s="5" t="s">
        <v>21</v>
      </c>
      <c r="K3096" s="5">
        <v>150.0</v>
      </c>
      <c r="N3096" s="9">
        <v>44204.0</v>
      </c>
    </row>
    <row r="3097">
      <c r="A3097" s="5">
        <v>3096.0</v>
      </c>
      <c r="B3097" s="5" t="s">
        <v>3714</v>
      </c>
      <c r="C3097" s="5" t="s">
        <v>21</v>
      </c>
      <c r="K3097" s="5">
        <v>90.0</v>
      </c>
      <c r="N3097" s="9">
        <v>44666.0</v>
      </c>
    </row>
    <row r="3098">
      <c r="A3098" s="5">
        <v>3097.0</v>
      </c>
      <c r="B3098" s="5" t="s">
        <v>3715</v>
      </c>
      <c r="C3098" s="5" t="s">
        <v>21</v>
      </c>
      <c r="K3098" s="5">
        <v>200.0</v>
      </c>
      <c r="N3098" s="9">
        <v>44881.0</v>
      </c>
    </row>
    <row r="3099">
      <c r="A3099" s="5">
        <v>3098.0</v>
      </c>
      <c r="B3099" s="5" t="s">
        <v>3716</v>
      </c>
      <c r="C3099" s="5" t="s">
        <v>21</v>
      </c>
      <c r="K3099" s="5">
        <v>150.0</v>
      </c>
      <c r="N3099" s="9">
        <v>44398.0</v>
      </c>
    </row>
    <row r="3100">
      <c r="A3100" s="5">
        <v>3099.0</v>
      </c>
      <c r="B3100" s="5" t="s">
        <v>3717</v>
      </c>
      <c r="C3100" s="5" t="s">
        <v>21</v>
      </c>
      <c r="K3100" s="5">
        <v>100.0</v>
      </c>
      <c r="N3100" s="9">
        <v>45034.0</v>
      </c>
    </row>
    <row r="3101">
      <c r="A3101" s="5">
        <v>3100.0</v>
      </c>
      <c r="B3101" s="5" t="s">
        <v>3718</v>
      </c>
      <c r="C3101" s="5" t="s">
        <v>21</v>
      </c>
      <c r="K3101" s="5">
        <v>500.0</v>
      </c>
      <c r="N3101" s="9">
        <v>44037.0</v>
      </c>
    </row>
    <row r="3102">
      <c r="A3102" s="5">
        <v>3101.0</v>
      </c>
      <c r="B3102" s="5" t="s">
        <v>3719</v>
      </c>
      <c r="C3102" s="5" t="s">
        <v>21</v>
      </c>
      <c r="K3102" s="5">
        <v>350.0</v>
      </c>
      <c r="N3102" s="9">
        <v>44963.0</v>
      </c>
    </row>
    <row r="3103">
      <c r="A3103" s="5">
        <v>3102.0</v>
      </c>
      <c r="B3103" s="5" t="s">
        <v>3720</v>
      </c>
      <c r="C3103" s="5" t="s">
        <v>21</v>
      </c>
      <c r="K3103" s="5">
        <v>1100.0</v>
      </c>
      <c r="N3103" s="9">
        <v>44532.0</v>
      </c>
    </row>
    <row r="3104">
      <c r="A3104" s="5">
        <v>3103.0</v>
      </c>
      <c r="B3104" s="5" t="s">
        <v>3721</v>
      </c>
      <c r="C3104" s="5" t="s">
        <v>21</v>
      </c>
      <c r="N3104" s="9">
        <v>44518.0</v>
      </c>
    </row>
    <row r="3105">
      <c r="A3105" s="5">
        <v>3104.0</v>
      </c>
      <c r="B3105" s="5" t="s">
        <v>3722</v>
      </c>
      <c r="C3105" s="5" t="s">
        <v>21</v>
      </c>
      <c r="K3105" s="5">
        <v>70.0</v>
      </c>
      <c r="N3105" s="9">
        <v>44142.0</v>
      </c>
    </row>
    <row r="3106">
      <c r="A3106" s="5">
        <v>3105.0</v>
      </c>
      <c r="B3106" s="5" t="s">
        <v>3723</v>
      </c>
      <c r="C3106" s="5" t="s">
        <v>21</v>
      </c>
      <c r="K3106" s="5">
        <v>3000.0</v>
      </c>
      <c r="N3106" s="9">
        <v>43872.0</v>
      </c>
    </row>
    <row r="3107">
      <c r="A3107" s="5">
        <v>3106.0</v>
      </c>
      <c r="B3107" s="5" t="s">
        <v>3724</v>
      </c>
      <c r="C3107" s="5" t="s">
        <v>21</v>
      </c>
      <c r="K3107" s="5">
        <v>200.0</v>
      </c>
      <c r="N3107" s="9">
        <v>44077.0</v>
      </c>
    </row>
    <row r="3108">
      <c r="A3108" s="5">
        <v>3107.0</v>
      </c>
      <c r="B3108" s="5" t="s">
        <v>3725</v>
      </c>
      <c r="C3108" s="5" t="s">
        <v>21</v>
      </c>
      <c r="K3108" s="5">
        <v>10000.0</v>
      </c>
      <c r="N3108" s="9">
        <v>43891.0</v>
      </c>
    </row>
    <row r="3109">
      <c r="A3109" s="5">
        <v>3108.0</v>
      </c>
      <c r="B3109" s="5" t="s">
        <v>3726</v>
      </c>
      <c r="C3109" s="5" t="s">
        <v>21</v>
      </c>
      <c r="K3109" s="5">
        <v>600.0</v>
      </c>
      <c r="N3109" s="9">
        <v>44747.0</v>
      </c>
    </row>
    <row r="3110">
      <c r="A3110" s="5">
        <v>3109.0</v>
      </c>
      <c r="B3110" s="5" t="s">
        <v>3727</v>
      </c>
      <c r="C3110" s="5" t="s">
        <v>21</v>
      </c>
      <c r="K3110" s="5">
        <v>150.0</v>
      </c>
      <c r="N3110" s="9">
        <v>44775.0</v>
      </c>
    </row>
    <row r="3111">
      <c r="A3111" s="5">
        <v>3110.0</v>
      </c>
      <c r="B3111" s="5" t="s">
        <v>3728</v>
      </c>
      <c r="C3111" s="5" t="s">
        <v>21</v>
      </c>
      <c r="K3111" s="5">
        <v>70.0</v>
      </c>
      <c r="N3111" s="9">
        <v>44666.0</v>
      </c>
    </row>
    <row r="3112">
      <c r="A3112" s="5">
        <v>3111.0</v>
      </c>
      <c r="B3112" s="5" t="s">
        <v>3729</v>
      </c>
      <c r="C3112" s="5" t="s">
        <v>21</v>
      </c>
      <c r="K3112" s="5">
        <v>150.0</v>
      </c>
      <c r="N3112" s="9">
        <v>45643.0</v>
      </c>
    </row>
    <row r="3113">
      <c r="A3113" s="5">
        <v>3112.0</v>
      </c>
      <c r="B3113" s="5" t="s">
        <v>3730</v>
      </c>
      <c r="C3113" s="5" t="s">
        <v>21</v>
      </c>
      <c r="K3113" s="5">
        <v>100.0</v>
      </c>
      <c r="N3113" s="9">
        <v>43957.0</v>
      </c>
    </row>
    <row r="3114">
      <c r="A3114" s="5">
        <v>3113.0</v>
      </c>
      <c r="B3114" s="5" t="s">
        <v>3731</v>
      </c>
      <c r="C3114" s="5" t="s">
        <v>21</v>
      </c>
      <c r="K3114" s="5">
        <v>60.0</v>
      </c>
      <c r="N3114" s="9">
        <v>44531.0</v>
      </c>
    </row>
    <row r="3115">
      <c r="A3115" s="5">
        <v>3114.0</v>
      </c>
      <c r="B3115" s="5" t="s">
        <v>3732</v>
      </c>
      <c r="C3115" s="5" t="s">
        <v>21</v>
      </c>
      <c r="K3115" s="5">
        <v>150.0</v>
      </c>
      <c r="N3115" s="9">
        <v>44973.0</v>
      </c>
    </row>
    <row r="3116">
      <c r="A3116" s="5">
        <v>3115.0</v>
      </c>
      <c r="B3116" s="5" t="s">
        <v>3733</v>
      </c>
      <c r="C3116" s="5" t="s">
        <v>21</v>
      </c>
      <c r="K3116" s="5">
        <v>250.0</v>
      </c>
      <c r="N3116" s="9">
        <v>44541.0</v>
      </c>
    </row>
    <row r="3117">
      <c r="A3117" s="5">
        <v>3116.0</v>
      </c>
      <c r="B3117" s="5" t="s">
        <v>3734</v>
      </c>
      <c r="C3117" s="5" t="s">
        <v>21</v>
      </c>
      <c r="K3117" s="5">
        <v>700.0</v>
      </c>
      <c r="N3117" s="9">
        <v>45682.0</v>
      </c>
    </row>
    <row r="3118">
      <c r="A3118" s="5">
        <v>3117.0</v>
      </c>
      <c r="B3118" s="5" t="s">
        <v>3735</v>
      </c>
      <c r="C3118" s="5" t="s">
        <v>21</v>
      </c>
      <c r="K3118" s="5">
        <v>250.0</v>
      </c>
      <c r="N3118" s="9">
        <v>44597.0</v>
      </c>
    </row>
    <row r="3119">
      <c r="A3119" s="5">
        <v>3118.0</v>
      </c>
      <c r="B3119" s="5" t="s">
        <v>3736</v>
      </c>
      <c r="C3119" s="5" t="s">
        <v>21</v>
      </c>
      <c r="K3119" s="5">
        <v>900.0</v>
      </c>
      <c r="N3119" s="9">
        <v>44400.0</v>
      </c>
    </row>
    <row r="3120">
      <c r="A3120" s="5">
        <v>3119.0</v>
      </c>
      <c r="B3120" s="5" t="s">
        <v>3737</v>
      </c>
      <c r="C3120" s="5" t="s">
        <v>21</v>
      </c>
      <c r="K3120" s="5">
        <v>600.0</v>
      </c>
      <c r="N3120" s="9">
        <v>44184.0</v>
      </c>
    </row>
    <row r="3121">
      <c r="A3121" s="5">
        <v>3120.0</v>
      </c>
      <c r="B3121" s="5" t="s">
        <v>3738</v>
      </c>
      <c r="C3121" s="5" t="s">
        <v>21</v>
      </c>
      <c r="K3121" s="5">
        <v>600.0</v>
      </c>
      <c r="N3121" s="9">
        <v>44007.0</v>
      </c>
    </row>
    <row r="3122">
      <c r="A3122" s="5">
        <v>3121.0</v>
      </c>
      <c r="B3122" s="5" t="s">
        <v>3739</v>
      </c>
      <c r="C3122" s="5" t="s">
        <v>21</v>
      </c>
      <c r="N3122" s="9">
        <v>44532.0</v>
      </c>
    </row>
    <row r="3123">
      <c r="A3123" s="5">
        <v>3122.0</v>
      </c>
      <c r="B3123" s="5" t="s">
        <v>3740</v>
      </c>
      <c r="C3123" s="5" t="s">
        <v>21</v>
      </c>
      <c r="K3123" s="5">
        <v>500.0</v>
      </c>
      <c r="N3123" s="9">
        <v>43866.0</v>
      </c>
    </row>
    <row r="3124">
      <c r="A3124" s="5">
        <v>3123.0</v>
      </c>
      <c r="B3124" s="5" t="s">
        <v>105</v>
      </c>
      <c r="C3124" s="5" t="s">
        <v>21</v>
      </c>
      <c r="K3124" s="5">
        <v>250.0</v>
      </c>
      <c r="N3124" s="9">
        <v>44881.0</v>
      </c>
    </row>
    <row r="3125">
      <c r="A3125" s="5">
        <v>3124.0</v>
      </c>
      <c r="B3125" s="5" t="s">
        <v>3741</v>
      </c>
      <c r="C3125" s="5" t="s">
        <v>21</v>
      </c>
      <c r="K3125" s="5">
        <v>1200.0</v>
      </c>
      <c r="N3125" s="9">
        <v>44388.0</v>
      </c>
    </row>
    <row r="3126">
      <c r="A3126" s="5">
        <v>3125.0</v>
      </c>
      <c r="B3126" s="5" t="s">
        <v>3742</v>
      </c>
      <c r="C3126" s="5" t="s">
        <v>21</v>
      </c>
      <c r="K3126" s="5">
        <v>6500.0</v>
      </c>
      <c r="N3126" s="9">
        <v>43913.0</v>
      </c>
    </row>
    <row r="3127">
      <c r="A3127" s="5">
        <v>3126.0</v>
      </c>
      <c r="B3127" s="5" t="s">
        <v>3743</v>
      </c>
      <c r="C3127" s="5" t="s">
        <v>21</v>
      </c>
      <c r="K3127" s="5">
        <v>1000.0</v>
      </c>
      <c r="N3127" s="9">
        <v>44247.0</v>
      </c>
    </row>
    <row r="3128">
      <c r="A3128" s="5">
        <v>3127.0</v>
      </c>
      <c r="B3128" s="5" t="s">
        <v>3744</v>
      </c>
      <c r="C3128" s="5" t="s">
        <v>21</v>
      </c>
      <c r="K3128" s="5">
        <v>150.0</v>
      </c>
      <c r="N3128" s="9">
        <v>44175.0</v>
      </c>
    </row>
    <row r="3129">
      <c r="A3129" s="5">
        <v>3128.0</v>
      </c>
      <c r="B3129" s="5" t="s">
        <v>3745</v>
      </c>
      <c r="C3129" s="5" t="s">
        <v>21</v>
      </c>
      <c r="K3129" s="5">
        <v>500.0</v>
      </c>
      <c r="N3129" s="9">
        <v>44467.0</v>
      </c>
    </row>
    <row r="3130">
      <c r="A3130" s="5">
        <v>3129.0</v>
      </c>
      <c r="B3130" s="5" t="s">
        <v>3746</v>
      </c>
      <c r="C3130" s="5" t="s">
        <v>21</v>
      </c>
      <c r="K3130" s="5">
        <v>50.0</v>
      </c>
      <c r="N3130" s="9">
        <v>44523.0</v>
      </c>
    </row>
    <row r="3131">
      <c r="A3131" s="5">
        <v>3130.0</v>
      </c>
      <c r="B3131" s="5" t="s">
        <v>3747</v>
      </c>
      <c r="C3131" s="5" t="s">
        <v>21</v>
      </c>
      <c r="K3131" s="5">
        <v>600.0</v>
      </c>
      <c r="N3131" s="9">
        <v>44540.0</v>
      </c>
    </row>
    <row r="3132">
      <c r="A3132" s="5">
        <v>3131.0</v>
      </c>
      <c r="B3132" s="5" t="s">
        <v>3748</v>
      </c>
      <c r="C3132" s="5" t="s">
        <v>21</v>
      </c>
      <c r="K3132" s="5">
        <v>250.0</v>
      </c>
      <c r="N3132" s="9">
        <v>45072.0</v>
      </c>
    </row>
    <row r="3133">
      <c r="A3133" s="5">
        <v>3132.0</v>
      </c>
      <c r="B3133" s="5" t="s">
        <v>3749</v>
      </c>
      <c r="C3133" s="5" t="s">
        <v>21</v>
      </c>
      <c r="K3133" s="5">
        <v>150.0</v>
      </c>
      <c r="N3133" s="9">
        <v>45053.0</v>
      </c>
    </row>
    <row r="3134">
      <c r="A3134" s="5">
        <v>3133.0</v>
      </c>
      <c r="B3134" s="5" t="s">
        <v>3750</v>
      </c>
      <c r="C3134" s="5" t="s">
        <v>21</v>
      </c>
      <c r="K3134" s="5">
        <v>100.0</v>
      </c>
      <c r="N3134" s="9">
        <v>46000.0</v>
      </c>
    </row>
    <row r="3135">
      <c r="A3135" s="5">
        <v>3134.0</v>
      </c>
      <c r="B3135" s="5" t="s">
        <v>3751</v>
      </c>
      <c r="C3135" s="5" t="s">
        <v>21</v>
      </c>
      <c r="K3135" s="5">
        <v>2100.0</v>
      </c>
      <c r="N3135" s="9">
        <v>43911.0</v>
      </c>
    </row>
    <row r="3136">
      <c r="A3136" s="5">
        <v>3135.0</v>
      </c>
      <c r="B3136" s="5" t="s">
        <v>3752</v>
      </c>
      <c r="C3136" s="5" t="s">
        <v>21</v>
      </c>
      <c r="K3136" s="5">
        <v>500.0</v>
      </c>
      <c r="N3136" s="9">
        <v>44534.0</v>
      </c>
    </row>
    <row r="3137">
      <c r="A3137" s="5">
        <v>3136.0</v>
      </c>
      <c r="B3137" s="5" t="s">
        <v>3753</v>
      </c>
      <c r="C3137" s="5" t="s">
        <v>21</v>
      </c>
      <c r="K3137" s="5">
        <v>150.0</v>
      </c>
      <c r="N3137" s="9">
        <v>44814.0</v>
      </c>
    </row>
    <row r="3138">
      <c r="A3138" s="5">
        <v>3137.0</v>
      </c>
      <c r="B3138" s="5" t="s">
        <v>3754</v>
      </c>
      <c r="C3138" s="5" t="s">
        <v>21</v>
      </c>
      <c r="K3138" s="5">
        <v>900.0</v>
      </c>
      <c r="N3138" s="9">
        <v>44072.0</v>
      </c>
    </row>
    <row r="3139">
      <c r="A3139" s="5">
        <v>3138.0</v>
      </c>
      <c r="B3139" s="5" t="s">
        <v>3755</v>
      </c>
      <c r="C3139" s="5" t="s">
        <v>21</v>
      </c>
      <c r="K3139" s="5">
        <v>500.0</v>
      </c>
      <c r="N3139" s="9">
        <v>45078.0</v>
      </c>
    </row>
    <row r="3140">
      <c r="A3140" s="5">
        <v>3139.0</v>
      </c>
      <c r="B3140" s="5" t="s">
        <v>3756</v>
      </c>
      <c r="C3140" s="5" t="s">
        <v>21</v>
      </c>
      <c r="K3140" s="5">
        <v>100.0</v>
      </c>
      <c r="N3140" s="9">
        <v>45372.0</v>
      </c>
    </row>
    <row r="3141">
      <c r="A3141" s="5">
        <v>3140.0</v>
      </c>
      <c r="B3141" s="5" t="s">
        <v>3757</v>
      </c>
      <c r="C3141" s="5" t="s">
        <v>21</v>
      </c>
      <c r="K3141" s="5">
        <v>100.0</v>
      </c>
      <c r="N3141" s="9">
        <v>44542.0</v>
      </c>
    </row>
    <row r="3142">
      <c r="A3142" s="5">
        <v>3141.0</v>
      </c>
      <c r="B3142" s="5" t="s">
        <v>3758</v>
      </c>
      <c r="C3142" s="5" t="s">
        <v>21</v>
      </c>
      <c r="K3142" s="5">
        <v>400.0</v>
      </c>
      <c r="N3142" s="9">
        <v>45721.0</v>
      </c>
    </row>
    <row r="3143">
      <c r="A3143" s="5">
        <v>3142.0</v>
      </c>
      <c r="B3143" s="5" t="s">
        <v>3759</v>
      </c>
      <c r="C3143" s="5" t="s">
        <v>21</v>
      </c>
      <c r="K3143" s="5">
        <v>100.0</v>
      </c>
      <c r="N3143" s="9">
        <v>44356.0</v>
      </c>
    </row>
    <row r="3144">
      <c r="A3144" s="5">
        <v>3143.0</v>
      </c>
      <c r="B3144" s="5" t="s">
        <v>107</v>
      </c>
      <c r="C3144" s="5" t="s">
        <v>21</v>
      </c>
      <c r="K3144" s="5">
        <v>40.0</v>
      </c>
      <c r="N3144" s="9">
        <v>44773.0</v>
      </c>
    </row>
    <row r="3145">
      <c r="A3145" s="5">
        <v>3144.0</v>
      </c>
      <c r="B3145" s="5" t="s">
        <v>3760</v>
      </c>
      <c r="C3145" s="5" t="s">
        <v>21</v>
      </c>
      <c r="K3145" s="5">
        <v>600.0</v>
      </c>
      <c r="N3145" s="9">
        <v>44520.0</v>
      </c>
    </row>
    <row r="3146">
      <c r="A3146" s="5">
        <v>3145.0</v>
      </c>
      <c r="B3146" s="5" t="s">
        <v>3761</v>
      </c>
      <c r="C3146" s="5" t="s">
        <v>21</v>
      </c>
      <c r="K3146" s="5">
        <v>200.0</v>
      </c>
      <c r="N3146" s="9">
        <v>45327.0</v>
      </c>
    </row>
    <row r="3147">
      <c r="A3147" s="5">
        <v>3146.0</v>
      </c>
      <c r="B3147" s="5" t="s">
        <v>3762</v>
      </c>
      <c r="C3147" s="5" t="s">
        <v>21</v>
      </c>
      <c r="K3147" s="5">
        <v>60.0</v>
      </c>
      <c r="N3147" s="9">
        <v>44639.0</v>
      </c>
    </row>
    <row r="3148">
      <c r="A3148" s="5">
        <v>3147.0</v>
      </c>
      <c r="B3148" s="5" t="s">
        <v>3763</v>
      </c>
      <c r="C3148" s="5" t="s">
        <v>21</v>
      </c>
      <c r="K3148" s="5">
        <v>90.0</v>
      </c>
      <c r="N3148" s="9">
        <v>44168.0</v>
      </c>
    </row>
    <row r="3149">
      <c r="A3149" s="5">
        <v>3148.0</v>
      </c>
      <c r="B3149" s="5" t="s">
        <v>3764</v>
      </c>
      <c r="C3149" s="5" t="s">
        <v>21</v>
      </c>
      <c r="K3149" s="5">
        <v>2000.0</v>
      </c>
      <c r="N3149" s="9">
        <v>43922.0</v>
      </c>
    </row>
    <row r="3150">
      <c r="A3150" s="5">
        <v>3149.0</v>
      </c>
      <c r="B3150" s="5" t="s">
        <v>3765</v>
      </c>
      <c r="C3150" s="5" t="s">
        <v>21</v>
      </c>
      <c r="K3150" s="5">
        <v>700.0</v>
      </c>
      <c r="N3150" s="9">
        <v>44301.0</v>
      </c>
    </row>
    <row r="3151">
      <c r="A3151" s="5">
        <v>3150.0</v>
      </c>
      <c r="B3151" s="5" t="s">
        <v>3766</v>
      </c>
      <c r="C3151" s="5" t="s">
        <v>21</v>
      </c>
      <c r="K3151" s="5">
        <v>200.0</v>
      </c>
      <c r="N3151" s="9">
        <v>44617.0</v>
      </c>
    </row>
    <row r="3152">
      <c r="A3152" s="5">
        <v>3151.0</v>
      </c>
      <c r="B3152" s="5" t="s">
        <v>3767</v>
      </c>
      <c r="C3152" s="5" t="s">
        <v>21</v>
      </c>
      <c r="K3152" s="5">
        <v>350.0</v>
      </c>
      <c r="N3152" s="9">
        <v>44771.0</v>
      </c>
    </row>
    <row r="3153">
      <c r="A3153" s="5">
        <v>3152.0</v>
      </c>
      <c r="B3153" s="5" t="s">
        <v>3768</v>
      </c>
      <c r="C3153" s="5" t="s">
        <v>21</v>
      </c>
      <c r="K3153" s="5">
        <v>600.0</v>
      </c>
      <c r="N3153" s="9">
        <v>44652.0</v>
      </c>
    </row>
    <row r="3154">
      <c r="A3154" s="5">
        <v>3153.0</v>
      </c>
      <c r="B3154" s="5" t="s">
        <v>3769</v>
      </c>
      <c r="C3154" s="5" t="s">
        <v>21</v>
      </c>
      <c r="K3154" s="5">
        <v>400.0</v>
      </c>
      <c r="N3154" s="9">
        <v>44500.0</v>
      </c>
    </row>
    <row r="3155">
      <c r="A3155" s="5">
        <v>3154.0</v>
      </c>
      <c r="B3155" s="5" t="s">
        <v>3770</v>
      </c>
      <c r="C3155" s="5" t="s">
        <v>21</v>
      </c>
      <c r="K3155" s="5">
        <v>80.0</v>
      </c>
      <c r="N3155" s="9">
        <v>44922.0</v>
      </c>
    </row>
    <row r="3156">
      <c r="A3156" s="5">
        <v>3155.0</v>
      </c>
      <c r="B3156" s="5" t="s">
        <v>3771</v>
      </c>
      <c r="C3156" s="5" t="s">
        <v>21</v>
      </c>
      <c r="K3156" s="5">
        <v>10.0</v>
      </c>
      <c r="N3156" s="9">
        <v>44518.0</v>
      </c>
    </row>
    <row r="3157">
      <c r="A3157" s="5">
        <v>3156.0</v>
      </c>
      <c r="B3157" s="5" t="s">
        <v>3772</v>
      </c>
      <c r="C3157" s="5" t="s">
        <v>21</v>
      </c>
      <c r="K3157" s="5">
        <v>900.0</v>
      </c>
      <c r="N3157" s="9">
        <v>44233.0</v>
      </c>
    </row>
    <row r="3158">
      <c r="A3158" s="5">
        <v>3157.0</v>
      </c>
      <c r="B3158" s="5" t="s">
        <v>3773</v>
      </c>
      <c r="C3158" s="5" t="s">
        <v>21</v>
      </c>
      <c r="K3158" s="5">
        <v>350.0</v>
      </c>
      <c r="N3158" s="9">
        <v>44047.0</v>
      </c>
    </row>
    <row r="3159">
      <c r="A3159" s="5">
        <v>3158.0</v>
      </c>
      <c r="B3159" s="5" t="s">
        <v>3774</v>
      </c>
      <c r="C3159" s="5" t="s">
        <v>21</v>
      </c>
      <c r="K3159" s="5">
        <v>250.0</v>
      </c>
      <c r="N3159" s="9">
        <v>45177.0</v>
      </c>
    </row>
    <row r="3160">
      <c r="A3160" s="5">
        <v>3159.0</v>
      </c>
      <c r="B3160" s="5" t="s">
        <v>3775</v>
      </c>
      <c r="C3160" s="5" t="s">
        <v>21</v>
      </c>
      <c r="K3160" s="5">
        <v>1000.0</v>
      </c>
      <c r="N3160" s="9">
        <v>43908.0</v>
      </c>
    </row>
    <row r="3161">
      <c r="A3161" s="5">
        <v>3160.0</v>
      </c>
      <c r="B3161" s="5" t="s">
        <v>3776</v>
      </c>
      <c r="C3161" s="5" t="s">
        <v>21</v>
      </c>
      <c r="K3161" s="5">
        <v>2700.0</v>
      </c>
      <c r="N3161" s="9">
        <v>43940.0</v>
      </c>
    </row>
    <row r="3162">
      <c r="A3162" s="5">
        <v>3161.0</v>
      </c>
      <c r="B3162" s="5" t="s">
        <v>3777</v>
      </c>
      <c r="C3162" s="5" t="s">
        <v>21</v>
      </c>
      <c r="K3162" s="5">
        <v>150.0</v>
      </c>
      <c r="N3162" s="9">
        <v>44252.0</v>
      </c>
    </row>
    <row r="3163">
      <c r="A3163" s="5">
        <v>3162.0</v>
      </c>
      <c r="B3163" s="5" t="s">
        <v>3778</v>
      </c>
      <c r="C3163" s="5" t="s">
        <v>21</v>
      </c>
      <c r="K3163" s="5">
        <v>1300.0</v>
      </c>
      <c r="N3163" s="9">
        <v>43910.0</v>
      </c>
    </row>
    <row r="3164">
      <c r="A3164" s="5">
        <v>3163.0</v>
      </c>
      <c r="B3164" s="5" t="s">
        <v>3779</v>
      </c>
      <c r="C3164" s="5" t="s">
        <v>21</v>
      </c>
      <c r="K3164" s="5">
        <v>250.0</v>
      </c>
      <c r="N3164" s="9">
        <v>45393.0</v>
      </c>
    </row>
    <row r="3165">
      <c r="A3165" s="5">
        <v>3164.0</v>
      </c>
      <c r="B3165" s="5" t="s">
        <v>3780</v>
      </c>
      <c r="C3165" s="5" t="s">
        <v>21</v>
      </c>
      <c r="K3165" s="5">
        <v>80.0</v>
      </c>
      <c r="N3165" s="9">
        <v>45055.0</v>
      </c>
    </row>
    <row r="3166">
      <c r="A3166" s="5">
        <v>3165.0</v>
      </c>
      <c r="B3166" s="5" t="s">
        <v>3781</v>
      </c>
      <c r="C3166" s="5" t="s">
        <v>21</v>
      </c>
      <c r="K3166" s="5">
        <v>250.0</v>
      </c>
      <c r="N3166" s="9">
        <v>43974.0</v>
      </c>
    </row>
    <row r="3167">
      <c r="A3167" s="5">
        <v>3166.0</v>
      </c>
      <c r="B3167" s="5" t="s">
        <v>164</v>
      </c>
      <c r="C3167" s="5" t="s">
        <v>21</v>
      </c>
      <c r="K3167" s="5">
        <v>1800.0</v>
      </c>
      <c r="N3167" s="9">
        <v>44347.0</v>
      </c>
    </row>
    <row r="3168">
      <c r="A3168" s="5">
        <v>3167.0</v>
      </c>
      <c r="B3168" s="5" t="s">
        <v>3782</v>
      </c>
      <c r="C3168" s="5" t="s">
        <v>21</v>
      </c>
      <c r="K3168" s="5">
        <v>700.0</v>
      </c>
      <c r="N3168" s="9">
        <v>44698.0</v>
      </c>
    </row>
    <row r="3169">
      <c r="A3169" s="5">
        <v>3168.0</v>
      </c>
      <c r="B3169" s="5" t="s">
        <v>3783</v>
      </c>
      <c r="C3169" s="5" t="s">
        <v>21</v>
      </c>
      <c r="K3169" s="5">
        <v>250.0</v>
      </c>
      <c r="N3169" s="9">
        <v>45229.0</v>
      </c>
    </row>
    <row r="3170">
      <c r="A3170" s="5">
        <v>3169.0</v>
      </c>
      <c r="B3170" s="5" t="s">
        <v>3784</v>
      </c>
      <c r="C3170" s="5" t="s">
        <v>21</v>
      </c>
      <c r="K3170" s="5">
        <v>200.0</v>
      </c>
      <c r="N3170" s="9">
        <v>44817.0</v>
      </c>
    </row>
    <row r="3171">
      <c r="A3171" s="5">
        <v>3170.0</v>
      </c>
      <c r="B3171" s="5" t="s">
        <v>3785</v>
      </c>
      <c r="C3171" s="5" t="s">
        <v>21</v>
      </c>
      <c r="K3171" s="5">
        <v>150.0</v>
      </c>
      <c r="N3171" s="9">
        <v>44175.0</v>
      </c>
    </row>
    <row r="3172">
      <c r="A3172" s="5">
        <v>3171.0</v>
      </c>
      <c r="B3172" s="5" t="s">
        <v>3786</v>
      </c>
      <c r="C3172" s="5" t="s">
        <v>21</v>
      </c>
      <c r="K3172" s="5">
        <v>250.0</v>
      </c>
      <c r="N3172" s="9">
        <v>44972.0</v>
      </c>
    </row>
    <row r="3173">
      <c r="A3173" s="5">
        <v>3172.0</v>
      </c>
      <c r="B3173" s="5" t="s">
        <v>3787</v>
      </c>
      <c r="C3173" s="5" t="s">
        <v>21</v>
      </c>
      <c r="N3173" s="9">
        <v>45106.0</v>
      </c>
    </row>
    <row r="3174">
      <c r="A3174" s="5">
        <v>3173.0</v>
      </c>
      <c r="B3174" s="5" t="s">
        <v>3788</v>
      </c>
      <c r="C3174" s="5" t="s">
        <v>21</v>
      </c>
      <c r="K3174" s="5">
        <v>450.0</v>
      </c>
      <c r="N3174" s="9">
        <v>44776.0</v>
      </c>
    </row>
    <row r="3175">
      <c r="A3175" s="5">
        <v>3174.0</v>
      </c>
      <c r="B3175" s="5" t="s">
        <v>3789</v>
      </c>
      <c r="C3175" s="5" t="s">
        <v>21</v>
      </c>
      <c r="K3175" s="5">
        <v>200.0</v>
      </c>
      <c r="N3175" s="9">
        <v>44283.0</v>
      </c>
    </row>
    <row r="3176">
      <c r="A3176" s="5">
        <v>3175.0</v>
      </c>
      <c r="B3176" s="5" t="s">
        <v>3790</v>
      </c>
      <c r="C3176" s="5" t="s">
        <v>21</v>
      </c>
      <c r="K3176" s="5">
        <v>450.0</v>
      </c>
      <c r="N3176" s="9">
        <v>44714.0</v>
      </c>
    </row>
    <row r="3177">
      <c r="A3177" s="5">
        <v>3176.0</v>
      </c>
      <c r="B3177" s="5" t="s">
        <v>3791</v>
      </c>
      <c r="C3177" s="5" t="s">
        <v>21</v>
      </c>
      <c r="K3177" s="5">
        <v>90.0</v>
      </c>
      <c r="N3177" s="9">
        <v>44627.0</v>
      </c>
    </row>
    <row r="3178">
      <c r="A3178" s="5">
        <v>3177.0</v>
      </c>
      <c r="B3178" s="5" t="s">
        <v>3792</v>
      </c>
      <c r="C3178" s="5" t="s">
        <v>21</v>
      </c>
      <c r="K3178" s="5">
        <v>150.0</v>
      </c>
      <c r="N3178" s="9">
        <v>44395.0</v>
      </c>
    </row>
    <row r="3179">
      <c r="A3179" s="5">
        <v>3178.0</v>
      </c>
      <c r="B3179" s="5" t="s">
        <v>3793</v>
      </c>
      <c r="C3179" s="5" t="s">
        <v>21</v>
      </c>
      <c r="K3179" s="5">
        <v>150.0</v>
      </c>
      <c r="N3179" s="9">
        <v>44559.0</v>
      </c>
    </row>
    <row r="3180">
      <c r="A3180" s="5">
        <v>3179.0</v>
      </c>
      <c r="B3180" s="5" t="s">
        <v>3794</v>
      </c>
      <c r="C3180" s="5" t="s">
        <v>21</v>
      </c>
      <c r="K3180" s="5">
        <v>200.0</v>
      </c>
      <c r="N3180" s="9">
        <v>45597.0</v>
      </c>
    </row>
    <row r="3181">
      <c r="A3181" s="5">
        <v>3180.0</v>
      </c>
      <c r="B3181" s="5" t="s">
        <v>3795</v>
      </c>
      <c r="C3181" s="5" t="s">
        <v>21</v>
      </c>
      <c r="K3181" s="5">
        <v>200.0</v>
      </c>
      <c r="N3181" s="9">
        <v>44340.0</v>
      </c>
    </row>
    <row r="3182">
      <c r="A3182" s="5">
        <v>3181.0</v>
      </c>
      <c r="B3182" s="5" t="s">
        <v>3796</v>
      </c>
      <c r="C3182" s="5" t="s">
        <v>21</v>
      </c>
      <c r="K3182" s="5">
        <v>900.0</v>
      </c>
      <c r="N3182" s="9">
        <v>42432.0</v>
      </c>
    </row>
    <row r="3183">
      <c r="A3183" s="5">
        <v>3182.0</v>
      </c>
      <c r="B3183" s="5" t="s">
        <v>3797</v>
      </c>
      <c r="C3183" s="5" t="s">
        <v>21</v>
      </c>
      <c r="K3183" s="5">
        <v>200.0</v>
      </c>
      <c r="N3183" s="9">
        <v>45783.0</v>
      </c>
    </row>
    <row r="3184">
      <c r="A3184" s="5">
        <v>3183.0</v>
      </c>
      <c r="B3184" s="5" t="s">
        <v>3798</v>
      </c>
      <c r="C3184" s="5" t="s">
        <v>21</v>
      </c>
      <c r="K3184" s="5">
        <v>2300.0</v>
      </c>
      <c r="N3184" s="9">
        <v>43875.0</v>
      </c>
    </row>
    <row r="3185">
      <c r="A3185" s="5">
        <v>3184.0</v>
      </c>
      <c r="B3185" s="5" t="s">
        <v>3799</v>
      </c>
      <c r="C3185" s="5" t="s">
        <v>21</v>
      </c>
      <c r="N3185" s="9">
        <v>45286.0</v>
      </c>
    </row>
    <row r="3186">
      <c r="A3186" s="5">
        <v>3185.0</v>
      </c>
      <c r="B3186" s="5" t="s">
        <v>3800</v>
      </c>
      <c r="C3186" s="5" t="s">
        <v>21</v>
      </c>
      <c r="N3186" s="9">
        <v>45610.0</v>
      </c>
    </row>
    <row r="3187">
      <c r="A3187" s="5">
        <v>3186.0</v>
      </c>
      <c r="B3187" s="5" t="s">
        <v>3801</v>
      </c>
      <c r="C3187" s="5" t="s">
        <v>21</v>
      </c>
      <c r="K3187" s="5">
        <v>250.0</v>
      </c>
      <c r="N3187" s="9">
        <v>44719.0</v>
      </c>
    </row>
    <row r="3188">
      <c r="A3188" s="5">
        <v>3187.0</v>
      </c>
      <c r="B3188" s="5" t="s">
        <v>3802</v>
      </c>
      <c r="C3188" s="5" t="s">
        <v>21</v>
      </c>
      <c r="K3188" s="5">
        <v>300.0</v>
      </c>
      <c r="N3188" s="9">
        <v>44593.0</v>
      </c>
    </row>
    <row r="3189">
      <c r="A3189" s="5">
        <v>3188.0</v>
      </c>
      <c r="B3189" s="5" t="s">
        <v>3803</v>
      </c>
      <c r="C3189" s="5" t="s">
        <v>21</v>
      </c>
      <c r="K3189" s="5">
        <v>1200.0</v>
      </c>
      <c r="N3189" s="9">
        <v>44560.0</v>
      </c>
    </row>
    <row r="3190">
      <c r="A3190" s="5">
        <v>3189.0</v>
      </c>
      <c r="B3190" s="5" t="s">
        <v>3804</v>
      </c>
      <c r="C3190" s="5" t="s">
        <v>21</v>
      </c>
      <c r="K3190" s="5">
        <v>1900.0</v>
      </c>
      <c r="N3190" s="9">
        <v>44360.0</v>
      </c>
    </row>
    <row r="3191">
      <c r="A3191" s="5">
        <v>3190.0</v>
      </c>
      <c r="B3191" s="5" t="s">
        <v>3805</v>
      </c>
      <c r="C3191" s="5" t="s">
        <v>21</v>
      </c>
      <c r="K3191" s="5">
        <v>200.0</v>
      </c>
      <c r="N3191" s="9">
        <v>44621.0</v>
      </c>
    </row>
    <row r="3192">
      <c r="A3192" s="5">
        <v>3191.0</v>
      </c>
      <c r="B3192" s="5" t="s">
        <v>3806</v>
      </c>
      <c r="C3192" s="5" t="s">
        <v>21</v>
      </c>
      <c r="K3192" s="5">
        <v>1000.0</v>
      </c>
      <c r="N3192" s="9">
        <v>44531.0</v>
      </c>
    </row>
    <row r="3193">
      <c r="A3193" s="5">
        <v>3192.0</v>
      </c>
      <c r="B3193" s="5" t="s">
        <v>3807</v>
      </c>
      <c r="C3193" s="5" t="s">
        <v>21</v>
      </c>
      <c r="K3193" s="5">
        <v>450.0</v>
      </c>
      <c r="N3193" s="9">
        <v>45698.0</v>
      </c>
    </row>
    <row r="3194">
      <c r="A3194" s="5">
        <v>3193.0</v>
      </c>
      <c r="B3194" s="5" t="s">
        <v>3808</v>
      </c>
      <c r="C3194" s="5" t="s">
        <v>21</v>
      </c>
      <c r="K3194" s="5">
        <v>300.0</v>
      </c>
      <c r="N3194" s="9">
        <v>44576.0</v>
      </c>
    </row>
    <row r="3195">
      <c r="A3195" s="5">
        <v>3194.0</v>
      </c>
      <c r="B3195" s="5" t="s">
        <v>3809</v>
      </c>
      <c r="C3195" s="5" t="s">
        <v>21</v>
      </c>
      <c r="K3195" s="5">
        <v>250.0</v>
      </c>
      <c r="N3195" s="9">
        <v>44209.0</v>
      </c>
    </row>
    <row r="3196">
      <c r="A3196" s="5">
        <v>3195.0</v>
      </c>
      <c r="B3196" s="5" t="s">
        <v>3810</v>
      </c>
      <c r="C3196" s="5" t="s">
        <v>21</v>
      </c>
      <c r="K3196" s="5">
        <v>150.0</v>
      </c>
      <c r="N3196" s="9">
        <v>44916.0</v>
      </c>
    </row>
    <row r="3197">
      <c r="A3197" s="5">
        <v>3196.0</v>
      </c>
      <c r="B3197" s="5" t="s">
        <v>3811</v>
      </c>
      <c r="C3197" s="5" t="s">
        <v>21</v>
      </c>
      <c r="K3197" s="5">
        <v>9600.0</v>
      </c>
      <c r="N3197" s="9">
        <v>44541.0</v>
      </c>
    </row>
    <row r="3198">
      <c r="A3198" s="5">
        <v>3197.0</v>
      </c>
      <c r="B3198" s="5" t="s">
        <v>3812</v>
      </c>
      <c r="C3198" s="5" t="s">
        <v>21</v>
      </c>
      <c r="K3198" s="5">
        <v>800.0</v>
      </c>
      <c r="N3198" s="9">
        <v>43861.0</v>
      </c>
    </row>
    <row r="3199">
      <c r="A3199" s="5">
        <v>3198.0</v>
      </c>
      <c r="B3199" s="5" t="s">
        <v>3813</v>
      </c>
      <c r="C3199" s="5" t="s">
        <v>21</v>
      </c>
      <c r="K3199" s="5">
        <v>700.0</v>
      </c>
      <c r="N3199" s="9">
        <v>44562.0</v>
      </c>
    </row>
    <row r="3200">
      <c r="A3200" s="5">
        <v>3199.0</v>
      </c>
      <c r="B3200" s="5" t="s">
        <v>3814</v>
      </c>
      <c r="C3200" s="5" t="s">
        <v>21</v>
      </c>
      <c r="K3200" s="5">
        <v>50.0</v>
      </c>
      <c r="N3200" s="9">
        <v>45719.0</v>
      </c>
    </row>
    <row r="3201">
      <c r="A3201" s="5">
        <v>3200.0</v>
      </c>
      <c r="B3201" s="5" t="s">
        <v>3815</v>
      </c>
      <c r="C3201" s="5" t="s">
        <v>21</v>
      </c>
      <c r="K3201" s="5">
        <v>200.0</v>
      </c>
      <c r="N3201" s="9">
        <v>44317.0</v>
      </c>
    </row>
    <row r="3202">
      <c r="A3202" s="5">
        <v>3201.0</v>
      </c>
      <c r="B3202" s="5" t="s">
        <v>3816</v>
      </c>
      <c r="C3202" s="5" t="s">
        <v>21</v>
      </c>
      <c r="K3202" s="5">
        <v>200.0</v>
      </c>
      <c r="N3202" s="9">
        <v>46125.0</v>
      </c>
    </row>
    <row r="3203">
      <c r="A3203" s="5">
        <v>3202.0</v>
      </c>
      <c r="B3203" s="5" t="s">
        <v>3817</v>
      </c>
      <c r="C3203" s="5" t="s">
        <v>21</v>
      </c>
      <c r="K3203" s="5">
        <v>200.0</v>
      </c>
      <c r="N3203" s="9">
        <v>44885.0</v>
      </c>
    </row>
    <row r="3204">
      <c r="A3204" s="5">
        <v>3203.0</v>
      </c>
      <c r="B3204" s="5" t="s">
        <v>3818</v>
      </c>
      <c r="C3204" s="5" t="s">
        <v>21</v>
      </c>
      <c r="K3204" s="5">
        <v>1100.0</v>
      </c>
      <c r="N3204" s="9">
        <v>44533.0</v>
      </c>
    </row>
    <row r="3205">
      <c r="A3205" s="5">
        <v>3204.0</v>
      </c>
      <c r="B3205" s="5" t="s">
        <v>3819</v>
      </c>
      <c r="C3205" s="5" t="s">
        <v>21</v>
      </c>
      <c r="K3205" s="5">
        <v>200.0</v>
      </c>
      <c r="N3205" s="9">
        <v>45035.0</v>
      </c>
    </row>
    <row r="3206">
      <c r="A3206" s="5">
        <v>3205.0</v>
      </c>
      <c r="B3206" s="5" t="s">
        <v>3820</v>
      </c>
      <c r="C3206" s="5" t="s">
        <v>21</v>
      </c>
      <c r="K3206" s="5">
        <v>300.0</v>
      </c>
      <c r="N3206" s="9">
        <v>45009.0</v>
      </c>
    </row>
    <row r="3207">
      <c r="A3207" s="5">
        <v>3206.0</v>
      </c>
      <c r="B3207" s="5" t="s">
        <v>3821</v>
      </c>
      <c r="C3207" s="5" t="s">
        <v>21</v>
      </c>
      <c r="K3207" s="5">
        <v>1700.0</v>
      </c>
      <c r="N3207" s="9">
        <v>44713.0</v>
      </c>
    </row>
    <row r="3208">
      <c r="A3208" s="5">
        <v>3207.0</v>
      </c>
      <c r="B3208" s="5" t="s">
        <v>3822</v>
      </c>
      <c r="C3208" s="5" t="s">
        <v>21</v>
      </c>
      <c r="K3208" s="5">
        <v>200.0</v>
      </c>
      <c r="N3208" s="9">
        <v>44363.0</v>
      </c>
    </row>
    <row r="3209">
      <c r="A3209" s="5">
        <v>3208.0</v>
      </c>
      <c r="B3209" s="5" t="s">
        <v>3823</v>
      </c>
      <c r="C3209" s="5" t="s">
        <v>21</v>
      </c>
      <c r="K3209" s="5">
        <v>300.0</v>
      </c>
      <c r="N3209" s="9">
        <v>45058.0</v>
      </c>
    </row>
    <row r="3210">
      <c r="A3210" s="5">
        <v>3209.0</v>
      </c>
      <c r="B3210" s="5" t="s">
        <v>3824</v>
      </c>
      <c r="C3210" s="5" t="s">
        <v>21</v>
      </c>
      <c r="K3210" s="5">
        <v>300.0</v>
      </c>
      <c r="N3210" s="9">
        <v>44839.0</v>
      </c>
    </row>
    <row r="3211">
      <c r="A3211" s="5">
        <v>3210.0</v>
      </c>
      <c r="B3211" s="5" t="s">
        <v>3825</v>
      </c>
      <c r="C3211" s="5" t="s">
        <v>21</v>
      </c>
      <c r="N3211" s="9">
        <v>44518.0</v>
      </c>
    </row>
    <row r="3212">
      <c r="A3212" s="5">
        <v>3211.0</v>
      </c>
      <c r="B3212" s="5" t="s">
        <v>3826</v>
      </c>
      <c r="C3212" s="5" t="s">
        <v>21</v>
      </c>
      <c r="K3212" s="5">
        <v>50.0</v>
      </c>
      <c r="N3212" s="9">
        <v>44851.0</v>
      </c>
    </row>
    <row r="3213">
      <c r="A3213" s="5">
        <v>3212.0</v>
      </c>
      <c r="B3213" s="5" t="s">
        <v>3827</v>
      </c>
      <c r="C3213" s="5" t="s">
        <v>21</v>
      </c>
      <c r="K3213" s="5">
        <v>900.0</v>
      </c>
      <c r="N3213" s="9">
        <v>44591.0</v>
      </c>
    </row>
    <row r="3214">
      <c r="A3214" s="5">
        <v>3213.0</v>
      </c>
      <c r="B3214" s="5" t="s">
        <v>3828</v>
      </c>
      <c r="C3214" s="5" t="s">
        <v>21</v>
      </c>
      <c r="K3214" s="5">
        <v>400.0</v>
      </c>
      <c r="N3214" s="9">
        <v>43886.0</v>
      </c>
    </row>
    <row r="3215">
      <c r="A3215" s="5">
        <v>3214.0</v>
      </c>
      <c r="B3215" s="5" t="s">
        <v>3829</v>
      </c>
      <c r="C3215" s="5" t="s">
        <v>21</v>
      </c>
      <c r="K3215" s="5">
        <v>900.0</v>
      </c>
      <c r="N3215" s="9">
        <v>44243.0</v>
      </c>
    </row>
    <row r="3216">
      <c r="A3216" s="5">
        <v>3215.0</v>
      </c>
      <c r="B3216" s="5" t="s">
        <v>3830</v>
      </c>
      <c r="C3216" s="5" t="s">
        <v>21</v>
      </c>
      <c r="K3216" s="5">
        <v>350.0</v>
      </c>
      <c r="N3216" s="9">
        <v>45034.0</v>
      </c>
    </row>
    <row r="3217">
      <c r="A3217" s="5">
        <v>3216.0</v>
      </c>
      <c r="B3217" s="5" t="s">
        <v>3831</v>
      </c>
      <c r="C3217" s="5" t="s">
        <v>21</v>
      </c>
      <c r="K3217" s="5">
        <v>900.0</v>
      </c>
      <c r="N3217" s="9">
        <v>44113.0</v>
      </c>
    </row>
    <row r="3218">
      <c r="A3218" s="5">
        <v>3217.0</v>
      </c>
      <c r="B3218" s="5" t="s">
        <v>3832</v>
      </c>
      <c r="C3218" s="5" t="s">
        <v>21</v>
      </c>
      <c r="N3218" s="9">
        <v>43883.0</v>
      </c>
    </row>
    <row r="3219">
      <c r="A3219" s="5">
        <v>3218.0</v>
      </c>
      <c r="B3219" s="5" t="s">
        <v>3833</v>
      </c>
      <c r="C3219" s="5" t="s">
        <v>21</v>
      </c>
      <c r="K3219" s="5">
        <v>3200.0</v>
      </c>
      <c r="N3219" s="9">
        <v>43930.0</v>
      </c>
    </row>
    <row r="3220">
      <c r="A3220" s="5">
        <v>3219.0</v>
      </c>
      <c r="B3220" s="5" t="s">
        <v>3834</v>
      </c>
      <c r="C3220" s="5" t="s">
        <v>21</v>
      </c>
      <c r="K3220" s="5">
        <v>10.0</v>
      </c>
      <c r="N3220" s="9">
        <v>44539.0</v>
      </c>
    </row>
    <row r="3221">
      <c r="A3221" s="5">
        <v>3220.0</v>
      </c>
      <c r="B3221" s="5" t="s">
        <v>3835</v>
      </c>
      <c r="C3221" s="5" t="s">
        <v>21</v>
      </c>
      <c r="K3221" s="5">
        <v>100.0</v>
      </c>
      <c r="N3221" s="9">
        <v>43946.0</v>
      </c>
    </row>
    <row r="3222">
      <c r="A3222" s="5">
        <v>3221.0</v>
      </c>
      <c r="B3222" s="5" t="s">
        <v>3836</v>
      </c>
      <c r="C3222" s="5" t="s">
        <v>21</v>
      </c>
      <c r="K3222" s="5">
        <v>10.0</v>
      </c>
      <c r="N3222" s="9">
        <v>45080.0</v>
      </c>
    </row>
    <row r="3223">
      <c r="A3223" s="5">
        <v>3222.0</v>
      </c>
      <c r="B3223" s="5" t="s">
        <v>3837</v>
      </c>
      <c r="C3223" s="5" t="s">
        <v>21</v>
      </c>
      <c r="K3223" s="5">
        <v>700.0</v>
      </c>
      <c r="N3223" s="9">
        <v>45075.0</v>
      </c>
    </row>
    <row r="3224">
      <c r="A3224" s="5">
        <v>3223.0</v>
      </c>
      <c r="B3224" s="5" t="s">
        <v>3838</v>
      </c>
      <c r="C3224" s="5" t="s">
        <v>21</v>
      </c>
      <c r="K3224" s="5">
        <v>150.0</v>
      </c>
      <c r="N3224" s="9">
        <v>43869.0</v>
      </c>
    </row>
    <row r="3225">
      <c r="A3225" s="5">
        <v>3224.0</v>
      </c>
      <c r="B3225" s="5" t="s">
        <v>3839</v>
      </c>
      <c r="C3225" s="5" t="s">
        <v>21</v>
      </c>
      <c r="K3225" s="5">
        <v>350.0</v>
      </c>
      <c r="N3225" s="9">
        <v>44636.0</v>
      </c>
    </row>
    <row r="3226">
      <c r="A3226" s="5">
        <v>3225.0</v>
      </c>
      <c r="B3226" s="5" t="s">
        <v>3840</v>
      </c>
      <c r="C3226" s="5" t="s">
        <v>21</v>
      </c>
      <c r="K3226" s="5">
        <v>1200.0</v>
      </c>
      <c r="N3226" s="9">
        <v>44606.0</v>
      </c>
    </row>
    <row r="3227">
      <c r="A3227" s="5">
        <v>3226.0</v>
      </c>
      <c r="B3227" s="5" t="s">
        <v>3841</v>
      </c>
      <c r="C3227" s="5" t="s">
        <v>21</v>
      </c>
      <c r="K3227" s="5">
        <v>70.0</v>
      </c>
      <c r="N3227" s="9">
        <v>44840.0</v>
      </c>
    </row>
    <row r="3228">
      <c r="A3228" s="5">
        <v>3227.0</v>
      </c>
      <c r="B3228" s="5" t="s">
        <v>3842</v>
      </c>
      <c r="C3228" s="5" t="s">
        <v>21</v>
      </c>
      <c r="K3228" s="5">
        <v>200.0</v>
      </c>
      <c r="N3228" s="9">
        <v>44532.0</v>
      </c>
    </row>
    <row r="3229">
      <c r="A3229" s="5">
        <v>3228.0</v>
      </c>
      <c r="B3229" s="5" t="s">
        <v>3843</v>
      </c>
      <c r="C3229" s="5" t="s">
        <v>21</v>
      </c>
      <c r="K3229" s="5">
        <v>450.0</v>
      </c>
      <c r="N3229" s="9">
        <v>44581.0</v>
      </c>
    </row>
    <row r="3230">
      <c r="A3230" s="5">
        <v>3229.0</v>
      </c>
      <c r="B3230" s="5" t="s">
        <v>3844</v>
      </c>
      <c r="C3230" s="5" t="s">
        <v>21</v>
      </c>
      <c r="K3230" s="5">
        <v>1000.0</v>
      </c>
      <c r="N3230" s="9">
        <v>44217.0</v>
      </c>
    </row>
    <row r="3231">
      <c r="A3231" s="5">
        <v>3230.0</v>
      </c>
      <c r="B3231" s="5" t="s">
        <v>3845</v>
      </c>
      <c r="C3231" s="5" t="s">
        <v>21</v>
      </c>
      <c r="K3231" s="5">
        <v>150.0</v>
      </c>
      <c r="N3231" s="9">
        <v>45749.0</v>
      </c>
    </row>
    <row r="3232">
      <c r="A3232" s="5">
        <v>3231.0</v>
      </c>
      <c r="B3232" s="5" t="s">
        <v>3846</v>
      </c>
      <c r="C3232" s="5" t="s">
        <v>21</v>
      </c>
      <c r="K3232" s="5">
        <v>80.0</v>
      </c>
      <c r="N3232" s="9">
        <v>44631.0</v>
      </c>
    </row>
    <row r="3233">
      <c r="A3233" s="5">
        <v>3232.0</v>
      </c>
      <c r="B3233" s="5" t="s">
        <v>3847</v>
      </c>
      <c r="C3233" s="5" t="s">
        <v>21</v>
      </c>
      <c r="K3233" s="5">
        <v>200.0</v>
      </c>
      <c r="N3233" s="9">
        <v>43934.0</v>
      </c>
    </row>
    <row r="3234">
      <c r="A3234" s="5">
        <v>3233.0</v>
      </c>
      <c r="B3234" s="5" t="s">
        <v>3848</v>
      </c>
      <c r="C3234" s="5" t="s">
        <v>21</v>
      </c>
      <c r="K3234" s="5">
        <v>700.0</v>
      </c>
      <c r="N3234" s="9">
        <v>44348.0</v>
      </c>
    </row>
    <row r="3235">
      <c r="A3235" s="5">
        <v>3234.0</v>
      </c>
      <c r="B3235" s="5" t="s">
        <v>3849</v>
      </c>
      <c r="C3235" s="5" t="s">
        <v>21</v>
      </c>
      <c r="K3235" s="5">
        <v>500.0</v>
      </c>
      <c r="N3235" s="9">
        <v>44700.0</v>
      </c>
    </row>
    <row r="3236">
      <c r="A3236" s="5">
        <v>3235.0</v>
      </c>
      <c r="B3236" s="5" t="s">
        <v>3850</v>
      </c>
      <c r="C3236" s="5" t="s">
        <v>21</v>
      </c>
      <c r="K3236" s="5">
        <v>150.0</v>
      </c>
      <c r="N3236" s="9">
        <v>44611.0</v>
      </c>
    </row>
    <row r="3237">
      <c r="A3237" s="5">
        <v>3236.0</v>
      </c>
      <c r="B3237" s="5" t="s">
        <v>3851</v>
      </c>
      <c r="C3237" s="5" t="s">
        <v>21</v>
      </c>
      <c r="K3237" s="5">
        <v>700.0</v>
      </c>
      <c r="N3237" s="9">
        <v>44511.0</v>
      </c>
    </row>
    <row r="3238">
      <c r="A3238" s="5">
        <v>3237.0</v>
      </c>
      <c r="B3238" s="5" t="s">
        <v>166</v>
      </c>
      <c r="C3238" s="5" t="s">
        <v>21</v>
      </c>
      <c r="K3238" s="5">
        <v>2000.0</v>
      </c>
      <c r="N3238" s="9">
        <v>43941.0</v>
      </c>
    </row>
    <row r="3239">
      <c r="A3239" s="5">
        <v>3238.0</v>
      </c>
      <c r="B3239" s="5" t="s">
        <v>3852</v>
      </c>
      <c r="C3239" s="5" t="s">
        <v>21</v>
      </c>
      <c r="K3239" s="5">
        <v>500.0</v>
      </c>
      <c r="N3239" s="9">
        <v>44549.0</v>
      </c>
    </row>
    <row r="3240">
      <c r="A3240" s="5">
        <v>3239.0</v>
      </c>
      <c r="B3240" s="5" t="s">
        <v>3853</v>
      </c>
      <c r="C3240" s="5" t="s">
        <v>21</v>
      </c>
      <c r="N3240" s="9">
        <v>44524.0</v>
      </c>
    </row>
    <row r="3241">
      <c r="A3241" s="5">
        <v>3240.0</v>
      </c>
      <c r="B3241" s="5" t="s">
        <v>3854</v>
      </c>
      <c r="C3241" s="5" t="s">
        <v>21</v>
      </c>
      <c r="K3241" s="5">
        <v>200.0</v>
      </c>
      <c r="N3241" s="9">
        <v>45103.0</v>
      </c>
    </row>
    <row r="3242">
      <c r="A3242" s="5">
        <v>3241.0</v>
      </c>
      <c r="B3242" s="5" t="s">
        <v>169</v>
      </c>
      <c r="C3242" s="5" t="s">
        <v>21</v>
      </c>
      <c r="K3242" s="5">
        <v>400.0</v>
      </c>
      <c r="N3242" s="9">
        <v>45361.0</v>
      </c>
    </row>
    <row r="3243">
      <c r="A3243" s="5">
        <v>3242.0</v>
      </c>
      <c r="B3243" s="5" t="s">
        <v>3855</v>
      </c>
      <c r="C3243" s="5" t="s">
        <v>21</v>
      </c>
      <c r="K3243" s="5">
        <v>2700.0</v>
      </c>
      <c r="N3243" s="9">
        <v>44461.0</v>
      </c>
    </row>
    <row r="3244">
      <c r="A3244" s="5">
        <v>3243.0</v>
      </c>
      <c r="B3244" s="5" t="s">
        <v>3856</v>
      </c>
      <c r="C3244" s="5" t="s">
        <v>21</v>
      </c>
      <c r="K3244" s="5">
        <v>350.0</v>
      </c>
      <c r="N3244" s="9">
        <v>44720.0</v>
      </c>
    </row>
    <row r="3245">
      <c r="A3245" s="5">
        <v>3244.0</v>
      </c>
      <c r="B3245" s="5" t="s">
        <v>3857</v>
      </c>
      <c r="C3245" s="5" t="s">
        <v>21</v>
      </c>
      <c r="K3245" s="5">
        <v>1700.0</v>
      </c>
      <c r="N3245" s="9">
        <v>44540.0</v>
      </c>
    </row>
    <row r="3246">
      <c r="A3246" s="5">
        <v>3245.0</v>
      </c>
      <c r="B3246" s="5" t="s">
        <v>3858</v>
      </c>
      <c r="C3246" s="5" t="s">
        <v>21</v>
      </c>
      <c r="K3246" s="5">
        <v>200.0</v>
      </c>
      <c r="N3246" s="9">
        <v>44432.0</v>
      </c>
    </row>
    <row r="3247">
      <c r="A3247" s="5">
        <v>3246.0</v>
      </c>
      <c r="B3247" s="5" t="s">
        <v>3859</v>
      </c>
      <c r="C3247" s="5" t="s">
        <v>21</v>
      </c>
      <c r="K3247" s="5">
        <v>2100.0</v>
      </c>
      <c r="N3247" s="9">
        <v>44491.0</v>
      </c>
    </row>
    <row r="3248">
      <c r="A3248" s="5">
        <v>3247.0</v>
      </c>
      <c r="B3248" s="5" t="s">
        <v>172</v>
      </c>
      <c r="C3248" s="5" t="s">
        <v>21</v>
      </c>
      <c r="K3248" s="5">
        <v>2400.0</v>
      </c>
      <c r="N3248" s="9">
        <v>42740.0</v>
      </c>
    </row>
    <row r="3249">
      <c r="A3249" s="5">
        <v>3248.0</v>
      </c>
      <c r="B3249" s="5" t="s">
        <v>3860</v>
      </c>
      <c r="C3249" s="5" t="s">
        <v>21</v>
      </c>
      <c r="K3249" s="5">
        <v>60.0</v>
      </c>
      <c r="N3249" s="9">
        <v>43878.0</v>
      </c>
    </row>
    <row r="3250">
      <c r="A3250" s="5">
        <v>3249.0</v>
      </c>
      <c r="B3250" s="5" t="s">
        <v>3861</v>
      </c>
      <c r="C3250" s="5" t="s">
        <v>21</v>
      </c>
      <c r="K3250" s="5">
        <v>600.0</v>
      </c>
      <c r="N3250" s="9">
        <v>44179.0</v>
      </c>
    </row>
    <row r="3251">
      <c r="A3251" s="5">
        <v>3250.0</v>
      </c>
      <c r="B3251" s="5" t="s">
        <v>3862</v>
      </c>
      <c r="C3251" s="5" t="s">
        <v>21</v>
      </c>
      <c r="K3251" s="5">
        <v>80.0</v>
      </c>
      <c r="N3251" s="9">
        <v>44717.0</v>
      </c>
    </row>
    <row r="3252">
      <c r="A3252" s="5">
        <v>3251.0</v>
      </c>
      <c r="B3252" s="5" t="s">
        <v>3863</v>
      </c>
      <c r="C3252" s="5" t="s">
        <v>21</v>
      </c>
      <c r="K3252" s="5">
        <v>300.0</v>
      </c>
      <c r="N3252" s="9">
        <v>44434.0</v>
      </c>
    </row>
    <row r="3253">
      <c r="A3253" s="5">
        <v>3252.0</v>
      </c>
      <c r="B3253" s="5" t="s">
        <v>108</v>
      </c>
      <c r="C3253" s="5" t="s">
        <v>21</v>
      </c>
      <c r="K3253" s="5">
        <v>700.0</v>
      </c>
      <c r="N3253" s="9">
        <v>44125.0</v>
      </c>
    </row>
    <row r="3254">
      <c r="A3254" s="5">
        <v>3253.0</v>
      </c>
      <c r="B3254" s="5" t="s">
        <v>3864</v>
      </c>
      <c r="C3254" s="5" t="s">
        <v>21</v>
      </c>
      <c r="K3254" s="5">
        <v>1200.0</v>
      </c>
      <c r="N3254" s="9">
        <v>44429.0</v>
      </c>
    </row>
    <row r="3255">
      <c r="A3255" s="5">
        <v>3254.0</v>
      </c>
      <c r="B3255" s="5" t="s">
        <v>3865</v>
      </c>
      <c r="C3255" s="5" t="s">
        <v>21</v>
      </c>
      <c r="K3255" s="5">
        <v>700.0</v>
      </c>
      <c r="N3255" s="9">
        <v>45282.0</v>
      </c>
    </row>
    <row r="3256">
      <c r="A3256" s="5">
        <v>3255.0</v>
      </c>
      <c r="B3256" s="5" t="s">
        <v>3866</v>
      </c>
      <c r="C3256" s="5" t="s">
        <v>21</v>
      </c>
      <c r="K3256" s="5">
        <v>500.0</v>
      </c>
      <c r="N3256" s="9">
        <v>44556.0</v>
      </c>
    </row>
    <row r="3257">
      <c r="A3257" s="5">
        <v>3256.0</v>
      </c>
      <c r="B3257" s="5" t="s">
        <v>3867</v>
      </c>
      <c r="C3257" s="5" t="s">
        <v>21</v>
      </c>
      <c r="K3257" s="5">
        <v>10.0</v>
      </c>
      <c r="N3257" s="9">
        <v>43843.0</v>
      </c>
    </row>
    <row r="3258">
      <c r="A3258" s="5">
        <v>3257.0</v>
      </c>
      <c r="B3258" s="5" t="s">
        <v>3868</v>
      </c>
      <c r="C3258" s="5" t="s">
        <v>21</v>
      </c>
      <c r="K3258" s="5">
        <v>700.0</v>
      </c>
      <c r="N3258" s="9">
        <v>44430.0</v>
      </c>
    </row>
    <row r="3259">
      <c r="A3259" s="5">
        <v>3258.0</v>
      </c>
      <c r="B3259" s="5" t="s">
        <v>3869</v>
      </c>
      <c r="C3259" s="5" t="s">
        <v>21</v>
      </c>
      <c r="K3259" s="5">
        <v>200.0</v>
      </c>
      <c r="N3259" s="9">
        <v>44897.0</v>
      </c>
    </row>
    <row r="3260">
      <c r="A3260" s="5">
        <v>3259.0</v>
      </c>
      <c r="B3260" s="5" t="s">
        <v>3870</v>
      </c>
      <c r="C3260" s="5" t="s">
        <v>21</v>
      </c>
      <c r="K3260" s="5">
        <v>100.0</v>
      </c>
      <c r="N3260" s="9">
        <v>44564.0</v>
      </c>
    </row>
    <row r="3261">
      <c r="A3261" s="5">
        <v>3260.0</v>
      </c>
      <c r="B3261" s="5" t="s">
        <v>3871</v>
      </c>
      <c r="C3261" s="5" t="s">
        <v>21</v>
      </c>
      <c r="K3261" s="5">
        <v>100.0</v>
      </c>
      <c r="N3261" s="9">
        <v>44845.0</v>
      </c>
    </row>
    <row r="3262">
      <c r="A3262" s="5">
        <v>3261.0</v>
      </c>
      <c r="B3262" s="5" t="s">
        <v>3872</v>
      </c>
      <c r="C3262" s="5" t="s">
        <v>21</v>
      </c>
      <c r="K3262" s="5">
        <v>250.0</v>
      </c>
      <c r="N3262" s="9">
        <v>44715.0</v>
      </c>
    </row>
    <row r="3263">
      <c r="A3263" s="5">
        <v>3262.0</v>
      </c>
      <c r="B3263" s="5" t="s">
        <v>3873</v>
      </c>
      <c r="C3263" s="5" t="s">
        <v>21</v>
      </c>
      <c r="K3263" s="5">
        <v>2100.0</v>
      </c>
      <c r="N3263" s="9">
        <v>44383.0</v>
      </c>
    </row>
    <row r="3264">
      <c r="A3264" s="5">
        <v>3263.0</v>
      </c>
      <c r="B3264" s="5" t="s">
        <v>3874</v>
      </c>
      <c r="C3264" s="5" t="s">
        <v>21</v>
      </c>
      <c r="K3264" s="5">
        <v>600.0</v>
      </c>
      <c r="N3264" s="9">
        <v>44757.0</v>
      </c>
    </row>
    <row r="3265">
      <c r="A3265" s="5">
        <v>3264.0</v>
      </c>
      <c r="B3265" s="5" t="s">
        <v>3875</v>
      </c>
      <c r="C3265" s="5" t="s">
        <v>21</v>
      </c>
      <c r="K3265" s="5">
        <v>2200.0</v>
      </c>
      <c r="N3265" s="9">
        <v>43872.0</v>
      </c>
    </row>
    <row r="3266">
      <c r="A3266" s="5">
        <v>3265.0</v>
      </c>
      <c r="B3266" s="5" t="s">
        <v>3876</v>
      </c>
      <c r="C3266" s="5" t="s">
        <v>21</v>
      </c>
      <c r="K3266" s="5">
        <v>200.0</v>
      </c>
      <c r="N3266" s="9">
        <v>43892.0</v>
      </c>
    </row>
    <row r="3267">
      <c r="A3267" s="5">
        <v>3266.0</v>
      </c>
      <c r="B3267" s="5" t="s">
        <v>3877</v>
      </c>
      <c r="C3267" s="5" t="s">
        <v>21</v>
      </c>
      <c r="K3267" s="5">
        <v>1300.0</v>
      </c>
      <c r="N3267" s="9">
        <v>43939.0</v>
      </c>
    </row>
    <row r="3268">
      <c r="A3268" s="5">
        <v>3267.0</v>
      </c>
      <c r="B3268" s="5" t="s">
        <v>3878</v>
      </c>
      <c r="C3268" s="5" t="s">
        <v>21</v>
      </c>
      <c r="K3268" s="5">
        <v>20.0</v>
      </c>
      <c r="N3268" s="9">
        <v>43917.0</v>
      </c>
    </row>
    <row r="3269">
      <c r="A3269" s="5">
        <v>3268.0</v>
      </c>
      <c r="B3269" s="5" t="s">
        <v>3879</v>
      </c>
      <c r="C3269" s="5" t="s">
        <v>21</v>
      </c>
      <c r="K3269" s="5">
        <v>200.0</v>
      </c>
      <c r="N3269" s="9">
        <v>44938.0</v>
      </c>
    </row>
    <row r="3270">
      <c r="A3270" s="5">
        <v>3269.0</v>
      </c>
      <c r="B3270" s="5" t="s">
        <v>3880</v>
      </c>
      <c r="C3270" s="5" t="s">
        <v>21</v>
      </c>
      <c r="K3270" s="5">
        <v>200.0</v>
      </c>
      <c r="N3270" s="9">
        <v>44563.0</v>
      </c>
    </row>
    <row r="3271">
      <c r="A3271" s="5">
        <v>3270.0</v>
      </c>
      <c r="B3271" s="5" t="s">
        <v>3881</v>
      </c>
      <c r="C3271" s="5" t="s">
        <v>21</v>
      </c>
      <c r="K3271" s="5">
        <v>700.0</v>
      </c>
      <c r="N3271" s="9">
        <v>45039.0</v>
      </c>
    </row>
    <row r="3272">
      <c r="A3272" s="5">
        <v>3271.0</v>
      </c>
      <c r="B3272" s="5" t="s">
        <v>3882</v>
      </c>
      <c r="C3272" s="5" t="s">
        <v>21</v>
      </c>
      <c r="K3272" s="5">
        <v>150.0</v>
      </c>
      <c r="N3272" s="9">
        <v>44676.0</v>
      </c>
    </row>
    <row r="3273">
      <c r="A3273" s="5">
        <v>3272.0</v>
      </c>
      <c r="B3273" s="5" t="s">
        <v>3883</v>
      </c>
      <c r="C3273" s="5" t="s">
        <v>21</v>
      </c>
      <c r="K3273" s="5">
        <v>70.0</v>
      </c>
      <c r="N3273" s="9">
        <v>44283.0</v>
      </c>
    </row>
    <row r="3274">
      <c r="A3274" s="5">
        <v>3273.0</v>
      </c>
      <c r="B3274" s="5" t="s">
        <v>3884</v>
      </c>
      <c r="C3274" s="5" t="s">
        <v>21</v>
      </c>
      <c r="N3274" s="9">
        <v>44442.0</v>
      </c>
    </row>
    <row r="3275">
      <c r="A3275" s="5">
        <v>3274.0</v>
      </c>
      <c r="B3275" s="5" t="s">
        <v>174</v>
      </c>
      <c r="C3275" s="5" t="s">
        <v>21</v>
      </c>
      <c r="K3275" s="5">
        <v>8400.0</v>
      </c>
      <c r="N3275" s="9">
        <v>43882.0</v>
      </c>
    </row>
    <row r="3276">
      <c r="A3276" s="5">
        <v>3275.0</v>
      </c>
      <c r="B3276" s="5" t="s">
        <v>3885</v>
      </c>
      <c r="C3276" s="5" t="s">
        <v>21</v>
      </c>
      <c r="K3276" s="5">
        <v>200.0</v>
      </c>
      <c r="N3276" s="9">
        <v>44120.0</v>
      </c>
    </row>
    <row r="3277">
      <c r="A3277" s="5">
        <v>3276.0</v>
      </c>
      <c r="B3277" s="5" t="s">
        <v>3886</v>
      </c>
      <c r="C3277" s="5" t="s">
        <v>21</v>
      </c>
      <c r="K3277" s="5">
        <v>100.0</v>
      </c>
      <c r="N3277" s="9">
        <v>45166.0</v>
      </c>
    </row>
    <row r="3278">
      <c r="A3278" s="5">
        <v>3277.0</v>
      </c>
      <c r="B3278" s="5" t="s">
        <v>3887</v>
      </c>
      <c r="C3278" s="5" t="s">
        <v>21</v>
      </c>
      <c r="K3278" s="5">
        <v>250.0</v>
      </c>
      <c r="N3278" s="9">
        <v>45159.0</v>
      </c>
    </row>
    <row r="3279">
      <c r="A3279" s="5">
        <v>3278.0</v>
      </c>
      <c r="B3279" s="5" t="s">
        <v>3888</v>
      </c>
      <c r="C3279" s="5" t="s">
        <v>21</v>
      </c>
      <c r="K3279" s="5">
        <v>60.0</v>
      </c>
      <c r="N3279" s="9">
        <v>44844.0</v>
      </c>
    </row>
    <row r="3280">
      <c r="A3280" s="5">
        <v>3279.0</v>
      </c>
      <c r="B3280" s="5" t="s">
        <v>3889</v>
      </c>
      <c r="C3280" s="5" t="s">
        <v>21</v>
      </c>
      <c r="K3280" s="5">
        <v>1300.0</v>
      </c>
      <c r="N3280" s="9">
        <v>44756.0</v>
      </c>
    </row>
    <row r="3281">
      <c r="A3281" s="5">
        <v>3280.0</v>
      </c>
      <c r="B3281" s="5" t="s">
        <v>3890</v>
      </c>
      <c r="C3281" s="5" t="s">
        <v>21</v>
      </c>
      <c r="K3281" s="5">
        <v>200.0</v>
      </c>
      <c r="N3281" s="9">
        <v>45358.0</v>
      </c>
    </row>
    <row r="3282">
      <c r="A3282" s="5">
        <v>3281.0</v>
      </c>
      <c r="B3282" s="5" t="s">
        <v>3891</v>
      </c>
      <c r="C3282" s="5" t="s">
        <v>21</v>
      </c>
      <c r="K3282" s="5">
        <v>100.0</v>
      </c>
      <c r="N3282" s="9">
        <v>44565.0</v>
      </c>
    </row>
    <row r="3283">
      <c r="A3283" s="5">
        <v>3282.0</v>
      </c>
      <c r="B3283" s="5" t="s">
        <v>3892</v>
      </c>
      <c r="C3283" s="5" t="s">
        <v>21</v>
      </c>
      <c r="K3283" s="5">
        <v>500.0</v>
      </c>
      <c r="N3283" s="9">
        <v>43879.0</v>
      </c>
    </row>
    <row r="3284">
      <c r="A3284" s="5">
        <v>3283.0</v>
      </c>
      <c r="B3284" s="5" t="s">
        <v>3893</v>
      </c>
      <c r="C3284" s="5" t="s">
        <v>21</v>
      </c>
      <c r="K3284" s="5">
        <v>500.0</v>
      </c>
      <c r="N3284" s="9">
        <v>44812.0</v>
      </c>
    </row>
    <row r="3285">
      <c r="A3285" s="5">
        <v>3284.0</v>
      </c>
      <c r="B3285" s="5" t="s">
        <v>3894</v>
      </c>
      <c r="C3285" s="5" t="s">
        <v>21</v>
      </c>
      <c r="N3285" s="9">
        <v>44569.0</v>
      </c>
    </row>
    <row r="3286">
      <c r="A3286" s="5">
        <v>3285.0</v>
      </c>
      <c r="B3286" s="5" t="s">
        <v>3895</v>
      </c>
      <c r="C3286" s="5" t="s">
        <v>21</v>
      </c>
      <c r="K3286" s="5">
        <v>25000.0</v>
      </c>
      <c r="N3286" s="9">
        <v>44615.0</v>
      </c>
    </row>
    <row r="3287">
      <c r="A3287" s="5">
        <v>3286.0</v>
      </c>
      <c r="B3287" s="5" t="s">
        <v>3896</v>
      </c>
      <c r="C3287" s="5" t="s">
        <v>21</v>
      </c>
      <c r="K3287" s="5">
        <v>20.0</v>
      </c>
      <c r="N3287" s="9">
        <v>45327.0</v>
      </c>
    </row>
    <row r="3288">
      <c r="A3288" s="5">
        <v>3287.0</v>
      </c>
      <c r="B3288" s="5" t="s">
        <v>3897</v>
      </c>
      <c r="C3288" s="5" t="s">
        <v>21</v>
      </c>
      <c r="K3288" s="5">
        <v>300.0</v>
      </c>
      <c r="N3288" s="9">
        <v>45034.0</v>
      </c>
    </row>
    <row r="3289">
      <c r="A3289" s="5">
        <v>3288.0</v>
      </c>
      <c r="B3289" s="5" t="s">
        <v>3898</v>
      </c>
      <c r="C3289" s="5" t="s">
        <v>21</v>
      </c>
      <c r="K3289" s="5">
        <v>2600.0</v>
      </c>
      <c r="N3289" s="9">
        <v>44537.0</v>
      </c>
    </row>
    <row r="3290">
      <c r="A3290" s="5">
        <v>3289.0</v>
      </c>
      <c r="B3290" s="5" t="s">
        <v>3899</v>
      </c>
      <c r="C3290" s="5" t="s">
        <v>21</v>
      </c>
      <c r="K3290" s="5">
        <v>100.0</v>
      </c>
      <c r="N3290" s="9">
        <v>44551.0</v>
      </c>
    </row>
    <row r="3291">
      <c r="A3291" s="5">
        <v>3290.0</v>
      </c>
      <c r="B3291" s="5" t="s">
        <v>3900</v>
      </c>
      <c r="C3291" s="5" t="s">
        <v>21</v>
      </c>
      <c r="K3291" s="5">
        <v>250.0</v>
      </c>
      <c r="N3291" s="9">
        <v>44910.0</v>
      </c>
    </row>
    <row r="3292">
      <c r="A3292" s="5">
        <v>3291.0</v>
      </c>
      <c r="B3292" s="5" t="s">
        <v>109</v>
      </c>
      <c r="C3292" s="5" t="s">
        <v>21</v>
      </c>
      <c r="K3292" s="5">
        <v>100.0</v>
      </c>
      <c r="N3292" s="9">
        <v>44007.0</v>
      </c>
    </row>
    <row r="3293">
      <c r="A3293" s="5">
        <v>3292.0</v>
      </c>
      <c r="B3293" s="5" t="s">
        <v>3901</v>
      </c>
      <c r="C3293" s="5" t="s">
        <v>21</v>
      </c>
      <c r="K3293" s="5">
        <v>1100.0</v>
      </c>
      <c r="N3293" s="9">
        <v>44650.0</v>
      </c>
    </row>
    <row r="3294">
      <c r="A3294" s="5">
        <v>3293.0</v>
      </c>
      <c r="B3294" s="5" t="s">
        <v>177</v>
      </c>
      <c r="C3294" s="5" t="s">
        <v>21</v>
      </c>
      <c r="K3294" s="5">
        <v>900.0</v>
      </c>
      <c r="N3294" s="9">
        <v>44352.0</v>
      </c>
    </row>
    <row r="3295">
      <c r="A3295" s="5">
        <v>3294.0</v>
      </c>
      <c r="B3295" s="5" t="s">
        <v>3902</v>
      </c>
      <c r="C3295" s="5" t="s">
        <v>21</v>
      </c>
      <c r="K3295" s="5">
        <v>50.0</v>
      </c>
      <c r="N3295" s="9">
        <v>44017.0</v>
      </c>
    </row>
    <row r="3296">
      <c r="A3296" s="5">
        <v>3295.0</v>
      </c>
      <c r="B3296" s="5" t="s">
        <v>3903</v>
      </c>
      <c r="C3296" s="5" t="s">
        <v>21</v>
      </c>
      <c r="K3296" s="5">
        <v>200.0</v>
      </c>
      <c r="N3296" s="9">
        <v>44542.0</v>
      </c>
    </row>
    <row r="3297">
      <c r="A3297" s="5">
        <v>3296.0</v>
      </c>
      <c r="B3297" s="5" t="s">
        <v>3904</v>
      </c>
      <c r="C3297" s="5" t="s">
        <v>21</v>
      </c>
      <c r="K3297" s="5">
        <v>300.0</v>
      </c>
      <c r="N3297" s="9">
        <v>44553.0</v>
      </c>
    </row>
    <row r="3298">
      <c r="A3298" s="5">
        <v>3297.0</v>
      </c>
      <c r="B3298" s="5" t="s">
        <v>3905</v>
      </c>
      <c r="C3298" s="5" t="s">
        <v>21</v>
      </c>
      <c r="K3298" s="5">
        <v>200.0</v>
      </c>
      <c r="N3298" s="9">
        <v>45483.0</v>
      </c>
    </row>
    <row r="3299">
      <c r="A3299" s="5">
        <v>3298.0</v>
      </c>
      <c r="B3299" s="5" t="s">
        <v>3906</v>
      </c>
      <c r="C3299" s="5" t="s">
        <v>21</v>
      </c>
      <c r="K3299" s="5">
        <v>200.0</v>
      </c>
      <c r="N3299" s="9">
        <v>44706.0</v>
      </c>
    </row>
    <row r="3300">
      <c r="A3300" s="5">
        <v>3299.0</v>
      </c>
      <c r="B3300" s="5" t="s">
        <v>3907</v>
      </c>
      <c r="C3300" s="5" t="s">
        <v>21</v>
      </c>
      <c r="K3300" s="5">
        <v>10.0</v>
      </c>
      <c r="N3300" s="9">
        <v>44948.0</v>
      </c>
    </row>
    <row r="3301">
      <c r="A3301" s="5">
        <v>3300.0</v>
      </c>
      <c r="B3301" s="5" t="s">
        <v>3908</v>
      </c>
      <c r="C3301" s="5" t="s">
        <v>21</v>
      </c>
      <c r="K3301" s="5">
        <v>300.0</v>
      </c>
      <c r="N3301" s="9">
        <v>44531.0</v>
      </c>
    </row>
    <row r="3302">
      <c r="A3302" s="5">
        <v>3301.0</v>
      </c>
      <c r="B3302" s="5" t="s">
        <v>3909</v>
      </c>
      <c r="C3302" s="5" t="s">
        <v>21</v>
      </c>
      <c r="K3302" s="5">
        <v>350.0</v>
      </c>
      <c r="N3302" s="9">
        <v>44622.0</v>
      </c>
    </row>
    <row r="3303">
      <c r="A3303" s="5">
        <v>3302.0</v>
      </c>
      <c r="B3303" s="5" t="s">
        <v>3910</v>
      </c>
      <c r="C3303" s="5" t="s">
        <v>21</v>
      </c>
      <c r="K3303" s="5">
        <v>70.0</v>
      </c>
      <c r="N3303" s="9">
        <v>45079.0</v>
      </c>
    </row>
    <row r="3304">
      <c r="A3304" s="5">
        <v>3303.0</v>
      </c>
      <c r="B3304" s="5" t="s">
        <v>3911</v>
      </c>
      <c r="C3304" s="5" t="s">
        <v>21</v>
      </c>
      <c r="K3304" s="5">
        <v>1300.0</v>
      </c>
      <c r="N3304" s="9">
        <v>44479.0</v>
      </c>
    </row>
    <row r="3305">
      <c r="A3305" s="5">
        <v>3304.0</v>
      </c>
      <c r="B3305" s="5" t="s">
        <v>112</v>
      </c>
      <c r="C3305" s="5" t="s">
        <v>21</v>
      </c>
      <c r="K3305" s="5">
        <v>350.0</v>
      </c>
      <c r="N3305" s="9">
        <v>44471.0</v>
      </c>
    </row>
    <row r="3306">
      <c r="A3306" s="5">
        <v>3305.0</v>
      </c>
      <c r="B3306" s="5" t="s">
        <v>3912</v>
      </c>
      <c r="C3306" s="5" t="s">
        <v>21</v>
      </c>
      <c r="N3306" s="9">
        <v>44813.0</v>
      </c>
    </row>
    <row r="3307">
      <c r="A3307" s="5">
        <v>3306.0</v>
      </c>
      <c r="B3307" s="5" t="s">
        <v>3913</v>
      </c>
      <c r="C3307" s="5" t="s">
        <v>21</v>
      </c>
      <c r="K3307" s="5">
        <v>1400.0</v>
      </c>
      <c r="N3307" s="9">
        <v>44526.0</v>
      </c>
    </row>
    <row r="3308">
      <c r="A3308" s="5">
        <v>3307.0</v>
      </c>
      <c r="B3308" s="5" t="s">
        <v>3914</v>
      </c>
      <c r="C3308" s="5" t="s">
        <v>21</v>
      </c>
      <c r="K3308" s="5">
        <v>400.0</v>
      </c>
      <c r="N3308" s="9">
        <v>44579.0</v>
      </c>
    </row>
    <row r="3309">
      <c r="A3309" s="5">
        <v>3308.0</v>
      </c>
      <c r="B3309" s="5" t="s">
        <v>3915</v>
      </c>
      <c r="C3309" s="5" t="s">
        <v>21</v>
      </c>
      <c r="K3309" s="5">
        <v>4000.0</v>
      </c>
      <c r="N3309" s="9">
        <v>45640.0</v>
      </c>
    </row>
    <row r="3310">
      <c r="A3310" s="5">
        <v>3309.0</v>
      </c>
      <c r="B3310" s="5" t="s">
        <v>3916</v>
      </c>
      <c r="C3310" s="5" t="s">
        <v>21</v>
      </c>
      <c r="K3310" s="5">
        <v>600.0</v>
      </c>
      <c r="N3310" s="9">
        <v>45560.0</v>
      </c>
    </row>
    <row r="3311">
      <c r="A3311" s="5">
        <v>3310.0</v>
      </c>
      <c r="B3311" s="5" t="s">
        <v>3917</v>
      </c>
      <c r="C3311" s="5" t="s">
        <v>21</v>
      </c>
      <c r="K3311" s="5">
        <v>200.0</v>
      </c>
      <c r="N3311" s="9">
        <v>44979.0</v>
      </c>
    </row>
    <row r="3312">
      <c r="A3312" s="5">
        <v>3311.0</v>
      </c>
      <c r="B3312" s="5" t="s">
        <v>3918</v>
      </c>
      <c r="C3312" s="5" t="s">
        <v>21</v>
      </c>
      <c r="K3312" s="5">
        <v>800.0</v>
      </c>
      <c r="N3312" s="9">
        <v>44530.0</v>
      </c>
    </row>
    <row r="3313">
      <c r="A3313" s="5">
        <v>3312.0</v>
      </c>
      <c r="B3313" s="5" t="s">
        <v>3919</v>
      </c>
      <c r="C3313" s="5" t="s">
        <v>21</v>
      </c>
      <c r="K3313" s="5">
        <v>200.0</v>
      </c>
      <c r="N3313" s="9">
        <v>44675.0</v>
      </c>
    </row>
    <row r="3314">
      <c r="A3314" s="5">
        <v>3313.0</v>
      </c>
      <c r="B3314" s="5" t="s">
        <v>3920</v>
      </c>
      <c r="C3314" s="5" t="s">
        <v>21</v>
      </c>
      <c r="K3314" s="5">
        <v>200.0</v>
      </c>
      <c r="N3314" s="9">
        <v>44542.0</v>
      </c>
    </row>
    <row r="3315">
      <c r="A3315" s="5">
        <v>3314.0</v>
      </c>
      <c r="B3315" s="5" t="s">
        <v>3921</v>
      </c>
      <c r="C3315" s="5" t="s">
        <v>21</v>
      </c>
      <c r="N3315" s="9">
        <v>44519.0</v>
      </c>
    </row>
    <row r="3316">
      <c r="A3316" s="5">
        <v>3315.0</v>
      </c>
      <c r="B3316" s="5" t="s">
        <v>3922</v>
      </c>
      <c r="C3316" s="5" t="s">
        <v>21</v>
      </c>
      <c r="K3316" s="5">
        <v>100.0</v>
      </c>
      <c r="N3316" s="9">
        <v>44624.0</v>
      </c>
    </row>
    <row r="3317">
      <c r="A3317" s="5">
        <v>3316.0</v>
      </c>
      <c r="B3317" s="5" t="s">
        <v>3923</v>
      </c>
      <c r="C3317" s="5" t="s">
        <v>21</v>
      </c>
      <c r="K3317" s="5">
        <v>250.0</v>
      </c>
      <c r="N3317" s="9">
        <v>44549.0</v>
      </c>
    </row>
    <row r="3318">
      <c r="A3318" s="5">
        <v>3317.0</v>
      </c>
      <c r="B3318" s="5" t="s">
        <v>3924</v>
      </c>
      <c r="C3318" s="5" t="s">
        <v>21</v>
      </c>
      <c r="K3318" s="5">
        <v>92000.0</v>
      </c>
      <c r="N3318" s="9">
        <v>43843.0</v>
      </c>
    </row>
    <row r="3319">
      <c r="A3319" s="5">
        <v>3318.0</v>
      </c>
      <c r="B3319" s="5" t="s">
        <v>3925</v>
      </c>
      <c r="C3319" s="5" t="s">
        <v>21</v>
      </c>
      <c r="K3319" s="5">
        <v>150.0</v>
      </c>
      <c r="N3319" s="9">
        <v>44329.0</v>
      </c>
    </row>
    <row r="3320">
      <c r="A3320" s="5">
        <v>3319.0</v>
      </c>
      <c r="B3320" s="5" t="s">
        <v>3926</v>
      </c>
      <c r="C3320" s="5" t="s">
        <v>21</v>
      </c>
      <c r="K3320" s="5">
        <v>4500.0</v>
      </c>
      <c r="N3320" s="9">
        <v>44449.0</v>
      </c>
    </row>
    <row r="3321">
      <c r="A3321" s="5">
        <v>3320.0</v>
      </c>
      <c r="B3321" s="5" t="s">
        <v>3927</v>
      </c>
      <c r="C3321" s="5" t="s">
        <v>21</v>
      </c>
      <c r="K3321" s="5">
        <v>450.0</v>
      </c>
      <c r="N3321" s="9">
        <v>44600.0</v>
      </c>
    </row>
    <row r="3322">
      <c r="A3322" s="5">
        <v>3321.0</v>
      </c>
      <c r="B3322" s="5" t="s">
        <v>3928</v>
      </c>
      <c r="C3322" s="5" t="s">
        <v>21</v>
      </c>
      <c r="K3322" s="5">
        <v>100.0</v>
      </c>
      <c r="N3322" s="9">
        <v>45127.0</v>
      </c>
    </row>
    <row r="3323">
      <c r="A3323" s="5">
        <v>3322.0</v>
      </c>
      <c r="B3323" s="5" t="s">
        <v>3929</v>
      </c>
      <c r="C3323" s="5" t="s">
        <v>21</v>
      </c>
      <c r="K3323" s="5">
        <v>250.0</v>
      </c>
      <c r="N3323" s="9">
        <v>44547.0</v>
      </c>
    </row>
    <row r="3324">
      <c r="A3324" s="5">
        <v>3323.0</v>
      </c>
      <c r="B3324" s="5" t="s">
        <v>3930</v>
      </c>
      <c r="C3324" s="5" t="s">
        <v>21</v>
      </c>
      <c r="K3324" s="5">
        <v>3200.0</v>
      </c>
      <c r="N3324" s="9">
        <v>44322.0</v>
      </c>
    </row>
    <row r="3325">
      <c r="A3325" s="5">
        <v>3324.0</v>
      </c>
      <c r="B3325" s="5" t="s">
        <v>3931</v>
      </c>
      <c r="C3325" s="5" t="s">
        <v>21</v>
      </c>
      <c r="K3325" s="5">
        <v>40.0</v>
      </c>
      <c r="N3325" s="9">
        <v>44545.0</v>
      </c>
    </row>
    <row r="3326">
      <c r="A3326" s="5">
        <v>3325.0</v>
      </c>
      <c r="B3326" s="5" t="s">
        <v>3932</v>
      </c>
      <c r="C3326" s="5" t="s">
        <v>21</v>
      </c>
      <c r="K3326" s="5">
        <v>1700.0</v>
      </c>
      <c r="N3326" s="9">
        <v>44569.0</v>
      </c>
    </row>
    <row r="3327">
      <c r="A3327" s="5">
        <v>3326.0</v>
      </c>
      <c r="B3327" s="5" t="s">
        <v>3933</v>
      </c>
      <c r="C3327" s="5" t="s">
        <v>21</v>
      </c>
      <c r="K3327" s="5">
        <v>350.0</v>
      </c>
      <c r="N3327" s="9">
        <v>44737.0</v>
      </c>
    </row>
    <row r="3328">
      <c r="A3328" s="5">
        <v>3327.0</v>
      </c>
      <c r="B3328" s="5" t="s">
        <v>3934</v>
      </c>
      <c r="C3328" s="5" t="s">
        <v>21</v>
      </c>
      <c r="K3328" s="5">
        <v>150.0</v>
      </c>
      <c r="N3328" s="9">
        <v>44530.0</v>
      </c>
    </row>
    <row r="3329">
      <c r="A3329" s="5">
        <v>3328.0</v>
      </c>
      <c r="B3329" s="5" t="s">
        <v>3935</v>
      </c>
      <c r="C3329" s="5" t="s">
        <v>21</v>
      </c>
      <c r="K3329" s="5">
        <v>600.0</v>
      </c>
      <c r="N3329" s="9">
        <v>44595.0</v>
      </c>
    </row>
    <row r="3330">
      <c r="A3330" s="5">
        <v>3329.0</v>
      </c>
      <c r="B3330" s="5" t="s">
        <v>3936</v>
      </c>
      <c r="C3330" s="5" t="s">
        <v>21</v>
      </c>
      <c r="K3330" s="5">
        <v>500.0</v>
      </c>
      <c r="N3330" s="9">
        <v>45282.0</v>
      </c>
    </row>
    <row r="3331">
      <c r="A3331" s="5">
        <v>3330.0</v>
      </c>
      <c r="B3331" s="5" t="s">
        <v>3937</v>
      </c>
      <c r="C3331" s="5" t="s">
        <v>21</v>
      </c>
      <c r="K3331" s="5">
        <v>150.0</v>
      </c>
      <c r="N3331" s="9">
        <v>44580.0</v>
      </c>
    </row>
    <row r="3332">
      <c r="A3332" s="5">
        <v>3331.0</v>
      </c>
      <c r="B3332" s="5" t="s">
        <v>3938</v>
      </c>
      <c r="C3332" s="5" t="s">
        <v>21</v>
      </c>
      <c r="K3332" s="5">
        <v>300.0</v>
      </c>
      <c r="N3332" s="9">
        <v>44680.0</v>
      </c>
    </row>
    <row r="3333">
      <c r="A3333" s="5">
        <v>3332.0</v>
      </c>
      <c r="B3333" s="5" t="s">
        <v>3939</v>
      </c>
      <c r="C3333" s="5" t="s">
        <v>21</v>
      </c>
      <c r="K3333" s="5">
        <v>100.0</v>
      </c>
      <c r="N3333" s="9">
        <v>44762.0</v>
      </c>
    </row>
    <row r="3334">
      <c r="A3334" s="5">
        <v>3333.0</v>
      </c>
      <c r="B3334" s="5" t="s">
        <v>3940</v>
      </c>
      <c r="C3334" s="5" t="s">
        <v>21</v>
      </c>
      <c r="K3334" s="5">
        <v>70.0</v>
      </c>
      <c r="N3334" s="9">
        <v>44655.0</v>
      </c>
    </row>
    <row r="3335">
      <c r="A3335" s="5">
        <v>3334.0</v>
      </c>
      <c r="B3335" s="5" t="s">
        <v>3941</v>
      </c>
      <c r="C3335" s="5" t="s">
        <v>21</v>
      </c>
      <c r="K3335" s="5">
        <v>450.0</v>
      </c>
      <c r="N3335" s="9">
        <v>44564.0</v>
      </c>
    </row>
    <row r="3336">
      <c r="A3336" s="5">
        <v>3335.0</v>
      </c>
      <c r="B3336" s="5" t="s">
        <v>3942</v>
      </c>
      <c r="C3336" s="5" t="s">
        <v>21</v>
      </c>
      <c r="K3336" s="5">
        <v>100.0</v>
      </c>
      <c r="N3336" s="9">
        <v>45846.0</v>
      </c>
    </row>
    <row r="3337">
      <c r="A3337" s="5">
        <v>3336.0</v>
      </c>
      <c r="B3337" s="5" t="s">
        <v>3943</v>
      </c>
      <c r="C3337" s="5" t="s">
        <v>21</v>
      </c>
      <c r="K3337" s="5">
        <v>350.0</v>
      </c>
      <c r="N3337" s="9">
        <v>44549.0</v>
      </c>
    </row>
    <row r="3338">
      <c r="A3338" s="5">
        <v>3337.0</v>
      </c>
      <c r="B3338" s="5" t="s">
        <v>3944</v>
      </c>
      <c r="C3338" s="5" t="s">
        <v>21</v>
      </c>
      <c r="K3338" s="5">
        <v>150.0</v>
      </c>
      <c r="N3338" s="9">
        <v>44543.0</v>
      </c>
    </row>
    <row r="3339">
      <c r="A3339" s="5">
        <v>3338.0</v>
      </c>
      <c r="B3339" s="5" t="s">
        <v>3945</v>
      </c>
      <c r="C3339" s="5" t="s">
        <v>21</v>
      </c>
      <c r="K3339" s="5">
        <v>250.0</v>
      </c>
      <c r="N3339" s="9">
        <v>44579.0</v>
      </c>
    </row>
    <row r="3340">
      <c r="A3340" s="5">
        <v>3339.0</v>
      </c>
      <c r="B3340" s="5" t="s">
        <v>3946</v>
      </c>
      <c r="C3340" s="5" t="s">
        <v>21</v>
      </c>
      <c r="K3340" s="5">
        <v>350.0</v>
      </c>
      <c r="N3340" s="9">
        <v>44230.0</v>
      </c>
    </row>
    <row r="3341">
      <c r="A3341" s="5">
        <v>3340.0</v>
      </c>
      <c r="B3341" s="5" t="s">
        <v>3947</v>
      </c>
      <c r="C3341" s="5" t="s">
        <v>21</v>
      </c>
      <c r="K3341" s="5">
        <v>200.0</v>
      </c>
      <c r="N3341" s="9">
        <v>44565.0</v>
      </c>
    </row>
    <row r="3342">
      <c r="A3342" s="5">
        <v>3341.0</v>
      </c>
      <c r="B3342" s="5" t="s">
        <v>3948</v>
      </c>
      <c r="C3342" s="5" t="s">
        <v>21</v>
      </c>
      <c r="K3342" s="5">
        <v>1500.0</v>
      </c>
      <c r="N3342" s="9">
        <v>43906.0</v>
      </c>
    </row>
    <row r="3343">
      <c r="A3343" s="5">
        <v>3342.0</v>
      </c>
      <c r="B3343" s="5" t="s">
        <v>3949</v>
      </c>
      <c r="C3343" s="5" t="s">
        <v>21</v>
      </c>
      <c r="K3343" s="5">
        <v>80.0</v>
      </c>
      <c r="N3343" s="9">
        <v>45103.0</v>
      </c>
    </row>
    <row r="3344">
      <c r="A3344" s="5">
        <v>3343.0</v>
      </c>
      <c r="B3344" s="5" t="s">
        <v>3950</v>
      </c>
      <c r="C3344" s="5" t="s">
        <v>21</v>
      </c>
      <c r="K3344" s="5">
        <v>1000.0</v>
      </c>
      <c r="N3344" s="9">
        <v>43915.0</v>
      </c>
    </row>
    <row r="3345">
      <c r="A3345" s="5">
        <v>3344.0</v>
      </c>
      <c r="B3345" s="5" t="s">
        <v>3951</v>
      </c>
      <c r="C3345" s="5" t="s">
        <v>21</v>
      </c>
      <c r="K3345" s="5">
        <v>1900.0</v>
      </c>
      <c r="N3345" s="9">
        <v>43839.0</v>
      </c>
    </row>
    <row r="3346">
      <c r="A3346" s="5">
        <v>3345.0</v>
      </c>
      <c r="B3346" s="5" t="s">
        <v>3952</v>
      </c>
      <c r="C3346" s="5" t="s">
        <v>21</v>
      </c>
      <c r="K3346" s="5">
        <v>400.0</v>
      </c>
      <c r="N3346" s="9">
        <v>44782.0</v>
      </c>
    </row>
    <row r="3347">
      <c r="A3347" s="5">
        <v>3346.0</v>
      </c>
      <c r="B3347" s="5" t="s">
        <v>3953</v>
      </c>
      <c r="C3347" s="5" t="s">
        <v>21</v>
      </c>
      <c r="K3347" s="5">
        <v>150.0</v>
      </c>
      <c r="N3347" s="9">
        <v>45220.0</v>
      </c>
    </row>
    <row r="3348">
      <c r="A3348" s="5">
        <v>3347.0</v>
      </c>
      <c r="B3348" s="5" t="s">
        <v>3954</v>
      </c>
      <c r="C3348" s="5" t="s">
        <v>21</v>
      </c>
      <c r="K3348" s="5">
        <v>100.0</v>
      </c>
      <c r="N3348" s="9">
        <v>44603.0</v>
      </c>
    </row>
    <row r="3349">
      <c r="A3349" s="5">
        <v>3348.0</v>
      </c>
      <c r="B3349" s="5" t="s">
        <v>115</v>
      </c>
      <c r="C3349" s="5" t="s">
        <v>21</v>
      </c>
      <c r="K3349" s="5">
        <v>100.0</v>
      </c>
      <c r="N3349" s="9">
        <v>45003.0</v>
      </c>
    </row>
    <row r="3350">
      <c r="A3350" s="5">
        <v>3349.0</v>
      </c>
      <c r="B3350" s="5" t="s">
        <v>3955</v>
      </c>
      <c r="C3350" s="5" t="s">
        <v>21</v>
      </c>
      <c r="N3350" s="9">
        <v>44637.0</v>
      </c>
    </row>
    <row r="3351">
      <c r="A3351" s="5">
        <v>3350.0</v>
      </c>
      <c r="B3351" s="5" t="s">
        <v>3956</v>
      </c>
      <c r="C3351" s="5" t="s">
        <v>21</v>
      </c>
      <c r="K3351" s="5">
        <v>10.0</v>
      </c>
      <c r="N3351" s="9">
        <v>45089.0</v>
      </c>
    </row>
    <row r="3352">
      <c r="A3352" s="5">
        <v>3351.0</v>
      </c>
      <c r="B3352" s="5" t="s">
        <v>3957</v>
      </c>
      <c r="C3352" s="5" t="s">
        <v>21</v>
      </c>
      <c r="K3352" s="5">
        <v>2000.0</v>
      </c>
      <c r="N3352" s="9">
        <v>44247.0</v>
      </c>
    </row>
    <row r="3353">
      <c r="A3353" s="5">
        <v>3352.0</v>
      </c>
      <c r="B3353" s="5" t="s">
        <v>3958</v>
      </c>
      <c r="C3353" s="5" t="s">
        <v>21</v>
      </c>
      <c r="K3353" s="5">
        <v>250.0</v>
      </c>
      <c r="N3353" s="9">
        <v>44531.0</v>
      </c>
    </row>
    <row r="3354">
      <c r="A3354" s="5">
        <v>3353.0</v>
      </c>
      <c r="B3354" s="5" t="s">
        <v>3959</v>
      </c>
      <c r="C3354" s="5" t="s">
        <v>21</v>
      </c>
      <c r="K3354" s="5">
        <v>200.0</v>
      </c>
      <c r="N3354" s="9">
        <v>44703.0</v>
      </c>
    </row>
    <row r="3355">
      <c r="A3355" s="5">
        <v>3354.0</v>
      </c>
      <c r="B3355" s="5" t="s">
        <v>3960</v>
      </c>
      <c r="C3355" s="5" t="s">
        <v>21</v>
      </c>
      <c r="K3355" s="5">
        <v>250.0</v>
      </c>
      <c r="N3355" s="9">
        <v>44310.0</v>
      </c>
    </row>
    <row r="3356">
      <c r="A3356" s="5">
        <v>3355.0</v>
      </c>
      <c r="B3356" s="5" t="s">
        <v>3961</v>
      </c>
      <c r="C3356" s="5" t="s">
        <v>21</v>
      </c>
      <c r="K3356" s="5">
        <v>2700.0</v>
      </c>
      <c r="N3356" s="9">
        <v>44557.0</v>
      </c>
    </row>
    <row r="3357">
      <c r="A3357" s="5">
        <v>3356.0</v>
      </c>
      <c r="B3357" s="5" t="s">
        <v>3962</v>
      </c>
      <c r="C3357" s="5" t="s">
        <v>21</v>
      </c>
      <c r="K3357" s="5">
        <v>1300.0</v>
      </c>
      <c r="N3357" s="9">
        <v>44730.0</v>
      </c>
    </row>
    <row r="3358">
      <c r="A3358" s="5">
        <v>3357.0</v>
      </c>
      <c r="B3358" s="5" t="s">
        <v>3963</v>
      </c>
      <c r="C3358" s="5" t="s">
        <v>21</v>
      </c>
      <c r="K3358" s="5">
        <v>200.0</v>
      </c>
      <c r="N3358" s="9">
        <v>44580.0</v>
      </c>
    </row>
    <row r="3359">
      <c r="A3359" s="5">
        <v>3358.0</v>
      </c>
      <c r="B3359" s="5" t="s">
        <v>3964</v>
      </c>
      <c r="C3359" s="5" t="s">
        <v>21</v>
      </c>
      <c r="K3359" s="5">
        <v>250.0</v>
      </c>
      <c r="N3359" s="9">
        <v>44659.0</v>
      </c>
    </row>
    <row r="3360">
      <c r="A3360" s="5">
        <v>3359.0</v>
      </c>
      <c r="B3360" s="5" t="s">
        <v>3965</v>
      </c>
      <c r="C3360" s="5" t="s">
        <v>21</v>
      </c>
      <c r="K3360" s="5">
        <v>4700.0</v>
      </c>
      <c r="N3360" s="9">
        <v>43852.0</v>
      </c>
    </row>
    <row r="3361">
      <c r="A3361" s="5">
        <v>3360.0</v>
      </c>
      <c r="B3361" s="5" t="s">
        <v>3966</v>
      </c>
      <c r="C3361" s="5" t="s">
        <v>21</v>
      </c>
      <c r="K3361" s="5">
        <v>60.0</v>
      </c>
      <c r="N3361" s="9">
        <v>45068.0</v>
      </c>
    </row>
    <row r="3362">
      <c r="A3362" s="5">
        <v>3361.0</v>
      </c>
      <c r="B3362" s="5" t="s">
        <v>3967</v>
      </c>
      <c r="C3362" s="5" t="s">
        <v>21</v>
      </c>
      <c r="K3362" s="5">
        <v>50.0</v>
      </c>
      <c r="N3362" s="9">
        <v>44577.0</v>
      </c>
    </row>
    <row r="3363">
      <c r="A3363" s="5">
        <v>3362.0</v>
      </c>
      <c r="B3363" s="5" t="s">
        <v>3968</v>
      </c>
      <c r="C3363" s="5" t="s">
        <v>21</v>
      </c>
      <c r="K3363" s="5">
        <v>3800.0</v>
      </c>
      <c r="N3363" s="9">
        <v>44524.0</v>
      </c>
    </row>
    <row r="3364">
      <c r="A3364" s="5">
        <v>3363.0</v>
      </c>
      <c r="B3364" s="5" t="s">
        <v>3969</v>
      </c>
      <c r="C3364" s="5" t="s">
        <v>21</v>
      </c>
      <c r="K3364" s="5">
        <v>250.0</v>
      </c>
      <c r="N3364" s="9">
        <v>43912.0</v>
      </c>
    </row>
    <row r="3365">
      <c r="A3365" s="5">
        <v>3364.0</v>
      </c>
      <c r="B3365" s="5" t="s">
        <v>3970</v>
      </c>
      <c r="C3365" s="5" t="s">
        <v>21</v>
      </c>
      <c r="K3365" s="5">
        <v>200.0</v>
      </c>
      <c r="N3365" s="9">
        <v>44571.0</v>
      </c>
    </row>
    <row r="3366">
      <c r="A3366" s="5">
        <v>3365.0</v>
      </c>
      <c r="B3366" s="5" t="s">
        <v>3971</v>
      </c>
      <c r="C3366" s="5" t="s">
        <v>21</v>
      </c>
      <c r="K3366" s="5">
        <v>1200.0</v>
      </c>
      <c r="N3366" s="9">
        <v>45089.0</v>
      </c>
    </row>
    <row r="3367">
      <c r="A3367" s="5">
        <v>3366.0</v>
      </c>
      <c r="B3367" s="5" t="s">
        <v>3972</v>
      </c>
      <c r="C3367" s="5" t="s">
        <v>21</v>
      </c>
      <c r="K3367" s="5">
        <v>1600.0</v>
      </c>
      <c r="N3367" s="9">
        <v>44250.0</v>
      </c>
    </row>
    <row r="3368">
      <c r="A3368" s="5">
        <v>3367.0</v>
      </c>
      <c r="B3368" s="5" t="s">
        <v>3973</v>
      </c>
      <c r="C3368" s="5" t="s">
        <v>21</v>
      </c>
      <c r="K3368" s="5">
        <v>5200.0</v>
      </c>
      <c r="N3368" s="9">
        <v>43940.0</v>
      </c>
    </row>
    <row r="3369">
      <c r="A3369" s="5">
        <v>3368.0</v>
      </c>
      <c r="B3369" s="5" t="s">
        <v>3974</v>
      </c>
      <c r="C3369" s="5" t="s">
        <v>21</v>
      </c>
      <c r="K3369" s="5">
        <v>900.0</v>
      </c>
      <c r="N3369" s="9">
        <v>45329.0</v>
      </c>
    </row>
    <row r="3370">
      <c r="A3370" s="5">
        <v>3369.0</v>
      </c>
      <c r="B3370" s="5" t="s">
        <v>3975</v>
      </c>
      <c r="C3370" s="5" t="s">
        <v>21</v>
      </c>
      <c r="K3370" s="5">
        <v>500.0</v>
      </c>
      <c r="N3370" s="9">
        <v>44543.0</v>
      </c>
    </row>
    <row r="3371">
      <c r="A3371" s="5">
        <v>3370.0</v>
      </c>
      <c r="B3371" s="5" t="s">
        <v>3976</v>
      </c>
      <c r="C3371" s="5" t="s">
        <v>21</v>
      </c>
      <c r="K3371" s="5">
        <v>60.0</v>
      </c>
      <c r="N3371" s="9">
        <v>44781.0</v>
      </c>
    </row>
    <row r="3372">
      <c r="A3372" s="5">
        <v>3371.0</v>
      </c>
      <c r="B3372" s="5" t="s">
        <v>3977</v>
      </c>
      <c r="C3372" s="5" t="s">
        <v>21</v>
      </c>
      <c r="K3372" s="5">
        <v>100.0</v>
      </c>
      <c r="N3372" s="9">
        <v>45116.0</v>
      </c>
    </row>
    <row r="3373">
      <c r="A3373" s="5">
        <v>3372.0</v>
      </c>
      <c r="B3373" s="5" t="s">
        <v>3978</v>
      </c>
      <c r="C3373" s="5" t="s">
        <v>21</v>
      </c>
      <c r="K3373" s="5">
        <v>60.0</v>
      </c>
      <c r="N3373" s="9">
        <v>44777.0</v>
      </c>
    </row>
    <row r="3374">
      <c r="A3374" s="5">
        <v>3373.0</v>
      </c>
      <c r="B3374" s="5" t="s">
        <v>3979</v>
      </c>
      <c r="C3374" s="5" t="s">
        <v>21</v>
      </c>
      <c r="K3374" s="5">
        <v>2400.0</v>
      </c>
      <c r="N3374" s="9">
        <v>44041.0</v>
      </c>
    </row>
    <row r="3375">
      <c r="A3375" s="5">
        <v>3374.0</v>
      </c>
      <c r="B3375" s="5" t="s">
        <v>3980</v>
      </c>
      <c r="C3375" s="5" t="s">
        <v>21</v>
      </c>
      <c r="K3375" s="5">
        <v>350.0</v>
      </c>
      <c r="N3375" s="9">
        <v>45304.0</v>
      </c>
    </row>
    <row r="3376">
      <c r="A3376" s="5">
        <v>3375.0</v>
      </c>
      <c r="B3376" s="5" t="s">
        <v>3981</v>
      </c>
      <c r="C3376" s="5" t="s">
        <v>21</v>
      </c>
      <c r="K3376" s="5">
        <v>3900.0</v>
      </c>
      <c r="N3376" s="9">
        <v>43921.0</v>
      </c>
    </row>
    <row r="3377">
      <c r="A3377" s="5">
        <v>3376.0</v>
      </c>
      <c r="B3377" s="5" t="s">
        <v>3982</v>
      </c>
      <c r="C3377" s="5" t="s">
        <v>21</v>
      </c>
      <c r="K3377" s="5">
        <v>300.0</v>
      </c>
      <c r="N3377" s="9">
        <v>44031.0</v>
      </c>
    </row>
    <row r="3378">
      <c r="A3378" s="5">
        <v>3377.0</v>
      </c>
      <c r="B3378" s="5" t="s">
        <v>3983</v>
      </c>
      <c r="C3378" s="5" t="s">
        <v>21</v>
      </c>
      <c r="K3378" s="5">
        <v>30.0</v>
      </c>
      <c r="N3378" s="9">
        <v>44558.0</v>
      </c>
    </row>
    <row r="3379">
      <c r="A3379" s="5">
        <v>3378.0</v>
      </c>
      <c r="B3379" s="5" t="s">
        <v>3984</v>
      </c>
      <c r="C3379" s="5" t="s">
        <v>21</v>
      </c>
      <c r="K3379" s="5">
        <v>200.0</v>
      </c>
      <c r="N3379" s="9">
        <v>44101.0</v>
      </c>
    </row>
    <row r="3380">
      <c r="A3380" s="5">
        <v>3379.0</v>
      </c>
      <c r="B3380" s="5" t="s">
        <v>3985</v>
      </c>
      <c r="C3380" s="5" t="s">
        <v>21</v>
      </c>
      <c r="K3380" s="5">
        <v>150.0</v>
      </c>
      <c r="N3380" s="9">
        <v>43887.0</v>
      </c>
    </row>
    <row r="3381">
      <c r="A3381" s="5">
        <v>3380.0</v>
      </c>
      <c r="B3381" s="5" t="s">
        <v>3986</v>
      </c>
      <c r="C3381" s="5" t="s">
        <v>21</v>
      </c>
      <c r="K3381" s="5">
        <v>150.0</v>
      </c>
      <c r="N3381" s="9">
        <v>45082.0</v>
      </c>
    </row>
    <row r="3382">
      <c r="A3382" s="5">
        <v>3381.0</v>
      </c>
      <c r="B3382" s="5" t="s">
        <v>3987</v>
      </c>
      <c r="C3382" s="5" t="s">
        <v>21</v>
      </c>
      <c r="K3382" s="5">
        <v>1800.0</v>
      </c>
      <c r="N3382" s="9">
        <v>44073.0</v>
      </c>
    </row>
    <row r="3383">
      <c r="A3383" s="5">
        <v>3382.0</v>
      </c>
      <c r="B3383" s="5" t="s">
        <v>3988</v>
      </c>
      <c r="C3383" s="5" t="s">
        <v>21</v>
      </c>
      <c r="K3383" s="5">
        <v>350.0</v>
      </c>
      <c r="N3383" s="9">
        <v>44529.0</v>
      </c>
    </row>
    <row r="3384">
      <c r="A3384" s="5">
        <v>3383.0</v>
      </c>
      <c r="B3384" s="5" t="s">
        <v>3989</v>
      </c>
      <c r="C3384" s="5" t="s">
        <v>21</v>
      </c>
      <c r="K3384" s="5">
        <v>1300.0</v>
      </c>
      <c r="N3384" s="9">
        <v>44348.0</v>
      </c>
    </row>
    <row r="3385">
      <c r="A3385" s="5">
        <v>3384.0</v>
      </c>
      <c r="B3385" s="5" t="s">
        <v>3990</v>
      </c>
      <c r="C3385" s="5" t="s">
        <v>21</v>
      </c>
      <c r="K3385" s="5">
        <v>300.0</v>
      </c>
      <c r="N3385" s="9">
        <v>44597.0</v>
      </c>
    </row>
    <row r="3386">
      <c r="A3386" s="5">
        <v>3385.0</v>
      </c>
      <c r="B3386" s="5" t="s">
        <v>3991</v>
      </c>
      <c r="C3386" s="5" t="s">
        <v>21</v>
      </c>
      <c r="K3386" s="5">
        <v>80.0</v>
      </c>
      <c r="N3386" s="9">
        <v>45219.0</v>
      </c>
    </row>
    <row r="3387">
      <c r="A3387" s="5">
        <v>3386.0</v>
      </c>
      <c r="B3387" s="5" t="s">
        <v>3992</v>
      </c>
      <c r="C3387" s="5" t="s">
        <v>21</v>
      </c>
      <c r="K3387" s="5">
        <v>800.0</v>
      </c>
      <c r="N3387" s="9">
        <v>44336.0</v>
      </c>
    </row>
    <row r="3388">
      <c r="A3388" s="5">
        <v>3387.0</v>
      </c>
      <c r="B3388" s="5" t="s">
        <v>3993</v>
      </c>
      <c r="C3388" s="5" t="s">
        <v>21</v>
      </c>
      <c r="N3388" s="9">
        <v>44643.0</v>
      </c>
    </row>
    <row r="3389">
      <c r="A3389" s="5">
        <v>3388.0</v>
      </c>
      <c r="B3389" s="5" t="s">
        <v>3994</v>
      </c>
      <c r="C3389" s="5" t="s">
        <v>21</v>
      </c>
      <c r="K3389" s="5">
        <v>800.0</v>
      </c>
      <c r="N3389" s="9">
        <v>45089.0</v>
      </c>
    </row>
    <row r="3390">
      <c r="A3390" s="5">
        <v>3389.0</v>
      </c>
      <c r="B3390" s="5" t="s">
        <v>3995</v>
      </c>
      <c r="C3390" s="5" t="s">
        <v>21</v>
      </c>
      <c r="K3390" s="5">
        <v>350.0</v>
      </c>
      <c r="N3390" s="9">
        <v>44579.0</v>
      </c>
    </row>
    <row r="3391">
      <c r="A3391" s="5">
        <v>3390.0</v>
      </c>
      <c r="B3391" s="5" t="s">
        <v>3996</v>
      </c>
      <c r="C3391" s="5" t="s">
        <v>21</v>
      </c>
      <c r="K3391" s="5">
        <v>70.0</v>
      </c>
      <c r="N3391" s="9">
        <v>44536.0</v>
      </c>
    </row>
    <row r="3392">
      <c r="A3392" s="5">
        <v>3391.0</v>
      </c>
      <c r="B3392" s="5" t="s">
        <v>3997</v>
      </c>
      <c r="C3392" s="5" t="s">
        <v>21</v>
      </c>
      <c r="K3392" s="5">
        <v>90.0</v>
      </c>
      <c r="N3392" s="9">
        <v>45582.0</v>
      </c>
    </row>
    <row r="3393">
      <c r="A3393" s="5">
        <v>3392.0</v>
      </c>
      <c r="B3393" s="5" t="s">
        <v>3998</v>
      </c>
      <c r="C3393" s="5" t="s">
        <v>21</v>
      </c>
      <c r="K3393" s="5">
        <v>250.0</v>
      </c>
      <c r="N3393" s="9">
        <v>44528.0</v>
      </c>
    </row>
    <row r="3394">
      <c r="A3394" s="5">
        <v>3393.0</v>
      </c>
      <c r="B3394" s="5" t="s">
        <v>3999</v>
      </c>
      <c r="C3394" s="5" t="s">
        <v>21</v>
      </c>
      <c r="K3394" s="5">
        <v>400.0</v>
      </c>
      <c r="N3394" s="9">
        <v>44548.0</v>
      </c>
    </row>
    <row r="3395">
      <c r="A3395" s="5">
        <v>3394.0</v>
      </c>
      <c r="B3395" s="5" t="s">
        <v>4000</v>
      </c>
      <c r="C3395" s="5" t="s">
        <v>21</v>
      </c>
      <c r="K3395" s="5">
        <v>50.0</v>
      </c>
      <c r="N3395" s="9">
        <v>44520.0</v>
      </c>
    </row>
    <row r="3396">
      <c r="A3396" s="5">
        <v>3395.0</v>
      </c>
      <c r="B3396" s="5" t="s">
        <v>4001</v>
      </c>
      <c r="C3396" s="5" t="s">
        <v>21</v>
      </c>
      <c r="K3396" s="5">
        <v>900.0</v>
      </c>
      <c r="N3396" s="9">
        <v>43972.0</v>
      </c>
    </row>
    <row r="3397">
      <c r="A3397" s="5">
        <v>3396.0</v>
      </c>
      <c r="B3397" s="5" t="s">
        <v>4002</v>
      </c>
      <c r="C3397" s="5" t="s">
        <v>21</v>
      </c>
      <c r="K3397" s="5">
        <v>600.0</v>
      </c>
      <c r="N3397" s="9">
        <v>43875.0</v>
      </c>
    </row>
    <row r="3398">
      <c r="A3398" s="5">
        <v>3397.0</v>
      </c>
      <c r="B3398" s="5" t="s">
        <v>4003</v>
      </c>
      <c r="C3398" s="5" t="s">
        <v>21</v>
      </c>
      <c r="K3398" s="5">
        <v>90.0</v>
      </c>
      <c r="N3398" s="9">
        <v>44537.0</v>
      </c>
    </row>
    <row r="3399">
      <c r="A3399" s="5">
        <v>3398.0</v>
      </c>
      <c r="B3399" s="5" t="s">
        <v>4004</v>
      </c>
      <c r="C3399" s="5" t="s">
        <v>21</v>
      </c>
      <c r="K3399" s="5">
        <v>6900.0</v>
      </c>
      <c r="N3399" s="9">
        <v>44568.0</v>
      </c>
    </row>
    <row r="3400">
      <c r="A3400" s="5">
        <v>3399.0</v>
      </c>
      <c r="B3400" s="5" t="s">
        <v>4005</v>
      </c>
      <c r="C3400" s="5" t="s">
        <v>21</v>
      </c>
      <c r="K3400" s="5">
        <v>500.0</v>
      </c>
      <c r="N3400" s="9">
        <v>45498.0</v>
      </c>
    </row>
    <row r="3401">
      <c r="A3401" s="5">
        <v>3400.0</v>
      </c>
      <c r="B3401" s="5" t="s">
        <v>4006</v>
      </c>
      <c r="C3401" s="5" t="s">
        <v>21</v>
      </c>
      <c r="K3401" s="5">
        <v>350.0</v>
      </c>
      <c r="N3401" s="9">
        <v>45044.0</v>
      </c>
    </row>
    <row r="3402">
      <c r="A3402" s="5">
        <v>3401.0</v>
      </c>
      <c r="B3402" s="5" t="s">
        <v>4007</v>
      </c>
      <c r="C3402" s="5" t="s">
        <v>21</v>
      </c>
      <c r="K3402" s="5">
        <v>150.0</v>
      </c>
      <c r="N3402" s="9">
        <v>44690.0</v>
      </c>
    </row>
    <row r="3403">
      <c r="A3403" s="5">
        <v>3402.0</v>
      </c>
      <c r="B3403" s="5" t="s">
        <v>4008</v>
      </c>
      <c r="C3403" s="5" t="s">
        <v>21</v>
      </c>
      <c r="K3403" s="5">
        <v>1000.0</v>
      </c>
      <c r="N3403" s="9">
        <v>44560.0</v>
      </c>
    </row>
    <row r="3404">
      <c r="A3404" s="5">
        <v>3403.0</v>
      </c>
      <c r="B3404" s="5" t="s">
        <v>4009</v>
      </c>
      <c r="C3404" s="5" t="s">
        <v>21</v>
      </c>
      <c r="K3404" s="5">
        <v>80.0</v>
      </c>
      <c r="N3404" s="9">
        <v>44425.0</v>
      </c>
    </row>
    <row r="3405">
      <c r="A3405" s="5">
        <v>3404.0</v>
      </c>
      <c r="B3405" s="5" t="s">
        <v>4010</v>
      </c>
      <c r="C3405" s="5" t="s">
        <v>21</v>
      </c>
      <c r="K3405" s="5">
        <v>2300.0</v>
      </c>
      <c r="N3405" s="9">
        <v>43981.0</v>
      </c>
    </row>
    <row r="3406">
      <c r="A3406" s="5">
        <v>3405.0</v>
      </c>
      <c r="B3406" s="5" t="s">
        <v>4011</v>
      </c>
      <c r="C3406" s="5" t="s">
        <v>21</v>
      </c>
      <c r="K3406" s="5">
        <v>20.0</v>
      </c>
      <c r="N3406" s="9">
        <v>45121.0</v>
      </c>
    </row>
    <row r="3407">
      <c r="A3407" s="5">
        <v>3406.0</v>
      </c>
      <c r="B3407" s="5" t="s">
        <v>4012</v>
      </c>
      <c r="C3407" s="5" t="s">
        <v>21</v>
      </c>
      <c r="K3407" s="5">
        <v>400.0</v>
      </c>
      <c r="N3407" s="9">
        <v>44515.0</v>
      </c>
    </row>
    <row r="3408">
      <c r="A3408" s="5">
        <v>3407.0</v>
      </c>
      <c r="B3408" s="5" t="s">
        <v>4013</v>
      </c>
      <c r="C3408" s="5" t="s">
        <v>21</v>
      </c>
      <c r="K3408" s="5">
        <v>100.0</v>
      </c>
      <c r="N3408" s="9">
        <v>45636.0</v>
      </c>
    </row>
    <row r="3409">
      <c r="A3409" s="5">
        <v>3408.0</v>
      </c>
      <c r="B3409" s="5" t="s">
        <v>4014</v>
      </c>
      <c r="C3409" s="5" t="s">
        <v>21</v>
      </c>
      <c r="N3409" s="9">
        <v>44239.0</v>
      </c>
    </row>
    <row r="3410">
      <c r="A3410" s="5">
        <v>3409.0</v>
      </c>
      <c r="B3410" s="5" t="s">
        <v>4015</v>
      </c>
      <c r="C3410" s="5" t="s">
        <v>21</v>
      </c>
      <c r="K3410" s="5">
        <v>500.0</v>
      </c>
      <c r="N3410" s="9">
        <v>45654.0</v>
      </c>
    </row>
    <row r="3411">
      <c r="A3411" s="5">
        <v>3410.0</v>
      </c>
      <c r="B3411" s="5" t="s">
        <v>4016</v>
      </c>
      <c r="C3411" s="5" t="s">
        <v>21</v>
      </c>
      <c r="N3411" s="9">
        <v>44510.0</v>
      </c>
    </row>
    <row r="3412">
      <c r="A3412" s="5">
        <v>3411.0</v>
      </c>
      <c r="B3412" s="5" t="s">
        <v>4017</v>
      </c>
      <c r="C3412" s="5" t="s">
        <v>21</v>
      </c>
      <c r="K3412" s="5">
        <v>900.0</v>
      </c>
      <c r="N3412" s="9">
        <v>43997.0</v>
      </c>
    </row>
    <row r="3413">
      <c r="A3413" s="5">
        <v>3412.0</v>
      </c>
      <c r="B3413" s="5" t="s">
        <v>4018</v>
      </c>
      <c r="C3413" s="5" t="s">
        <v>21</v>
      </c>
      <c r="K3413" s="5">
        <v>20.0</v>
      </c>
      <c r="N3413" s="9">
        <v>44440.0</v>
      </c>
    </row>
    <row r="3414">
      <c r="A3414" s="5">
        <v>3413.0</v>
      </c>
      <c r="B3414" s="5" t="s">
        <v>4019</v>
      </c>
      <c r="C3414" s="5" t="s">
        <v>21</v>
      </c>
      <c r="K3414" s="5">
        <v>1300.0</v>
      </c>
      <c r="N3414" s="9">
        <v>44004.0</v>
      </c>
    </row>
    <row r="3415">
      <c r="A3415" s="5">
        <v>3414.0</v>
      </c>
      <c r="B3415" s="5" t="s">
        <v>4020</v>
      </c>
      <c r="C3415" s="5" t="s">
        <v>21</v>
      </c>
      <c r="K3415" s="5">
        <v>400.0</v>
      </c>
      <c r="N3415" s="9">
        <v>44233.0</v>
      </c>
    </row>
    <row r="3416">
      <c r="A3416" s="5">
        <v>3415.0</v>
      </c>
      <c r="B3416" s="5" t="s">
        <v>4021</v>
      </c>
      <c r="C3416" s="5" t="s">
        <v>21</v>
      </c>
      <c r="K3416" s="5">
        <v>1700.0</v>
      </c>
      <c r="N3416" s="9">
        <v>44561.0</v>
      </c>
    </row>
    <row r="3417">
      <c r="A3417" s="5">
        <v>3416.0</v>
      </c>
      <c r="B3417" s="5" t="s">
        <v>4022</v>
      </c>
      <c r="C3417" s="5" t="s">
        <v>21</v>
      </c>
      <c r="K3417" s="5">
        <v>100.0</v>
      </c>
      <c r="N3417" s="9">
        <v>44543.0</v>
      </c>
    </row>
    <row r="3418">
      <c r="A3418" s="5">
        <v>3417.0</v>
      </c>
      <c r="B3418" s="5" t="s">
        <v>4023</v>
      </c>
      <c r="C3418" s="5" t="s">
        <v>21</v>
      </c>
      <c r="K3418" s="5">
        <v>700.0</v>
      </c>
      <c r="N3418" s="9">
        <v>44882.0</v>
      </c>
    </row>
    <row r="3419">
      <c r="A3419" s="5">
        <v>3418.0</v>
      </c>
      <c r="B3419" s="5" t="s">
        <v>4024</v>
      </c>
      <c r="C3419" s="5" t="s">
        <v>21</v>
      </c>
      <c r="K3419" s="5">
        <v>1200.0</v>
      </c>
      <c r="N3419" s="9">
        <v>44821.0</v>
      </c>
    </row>
    <row r="3420">
      <c r="A3420" s="5">
        <v>3419.0</v>
      </c>
      <c r="B3420" s="5" t="s">
        <v>4025</v>
      </c>
      <c r="C3420" s="5" t="s">
        <v>21</v>
      </c>
      <c r="K3420" s="5">
        <v>250.0</v>
      </c>
      <c r="N3420" s="9">
        <v>43861.0</v>
      </c>
    </row>
    <row r="3421">
      <c r="A3421" s="5">
        <v>3420.0</v>
      </c>
      <c r="B3421" s="5" t="s">
        <v>4026</v>
      </c>
      <c r="C3421" s="5" t="s">
        <v>21</v>
      </c>
      <c r="K3421" s="5">
        <v>1400.0</v>
      </c>
      <c r="N3421" s="9">
        <v>44426.0</v>
      </c>
    </row>
    <row r="3422">
      <c r="A3422" s="5">
        <v>3421.0</v>
      </c>
      <c r="B3422" s="5" t="s">
        <v>4027</v>
      </c>
      <c r="C3422" s="5" t="s">
        <v>21</v>
      </c>
      <c r="K3422" s="5">
        <v>300.0</v>
      </c>
      <c r="N3422" s="9">
        <v>44264.0</v>
      </c>
    </row>
    <row r="3423">
      <c r="A3423" s="5">
        <v>3422.0</v>
      </c>
      <c r="B3423" s="5" t="s">
        <v>4028</v>
      </c>
      <c r="C3423" s="5" t="s">
        <v>21</v>
      </c>
      <c r="K3423" s="5">
        <v>150.0</v>
      </c>
      <c r="N3423" s="9">
        <v>44605.0</v>
      </c>
    </row>
    <row r="3424">
      <c r="A3424" s="5">
        <v>3423.0</v>
      </c>
      <c r="B3424" s="5" t="s">
        <v>4029</v>
      </c>
      <c r="C3424" s="5" t="s">
        <v>21</v>
      </c>
      <c r="K3424" s="5">
        <v>1800.0</v>
      </c>
      <c r="N3424" s="9">
        <v>44624.0</v>
      </c>
    </row>
    <row r="3425">
      <c r="A3425" s="5">
        <v>3424.0</v>
      </c>
      <c r="B3425" s="5" t="s">
        <v>4030</v>
      </c>
      <c r="C3425" s="5" t="s">
        <v>21</v>
      </c>
      <c r="K3425" s="5">
        <v>250.0</v>
      </c>
      <c r="N3425" s="9">
        <v>44529.0</v>
      </c>
    </row>
    <row r="3426">
      <c r="A3426" s="5">
        <v>3425.0</v>
      </c>
      <c r="B3426" s="5" t="s">
        <v>4031</v>
      </c>
      <c r="C3426" s="5" t="s">
        <v>21</v>
      </c>
      <c r="K3426" s="5">
        <v>100.0</v>
      </c>
      <c r="N3426" s="9">
        <v>44590.0</v>
      </c>
    </row>
    <row r="3427">
      <c r="A3427" s="5">
        <v>3426.0</v>
      </c>
      <c r="B3427" s="5" t="s">
        <v>4032</v>
      </c>
      <c r="C3427" s="5" t="s">
        <v>21</v>
      </c>
      <c r="K3427" s="5">
        <v>700.0</v>
      </c>
      <c r="N3427" s="9">
        <v>44748.0</v>
      </c>
    </row>
    <row r="3428">
      <c r="A3428" s="5">
        <v>3427.0</v>
      </c>
      <c r="B3428" s="5" t="s">
        <v>4033</v>
      </c>
      <c r="C3428" s="5" t="s">
        <v>21</v>
      </c>
      <c r="K3428" s="5">
        <v>1300.0</v>
      </c>
      <c r="N3428" s="9">
        <v>44353.0</v>
      </c>
    </row>
    <row r="3429">
      <c r="A3429" s="5">
        <v>3428.0</v>
      </c>
      <c r="B3429" s="5" t="s">
        <v>4034</v>
      </c>
      <c r="C3429" s="5" t="s">
        <v>21</v>
      </c>
      <c r="K3429" s="5">
        <v>250.0</v>
      </c>
      <c r="N3429" s="9">
        <v>46124.0</v>
      </c>
    </row>
    <row r="3430">
      <c r="A3430" s="5">
        <v>3429.0</v>
      </c>
      <c r="B3430" s="5" t="s">
        <v>4035</v>
      </c>
      <c r="C3430" s="5" t="s">
        <v>21</v>
      </c>
      <c r="K3430" s="5">
        <v>90.0</v>
      </c>
      <c r="N3430" s="9">
        <v>44628.0</v>
      </c>
    </row>
    <row r="3431">
      <c r="A3431" s="5">
        <v>3430.0</v>
      </c>
      <c r="B3431" s="5" t="s">
        <v>4036</v>
      </c>
      <c r="C3431" s="5" t="s">
        <v>21</v>
      </c>
      <c r="N3431" s="9">
        <v>44524.0</v>
      </c>
    </row>
    <row r="3432">
      <c r="A3432" s="5">
        <v>3431.0</v>
      </c>
      <c r="B3432" s="5" t="s">
        <v>4037</v>
      </c>
      <c r="C3432" s="5" t="s">
        <v>21</v>
      </c>
      <c r="K3432" s="5">
        <v>300.0</v>
      </c>
      <c r="N3432" s="9">
        <v>44599.0</v>
      </c>
    </row>
    <row r="3433">
      <c r="A3433" s="5">
        <v>3432.0</v>
      </c>
      <c r="B3433" s="5" t="s">
        <v>4038</v>
      </c>
      <c r="C3433" s="5" t="s">
        <v>21</v>
      </c>
      <c r="K3433" s="5">
        <v>9100.0</v>
      </c>
      <c r="N3433" s="9">
        <v>43962.0</v>
      </c>
    </row>
    <row r="3434">
      <c r="A3434" s="5">
        <v>3433.0</v>
      </c>
      <c r="B3434" s="5" t="s">
        <v>4039</v>
      </c>
      <c r="C3434" s="5" t="s">
        <v>21</v>
      </c>
      <c r="K3434" s="5">
        <v>800.0</v>
      </c>
      <c r="N3434" s="9">
        <v>44533.0</v>
      </c>
    </row>
    <row r="3435">
      <c r="A3435" s="5">
        <v>3434.0</v>
      </c>
      <c r="B3435" s="5" t="s">
        <v>4040</v>
      </c>
      <c r="C3435" s="5" t="s">
        <v>21</v>
      </c>
      <c r="K3435" s="5">
        <v>400.0</v>
      </c>
      <c r="N3435" s="9">
        <v>44740.0</v>
      </c>
    </row>
    <row r="3436">
      <c r="A3436" s="5">
        <v>3435.0</v>
      </c>
      <c r="B3436" s="5" t="s">
        <v>4041</v>
      </c>
      <c r="C3436" s="5" t="s">
        <v>21</v>
      </c>
      <c r="K3436" s="5">
        <v>7100.0</v>
      </c>
      <c r="N3436" s="9">
        <v>44152.0</v>
      </c>
    </row>
    <row r="3437">
      <c r="A3437" s="5">
        <v>3436.0</v>
      </c>
      <c r="B3437" s="5" t="s">
        <v>4042</v>
      </c>
      <c r="C3437" s="5" t="s">
        <v>21</v>
      </c>
      <c r="K3437" s="5">
        <v>10.0</v>
      </c>
      <c r="N3437" s="9">
        <v>44570.0</v>
      </c>
    </row>
    <row r="3438">
      <c r="A3438" s="5">
        <v>3437.0</v>
      </c>
      <c r="B3438" s="5" t="s">
        <v>4043</v>
      </c>
      <c r="C3438" s="5" t="s">
        <v>21</v>
      </c>
      <c r="K3438" s="5">
        <v>80.0</v>
      </c>
      <c r="N3438" s="9">
        <v>44587.0</v>
      </c>
    </row>
    <row r="3439">
      <c r="A3439" s="5">
        <v>3438.0</v>
      </c>
      <c r="B3439" s="5" t="s">
        <v>4044</v>
      </c>
      <c r="C3439" s="5" t="s">
        <v>21</v>
      </c>
      <c r="K3439" s="5">
        <v>1100.0</v>
      </c>
      <c r="N3439" s="9">
        <v>44550.0</v>
      </c>
    </row>
    <row r="3440">
      <c r="A3440" s="5">
        <v>3439.0</v>
      </c>
      <c r="B3440" s="5" t="s">
        <v>4045</v>
      </c>
      <c r="C3440" s="5" t="s">
        <v>21</v>
      </c>
      <c r="K3440" s="5">
        <v>600.0</v>
      </c>
      <c r="N3440" s="9">
        <v>43844.0</v>
      </c>
    </row>
    <row r="3441">
      <c r="A3441" s="5">
        <v>3440.0</v>
      </c>
      <c r="B3441" s="5" t="s">
        <v>4046</v>
      </c>
      <c r="C3441" s="5" t="s">
        <v>21</v>
      </c>
      <c r="K3441" s="5">
        <v>800.0</v>
      </c>
      <c r="N3441" s="9">
        <v>44520.0</v>
      </c>
    </row>
    <row r="3442">
      <c r="A3442" s="5">
        <v>3441.0</v>
      </c>
      <c r="B3442" s="5" t="s">
        <v>4047</v>
      </c>
      <c r="C3442" s="5" t="s">
        <v>21</v>
      </c>
      <c r="K3442" s="5">
        <v>500.0</v>
      </c>
      <c r="N3442" s="9">
        <v>45279.0</v>
      </c>
    </row>
    <row r="3443">
      <c r="A3443" s="5">
        <v>3442.0</v>
      </c>
      <c r="B3443" s="5" t="s">
        <v>4048</v>
      </c>
      <c r="C3443" s="5" t="s">
        <v>21</v>
      </c>
      <c r="K3443" s="5">
        <v>200.0</v>
      </c>
      <c r="N3443" s="9">
        <v>44595.0</v>
      </c>
    </row>
    <row r="3444">
      <c r="A3444" s="5">
        <v>3443.0</v>
      </c>
      <c r="B3444" s="5" t="s">
        <v>4049</v>
      </c>
      <c r="C3444" s="5" t="s">
        <v>21</v>
      </c>
      <c r="K3444" s="5">
        <v>800.0</v>
      </c>
      <c r="N3444" s="9">
        <v>44541.0</v>
      </c>
    </row>
    <row r="3445">
      <c r="A3445" s="5">
        <v>3444.0</v>
      </c>
      <c r="B3445" s="5" t="s">
        <v>4050</v>
      </c>
      <c r="C3445" s="5" t="s">
        <v>21</v>
      </c>
      <c r="K3445" s="5">
        <v>600.0</v>
      </c>
      <c r="N3445" s="9">
        <v>44318.0</v>
      </c>
    </row>
    <row r="3446">
      <c r="A3446" s="5">
        <v>3445.0</v>
      </c>
      <c r="B3446" s="5" t="s">
        <v>4051</v>
      </c>
      <c r="C3446" s="5" t="s">
        <v>21</v>
      </c>
      <c r="K3446" s="5">
        <v>150.0</v>
      </c>
      <c r="N3446" s="9">
        <v>44655.0</v>
      </c>
    </row>
    <row r="3447">
      <c r="A3447" s="5">
        <v>3446.0</v>
      </c>
      <c r="B3447" s="5" t="s">
        <v>4052</v>
      </c>
      <c r="C3447" s="5" t="s">
        <v>21</v>
      </c>
      <c r="K3447" s="5">
        <v>40.0</v>
      </c>
      <c r="N3447" s="9">
        <v>44632.0</v>
      </c>
    </row>
    <row r="3448">
      <c r="A3448" s="5">
        <v>3447.0</v>
      </c>
      <c r="B3448" s="5" t="s">
        <v>4053</v>
      </c>
      <c r="C3448" s="5" t="s">
        <v>21</v>
      </c>
      <c r="K3448" s="5">
        <v>450.0</v>
      </c>
      <c r="N3448" s="9">
        <v>44653.0</v>
      </c>
    </row>
    <row r="3449">
      <c r="A3449" s="5">
        <v>3448.0</v>
      </c>
      <c r="B3449" s="5" t="s">
        <v>4054</v>
      </c>
      <c r="C3449" s="5" t="s">
        <v>21</v>
      </c>
      <c r="K3449" s="5">
        <v>20.0</v>
      </c>
      <c r="N3449" s="9">
        <v>44886.0</v>
      </c>
    </row>
    <row r="3450">
      <c r="A3450" s="5">
        <v>3449.0</v>
      </c>
      <c r="B3450" s="5" t="s">
        <v>4055</v>
      </c>
      <c r="C3450" s="5" t="s">
        <v>21</v>
      </c>
      <c r="K3450" s="5">
        <v>500.0</v>
      </c>
      <c r="N3450" s="9">
        <v>44183.0</v>
      </c>
    </row>
    <row r="3451">
      <c r="A3451" s="5">
        <v>3450.0</v>
      </c>
      <c r="B3451" s="5" t="s">
        <v>4056</v>
      </c>
      <c r="C3451" s="5" t="s">
        <v>21</v>
      </c>
      <c r="K3451" s="5">
        <v>50.0</v>
      </c>
      <c r="N3451" s="9">
        <v>43849.0</v>
      </c>
    </row>
    <row r="3452">
      <c r="A3452" s="5">
        <v>3451.0</v>
      </c>
      <c r="B3452" s="5" t="s">
        <v>4057</v>
      </c>
      <c r="C3452" s="5" t="s">
        <v>21</v>
      </c>
      <c r="K3452" s="5">
        <v>1300.0</v>
      </c>
      <c r="N3452" s="9">
        <v>44424.0</v>
      </c>
    </row>
    <row r="3453">
      <c r="A3453" s="5">
        <v>3452.0</v>
      </c>
      <c r="B3453" s="5" t="s">
        <v>4058</v>
      </c>
      <c r="C3453" s="5" t="s">
        <v>21</v>
      </c>
      <c r="K3453" s="5">
        <v>20.0</v>
      </c>
      <c r="N3453" s="9">
        <v>45295.0</v>
      </c>
    </row>
    <row r="3454">
      <c r="A3454" s="5">
        <v>3453.0</v>
      </c>
      <c r="B3454" s="5" t="s">
        <v>4059</v>
      </c>
      <c r="C3454" s="5" t="s">
        <v>21</v>
      </c>
      <c r="K3454" s="5">
        <v>800.0</v>
      </c>
      <c r="N3454" s="9">
        <v>44837.0</v>
      </c>
    </row>
    <row r="3455">
      <c r="A3455" s="5">
        <v>3454.0</v>
      </c>
      <c r="B3455" s="5" t="s">
        <v>4060</v>
      </c>
      <c r="C3455" s="5" t="s">
        <v>21</v>
      </c>
      <c r="K3455" s="5">
        <v>2400.0</v>
      </c>
      <c r="N3455" s="9">
        <v>43982.0</v>
      </c>
    </row>
    <row r="3456">
      <c r="A3456" s="5">
        <v>3455.0</v>
      </c>
      <c r="B3456" s="5" t="s">
        <v>4061</v>
      </c>
      <c r="C3456" s="5" t="s">
        <v>21</v>
      </c>
      <c r="K3456" s="5">
        <v>1300.0</v>
      </c>
      <c r="N3456" s="9">
        <v>45421.0</v>
      </c>
    </row>
    <row r="3457">
      <c r="A3457" s="5">
        <v>3456.0</v>
      </c>
      <c r="B3457" s="5" t="s">
        <v>4062</v>
      </c>
      <c r="C3457" s="5" t="s">
        <v>21</v>
      </c>
      <c r="K3457" s="5">
        <v>250.0</v>
      </c>
      <c r="N3457" s="9">
        <v>44548.0</v>
      </c>
    </row>
    <row r="3458">
      <c r="A3458" s="5">
        <v>3457.0</v>
      </c>
      <c r="B3458" s="5" t="s">
        <v>4063</v>
      </c>
      <c r="C3458" s="5" t="s">
        <v>21</v>
      </c>
      <c r="K3458" s="5">
        <v>400.0</v>
      </c>
      <c r="N3458" s="9">
        <v>45537.0</v>
      </c>
    </row>
    <row r="3459">
      <c r="A3459" s="5">
        <v>3458.0</v>
      </c>
      <c r="B3459" s="5" t="s">
        <v>178</v>
      </c>
      <c r="C3459" s="5" t="s">
        <v>21</v>
      </c>
      <c r="K3459" s="5">
        <v>30.0</v>
      </c>
      <c r="N3459" s="9">
        <v>44892.0</v>
      </c>
    </row>
    <row r="3460">
      <c r="A3460" s="5">
        <v>3459.0</v>
      </c>
      <c r="B3460" s="5" t="s">
        <v>4064</v>
      </c>
      <c r="C3460" s="5" t="s">
        <v>21</v>
      </c>
      <c r="K3460" s="5">
        <v>250.0</v>
      </c>
      <c r="N3460" s="9">
        <v>45567.0</v>
      </c>
    </row>
    <row r="3461">
      <c r="A3461" s="5">
        <v>3460.0</v>
      </c>
      <c r="B3461" s="5" t="s">
        <v>4065</v>
      </c>
      <c r="C3461" s="5" t="s">
        <v>21</v>
      </c>
      <c r="K3461" s="5">
        <v>250.0</v>
      </c>
      <c r="N3461" s="9">
        <v>44654.0</v>
      </c>
    </row>
    <row r="3462">
      <c r="A3462" s="5">
        <v>3461.0</v>
      </c>
      <c r="B3462" s="5" t="s">
        <v>4066</v>
      </c>
      <c r="C3462" s="5" t="s">
        <v>21</v>
      </c>
      <c r="K3462" s="5">
        <v>199000.0</v>
      </c>
      <c r="N3462" s="9">
        <v>46098.0</v>
      </c>
    </row>
    <row r="3463">
      <c r="A3463" s="5">
        <v>3462.0</v>
      </c>
      <c r="B3463" s="5" t="s">
        <v>4067</v>
      </c>
      <c r="C3463" s="5" t="s">
        <v>21</v>
      </c>
      <c r="K3463" s="5">
        <v>20.0</v>
      </c>
      <c r="N3463" s="9">
        <v>44849.0</v>
      </c>
    </row>
    <row r="3464">
      <c r="A3464" s="5">
        <v>3463.0</v>
      </c>
      <c r="B3464" s="5" t="s">
        <v>4068</v>
      </c>
      <c r="C3464" s="5" t="s">
        <v>21</v>
      </c>
      <c r="K3464" s="5">
        <v>1600.0</v>
      </c>
      <c r="N3464" s="9">
        <v>44539.0</v>
      </c>
    </row>
    <row r="3465">
      <c r="A3465" s="5">
        <v>3464.0</v>
      </c>
      <c r="B3465" s="5" t="s">
        <v>117</v>
      </c>
      <c r="C3465" s="5" t="s">
        <v>21</v>
      </c>
      <c r="K3465" s="5">
        <v>150.0</v>
      </c>
      <c r="N3465" s="9">
        <v>44334.0</v>
      </c>
    </row>
    <row r="3466">
      <c r="A3466" s="5">
        <v>3465.0</v>
      </c>
      <c r="B3466" s="5" t="s">
        <v>4069</v>
      </c>
      <c r="C3466" s="5" t="s">
        <v>21</v>
      </c>
      <c r="K3466" s="5">
        <v>200.0</v>
      </c>
      <c r="N3466" s="9">
        <v>44594.0</v>
      </c>
    </row>
    <row r="3467">
      <c r="A3467" s="5">
        <v>3466.0</v>
      </c>
      <c r="B3467" s="5" t="s">
        <v>4070</v>
      </c>
      <c r="C3467" s="5" t="s">
        <v>21</v>
      </c>
      <c r="K3467" s="5">
        <v>150.0</v>
      </c>
      <c r="N3467" s="9">
        <v>44790.0</v>
      </c>
    </row>
    <row r="3468">
      <c r="A3468" s="5">
        <v>3467.0</v>
      </c>
      <c r="B3468" s="5" t="s">
        <v>4071</v>
      </c>
      <c r="C3468" s="5" t="s">
        <v>21</v>
      </c>
      <c r="K3468" s="5">
        <v>600.0</v>
      </c>
      <c r="N3468" s="9">
        <v>44518.0</v>
      </c>
    </row>
    <row r="3469">
      <c r="A3469" s="5">
        <v>3468.0</v>
      </c>
      <c r="B3469" s="5" t="s">
        <v>4072</v>
      </c>
      <c r="C3469" s="5" t="s">
        <v>21</v>
      </c>
      <c r="K3469" s="5">
        <v>600.0</v>
      </c>
      <c r="N3469" s="9">
        <v>44532.0</v>
      </c>
    </row>
    <row r="3470">
      <c r="A3470" s="5">
        <v>3469.0</v>
      </c>
      <c r="B3470" s="5" t="s">
        <v>4073</v>
      </c>
      <c r="C3470" s="5" t="s">
        <v>21</v>
      </c>
      <c r="K3470" s="5">
        <v>250.0</v>
      </c>
      <c r="N3470" s="9">
        <v>44650.0</v>
      </c>
    </row>
    <row r="3471">
      <c r="A3471" s="5">
        <v>3470.0</v>
      </c>
      <c r="B3471" s="5" t="s">
        <v>4074</v>
      </c>
      <c r="C3471" s="5" t="s">
        <v>21</v>
      </c>
      <c r="K3471" s="5">
        <v>400.0</v>
      </c>
      <c r="N3471" s="9">
        <v>45549.0</v>
      </c>
    </row>
    <row r="3472">
      <c r="A3472" s="5">
        <v>3471.0</v>
      </c>
      <c r="B3472" s="5" t="s">
        <v>4075</v>
      </c>
      <c r="C3472" s="5" t="s">
        <v>21</v>
      </c>
      <c r="K3472" s="5">
        <v>90.0</v>
      </c>
      <c r="N3472" s="9">
        <v>44565.0</v>
      </c>
    </row>
    <row r="3473">
      <c r="A3473" s="5">
        <v>3472.0</v>
      </c>
      <c r="B3473" s="5" t="s">
        <v>4076</v>
      </c>
      <c r="C3473" s="5" t="s">
        <v>21</v>
      </c>
      <c r="K3473" s="5">
        <v>6200.0</v>
      </c>
      <c r="N3473" s="9">
        <v>42805.0</v>
      </c>
    </row>
    <row r="3474">
      <c r="A3474" s="5">
        <v>3473.0</v>
      </c>
      <c r="B3474" s="5" t="s">
        <v>4077</v>
      </c>
      <c r="C3474" s="5" t="s">
        <v>21</v>
      </c>
      <c r="K3474" s="5">
        <v>60.0</v>
      </c>
      <c r="N3474" s="9">
        <v>45060.0</v>
      </c>
    </row>
    <row r="3475">
      <c r="A3475" s="5">
        <v>3474.0</v>
      </c>
      <c r="B3475" s="5" t="s">
        <v>4078</v>
      </c>
      <c r="C3475" s="5" t="s">
        <v>21</v>
      </c>
      <c r="K3475" s="5">
        <v>200.0</v>
      </c>
      <c r="N3475" s="9">
        <v>44445.0</v>
      </c>
    </row>
    <row r="3476">
      <c r="A3476" s="5">
        <v>3475.0</v>
      </c>
      <c r="B3476" s="5" t="s">
        <v>4079</v>
      </c>
      <c r="C3476" s="5" t="s">
        <v>21</v>
      </c>
      <c r="K3476" s="5">
        <v>20.0</v>
      </c>
      <c r="N3476" s="9">
        <v>44720.0</v>
      </c>
    </row>
    <row r="3477">
      <c r="A3477" s="5">
        <v>3476.0</v>
      </c>
      <c r="B3477" s="5" t="s">
        <v>4080</v>
      </c>
      <c r="C3477" s="5" t="s">
        <v>21</v>
      </c>
      <c r="K3477" s="5">
        <v>350.0</v>
      </c>
      <c r="N3477" s="9">
        <v>45074.0</v>
      </c>
    </row>
    <row r="3478">
      <c r="A3478" s="5">
        <v>3477.0</v>
      </c>
      <c r="B3478" s="5" t="s">
        <v>4081</v>
      </c>
      <c r="C3478" s="5" t="s">
        <v>21</v>
      </c>
      <c r="K3478" s="5">
        <v>350.0</v>
      </c>
      <c r="N3478" s="9">
        <v>44517.0</v>
      </c>
    </row>
    <row r="3479">
      <c r="A3479" s="5">
        <v>3478.0</v>
      </c>
      <c r="B3479" s="5" t="s">
        <v>4082</v>
      </c>
      <c r="C3479" s="5" t="s">
        <v>21</v>
      </c>
      <c r="K3479" s="5">
        <v>150.0</v>
      </c>
      <c r="N3479" s="9">
        <v>44415.0</v>
      </c>
    </row>
    <row r="3480">
      <c r="A3480" s="5">
        <v>3479.0</v>
      </c>
      <c r="B3480" s="5" t="s">
        <v>4083</v>
      </c>
      <c r="C3480" s="5" t="s">
        <v>21</v>
      </c>
      <c r="K3480" s="5">
        <v>1300.0</v>
      </c>
      <c r="N3480" s="9">
        <v>44544.0</v>
      </c>
    </row>
    <row r="3481">
      <c r="A3481" s="5">
        <v>3480.0</v>
      </c>
      <c r="B3481" s="5" t="s">
        <v>4084</v>
      </c>
      <c r="C3481" s="5" t="s">
        <v>21</v>
      </c>
      <c r="K3481" s="5">
        <v>70.0</v>
      </c>
      <c r="N3481" s="9">
        <v>44458.0</v>
      </c>
    </row>
    <row r="3482">
      <c r="A3482" s="5">
        <v>3481.0</v>
      </c>
      <c r="B3482" s="5" t="s">
        <v>4085</v>
      </c>
      <c r="C3482" s="5" t="s">
        <v>21</v>
      </c>
      <c r="K3482" s="5">
        <v>70.0</v>
      </c>
      <c r="N3482" s="9">
        <v>44556.0</v>
      </c>
    </row>
    <row r="3483">
      <c r="A3483" s="5">
        <v>3482.0</v>
      </c>
      <c r="B3483" s="5" t="s">
        <v>4086</v>
      </c>
      <c r="C3483" s="5" t="s">
        <v>21</v>
      </c>
      <c r="K3483" s="5">
        <v>800.0</v>
      </c>
      <c r="N3483" s="9">
        <v>44601.0</v>
      </c>
    </row>
    <row r="3484">
      <c r="A3484" s="5">
        <v>3483.0</v>
      </c>
      <c r="B3484" s="5" t="s">
        <v>4087</v>
      </c>
      <c r="C3484" s="5" t="s">
        <v>21</v>
      </c>
      <c r="K3484" s="5">
        <v>250.0</v>
      </c>
      <c r="N3484" s="9">
        <v>44603.0</v>
      </c>
    </row>
    <row r="3485">
      <c r="A3485" s="5">
        <v>3484.0</v>
      </c>
      <c r="B3485" s="5" t="s">
        <v>4088</v>
      </c>
      <c r="C3485" s="5" t="s">
        <v>21</v>
      </c>
      <c r="K3485" s="5">
        <v>10.0</v>
      </c>
      <c r="N3485" s="9">
        <v>45061.0</v>
      </c>
    </row>
    <row r="3486">
      <c r="A3486" s="5">
        <v>3485.0</v>
      </c>
      <c r="B3486" s="5" t="s">
        <v>4089</v>
      </c>
      <c r="C3486" s="5" t="s">
        <v>21</v>
      </c>
      <c r="K3486" s="5">
        <v>500.0</v>
      </c>
      <c r="N3486" s="9">
        <v>43839.0</v>
      </c>
    </row>
    <row r="3487">
      <c r="A3487" s="5">
        <v>3486.0</v>
      </c>
      <c r="B3487" s="5" t="s">
        <v>4090</v>
      </c>
      <c r="C3487" s="5" t="s">
        <v>21</v>
      </c>
      <c r="K3487" s="5">
        <v>60.0</v>
      </c>
      <c r="N3487" s="9">
        <v>44548.0</v>
      </c>
    </row>
    <row r="3488">
      <c r="A3488" s="5">
        <v>3487.0</v>
      </c>
      <c r="B3488" s="5" t="s">
        <v>4091</v>
      </c>
      <c r="C3488" s="5" t="s">
        <v>21</v>
      </c>
      <c r="K3488" s="5">
        <v>500.0</v>
      </c>
      <c r="N3488" s="9">
        <v>44843.0</v>
      </c>
    </row>
    <row r="3489">
      <c r="A3489" s="5">
        <v>3488.0</v>
      </c>
      <c r="B3489" s="5" t="s">
        <v>4092</v>
      </c>
      <c r="C3489" s="5" t="s">
        <v>21</v>
      </c>
      <c r="K3489" s="5">
        <v>450.0</v>
      </c>
      <c r="N3489" s="9">
        <v>44831.0</v>
      </c>
    </row>
    <row r="3490">
      <c r="A3490" s="5">
        <v>3489.0</v>
      </c>
      <c r="B3490" s="5" t="s">
        <v>4093</v>
      </c>
      <c r="C3490" s="5" t="s">
        <v>21</v>
      </c>
      <c r="K3490" s="5">
        <v>150.0</v>
      </c>
      <c r="N3490" s="9">
        <v>45401.0</v>
      </c>
    </row>
    <row r="3491">
      <c r="A3491" s="5">
        <v>3490.0</v>
      </c>
      <c r="B3491" s="5" t="s">
        <v>4094</v>
      </c>
      <c r="C3491" s="5" t="s">
        <v>21</v>
      </c>
      <c r="K3491" s="5">
        <v>10.0</v>
      </c>
      <c r="N3491" s="9">
        <v>45583.0</v>
      </c>
    </row>
    <row r="3492">
      <c r="A3492" s="5">
        <v>3491.0</v>
      </c>
      <c r="B3492" s="5" t="s">
        <v>4095</v>
      </c>
      <c r="C3492" s="5" t="s">
        <v>21</v>
      </c>
      <c r="K3492" s="5">
        <v>200.0</v>
      </c>
      <c r="N3492" s="9">
        <v>44662.0</v>
      </c>
    </row>
    <row r="3493">
      <c r="A3493" s="5">
        <v>3492.0</v>
      </c>
      <c r="B3493" s="5" t="s">
        <v>4096</v>
      </c>
      <c r="C3493" s="5" t="s">
        <v>21</v>
      </c>
      <c r="K3493" s="5">
        <v>600.0</v>
      </c>
      <c r="N3493" s="9">
        <v>45061.0</v>
      </c>
    </row>
    <row r="3494">
      <c r="A3494" s="5">
        <v>3493.0</v>
      </c>
      <c r="B3494" s="5" t="s">
        <v>4097</v>
      </c>
      <c r="C3494" s="5" t="s">
        <v>21</v>
      </c>
      <c r="K3494" s="5">
        <v>1400.0</v>
      </c>
      <c r="N3494" s="9">
        <v>44533.0</v>
      </c>
    </row>
    <row r="3495">
      <c r="A3495" s="5">
        <v>3494.0</v>
      </c>
      <c r="B3495" s="5" t="s">
        <v>4098</v>
      </c>
      <c r="C3495" s="5" t="s">
        <v>21</v>
      </c>
      <c r="K3495" s="5">
        <v>100.0</v>
      </c>
      <c r="N3495" s="9">
        <v>44552.0</v>
      </c>
    </row>
    <row r="3496">
      <c r="A3496" s="5">
        <v>3495.0</v>
      </c>
      <c r="B3496" s="5" t="s">
        <v>4099</v>
      </c>
      <c r="C3496" s="5" t="s">
        <v>21</v>
      </c>
      <c r="K3496" s="5">
        <v>1500.0</v>
      </c>
      <c r="N3496" s="9">
        <v>45616.0</v>
      </c>
    </row>
    <row r="3497">
      <c r="A3497" s="5">
        <v>3496.0</v>
      </c>
      <c r="B3497" s="5" t="s">
        <v>4100</v>
      </c>
      <c r="C3497" s="5" t="s">
        <v>21</v>
      </c>
      <c r="K3497" s="5">
        <v>1600.0</v>
      </c>
      <c r="N3497" s="9">
        <v>44539.0</v>
      </c>
    </row>
    <row r="3498">
      <c r="A3498" s="5">
        <v>3497.0</v>
      </c>
      <c r="B3498" s="5" t="s">
        <v>4101</v>
      </c>
      <c r="C3498" s="5" t="s">
        <v>21</v>
      </c>
      <c r="K3498" s="5">
        <v>600.0</v>
      </c>
      <c r="N3498" s="9">
        <v>45194.0</v>
      </c>
    </row>
    <row r="3499">
      <c r="A3499" s="5">
        <v>3498.0</v>
      </c>
      <c r="B3499" s="5" t="s">
        <v>4102</v>
      </c>
      <c r="C3499" s="5" t="s">
        <v>21</v>
      </c>
      <c r="K3499" s="5">
        <v>100.0</v>
      </c>
      <c r="N3499" s="9">
        <v>44823.0</v>
      </c>
    </row>
    <row r="3500">
      <c r="A3500" s="5">
        <v>3499.0</v>
      </c>
      <c r="B3500" s="5" t="s">
        <v>4103</v>
      </c>
      <c r="C3500" s="5" t="s">
        <v>21</v>
      </c>
      <c r="K3500" s="5">
        <v>1300.0</v>
      </c>
      <c r="N3500" s="9">
        <v>44728.0</v>
      </c>
    </row>
    <row r="3501">
      <c r="A3501" s="5">
        <v>3500.0</v>
      </c>
      <c r="B3501" s="5" t="s">
        <v>4104</v>
      </c>
      <c r="C3501" s="5" t="s">
        <v>21</v>
      </c>
      <c r="K3501" s="5">
        <v>1600.0</v>
      </c>
      <c r="N3501" s="9">
        <v>44800.0</v>
      </c>
    </row>
    <row r="3502">
      <c r="A3502" s="5">
        <v>3501.0</v>
      </c>
      <c r="B3502" s="5" t="s">
        <v>4105</v>
      </c>
      <c r="C3502" s="5" t="s">
        <v>21</v>
      </c>
      <c r="K3502" s="5">
        <v>250.0</v>
      </c>
      <c r="N3502" s="9">
        <v>44726.0</v>
      </c>
    </row>
    <row r="3503">
      <c r="A3503" s="5">
        <v>3502.0</v>
      </c>
      <c r="B3503" s="5" t="s">
        <v>4106</v>
      </c>
      <c r="C3503" s="5" t="s">
        <v>21</v>
      </c>
      <c r="K3503" s="5">
        <v>30.0</v>
      </c>
      <c r="N3503" s="9">
        <v>45310.0</v>
      </c>
    </row>
    <row r="3504">
      <c r="A3504" s="5">
        <v>3503.0</v>
      </c>
      <c r="B3504" s="5" t="s">
        <v>4107</v>
      </c>
      <c r="C3504" s="5" t="s">
        <v>21</v>
      </c>
      <c r="K3504" s="5">
        <v>1200.0</v>
      </c>
      <c r="N3504" s="9">
        <v>44404.0</v>
      </c>
    </row>
    <row r="3505">
      <c r="A3505" s="5">
        <v>3504.0</v>
      </c>
      <c r="B3505" s="5" t="s">
        <v>4108</v>
      </c>
      <c r="C3505" s="5" t="s">
        <v>21</v>
      </c>
      <c r="K3505" s="5">
        <v>1300.0</v>
      </c>
      <c r="N3505" s="9">
        <v>44530.0</v>
      </c>
    </row>
    <row r="3506">
      <c r="A3506" s="5">
        <v>3505.0</v>
      </c>
      <c r="B3506" s="5" t="s">
        <v>4109</v>
      </c>
      <c r="C3506" s="5" t="s">
        <v>21</v>
      </c>
      <c r="K3506" s="5">
        <v>1100.0</v>
      </c>
      <c r="N3506" s="9">
        <v>44527.0</v>
      </c>
    </row>
    <row r="3507">
      <c r="A3507" s="5">
        <v>3506.0</v>
      </c>
      <c r="B3507" s="5" t="s">
        <v>4110</v>
      </c>
      <c r="C3507" s="5" t="s">
        <v>21</v>
      </c>
      <c r="K3507" s="5">
        <v>300.0</v>
      </c>
      <c r="N3507" s="9">
        <v>44388.0</v>
      </c>
    </row>
    <row r="3508">
      <c r="A3508" s="5">
        <v>3507.0</v>
      </c>
      <c r="B3508" s="5" t="s">
        <v>4111</v>
      </c>
      <c r="C3508" s="5" t="s">
        <v>21</v>
      </c>
      <c r="K3508" s="5">
        <v>90.0</v>
      </c>
      <c r="N3508" s="9">
        <v>44533.0</v>
      </c>
    </row>
    <row r="3509">
      <c r="A3509" s="5">
        <v>3508.0</v>
      </c>
      <c r="B3509" s="5" t="s">
        <v>4112</v>
      </c>
      <c r="C3509" s="5" t="s">
        <v>21</v>
      </c>
      <c r="K3509" s="5">
        <v>300.0</v>
      </c>
      <c r="N3509" s="9">
        <v>44689.0</v>
      </c>
    </row>
    <row r="3510">
      <c r="A3510" s="5">
        <v>3509.0</v>
      </c>
      <c r="B3510" s="5" t="s">
        <v>4113</v>
      </c>
      <c r="C3510" s="5" t="s">
        <v>21</v>
      </c>
      <c r="N3510" s="9">
        <v>44519.0</v>
      </c>
    </row>
    <row r="3511">
      <c r="A3511" s="5">
        <v>3510.0</v>
      </c>
      <c r="B3511" s="5" t="s">
        <v>4114</v>
      </c>
      <c r="C3511" s="5" t="s">
        <v>21</v>
      </c>
      <c r="K3511" s="5">
        <v>1400.0</v>
      </c>
      <c r="N3511" s="9">
        <v>44517.0</v>
      </c>
    </row>
    <row r="3512">
      <c r="A3512" s="5">
        <v>3511.0</v>
      </c>
      <c r="B3512" s="5" t="s">
        <v>4115</v>
      </c>
      <c r="C3512" s="5" t="s">
        <v>21</v>
      </c>
      <c r="K3512" s="5">
        <v>500.0</v>
      </c>
      <c r="N3512" s="9">
        <v>44622.0</v>
      </c>
    </row>
    <row r="3513">
      <c r="A3513" s="5">
        <v>3512.0</v>
      </c>
      <c r="B3513" s="5" t="s">
        <v>4116</v>
      </c>
      <c r="C3513" s="5" t="s">
        <v>21</v>
      </c>
      <c r="K3513" s="5">
        <v>100.0</v>
      </c>
      <c r="N3513" s="9">
        <v>45225.0</v>
      </c>
    </row>
    <row r="3514">
      <c r="A3514" s="5">
        <v>3513.0</v>
      </c>
      <c r="B3514" s="5" t="s">
        <v>4117</v>
      </c>
      <c r="C3514" s="5" t="s">
        <v>21</v>
      </c>
      <c r="K3514" s="5">
        <v>350.0</v>
      </c>
      <c r="N3514" s="9">
        <v>44474.0</v>
      </c>
    </row>
    <row r="3515">
      <c r="A3515" s="5">
        <v>3514.0</v>
      </c>
      <c r="B3515" s="5" t="s">
        <v>4118</v>
      </c>
      <c r="C3515" s="5" t="s">
        <v>21</v>
      </c>
      <c r="K3515" s="5">
        <v>250.0</v>
      </c>
      <c r="N3515" s="9">
        <v>44822.0</v>
      </c>
    </row>
    <row r="3516">
      <c r="A3516" s="5">
        <v>3515.0</v>
      </c>
      <c r="B3516" s="5" t="s">
        <v>4119</v>
      </c>
      <c r="C3516" s="5" t="s">
        <v>21</v>
      </c>
      <c r="K3516" s="5">
        <v>80.0</v>
      </c>
      <c r="N3516" s="9">
        <v>45002.0</v>
      </c>
    </row>
    <row r="3517">
      <c r="A3517" s="5">
        <v>3516.0</v>
      </c>
      <c r="B3517" s="5" t="s">
        <v>4120</v>
      </c>
      <c r="C3517" s="5" t="s">
        <v>21</v>
      </c>
      <c r="K3517" s="5">
        <v>400.0</v>
      </c>
      <c r="N3517" s="9">
        <v>44561.0</v>
      </c>
    </row>
    <row r="3518">
      <c r="A3518" s="5">
        <v>3517.0</v>
      </c>
      <c r="B3518" s="5" t="s">
        <v>4121</v>
      </c>
      <c r="C3518" s="5" t="s">
        <v>21</v>
      </c>
      <c r="K3518" s="5">
        <v>1500.0</v>
      </c>
      <c r="N3518" s="9">
        <v>45120.0</v>
      </c>
    </row>
    <row r="3519">
      <c r="A3519" s="5">
        <v>3518.0</v>
      </c>
      <c r="B3519" s="5" t="s">
        <v>4122</v>
      </c>
      <c r="C3519" s="5" t="s">
        <v>21</v>
      </c>
      <c r="K3519" s="5">
        <v>70.0</v>
      </c>
      <c r="N3519" s="9">
        <v>44655.0</v>
      </c>
    </row>
    <row r="3520">
      <c r="A3520" s="5">
        <v>3519.0</v>
      </c>
      <c r="B3520" s="5" t="s">
        <v>4123</v>
      </c>
      <c r="C3520" s="5" t="s">
        <v>21</v>
      </c>
      <c r="K3520" s="5">
        <v>500.0</v>
      </c>
      <c r="N3520" s="9">
        <v>44676.0</v>
      </c>
    </row>
    <row r="3521">
      <c r="A3521" s="5">
        <v>3520.0</v>
      </c>
      <c r="B3521" s="5" t="s">
        <v>4124</v>
      </c>
      <c r="C3521" s="5" t="s">
        <v>21</v>
      </c>
      <c r="K3521" s="5">
        <v>60.0</v>
      </c>
      <c r="N3521" s="9">
        <v>44547.0</v>
      </c>
    </row>
    <row r="3522">
      <c r="A3522" s="5">
        <v>3521.0</v>
      </c>
      <c r="B3522" s="5" t="s">
        <v>4125</v>
      </c>
      <c r="C3522" s="5" t="s">
        <v>21</v>
      </c>
      <c r="K3522" s="5">
        <v>2900.0</v>
      </c>
      <c r="N3522" s="9">
        <v>45673.0</v>
      </c>
    </row>
    <row r="3523">
      <c r="A3523" s="5">
        <v>3522.0</v>
      </c>
      <c r="B3523" s="5" t="s">
        <v>4126</v>
      </c>
      <c r="C3523" s="5" t="s">
        <v>21</v>
      </c>
      <c r="N3523" s="9">
        <v>44178.0</v>
      </c>
    </row>
    <row r="3524">
      <c r="A3524" s="5">
        <v>3523.0</v>
      </c>
      <c r="B3524" s="5" t="s">
        <v>4127</v>
      </c>
      <c r="C3524" s="5" t="s">
        <v>21</v>
      </c>
      <c r="K3524" s="5">
        <v>700.0</v>
      </c>
      <c r="N3524" s="9">
        <v>44206.0</v>
      </c>
    </row>
    <row r="3525">
      <c r="A3525" s="5">
        <v>3524.0</v>
      </c>
      <c r="B3525" s="5" t="s">
        <v>4128</v>
      </c>
      <c r="C3525" s="5" t="s">
        <v>21</v>
      </c>
      <c r="K3525" s="5">
        <v>1500.0</v>
      </c>
      <c r="N3525" s="9">
        <v>45157.0</v>
      </c>
    </row>
    <row r="3526">
      <c r="A3526" s="5">
        <v>3525.0</v>
      </c>
      <c r="B3526" s="5" t="s">
        <v>4129</v>
      </c>
      <c r="C3526" s="5" t="s">
        <v>21</v>
      </c>
      <c r="K3526" s="5">
        <v>1000.0</v>
      </c>
      <c r="N3526" s="9">
        <v>44612.0</v>
      </c>
    </row>
    <row r="3527">
      <c r="A3527" s="5">
        <v>3526.0</v>
      </c>
      <c r="B3527" s="5" t="s">
        <v>4130</v>
      </c>
      <c r="C3527" s="5" t="s">
        <v>21</v>
      </c>
      <c r="K3527" s="5">
        <v>150.0</v>
      </c>
      <c r="N3527" s="9">
        <v>44620.0</v>
      </c>
    </row>
    <row r="3528">
      <c r="A3528" s="5">
        <v>3527.0</v>
      </c>
      <c r="B3528" s="5" t="s">
        <v>4131</v>
      </c>
      <c r="C3528" s="5" t="s">
        <v>21</v>
      </c>
      <c r="K3528" s="5">
        <v>150.0</v>
      </c>
      <c r="N3528" s="9">
        <v>45165.0</v>
      </c>
    </row>
    <row r="3529">
      <c r="A3529" s="5">
        <v>3528.0</v>
      </c>
      <c r="B3529" s="5" t="s">
        <v>4132</v>
      </c>
      <c r="C3529" s="5" t="s">
        <v>21</v>
      </c>
      <c r="K3529" s="5">
        <v>500.0</v>
      </c>
      <c r="N3529" s="9">
        <v>45000.0</v>
      </c>
    </row>
    <row r="3530">
      <c r="A3530" s="5">
        <v>3529.0</v>
      </c>
      <c r="B3530" s="5" t="s">
        <v>4133</v>
      </c>
      <c r="C3530" s="5" t="s">
        <v>21</v>
      </c>
      <c r="K3530" s="5">
        <v>250.0</v>
      </c>
      <c r="N3530" s="9">
        <v>44817.0</v>
      </c>
    </row>
    <row r="3531">
      <c r="A3531" s="5">
        <v>3530.0</v>
      </c>
      <c r="B3531" s="5" t="s">
        <v>4134</v>
      </c>
      <c r="C3531" s="5" t="s">
        <v>21</v>
      </c>
      <c r="N3531" s="9">
        <v>44586.0</v>
      </c>
    </row>
    <row r="3532">
      <c r="A3532" s="5">
        <v>3531.0</v>
      </c>
      <c r="B3532" s="5" t="s">
        <v>4135</v>
      </c>
      <c r="C3532" s="5" t="s">
        <v>21</v>
      </c>
      <c r="K3532" s="5">
        <v>1500.0</v>
      </c>
      <c r="N3532" s="9">
        <v>44752.0</v>
      </c>
    </row>
    <row r="3533">
      <c r="A3533" s="5">
        <v>3532.0</v>
      </c>
      <c r="B3533" s="5" t="s">
        <v>4136</v>
      </c>
      <c r="C3533" s="5" t="s">
        <v>21</v>
      </c>
      <c r="K3533" s="5">
        <v>30.0</v>
      </c>
      <c r="N3533" s="9">
        <v>44567.0</v>
      </c>
    </row>
    <row r="3534">
      <c r="A3534" s="5">
        <v>3533.0</v>
      </c>
      <c r="B3534" s="5" t="s">
        <v>4137</v>
      </c>
      <c r="C3534" s="5" t="s">
        <v>21</v>
      </c>
      <c r="K3534" s="5">
        <v>600.0</v>
      </c>
      <c r="N3534" s="9">
        <v>44100.0</v>
      </c>
    </row>
    <row r="3535">
      <c r="A3535" s="5">
        <v>3534.0</v>
      </c>
      <c r="B3535" s="5" t="s">
        <v>4138</v>
      </c>
      <c r="C3535" s="5" t="s">
        <v>21</v>
      </c>
      <c r="K3535" s="5">
        <v>700.0</v>
      </c>
      <c r="N3535" s="9">
        <v>44386.0</v>
      </c>
    </row>
    <row r="3536">
      <c r="A3536" s="5">
        <v>3535.0</v>
      </c>
      <c r="B3536" s="5" t="s">
        <v>4139</v>
      </c>
      <c r="C3536" s="5" t="s">
        <v>21</v>
      </c>
      <c r="K3536" s="5">
        <v>150.0</v>
      </c>
      <c r="N3536" s="9">
        <v>45244.0</v>
      </c>
    </row>
    <row r="3537">
      <c r="A3537" s="5">
        <v>3536.0</v>
      </c>
      <c r="B3537" s="5" t="s">
        <v>4140</v>
      </c>
      <c r="C3537" s="5" t="s">
        <v>21</v>
      </c>
      <c r="K3537" s="5">
        <v>1000.0</v>
      </c>
      <c r="N3537" s="9">
        <v>44538.0</v>
      </c>
    </row>
    <row r="3538">
      <c r="A3538" s="5">
        <v>3537.0</v>
      </c>
      <c r="B3538" s="5" t="s">
        <v>4141</v>
      </c>
      <c r="C3538" s="5" t="s">
        <v>21</v>
      </c>
      <c r="K3538" s="5">
        <v>350.0</v>
      </c>
      <c r="N3538" s="9">
        <v>44529.0</v>
      </c>
    </row>
    <row r="3539">
      <c r="A3539" s="5">
        <v>3538.0</v>
      </c>
      <c r="B3539" s="5" t="s">
        <v>122</v>
      </c>
      <c r="C3539" s="5" t="s">
        <v>21</v>
      </c>
      <c r="K3539" s="5">
        <v>2100.0</v>
      </c>
      <c r="N3539" s="9">
        <v>44273.0</v>
      </c>
    </row>
    <row r="3540">
      <c r="A3540" s="5">
        <v>3539.0</v>
      </c>
      <c r="B3540" s="5" t="s">
        <v>4142</v>
      </c>
      <c r="C3540" s="5" t="s">
        <v>21</v>
      </c>
      <c r="K3540" s="5">
        <v>40.0</v>
      </c>
      <c r="N3540" s="9">
        <v>45036.0</v>
      </c>
    </row>
    <row r="3541">
      <c r="A3541" s="5">
        <v>3540.0</v>
      </c>
      <c r="B3541" s="5" t="s">
        <v>4143</v>
      </c>
      <c r="C3541" s="5" t="s">
        <v>21</v>
      </c>
      <c r="K3541" s="5">
        <v>400.0</v>
      </c>
      <c r="N3541" s="9">
        <v>44675.0</v>
      </c>
    </row>
    <row r="3542">
      <c r="A3542" s="5">
        <v>3541.0</v>
      </c>
      <c r="B3542" s="5" t="s">
        <v>4144</v>
      </c>
      <c r="C3542" s="5" t="s">
        <v>21</v>
      </c>
      <c r="K3542" s="5">
        <v>90.0</v>
      </c>
      <c r="N3542" s="9">
        <v>44627.0</v>
      </c>
    </row>
    <row r="3543">
      <c r="A3543" s="5">
        <v>3542.0</v>
      </c>
      <c r="B3543" s="5" t="s">
        <v>4145</v>
      </c>
      <c r="C3543" s="5" t="s">
        <v>21</v>
      </c>
      <c r="K3543" s="5">
        <v>1600.0</v>
      </c>
      <c r="N3543" s="9">
        <v>44076.0</v>
      </c>
    </row>
    <row r="3544">
      <c r="A3544" s="5">
        <v>3543.0</v>
      </c>
      <c r="B3544" s="5" t="s">
        <v>4146</v>
      </c>
      <c r="C3544" s="5" t="s">
        <v>21</v>
      </c>
      <c r="K3544" s="5">
        <v>1200.0</v>
      </c>
      <c r="N3544" s="9">
        <v>43903.0</v>
      </c>
    </row>
    <row r="3545">
      <c r="A3545" s="5">
        <v>3544.0</v>
      </c>
      <c r="B3545" s="5" t="s">
        <v>4147</v>
      </c>
      <c r="C3545" s="5" t="s">
        <v>21</v>
      </c>
      <c r="K3545" s="5">
        <v>150.0</v>
      </c>
      <c r="N3545" s="9">
        <v>44524.0</v>
      </c>
    </row>
    <row r="3546">
      <c r="A3546" s="5">
        <v>3545.0</v>
      </c>
      <c r="B3546" s="5" t="s">
        <v>4148</v>
      </c>
      <c r="C3546" s="5" t="s">
        <v>21</v>
      </c>
      <c r="K3546" s="5">
        <v>250.0</v>
      </c>
      <c r="N3546" s="9">
        <v>44518.0</v>
      </c>
    </row>
    <row r="3547">
      <c r="A3547" s="5">
        <v>3546.0</v>
      </c>
      <c r="B3547" s="5" t="s">
        <v>4149</v>
      </c>
      <c r="C3547" s="5" t="s">
        <v>21</v>
      </c>
      <c r="K3547" s="5">
        <v>200.0</v>
      </c>
      <c r="N3547" s="9">
        <v>44890.0</v>
      </c>
    </row>
    <row r="3548">
      <c r="A3548" s="5">
        <v>3547.0</v>
      </c>
      <c r="B3548" s="5" t="s">
        <v>4150</v>
      </c>
      <c r="C3548" s="5" t="s">
        <v>21</v>
      </c>
      <c r="K3548" s="5">
        <v>350.0</v>
      </c>
      <c r="N3548" s="9">
        <v>45172.0</v>
      </c>
    </row>
    <row r="3549">
      <c r="A3549" s="5">
        <v>3548.0</v>
      </c>
      <c r="B3549" s="5" t="s">
        <v>4151</v>
      </c>
      <c r="C3549" s="5" t="s">
        <v>21</v>
      </c>
      <c r="K3549" s="5">
        <v>100.0</v>
      </c>
      <c r="N3549" s="9">
        <v>44354.0</v>
      </c>
    </row>
    <row r="3550">
      <c r="A3550" s="5">
        <v>3549.0</v>
      </c>
      <c r="B3550" s="5" t="s">
        <v>4152</v>
      </c>
      <c r="C3550" s="5" t="s">
        <v>21</v>
      </c>
      <c r="K3550" s="5">
        <v>1700.0</v>
      </c>
      <c r="N3550" s="9">
        <v>44725.0</v>
      </c>
    </row>
    <row r="3551">
      <c r="A3551" s="5">
        <v>3550.0</v>
      </c>
      <c r="B3551" s="5" t="s">
        <v>4153</v>
      </c>
      <c r="C3551" s="5" t="s">
        <v>21</v>
      </c>
      <c r="K3551" s="5">
        <v>250.0</v>
      </c>
      <c r="N3551" s="9">
        <v>44809.0</v>
      </c>
    </row>
    <row r="3552">
      <c r="A3552" s="5">
        <v>3551.0</v>
      </c>
      <c r="B3552" s="5" t="s">
        <v>4154</v>
      </c>
      <c r="C3552" s="5" t="s">
        <v>21</v>
      </c>
      <c r="K3552" s="5">
        <v>1200.0</v>
      </c>
      <c r="N3552" s="9">
        <v>44559.0</v>
      </c>
    </row>
    <row r="3553">
      <c r="A3553" s="5">
        <v>3552.0</v>
      </c>
      <c r="B3553" s="5" t="s">
        <v>4155</v>
      </c>
      <c r="C3553" s="5" t="s">
        <v>21</v>
      </c>
      <c r="K3553" s="5">
        <v>30.0</v>
      </c>
      <c r="N3553" s="9">
        <v>44537.0</v>
      </c>
    </row>
    <row r="3554">
      <c r="A3554" s="5">
        <v>3553.0</v>
      </c>
      <c r="B3554" s="5" t="s">
        <v>4156</v>
      </c>
      <c r="C3554" s="5" t="s">
        <v>21</v>
      </c>
      <c r="K3554" s="5">
        <v>40.0</v>
      </c>
      <c r="N3554" s="9">
        <v>45183.0</v>
      </c>
    </row>
    <row r="3555">
      <c r="A3555" s="5">
        <v>3554.0</v>
      </c>
      <c r="B3555" s="5" t="s">
        <v>4157</v>
      </c>
      <c r="C3555" s="5" t="s">
        <v>21</v>
      </c>
      <c r="K3555" s="5">
        <v>30.0</v>
      </c>
      <c r="N3555" s="9">
        <v>44611.0</v>
      </c>
    </row>
    <row r="3556">
      <c r="A3556" s="5">
        <v>3555.0</v>
      </c>
      <c r="B3556" s="5" t="s">
        <v>4158</v>
      </c>
      <c r="C3556" s="5" t="s">
        <v>21</v>
      </c>
      <c r="K3556" s="5">
        <v>3200.0</v>
      </c>
      <c r="N3556" s="9">
        <v>44210.0</v>
      </c>
    </row>
    <row r="3557">
      <c r="A3557" s="5">
        <v>3556.0</v>
      </c>
      <c r="B3557" s="5" t="s">
        <v>4159</v>
      </c>
      <c r="C3557" s="5" t="s">
        <v>21</v>
      </c>
      <c r="K3557" s="5">
        <v>100.0</v>
      </c>
      <c r="N3557" s="9">
        <v>44947.0</v>
      </c>
    </row>
    <row r="3558">
      <c r="A3558" s="5">
        <v>3557.0</v>
      </c>
      <c r="B3558" s="5" t="s">
        <v>4160</v>
      </c>
      <c r="C3558" s="5" t="s">
        <v>21</v>
      </c>
      <c r="K3558" s="5">
        <v>250.0</v>
      </c>
      <c r="N3558" s="9">
        <v>43860.0</v>
      </c>
    </row>
    <row r="3559">
      <c r="A3559" s="5">
        <v>3558.0</v>
      </c>
      <c r="B3559" s="5" t="s">
        <v>4161</v>
      </c>
      <c r="C3559" s="5" t="s">
        <v>21</v>
      </c>
      <c r="K3559" s="5">
        <v>250.0</v>
      </c>
      <c r="N3559" s="9">
        <v>44863.0</v>
      </c>
    </row>
    <row r="3560">
      <c r="A3560" s="5">
        <v>3559.0</v>
      </c>
      <c r="B3560" s="5" t="s">
        <v>4162</v>
      </c>
      <c r="C3560" s="5" t="s">
        <v>21</v>
      </c>
      <c r="K3560" s="5">
        <v>300.0</v>
      </c>
      <c r="N3560" s="9">
        <v>44552.0</v>
      </c>
    </row>
    <row r="3561">
      <c r="A3561" s="5">
        <v>3560.0</v>
      </c>
      <c r="B3561" s="5" t="s">
        <v>4163</v>
      </c>
      <c r="C3561" s="5" t="s">
        <v>21</v>
      </c>
      <c r="K3561" s="5">
        <v>300.0</v>
      </c>
      <c r="N3561" s="9">
        <v>44464.0</v>
      </c>
    </row>
    <row r="3562">
      <c r="A3562" s="5">
        <v>3561.0</v>
      </c>
      <c r="B3562" s="5" t="s">
        <v>4164</v>
      </c>
      <c r="C3562" s="5" t="s">
        <v>21</v>
      </c>
      <c r="K3562" s="5">
        <v>500.0</v>
      </c>
      <c r="N3562" s="9">
        <v>44914.0</v>
      </c>
    </row>
    <row r="3563">
      <c r="A3563" s="5">
        <v>3562.0</v>
      </c>
      <c r="B3563" s="5" t="s">
        <v>4165</v>
      </c>
      <c r="C3563" s="5" t="s">
        <v>21</v>
      </c>
      <c r="K3563" s="5">
        <v>450.0</v>
      </c>
      <c r="N3563" s="9">
        <v>45299.0</v>
      </c>
    </row>
    <row r="3564">
      <c r="A3564" s="5">
        <v>3563.0</v>
      </c>
      <c r="B3564" s="5" t="s">
        <v>4166</v>
      </c>
      <c r="C3564" s="5" t="s">
        <v>21</v>
      </c>
      <c r="N3564" s="9">
        <v>44655.0</v>
      </c>
    </row>
    <row r="3565">
      <c r="A3565" s="5">
        <v>3564.0</v>
      </c>
      <c r="B3565" s="5" t="s">
        <v>4167</v>
      </c>
      <c r="C3565" s="5" t="s">
        <v>21</v>
      </c>
      <c r="K3565" s="5">
        <v>1300.0</v>
      </c>
      <c r="N3565" s="9">
        <v>44562.0</v>
      </c>
    </row>
    <row r="3566">
      <c r="A3566" s="5">
        <v>3565.0</v>
      </c>
      <c r="B3566" s="5" t="s">
        <v>4168</v>
      </c>
      <c r="C3566" s="5" t="s">
        <v>21</v>
      </c>
      <c r="K3566" s="5">
        <v>450.0</v>
      </c>
      <c r="N3566" s="9">
        <v>45595.0</v>
      </c>
    </row>
    <row r="3567">
      <c r="A3567" s="5">
        <v>3566.0</v>
      </c>
      <c r="B3567" s="5" t="s">
        <v>4169</v>
      </c>
      <c r="C3567" s="5" t="s">
        <v>21</v>
      </c>
      <c r="K3567" s="5">
        <v>600.0</v>
      </c>
      <c r="N3567" s="9">
        <v>44181.0</v>
      </c>
    </row>
    <row r="3568">
      <c r="A3568" s="5">
        <v>3567.0</v>
      </c>
      <c r="B3568" s="5" t="s">
        <v>4170</v>
      </c>
      <c r="C3568" s="5" t="s">
        <v>21</v>
      </c>
      <c r="K3568" s="5">
        <v>700.0</v>
      </c>
      <c r="N3568" s="9">
        <v>44124.0</v>
      </c>
    </row>
    <row r="3569">
      <c r="A3569" s="5">
        <v>3568.0</v>
      </c>
      <c r="B3569" s="5" t="s">
        <v>4171</v>
      </c>
      <c r="C3569" s="5" t="s">
        <v>21</v>
      </c>
      <c r="K3569" s="5">
        <v>700.0</v>
      </c>
      <c r="N3569" s="9">
        <v>44547.0</v>
      </c>
    </row>
    <row r="3570">
      <c r="A3570" s="5">
        <v>3569.0</v>
      </c>
      <c r="B3570" s="5" t="s">
        <v>4172</v>
      </c>
      <c r="C3570" s="5" t="s">
        <v>21</v>
      </c>
      <c r="K3570" s="5">
        <v>400.0</v>
      </c>
      <c r="N3570" s="9">
        <v>45566.0</v>
      </c>
    </row>
    <row r="3571">
      <c r="A3571" s="5">
        <v>3570.0</v>
      </c>
      <c r="B3571" s="5" t="s">
        <v>4173</v>
      </c>
      <c r="C3571" s="5" t="s">
        <v>21</v>
      </c>
      <c r="K3571" s="5">
        <v>150.0</v>
      </c>
      <c r="N3571" s="9">
        <v>44637.0</v>
      </c>
    </row>
    <row r="3572">
      <c r="A3572" s="5">
        <v>3571.0</v>
      </c>
      <c r="B3572" s="5" t="s">
        <v>4174</v>
      </c>
      <c r="C3572" s="5" t="s">
        <v>21</v>
      </c>
      <c r="K3572" s="5">
        <v>350.0</v>
      </c>
      <c r="N3572" s="9">
        <v>44562.0</v>
      </c>
    </row>
    <row r="3573">
      <c r="A3573" s="5">
        <v>3572.0</v>
      </c>
      <c r="B3573" s="5" t="s">
        <v>4175</v>
      </c>
      <c r="C3573" s="5" t="s">
        <v>21</v>
      </c>
      <c r="K3573" s="5">
        <v>6400.0</v>
      </c>
      <c r="N3573" s="9">
        <v>45145.0</v>
      </c>
    </row>
    <row r="3574">
      <c r="A3574" s="5">
        <v>3573.0</v>
      </c>
      <c r="B3574" s="5" t="s">
        <v>4176</v>
      </c>
      <c r="C3574" s="5" t="s">
        <v>21</v>
      </c>
      <c r="K3574" s="5">
        <v>90.0</v>
      </c>
      <c r="N3574" s="9">
        <v>44622.0</v>
      </c>
    </row>
    <row r="3575">
      <c r="A3575" s="5">
        <v>3574.0</v>
      </c>
      <c r="B3575" s="5" t="s">
        <v>4177</v>
      </c>
      <c r="C3575" s="5" t="s">
        <v>21</v>
      </c>
      <c r="K3575" s="5">
        <v>1000.0</v>
      </c>
      <c r="N3575" s="9">
        <v>44736.0</v>
      </c>
    </row>
    <row r="3576">
      <c r="A3576" s="5">
        <v>3575.0</v>
      </c>
      <c r="B3576" s="5" t="s">
        <v>4178</v>
      </c>
      <c r="C3576" s="5" t="s">
        <v>21</v>
      </c>
      <c r="K3576" s="5">
        <v>900.0</v>
      </c>
      <c r="N3576" s="9">
        <v>44572.0</v>
      </c>
    </row>
    <row r="3577">
      <c r="A3577" s="5">
        <v>3576.0</v>
      </c>
      <c r="B3577" s="5" t="s">
        <v>4179</v>
      </c>
      <c r="C3577" s="5" t="s">
        <v>21</v>
      </c>
      <c r="K3577" s="5">
        <v>90.0</v>
      </c>
      <c r="N3577" s="9">
        <v>44072.0</v>
      </c>
    </row>
    <row r="3578">
      <c r="A3578" s="5">
        <v>3577.0</v>
      </c>
      <c r="B3578" s="5" t="s">
        <v>4180</v>
      </c>
      <c r="C3578" s="5" t="s">
        <v>21</v>
      </c>
      <c r="K3578" s="5">
        <v>1200.0</v>
      </c>
      <c r="N3578" s="9">
        <v>44425.0</v>
      </c>
    </row>
    <row r="3579">
      <c r="A3579" s="5">
        <v>3578.0</v>
      </c>
      <c r="B3579" s="5" t="s">
        <v>4181</v>
      </c>
      <c r="C3579" s="5" t="s">
        <v>21</v>
      </c>
      <c r="K3579" s="5">
        <v>1800.0</v>
      </c>
      <c r="N3579" s="9">
        <v>44294.0</v>
      </c>
    </row>
    <row r="3580">
      <c r="A3580" s="5">
        <v>3579.0</v>
      </c>
      <c r="B3580" s="5" t="s">
        <v>4182</v>
      </c>
      <c r="C3580" s="5" t="s">
        <v>21</v>
      </c>
      <c r="K3580" s="5">
        <v>1600.0</v>
      </c>
      <c r="N3580" s="9">
        <v>44266.0</v>
      </c>
    </row>
    <row r="3581">
      <c r="A3581" s="5">
        <v>3580.0</v>
      </c>
      <c r="B3581" s="5" t="s">
        <v>4183</v>
      </c>
      <c r="C3581" s="5" t="s">
        <v>21</v>
      </c>
      <c r="K3581" s="5">
        <v>100.0</v>
      </c>
      <c r="N3581" s="9">
        <v>44567.0</v>
      </c>
    </row>
    <row r="3582">
      <c r="A3582" s="5">
        <v>3581.0</v>
      </c>
      <c r="B3582" s="5" t="s">
        <v>4184</v>
      </c>
      <c r="C3582" s="5" t="s">
        <v>21</v>
      </c>
      <c r="K3582" s="5">
        <v>400.0</v>
      </c>
      <c r="N3582" s="9">
        <v>44625.0</v>
      </c>
    </row>
    <row r="3583">
      <c r="A3583" s="5">
        <v>3582.0</v>
      </c>
      <c r="B3583" s="5" t="s">
        <v>4185</v>
      </c>
      <c r="C3583" s="5" t="s">
        <v>21</v>
      </c>
      <c r="K3583" s="5">
        <v>100.0</v>
      </c>
      <c r="N3583" s="9">
        <v>43874.0</v>
      </c>
    </row>
    <row r="3584">
      <c r="A3584" s="5">
        <v>3583.0</v>
      </c>
      <c r="B3584" s="5" t="s">
        <v>4186</v>
      </c>
      <c r="C3584" s="5" t="s">
        <v>21</v>
      </c>
      <c r="K3584" s="5">
        <v>600.0</v>
      </c>
      <c r="N3584" s="9">
        <v>44520.0</v>
      </c>
    </row>
    <row r="3585">
      <c r="A3585" s="5">
        <v>3584.0</v>
      </c>
      <c r="B3585" s="5" t="s">
        <v>4187</v>
      </c>
      <c r="C3585" s="5" t="s">
        <v>21</v>
      </c>
      <c r="K3585" s="5">
        <v>500.0</v>
      </c>
      <c r="N3585" s="9">
        <v>44370.0</v>
      </c>
    </row>
    <row r="3586">
      <c r="A3586" s="5">
        <v>3585.0</v>
      </c>
      <c r="B3586" s="5" t="s">
        <v>125</v>
      </c>
      <c r="C3586" s="5" t="s">
        <v>21</v>
      </c>
      <c r="K3586" s="5">
        <v>350.0</v>
      </c>
      <c r="N3586" s="9">
        <v>44572.0</v>
      </c>
    </row>
    <row r="3587">
      <c r="A3587" s="5">
        <v>3586.0</v>
      </c>
      <c r="B3587" s="5" t="s">
        <v>4188</v>
      </c>
      <c r="C3587" s="5" t="s">
        <v>21</v>
      </c>
      <c r="N3587" s="9">
        <v>44524.0</v>
      </c>
    </row>
    <row r="3588">
      <c r="A3588" s="5">
        <v>3587.0</v>
      </c>
      <c r="B3588" s="5" t="s">
        <v>4189</v>
      </c>
      <c r="C3588" s="5" t="s">
        <v>21</v>
      </c>
      <c r="K3588" s="5">
        <v>900.0</v>
      </c>
      <c r="N3588" s="9">
        <v>44011.0</v>
      </c>
    </row>
    <row r="3589">
      <c r="A3589" s="5">
        <v>3588.0</v>
      </c>
      <c r="B3589" s="5" t="s">
        <v>4190</v>
      </c>
      <c r="C3589" s="5" t="s">
        <v>21</v>
      </c>
      <c r="K3589" s="5">
        <v>100.0</v>
      </c>
      <c r="N3589" s="9">
        <v>44977.0</v>
      </c>
    </row>
    <row r="3590">
      <c r="A3590" s="5">
        <v>3589.0</v>
      </c>
      <c r="B3590" s="5" t="s">
        <v>4191</v>
      </c>
      <c r="C3590" s="5" t="s">
        <v>21</v>
      </c>
      <c r="K3590" s="5">
        <v>1500.0</v>
      </c>
      <c r="N3590" s="9">
        <v>44945.0</v>
      </c>
    </row>
    <row r="3591">
      <c r="A3591" s="5">
        <v>3590.0</v>
      </c>
      <c r="B3591" s="5" t="s">
        <v>4192</v>
      </c>
      <c r="C3591" s="5" t="s">
        <v>21</v>
      </c>
      <c r="K3591" s="5">
        <v>250.0</v>
      </c>
      <c r="N3591" s="9">
        <v>45395.0</v>
      </c>
    </row>
    <row r="3592">
      <c r="A3592" s="5">
        <v>3591.0</v>
      </c>
      <c r="B3592" s="5" t="s">
        <v>4193</v>
      </c>
      <c r="C3592" s="5" t="s">
        <v>21</v>
      </c>
      <c r="K3592" s="5">
        <v>10.0</v>
      </c>
      <c r="N3592" s="9">
        <v>45076.0</v>
      </c>
    </row>
    <row r="3593">
      <c r="A3593" s="5">
        <v>3592.0</v>
      </c>
      <c r="B3593" s="5" t="s">
        <v>4194</v>
      </c>
      <c r="C3593" s="5" t="s">
        <v>21</v>
      </c>
      <c r="K3593" s="5">
        <v>40.0</v>
      </c>
      <c r="N3593" s="9">
        <v>45668.0</v>
      </c>
    </row>
    <row r="3594">
      <c r="A3594" s="5">
        <v>3593.0</v>
      </c>
      <c r="B3594" s="5" t="s">
        <v>4195</v>
      </c>
      <c r="C3594" s="5" t="s">
        <v>21</v>
      </c>
      <c r="K3594" s="5">
        <v>600.0</v>
      </c>
      <c r="N3594" s="9">
        <v>43998.0</v>
      </c>
    </row>
    <row r="3595">
      <c r="A3595" s="5">
        <v>3594.0</v>
      </c>
      <c r="B3595" s="5" t="s">
        <v>4196</v>
      </c>
      <c r="C3595" s="5" t="s">
        <v>21</v>
      </c>
      <c r="K3595" s="5">
        <v>100.0</v>
      </c>
      <c r="N3595" s="9">
        <v>44698.0</v>
      </c>
    </row>
    <row r="3596">
      <c r="A3596" s="5">
        <v>3595.0</v>
      </c>
      <c r="B3596" s="5" t="s">
        <v>4197</v>
      </c>
      <c r="C3596" s="5" t="s">
        <v>21</v>
      </c>
      <c r="K3596" s="5">
        <v>1600.0</v>
      </c>
      <c r="N3596" s="9">
        <v>44612.0</v>
      </c>
    </row>
    <row r="3597">
      <c r="A3597" s="5">
        <v>3596.0</v>
      </c>
      <c r="B3597" s="5" t="s">
        <v>4198</v>
      </c>
      <c r="C3597" s="5" t="s">
        <v>21</v>
      </c>
      <c r="K3597" s="5">
        <v>600.0</v>
      </c>
      <c r="N3597" s="9">
        <v>44350.0</v>
      </c>
    </row>
    <row r="3598">
      <c r="A3598" s="5">
        <v>3597.0</v>
      </c>
      <c r="B3598" s="5" t="s">
        <v>4199</v>
      </c>
      <c r="C3598" s="5" t="s">
        <v>21</v>
      </c>
      <c r="K3598" s="5">
        <v>100.0</v>
      </c>
      <c r="N3598" s="9">
        <v>44552.0</v>
      </c>
    </row>
    <row r="3599">
      <c r="A3599" s="5">
        <v>3598.0</v>
      </c>
      <c r="B3599" s="5" t="s">
        <v>4200</v>
      </c>
      <c r="C3599" s="5" t="s">
        <v>21</v>
      </c>
      <c r="K3599" s="5">
        <v>10.0</v>
      </c>
      <c r="N3599" s="9">
        <v>44588.0</v>
      </c>
    </row>
    <row r="3600">
      <c r="A3600" s="5">
        <v>3599.0</v>
      </c>
      <c r="B3600" s="5" t="s">
        <v>4201</v>
      </c>
      <c r="C3600" s="5" t="s">
        <v>21</v>
      </c>
      <c r="K3600" s="5">
        <v>500.0</v>
      </c>
      <c r="N3600" s="9">
        <v>44436.0</v>
      </c>
    </row>
    <row r="3601">
      <c r="A3601" s="5">
        <v>3600.0</v>
      </c>
      <c r="B3601" s="5" t="s">
        <v>4202</v>
      </c>
      <c r="C3601" s="5" t="s">
        <v>21</v>
      </c>
      <c r="K3601" s="5">
        <v>200.0</v>
      </c>
      <c r="N3601" s="9">
        <v>44556.0</v>
      </c>
    </row>
    <row r="3602">
      <c r="A3602" s="5">
        <v>3601.0</v>
      </c>
      <c r="B3602" s="5" t="s">
        <v>4203</v>
      </c>
      <c r="C3602" s="5" t="s">
        <v>21</v>
      </c>
      <c r="K3602" s="5">
        <v>40.0</v>
      </c>
      <c r="N3602" s="9">
        <v>44561.0</v>
      </c>
    </row>
    <row r="3603">
      <c r="A3603" s="5">
        <v>3602.0</v>
      </c>
      <c r="B3603" s="5" t="s">
        <v>4204</v>
      </c>
      <c r="C3603" s="5" t="s">
        <v>21</v>
      </c>
      <c r="K3603" s="5">
        <v>350.0</v>
      </c>
      <c r="N3603" s="9">
        <v>44544.0</v>
      </c>
    </row>
    <row r="3604">
      <c r="A3604" s="5">
        <v>3603.0</v>
      </c>
      <c r="B3604" s="5" t="s">
        <v>4205</v>
      </c>
      <c r="C3604" s="5" t="s">
        <v>21</v>
      </c>
      <c r="K3604" s="5">
        <v>600.0</v>
      </c>
      <c r="N3604" s="9">
        <v>45026.0</v>
      </c>
    </row>
    <row r="3605">
      <c r="A3605" s="5">
        <v>3604.0</v>
      </c>
      <c r="B3605" s="5" t="s">
        <v>4206</v>
      </c>
      <c r="C3605" s="5" t="s">
        <v>21</v>
      </c>
      <c r="K3605" s="5">
        <v>150.0</v>
      </c>
      <c r="N3605" s="9">
        <v>44795.0</v>
      </c>
    </row>
    <row r="3606">
      <c r="A3606" s="5">
        <v>3605.0</v>
      </c>
      <c r="B3606" s="5" t="s">
        <v>4207</v>
      </c>
      <c r="C3606" s="5" t="s">
        <v>21</v>
      </c>
      <c r="K3606" s="5">
        <v>300.0</v>
      </c>
      <c r="N3606" s="9">
        <v>44900.0</v>
      </c>
    </row>
    <row r="3607">
      <c r="A3607" s="5">
        <v>3606.0</v>
      </c>
      <c r="B3607" s="5" t="s">
        <v>4208</v>
      </c>
      <c r="C3607" s="5" t="s">
        <v>21</v>
      </c>
      <c r="K3607" s="5">
        <v>100.0</v>
      </c>
      <c r="N3607" s="9">
        <v>46130.0</v>
      </c>
    </row>
    <row r="3608">
      <c r="A3608" s="5">
        <v>3607.0</v>
      </c>
      <c r="B3608" s="5" t="s">
        <v>4209</v>
      </c>
      <c r="C3608" s="5" t="s">
        <v>21</v>
      </c>
      <c r="K3608" s="5">
        <v>3600.0</v>
      </c>
      <c r="N3608" s="9">
        <v>43842.0</v>
      </c>
    </row>
    <row r="3609">
      <c r="A3609" s="5">
        <v>3608.0</v>
      </c>
      <c r="B3609" s="5" t="s">
        <v>4210</v>
      </c>
      <c r="C3609" s="5" t="s">
        <v>21</v>
      </c>
      <c r="K3609" s="5">
        <v>10.0</v>
      </c>
      <c r="N3609" s="9">
        <v>44608.0</v>
      </c>
    </row>
    <row r="3610">
      <c r="A3610" s="5">
        <v>3609.0</v>
      </c>
      <c r="B3610" s="5" t="s">
        <v>4211</v>
      </c>
      <c r="C3610" s="5" t="s">
        <v>21</v>
      </c>
      <c r="K3610" s="5">
        <v>1800.0</v>
      </c>
      <c r="N3610" s="9">
        <v>44346.0</v>
      </c>
    </row>
    <row r="3611">
      <c r="A3611" s="5">
        <v>3610.0</v>
      </c>
      <c r="B3611" s="5" t="s">
        <v>4212</v>
      </c>
      <c r="C3611" s="5" t="s">
        <v>21</v>
      </c>
      <c r="K3611" s="5">
        <v>200.0</v>
      </c>
      <c r="N3611" s="9">
        <v>44603.0</v>
      </c>
    </row>
    <row r="3612">
      <c r="A3612" s="5">
        <v>3611.0</v>
      </c>
      <c r="B3612" s="5" t="s">
        <v>4213</v>
      </c>
      <c r="C3612" s="5" t="s">
        <v>21</v>
      </c>
      <c r="K3612" s="5">
        <v>200.0</v>
      </c>
      <c r="N3612" s="9">
        <v>44620.0</v>
      </c>
    </row>
    <row r="3613">
      <c r="A3613" s="5">
        <v>3612.0</v>
      </c>
      <c r="B3613" s="5" t="s">
        <v>4214</v>
      </c>
      <c r="C3613" s="5" t="s">
        <v>21</v>
      </c>
      <c r="K3613" s="5">
        <v>80.0</v>
      </c>
      <c r="N3613" s="9">
        <v>44513.0</v>
      </c>
    </row>
    <row r="3614">
      <c r="A3614" s="5">
        <v>3613.0</v>
      </c>
      <c r="B3614" s="5" t="s">
        <v>4215</v>
      </c>
      <c r="C3614" s="5" t="s">
        <v>21</v>
      </c>
      <c r="K3614" s="5">
        <v>400.0</v>
      </c>
      <c r="N3614" s="9">
        <v>45391.0</v>
      </c>
    </row>
    <row r="3615">
      <c r="A3615" s="5">
        <v>3614.0</v>
      </c>
      <c r="B3615" s="5" t="s">
        <v>4216</v>
      </c>
      <c r="C3615" s="5" t="s">
        <v>21</v>
      </c>
      <c r="K3615" s="5">
        <v>900.0</v>
      </c>
      <c r="N3615" s="9">
        <v>45017.0</v>
      </c>
    </row>
    <row r="3616">
      <c r="A3616" s="5">
        <v>3615.0</v>
      </c>
      <c r="B3616" s="5" t="s">
        <v>4217</v>
      </c>
      <c r="C3616" s="5" t="s">
        <v>21</v>
      </c>
      <c r="K3616" s="5">
        <v>300.0</v>
      </c>
      <c r="N3616" s="9">
        <v>45095.0</v>
      </c>
    </row>
    <row r="3617">
      <c r="A3617" s="5">
        <v>3616.0</v>
      </c>
      <c r="B3617" s="5" t="s">
        <v>4218</v>
      </c>
      <c r="C3617" s="5" t="s">
        <v>21</v>
      </c>
      <c r="N3617" s="9">
        <v>44282.0</v>
      </c>
    </row>
    <row r="3618">
      <c r="A3618" s="5">
        <v>3617.0</v>
      </c>
      <c r="B3618" s="5" t="s">
        <v>4219</v>
      </c>
      <c r="C3618" s="5" t="s">
        <v>21</v>
      </c>
      <c r="K3618" s="5">
        <v>60.0</v>
      </c>
      <c r="N3618" s="9">
        <v>44711.0</v>
      </c>
    </row>
    <row r="3619">
      <c r="A3619" s="5">
        <v>3618.0</v>
      </c>
      <c r="B3619" s="5" t="s">
        <v>4220</v>
      </c>
      <c r="C3619" s="5" t="s">
        <v>21</v>
      </c>
      <c r="K3619" s="5">
        <v>900.0</v>
      </c>
      <c r="N3619" s="9">
        <v>43842.0</v>
      </c>
    </row>
    <row r="3620">
      <c r="A3620" s="5">
        <v>3619.0</v>
      </c>
      <c r="B3620" s="5" t="s">
        <v>4221</v>
      </c>
      <c r="C3620" s="5" t="s">
        <v>21</v>
      </c>
      <c r="K3620" s="5">
        <v>100.0</v>
      </c>
      <c r="N3620" s="9">
        <v>45167.0</v>
      </c>
    </row>
    <row r="3621">
      <c r="A3621" s="5">
        <v>3620.0</v>
      </c>
      <c r="B3621" s="5" t="s">
        <v>4222</v>
      </c>
      <c r="C3621" s="5" t="s">
        <v>21</v>
      </c>
      <c r="K3621" s="5">
        <v>300.0</v>
      </c>
      <c r="N3621" s="9">
        <v>45091.0</v>
      </c>
    </row>
    <row r="3622">
      <c r="A3622" s="5">
        <v>3621.0</v>
      </c>
      <c r="B3622" s="5" t="s">
        <v>4223</v>
      </c>
      <c r="C3622" s="5" t="s">
        <v>21</v>
      </c>
      <c r="K3622" s="5">
        <v>600.0</v>
      </c>
      <c r="N3622" s="9">
        <v>44560.0</v>
      </c>
    </row>
    <row r="3623">
      <c r="A3623" s="5">
        <v>3622.0</v>
      </c>
      <c r="B3623" s="5" t="s">
        <v>4224</v>
      </c>
      <c r="C3623" s="5" t="s">
        <v>21</v>
      </c>
      <c r="K3623" s="5">
        <v>1100.0</v>
      </c>
      <c r="N3623" s="9">
        <v>44520.0</v>
      </c>
    </row>
    <row r="3624">
      <c r="A3624" s="5">
        <v>3623.0</v>
      </c>
      <c r="B3624" s="5" t="s">
        <v>4225</v>
      </c>
      <c r="C3624" s="5" t="s">
        <v>21</v>
      </c>
      <c r="K3624" s="5">
        <v>80.0</v>
      </c>
      <c r="N3624" s="9">
        <v>44583.0</v>
      </c>
    </row>
    <row r="3625">
      <c r="A3625" s="5">
        <v>3624.0</v>
      </c>
      <c r="B3625" s="5" t="s">
        <v>4226</v>
      </c>
      <c r="C3625" s="5" t="s">
        <v>21</v>
      </c>
      <c r="K3625" s="5">
        <v>800.0</v>
      </c>
      <c r="N3625" s="9">
        <v>44213.0</v>
      </c>
    </row>
    <row r="3626">
      <c r="A3626" s="5">
        <v>3625.0</v>
      </c>
      <c r="B3626" s="5" t="s">
        <v>4227</v>
      </c>
      <c r="C3626" s="5" t="s">
        <v>21</v>
      </c>
      <c r="K3626" s="5">
        <v>50.0</v>
      </c>
      <c r="N3626" s="9">
        <v>44547.0</v>
      </c>
    </row>
    <row r="3627">
      <c r="A3627" s="5">
        <v>3626.0</v>
      </c>
      <c r="B3627" s="5" t="s">
        <v>4228</v>
      </c>
      <c r="C3627" s="5" t="s">
        <v>21</v>
      </c>
      <c r="N3627" s="9">
        <v>45666.0</v>
      </c>
    </row>
    <row r="3628">
      <c r="A3628" s="5">
        <v>3627.0</v>
      </c>
      <c r="B3628" s="5" t="s">
        <v>4229</v>
      </c>
      <c r="C3628" s="5" t="s">
        <v>21</v>
      </c>
      <c r="K3628" s="5">
        <v>40.0</v>
      </c>
      <c r="N3628" s="9">
        <v>45592.0</v>
      </c>
    </row>
    <row r="3629">
      <c r="A3629" s="5">
        <v>3628.0</v>
      </c>
      <c r="B3629" s="5" t="s">
        <v>4230</v>
      </c>
      <c r="C3629" s="5" t="s">
        <v>21</v>
      </c>
      <c r="N3629" s="9">
        <v>44832.0</v>
      </c>
    </row>
    <row r="3630">
      <c r="A3630" s="5">
        <v>3629.0</v>
      </c>
      <c r="B3630" s="5" t="s">
        <v>4231</v>
      </c>
      <c r="C3630" s="5" t="s">
        <v>21</v>
      </c>
      <c r="K3630" s="5">
        <v>20.0</v>
      </c>
      <c r="N3630" s="9">
        <v>44047.0</v>
      </c>
    </row>
    <row r="3631">
      <c r="A3631" s="5">
        <v>3630.0</v>
      </c>
      <c r="B3631" s="5" t="s">
        <v>4232</v>
      </c>
      <c r="C3631" s="5" t="s">
        <v>21</v>
      </c>
      <c r="K3631" s="5">
        <v>90.0</v>
      </c>
      <c r="N3631" s="9">
        <v>44312.0</v>
      </c>
    </row>
    <row r="3632">
      <c r="A3632" s="5">
        <v>3631.0</v>
      </c>
      <c r="B3632" s="5" t="s">
        <v>4233</v>
      </c>
      <c r="C3632" s="5" t="s">
        <v>21</v>
      </c>
      <c r="K3632" s="5">
        <v>150.0</v>
      </c>
      <c r="N3632" s="9">
        <v>44778.0</v>
      </c>
    </row>
    <row r="3633">
      <c r="A3633" s="5">
        <v>3632.0</v>
      </c>
      <c r="B3633" s="5" t="s">
        <v>4234</v>
      </c>
      <c r="C3633" s="5" t="s">
        <v>21</v>
      </c>
      <c r="K3633" s="5">
        <v>900.0</v>
      </c>
      <c r="N3633" s="9">
        <v>44742.0</v>
      </c>
    </row>
    <row r="3634">
      <c r="A3634" s="5">
        <v>3633.0</v>
      </c>
      <c r="B3634" s="5" t="s">
        <v>4235</v>
      </c>
      <c r="C3634" s="5" t="s">
        <v>21</v>
      </c>
      <c r="N3634" s="9">
        <v>45132.0</v>
      </c>
    </row>
    <row r="3635">
      <c r="A3635" s="5">
        <v>3634.0</v>
      </c>
      <c r="B3635" s="5" t="s">
        <v>4236</v>
      </c>
      <c r="C3635" s="5" t="s">
        <v>21</v>
      </c>
      <c r="K3635" s="5">
        <v>80.0</v>
      </c>
      <c r="N3635" s="9">
        <v>45058.0</v>
      </c>
    </row>
    <row r="3636">
      <c r="A3636" s="5">
        <v>3635.0</v>
      </c>
      <c r="B3636" s="5" t="s">
        <v>4237</v>
      </c>
      <c r="C3636" s="5" t="s">
        <v>21</v>
      </c>
      <c r="K3636" s="5">
        <v>60.0</v>
      </c>
      <c r="N3636" s="9">
        <v>44399.0</v>
      </c>
    </row>
    <row r="3637">
      <c r="A3637" s="5">
        <v>3636.0</v>
      </c>
      <c r="B3637" s="5" t="s">
        <v>4238</v>
      </c>
      <c r="C3637" s="5" t="s">
        <v>21</v>
      </c>
      <c r="K3637" s="5">
        <v>600.0</v>
      </c>
      <c r="N3637" s="9">
        <v>45130.0</v>
      </c>
    </row>
    <row r="3638">
      <c r="A3638" s="5">
        <v>3637.0</v>
      </c>
      <c r="B3638" s="5" t="s">
        <v>4239</v>
      </c>
      <c r="C3638" s="5" t="s">
        <v>21</v>
      </c>
      <c r="K3638" s="5">
        <v>200.0</v>
      </c>
      <c r="N3638" s="9">
        <v>44912.0</v>
      </c>
    </row>
    <row r="3639">
      <c r="A3639" s="5">
        <v>3638.0</v>
      </c>
      <c r="B3639" s="5" t="s">
        <v>4240</v>
      </c>
      <c r="C3639" s="5" t="s">
        <v>21</v>
      </c>
      <c r="K3639" s="5">
        <v>200.0</v>
      </c>
      <c r="N3639" s="9">
        <v>44536.0</v>
      </c>
    </row>
    <row r="3640">
      <c r="A3640" s="5">
        <v>3639.0</v>
      </c>
      <c r="B3640" s="5" t="s">
        <v>4241</v>
      </c>
      <c r="C3640" s="5" t="s">
        <v>21</v>
      </c>
      <c r="K3640" s="5">
        <v>600.0</v>
      </c>
      <c r="N3640" s="9">
        <v>44530.0</v>
      </c>
    </row>
    <row r="3641">
      <c r="A3641" s="5">
        <v>3640.0</v>
      </c>
      <c r="B3641" s="5" t="s">
        <v>4242</v>
      </c>
      <c r="C3641" s="5" t="s">
        <v>21</v>
      </c>
      <c r="K3641" s="5">
        <v>300.0</v>
      </c>
      <c r="N3641" s="9">
        <v>44913.0</v>
      </c>
    </row>
    <row r="3642">
      <c r="A3642" s="5">
        <v>3641.0</v>
      </c>
      <c r="B3642" s="5" t="s">
        <v>4243</v>
      </c>
      <c r="C3642" s="5" t="s">
        <v>21</v>
      </c>
      <c r="K3642" s="5">
        <v>500.0</v>
      </c>
      <c r="N3642" s="9">
        <v>44661.0</v>
      </c>
    </row>
    <row r="3643">
      <c r="A3643" s="5">
        <v>3642.0</v>
      </c>
      <c r="B3643" s="5" t="s">
        <v>4244</v>
      </c>
      <c r="C3643" s="5" t="s">
        <v>21</v>
      </c>
      <c r="K3643" s="5">
        <v>250.0</v>
      </c>
      <c r="N3643" s="9">
        <v>44540.0</v>
      </c>
    </row>
    <row r="3644">
      <c r="A3644" s="5">
        <v>3643.0</v>
      </c>
      <c r="B3644" s="5" t="s">
        <v>4245</v>
      </c>
      <c r="C3644" s="5" t="s">
        <v>21</v>
      </c>
      <c r="K3644" s="5">
        <v>2900.0</v>
      </c>
      <c r="N3644" s="9">
        <v>44661.0</v>
      </c>
    </row>
    <row r="3645">
      <c r="A3645" s="5">
        <v>3644.0</v>
      </c>
      <c r="B3645" s="5" t="s">
        <v>4246</v>
      </c>
      <c r="C3645" s="5" t="s">
        <v>21</v>
      </c>
      <c r="K3645" s="5">
        <v>2700.0</v>
      </c>
      <c r="N3645" s="9">
        <v>43964.0</v>
      </c>
    </row>
    <row r="3646">
      <c r="A3646" s="5">
        <v>3645.0</v>
      </c>
      <c r="B3646" s="5" t="s">
        <v>4247</v>
      </c>
      <c r="C3646" s="5" t="s">
        <v>21</v>
      </c>
      <c r="K3646" s="5">
        <v>1200.0</v>
      </c>
      <c r="N3646" s="9">
        <v>44970.0</v>
      </c>
    </row>
    <row r="3647">
      <c r="A3647" s="5">
        <v>3646.0</v>
      </c>
      <c r="B3647" s="5" t="s">
        <v>4248</v>
      </c>
      <c r="C3647" s="5" t="s">
        <v>21</v>
      </c>
      <c r="K3647" s="5">
        <v>350.0</v>
      </c>
      <c r="N3647" s="9">
        <v>44523.0</v>
      </c>
    </row>
    <row r="3648">
      <c r="A3648" s="5">
        <v>3647.0</v>
      </c>
      <c r="B3648" s="5" t="s">
        <v>4249</v>
      </c>
      <c r="C3648" s="5" t="s">
        <v>21</v>
      </c>
      <c r="K3648" s="5">
        <v>200.0</v>
      </c>
      <c r="N3648" s="9">
        <v>44658.0</v>
      </c>
    </row>
    <row r="3649">
      <c r="A3649" s="5">
        <v>3648.0</v>
      </c>
      <c r="B3649" s="5" t="s">
        <v>180</v>
      </c>
      <c r="C3649" s="5" t="s">
        <v>21</v>
      </c>
      <c r="K3649" s="5">
        <v>400.0</v>
      </c>
      <c r="N3649" s="9">
        <v>44827.0</v>
      </c>
    </row>
    <row r="3650">
      <c r="A3650" s="5">
        <v>3649.0</v>
      </c>
      <c r="B3650" s="5" t="s">
        <v>4250</v>
      </c>
      <c r="C3650" s="5" t="s">
        <v>21</v>
      </c>
      <c r="K3650" s="5">
        <v>2600.0</v>
      </c>
      <c r="N3650" s="9">
        <v>43857.0</v>
      </c>
    </row>
    <row r="3651">
      <c r="A3651" s="5">
        <v>3650.0</v>
      </c>
      <c r="B3651" s="5" t="s">
        <v>4251</v>
      </c>
      <c r="C3651" s="5" t="s">
        <v>21</v>
      </c>
      <c r="K3651" s="5">
        <v>250.0</v>
      </c>
      <c r="N3651" s="9">
        <v>44865.0</v>
      </c>
    </row>
    <row r="3652">
      <c r="A3652" s="5">
        <v>3651.0</v>
      </c>
      <c r="B3652" s="5" t="s">
        <v>4252</v>
      </c>
      <c r="C3652" s="5" t="s">
        <v>21</v>
      </c>
      <c r="K3652" s="5">
        <v>50.0</v>
      </c>
      <c r="N3652" s="9">
        <v>44691.0</v>
      </c>
    </row>
    <row r="3653">
      <c r="A3653" s="5">
        <v>3652.0</v>
      </c>
      <c r="B3653" s="5" t="s">
        <v>4253</v>
      </c>
      <c r="C3653" s="5" t="s">
        <v>21</v>
      </c>
      <c r="K3653" s="5">
        <v>16000.0</v>
      </c>
      <c r="N3653" s="9">
        <v>46087.0</v>
      </c>
    </row>
    <row r="3654">
      <c r="A3654" s="5">
        <v>3653.0</v>
      </c>
      <c r="B3654" s="5" t="s">
        <v>4254</v>
      </c>
      <c r="C3654" s="5" t="s">
        <v>21</v>
      </c>
      <c r="K3654" s="5">
        <v>300.0</v>
      </c>
      <c r="N3654" s="9">
        <v>46124.0</v>
      </c>
    </row>
    <row r="3655">
      <c r="A3655" s="5">
        <v>3654.0</v>
      </c>
      <c r="B3655" s="5" t="s">
        <v>4255</v>
      </c>
      <c r="C3655" s="5" t="s">
        <v>21</v>
      </c>
      <c r="K3655" s="5">
        <v>70.0</v>
      </c>
      <c r="N3655" s="9">
        <v>45488.0</v>
      </c>
    </row>
    <row r="3656">
      <c r="A3656" s="5">
        <v>3655.0</v>
      </c>
      <c r="B3656" s="5" t="s">
        <v>4256</v>
      </c>
      <c r="C3656" s="5" t="s">
        <v>21</v>
      </c>
      <c r="K3656" s="5">
        <v>10.0</v>
      </c>
      <c r="N3656" s="9">
        <v>44712.0</v>
      </c>
    </row>
    <row r="3657">
      <c r="A3657" s="5">
        <v>3656.0</v>
      </c>
      <c r="B3657" s="5" t="s">
        <v>4257</v>
      </c>
      <c r="C3657" s="5" t="s">
        <v>21</v>
      </c>
      <c r="N3657" s="9">
        <v>44674.0</v>
      </c>
    </row>
    <row r="3658">
      <c r="A3658" s="5">
        <v>3657.0</v>
      </c>
      <c r="B3658" s="5" t="s">
        <v>4258</v>
      </c>
      <c r="C3658" s="5" t="s">
        <v>21</v>
      </c>
      <c r="K3658" s="5">
        <v>150.0</v>
      </c>
      <c r="N3658" s="9">
        <v>44782.0</v>
      </c>
    </row>
    <row r="3659">
      <c r="A3659" s="5">
        <v>3658.0</v>
      </c>
      <c r="B3659" s="5" t="s">
        <v>4259</v>
      </c>
      <c r="C3659" s="5" t="s">
        <v>21</v>
      </c>
      <c r="N3659" s="9">
        <v>44523.0</v>
      </c>
    </row>
    <row r="3660">
      <c r="A3660" s="5">
        <v>3659.0</v>
      </c>
      <c r="B3660" s="5" t="s">
        <v>4260</v>
      </c>
      <c r="C3660" s="5" t="s">
        <v>21</v>
      </c>
      <c r="K3660" s="5">
        <v>150.0</v>
      </c>
      <c r="N3660" s="9">
        <v>45188.0</v>
      </c>
    </row>
    <row r="3661">
      <c r="A3661" s="5">
        <v>3660.0</v>
      </c>
      <c r="B3661" s="5" t="s">
        <v>4261</v>
      </c>
      <c r="C3661" s="5" t="s">
        <v>21</v>
      </c>
      <c r="N3661" s="9">
        <v>44561.0</v>
      </c>
    </row>
    <row r="3662">
      <c r="A3662" s="5">
        <v>3661.0</v>
      </c>
      <c r="B3662" s="5" t="s">
        <v>4262</v>
      </c>
      <c r="C3662" s="5" t="s">
        <v>21</v>
      </c>
      <c r="N3662" s="9">
        <v>44488.0</v>
      </c>
    </row>
    <row r="3663">
      <c r="A3663" s="5">
        <v>3662.0</v>
      </c>
      <c r="B3663" s="5" t="s">
        <v>4263</v>
      </c>
      <c r="C3663" s="5" t="s">
        <v>21</v>
      </c>
      <c r="K3663" s="5">
        <v>300.0</v>
      </c>
      <c r="N3663" s="9">
        <v>44574.0</v>
      </c>
    </row>
    <row r="3664">
      <c r="A3664" s="5">
        <v>3663.0</v>
      </c>
      <c r="B3664" s="5" t="s">
        <v>4264</v>
      </c>
      <c r="C3664" s="5" t="s">
        <v>21</v>
      </c>
      <c r="K3664" s="5">
        <v>300.0</v>
      </c>
      <c r="N3664" s="9">
        <v>45790.0</v>
      </c>
    </row>
    <row r="3665">
      <c r="A3665" s="5">
        <v>3664.0</v>
      </c>
      <c r="B3665" s="5" t="s">
        <v>4265</v>
      </c>
      <c r="C3665" s="5" t="s">
        <v>21</v>
      </c>
      <c r="K3665" s="5">
        <v>450.0</v>
      </c>
      <c r="N3665" s="9">
        <v>44645.0</v>
      </c>
    </row>
    <row r="3666">
      <c r="A3666" s="5">
        <v>3665.0</v>
      </c>
      <c r="B3666" s="5" t="s">
        <v>182</v>
      </c>
      <c r="C3666" s="5" t="s">
        <v>21</v>
      </c>
      <c r="K3666" s="5">
        <v>4500.0</v>
      </c>
      <c r="N3666" s="9">
        <v>44245.0</v>
      </c>
    </row>
    <row r="3667">
      <c r="A3667" s="5">
        <v>3666.0</v>
      </c>
      <c r="B3667" s="5" t="s">
        <v>4266</v>
      </c>
      <c r="C3667" s="5" t="s">
        <v>21</v>
      </c>
      <c r="K3667" s="5">
        <v>1400.0</v>
      </c>
      <c r="N3667" s="9">
        <v>44898.0</v>
      </c>
    </row>
    <row r="3668">
      <c r="A3668" s="5">
        <v>3667.0</v>
      </c>
      <c r="B3668" s="5" t="s">
        <v>4267</v>
      </c>
      <c r="C3668" s="5" t="s">
        <v>21</v>
      </c>
      <c r="K3668" s="5">
        <v>90.0</v>
      </c>
      <c r="N3668" s="9">
        <v>45341.0</v>
      </c>
    </row>
    <row r="3669">
      <c r="A3669" s="5">
        <v>3668.0</v>
      </c>
      <c r="B3669" s="5" t="s">
        <v>4268</v>
      </c>
      <c r="C3669" s="5" t="s">
        <v>21</v>
      </c>
      <c r="K3669" s="5">
        <v>100.0</v>
      </c>
      <c r="N3669" s="9">
        <v>45173.0</v>
      </c>
    </row>
    <row r="3670">
      <c r="A3670" s="5">
        <v>3669.0</v>
      </c>
      <c r="B3670" s="5" t="s">
        <v>4269</v>
      </c>
      <c r="C3670" s="5" t="s">
        <v>21</v>
      </c>
      <c r="K3670" s="5">
        <v>100.0</v>
      </c>
      <c r="N3670" s="9">
        <v>44929.0</v>
      </c>
    </row>
    <row r="3671">
      <c r="A3671" s="5">
        <v>3670.0</v>
      </c>
      <c r="B3671" s="5" t="s">
        <v>4270</v>
      </c>
      <c r="C3671" s="5" t="s">
        <v>21</v>
      </c>
      <c r="K3671" s="5">
        <v>3300.0</v>
      </c>
      <c r="N3671" s="9">
        <v>44579.0</v>
      </c>
    </row>
    <row r="3672">
      <c r="A3672" s="5">
        <v>3671.0</v>
      </c>
      <c r="B3672" s="5" t="s">
        <v>4271</v>
      </c>
      <c r="C3672" s="5" t="s">
        <v>21</v>
      </c>
      <c r="K3672" s="5">
        <v>150.0</v>
      </c>
      <c r="N3672" s="9">
        <v>44263.0</v>
      </c>
    </row>
    <row r="3673">
      <c r="A3673" s="5">
        <v>3672.0</v>
      </c>
      <c r="B3673" s="5" t="s">
        <v>4272</v>
      </c>
      <c r="C3673" s="5" t="s">
        <v>21</v>
      </c>
      <c r="K3673" s="5">
        <v>450.0</v>
      </c>
      <c r="N3673" s="9">
        <v>44997.0</v>
      </c>
    </row>
    <row r="3674">
      <c r="A3674" s="5">
        <v>3673.0</v>
      </c>
      <c r="B3674" s="5" t="s">
        <v>4273</v>
      </c>
      <c r="C3674" s="5" t="s">
        <v>21</v>
      </c>
      <c r="K3674" s="5">
        <v>70.0</v>
      </c>
      <c r="N3674" s="9">
        <v>44923.0</v>
      </c>
    </row>
    <row r="3675">
      <c r="A3675" s="5">
        <v>3674.0</v>
      </c>
      <c r="B3675" s="5" t="s">
        <v>4274</v>
      </c>
      <c r="C3675" s="5" t="s">
        <v>21</v>
      </c>
      <c r="K3675" s="5">
        <v>300.0</v>
      </c>
      <c r="N3675" s="9">
        <v>44533.0</v>
      </c>
    </row>
    <row r="3676">
      <c r="A3676" s="5">
        <v>3675.0</v>
      </c>
      <c r="B3676" s="5" t="s">
        <v>127</v>
      </c>
      <c r="C3676" s="5" t="s">
        <v>21</v>
      </c>
      <c r="K3676" s="5">
        <v>10.0</v>
      </c>
      <c r="N3676" s="9">
        <v>44166.0</v>
      </c>
    </row>
    <row r="3677">
      <c r="A3677" s="5">
        <v>3676.0</v>
      </c>
      <c r="B3677" s="5" t="s">
        <v>4275</v>
      </c>
      <c r="C3677" s="5" t="s">
        <v>21</v>
      </c>
      <c r="K3677" s="5">
        <v>700.0</v>
      </c>
      <c r="N3677" s="9">
        <v>44269.0</v>
      </c>
    </row>
    <row r="3678">
      <c r="A3678" s="5">
        <v>3677.0</v>
      </c>
      <c r="B3678" s="5" t="s">
        <v>4276</v>
      </c>
      <c r="C3678" s="5" t="s">
        <v>21</v>
      </c>
      <c r="K3678" s="5">
        <v>200.0</v>
      </c>
      <c r="N3678" s="9">
        <v>43953.0</v>
      </c>
    </row>
    <row r="3679">
      <c r="A3679" s="5">
        <v>3678.0</v>
      </c>
      <c r="B3679" s="5" t="s">
        <v>4277</v>
      </c>
      <c r="C3679" s="5" t="s">
        <v>21</v>
      </c>
      <c r="K3679" s="5">
        <v>70.0</v>
      </c>
      <c r="N3679" s="9">
        <v>44655.0</v>
      </c>
    </row>
    <row r="3680">
      <c r="A3680" s="5">
        <v>3679.0</v>
      </c>
      <c r="B3680" s="5" t="s">
        <v>4278</v>
      </c>
      <c r="C3680" s="5" t="s">
        <v>21</v>
      </c>
      <c r="K3680" s="5">
        <v>7600.0</v>
      </c>
      <c r="N3680" s="9">
        <v>44343.0</v>
      </c>
    </row>
    <row r="3681">
      <c r="A3681" s="5">
        <v>3680.0</v>
      </c>
      <c r="B3681" s="5" t="s">
        <v>4279</v>
      </c>
      <c r="C3681" s="5" t="s">
        <v>21</v>
      </c>
      <c r="K3681" s="5">
        <v>200.0</v>
      </c>
      <c r="N3681" s="9">
        <v>45113.0</v>
      </c>
    </row>
    <row r="3682">
      <c r="A3682" s="5">
        <v>3681.0</v>
      </c>
      <c r="B3682" s="5" t="s">
        <v>4280</v>
      </c>
      <c r="C3682" s="5" t="s">
        <v>21</v>
      </c>
      <c r="N3682" s="9">
        <v>44677.0</v>
      </c>
    </row>
    <row r="3683">
      <c r="A3683" s="5">
        <v>3682.0</v>
      </c>
      <c r="B3683" s="5" t="s">
        <v>4281</v>
      </c>
      <c r="C3683" s="5" t="s">
        <v>21</v>
      </c>
      <c r="K3683" s="5">
        <v>2200.0</v>
      </c>
      <c r="N3683" s="9">
        <v>43882.0</v>
      </c>
    </row>
    <row r="3684">
      <c r="A3684" s="5">
        <v>3683.0</v>
      </c>
      <c r="B3684" s="5" t="s">
        <v>4282</v>
      </c>
      <c r="C3684" s="5" t="s">
        <v>21</v>
      </c>
      <c r="K3684" s="5">
        <v>150.0</v>
      </c>
      <c r="N3684" s="9">
        <v>45468.0</v>
      </c>
    </row>
    <row r="3685">
      <c r="A3685" s="5">
        <v>3684.0</v>
      </c>
      <c r="B3685" s="5" t="s">
        <v>4283</v>
      </c>
      <c r="C3685" s="5" t="s">
        <v>21</v>
      </c>
      <c r="K3685" s="5">
        <v>600.0</v>
      </c>
      <c r="N3685" s="9">
        <v>45155.0</v>
      </c>
    </row>
    <row r="3686">
      <c r="A3686" s="5">
        <v>3685.0</v>
      </c>
      <c r="B3686" s="5" t="s">
        <v>4284</v>
      </c>
      <c r="C3686" s="5" t="s">
        <v>21</v>
      </c>
      <c r="K3686" s="5">
        <v>250.0</v>
      </c>
      <c r="N3686" s="9">
        <v>45783.0</v>
      </c>
    </row>
    <row r="3687">
      <c r="A3687" s="5">
        <v>3686.0</v>
      </c>
      <c r="B3687" s="5" t="s">
        <v>4285</v>
      </c>
      <c r="C3687" s="5" t="s">
        <v>21</v>
      </c>
      <c r="K3687" s="5">
        <v>2400.0</v>
      </c>
      <c r="N3687" s="9">
        <v>44532.0</v>
      </c>
    </row>
    <row r="3688">
      <c r="A3688" s="5">
        <v>3687.0</v>
      </c>
      <c r="B3688" s="5" t="s">
        <v>4286</v>
      </c>
      <c r="C3688" s="5" t="s">
        <v>21</v>
      </c>
      <c r="K3688" s="5">
        <v>70.0</v>
      </c>
      <c r="N3688" s="9">
        <v>43968.0</v>
      </c>
    </row>
    <row r="3689">
      <c r="A3689" s="5">
        <v>3688.0</v>
      </c>
      <c r="B3689" s="5" t="s">
        <v>4287</v>
      </c>
      <c r="C3689" s="5" t="s">
        <v>21</v>
      </c>
      <c r="K3689" s="5">
        <v>100.0</v>
      </c>
      <c r="N3689" s="9">
        <v>45151.0</v>
      </c>
    </row>
    <row r="3690">
      <c r="A3690" s="5">
        <v>3689.0</v>
      </c>
      <c r="B3690" s="5" t="s">
        <v>4288</v>
      </c>
      <c r="C3690" s="5" t="s">
        <v>21</v>
      </c>
      <c r="K3690" s="5">
        <v>30.0</v>
      </c>
      <c r="N3690" s="9">
        <v>44817.0</v>
      </c>
    </row>
    <row r="3691">
      <c r="A3691" s="5">
        <v>3690.0</v>
      </c>
      <c r="B3691" s="5" t="s">
        <v>4289</v>
      </c>
      <c r="C3691" s="5" t="s">
        <v>21</v>
      </c>
      <c r="K3691" s="5">
        <v>70.0</v>
      </c>
      <c r="N3691" s="9">
        <v>44641.0</v>
      </c>
    </row>
    <row r="3692">
      <c r="A3692" s="5">
        <v>3691.0</v>
      </c>
      <c r="B3692" s="5" t="s">
        <v>4290</v>
      </c>
      <c r="C3692" s="5" t="s">
        <v>21</v>
      </c>
      <c r="K3692" s="5">
        <v>400.0</v>
      </c>
      <c r="N3692" s="9">
        <v>44689.0</v>
      </c>
    </row>
    <row r="3693">
      <c r="A3693" s="5">
        <v>3692.0</v>
      </c>
      <c r="B3693" s="5" t="s">
        <v>4291</v>
      </c>
      <c r="C3693" s="5" t="s">
        <v>21</v>
      </c>
      <c r="K3693" s="5">
        <v>400.0</v>
      </c>
      <c r="N3693" s="9">
        <v>45207.0</v>
      </c>
    </row>
    <row r="3694">
      <c r="A3694" s="5">
        <v>3693.0</v>
      </c>
      <c r="B3694" s="5" t="s">
        <v>4292</v>
      </c>
      <c r="C3694" s="5" t="s">
        <v>21</v>
      </c>
      <c r="K3694" s="5">
        <v>20.0</v>
      </c>
      <c r="N3694" s="9">
        <v>45566.0</v>
      </c>
    </row>
    <row r="3695">
      <c r="A3695" s="5">
        <v>3694.0</v>
      </c>
      <c r="B3695" s="5" t="s">
        <v>4293</v>
      </c>
      <c r="C3695" s="5" t="s">
        <v>21</v>
      </c>
      <c r="K3695" s="5">
        <v>3600.0</v>
      </c>
      <c r="N3695" s="9">
        <v>44428.0</v>
      </c>
    </row>
    <row r="3696">
      <c r="A3696" s="5">
        <v>3695.0</v>
      </c>
      <c r="B3696" s="5" t="s">
        <v>4294</v>
      </c>
      <c r="C3696" s="5" t="s">
        <v>21</v>
      </c>
      <c r="K3696" s="5">
        <v>150.0</v>
      </c>
      <c r="N3696" s="9">
        <v>45175.0</v>
      </c>
    </row>
    <row r="3697">
      <c r="A3697" s="5">
        <v>3696.0</v>
      </c>
      <c r="B3697" s="5" t="s">
        <v>4295</v>
      </c>
      <c r="C3697" s="5" t="s">
        <v>21</v>
      </c>
      <c r="K3697" s="5">
        <v>150.0</v>
      </c>
      <c r="N3697" s="9">
        <v>44608.0</v>
      </c>
    </row>
    <row r="3698">
      <c r="A3698" s="5">
        <v>3697.0</v>
      </c>
      <c r="B3698" s="5" t="s">
        <v>4296</v>
      </c>
      <c r="C3698" s="5" t="s">
        <v>21</v>
      </c>
      <c r="K3698" s="5">
        <v>150.0</v>
      </c>
      <c r="N3698" s="9">
        <v>44717.0</v>
      </c>
    </row>
    <row r="3699">
      <c r="A3699" s="5">
        <v>3698.0</v>
      </c>
      <c r="B3699" s="5" t="s">
        <v>4297</v>
      </c>
      <c r="C3699" s="5" t="s">
        <v>21</v>
      </c>
      <c r="K3699" s="5">
        <v>1100.0</v>
      </c>
      <c r="N3699" s="9">
        <v>43841.0</v>
      </c>
    </row>
    <row r="3700">
      <c r="A3700" s="5">
        <v>3699.0</v>
      </c>
      <c r="B3700" s="5" t="s">
        <v>4298</v>
      </c>
      <c r="C3700" s="5" t="s">
        <v>21</v>
      </c>
      <c r="K3700" s="5">
        <v>350.0</v>
      </c>
      <c r="N3700" s="9">
        <v>44778.0</v>
      </c>
    </row>
    <row r="3701">
      <c r="A3701" s="5">
        <v>3700.0</v>
      </c>
      <c r="B3701" s="5" t="s">
        <v>4299</v>
      </c>
      <c r="C3701" s="5" t="s">
        <v>21</v>
      </c>
      <c r="K3701" s="5">
        <v>900.0</v>
      </c>
      <c r="N3701" s="9">
        <v>44216.0</v>
      </c>
    </row>
    <row r="3702">
      <c r="A3702" s="5">
        <v>3701.0</v>
      </c>
      <c r="B3702" s="5" t="s">
        <v>4300</v>
      </c>
      <c r="C3702" s="5" t="s">
        <v>21</v>
      </c>
      <c r="K3702" s="5">
        <v>200.0</v>
      </c>
      <c r="N3702" s="9">
        <v>44923.0</v>
      </c>
    </row>
    <row r="3703">
      <c r="A3703" s="5">
        <v>3702.0</v>
      </c>
      <c r="B3703" s="5" t="s">
        <v>4301</v>
      </c>
      <c r="C3703" s="5" t="s">
        <v>21</v>
      </c>
      <c r="K3703" s="5">
        <v>50.0</v>
      </c>
      <c r="N3703" s="9">
        <v>44670.0</v>
      </c>
    </row>
    <row r="3704">
      <c r="A3704" s="5">
        <v>3703.0</v>
      </c>
      <c r="B3704" s="5" t="s">
        <v>4302</v>
      </c>
      <c r="C3704" s="5" t="s">
        <v>21</v>
      </c>
      <c r="K3704" s="5">
        <v>150.0</v>
      </c>
      <c r="N3704" s="9">
        <v>45030.0</v>
      </c>
    </row>
    <row r="3705">
      <c r="A3705" s="5">
        <v>3704.0</v>
      </c>
      <c r="B3705" s="5" t="s">
        <v>4303</v>
      </c>
      <c r="C3705" s="5" t="s">
        <v>21</v>
      </c>
      <c r="K3705" s="5">
        <v>350.0</v>
      </c>
      <c r="N3705" s="9">
        <v>44586.0</v>
      </c>
    </row>
    <row r="3706">
      <c r="A3706" s="5">
        <v>3705.0</v>
      </c>
      <c r="B3706" s="5" t="s">
        <v>4304</v>
      </c>
      <c r="C3706" s="5" t="s">
        <v>21</v>
      </c>
      <c r="K3706" s="5">
        <v>100.0</v>
      </c>
      <c r="N3706" s="9">
        <v>44559.0</v>
      </c>
    </row>
    <row r="3707">
      <c r="A3707" s="5">
        <v>3706.0</v>
      </c>
      <c r="B3707" s="5" t="s">
        <v>130</v>
      </c>
      <c r="C3707" s="5" t="s">
        <v>21</v>
      </c>
      <c r="K3707" s="5">
        <v>250.0</v>
      </c>
      <c r="N3707" s="9">
        <v>44073.0</v>
      </c>
    </row>
    <row r="3708">
      <c r="A3708" s="5">
        <v>3707.0</v>
      </c>
      <c r="B3708" s="5" t="s">
        <v>4305</v>
      </c>
      <c r="C3708" s="5" t="s">
        <v>21</v>
      </c>
      <c r="K3708" s="5">
        <v>600.0</v>
      </c>
      <c r="N3708" s="9">
        <v>44717.0</v>
      </c>
    </row>
    <row r="3709">
      <c r="A3709" s="5">
        <v>3708.0</v>
      </c>
      <c r="B3709" s="5" t="s">
        <v>4306</v>
      </c>
      <c r="C3709" s="5" t="s">
        <v>21</v>
      </c>
      <c r="K3709" s="5">
        <v>20.0</v>
      </c>
      <c r="N3709" s="9">
        <v>44641.0</v>
      </c>
    </row>
    <row r="3710">
      <c r="A3710" s="5">
        <v>3709.0</v>
      </c>
      <c r="B3710" s="5" t="s">
        <v>4307</v>
      </c>
      <c r="C3710" s="5" t="s">
        <v>21</v>
      </c>
      <c r="K3710" s="5">
        <v>1600.0</v>
      </c>
      <c r="N3710" s="9">
        <v>44360.0</v>
      </c>
    </row>
    <row r="3711">
      <c r="A3711" s="5">
        <v>3710.0</v>
      </c>
      <c r="B3711" s="5" t="s">
        <v>131</v>
      </c>
      <c r="C3711" s="5" t="s">
        <v>21</v>
      </c>
      <c r="K3711" s="5">
        <v>150.0</v>
      </c>
      <c r="N3711" s="9">
        <v>44591.0</v>
      </c>
    </row>
    <row r="3712">
      <c r="A3712" s="5">
        <v>3711.0</v>
      </c>
      <c r="B3712" s="5" t="s">
        <v>4308</v>
      </c>
      <c r="C3712" s="5" t="s">
        <v>21</v>
      </c>
      <c r="K3712" s="5">
        <v>400.0</v>
      </c>
      <c r="N3712" s="9">
        <v>44535.0</v>
      </c>
    </row>
    <row r="3713">
      <c r="A3713" s="5">
        <v>3712.0</v>
      </c>
      <c r="B3713" s="5" t="s">
        <v>4309</v>
      </c>
      <c r="C3713" s="5" t="s">
        <v>21</v>
      </c>
      <c r="K3713" s="5">
        <v>200.0</v>
      </c>
      <c r="N3713" s="9">
        <v>44549.0</v>
      </c>
    </row>
    <row r="3714">
      <c r="A3714" s="5">
        <v>3713.0</v>
      </c>
      <c r="B3714" s="5" t="s">
        <v>4310</v>
      </c>
      <c r="C3714" s="5" t="s">
        <v>21</v>
      </c>
      <c r="K3714" s="5">
        <v>150.0</v>
      </c>
      <c r="N3714" s="9">
        <v>44624.0</v>
      </c>
    </row>
    <row r="3715">
      <c r="A3715" s="5">
        <v>3714.0</v>
      </c>
      <c r="B3715" s="5" t="s">
        <v>4311</v>
      </c>
      <c r="C3715" s="5" t="s">
        <v>21</v>
      </c>
      <c r="K3715" s="5">
        <v>600.0</v>
      </c>
      <c r="N3715" s="9">
        <v>45388.0</v>
      </c>
    </row>
    <row r="3716">
      <c r="A3716" s="5">
        <v>3715.0</v>
      </c>
      <c r="B3716" s="5" t="s">
        <v>4312</v>
      </c>
      <c r="C3716" s="5" t="s">
        <v>21</v>
      </c>
      <c r="K3716" s="5">
        <v>700.0</v>
      </c>
      <c r="N3716" s="9">
        <v>44310.0</v>
      </c>
    </row>
    <row r="3717">
      <c r="A3717" s="5">
        <v>3716.0</v>
      </c>
      <c r="B3717" s="5" t="s">
        <v>4313</v>
      </c>
      <c r="C3717" s="5" t="s">
        <v>21</v>
      </c>
      <c r="K3717" s="5">
        <v>600.0</v>
      </c>
      <c r="N3717" s="9">
        <v>44967.0</v>
      </c>
    </row>
    <row r="3718">
      <c r="A3718" s="5">
        <v>3717.0</v>
      </c>
      <c r="B3718" s="5" t="s">
        <v>4314</v>
      </c>
      <c r="C3718" s="5" t="s">
        <v>21</v>
      </c>
      <c r="K3718" s="5">
        <v>30.0</v>
      </c>
      <c r="N3718" s="9">
        <v>44571.0</v>
      </c>
    </row>
    <row r="3719">
      <c r="A3719" s="5">
        <v>3718.0</v>
      </c>
      <c r="B3719" s="5" t="s">
        <v>4315</v>
      </c>
      <c r="C3719" s="5" t="s">
        <v>21</v>
      </c>
      <c r="K3719" s="5">
        <v>200.0</v>
      </c>
      <c r="N3719" s="9">
        <v>44850.0</v>
      </c>
    </row>
    <row r="3720">
      <c r="A3720" s="5">
        <v>3719.0</v>
      </c>
      <c r="B3720" s="5" t="s">
        <v>4316</v>
      </c>
      <c r="C3720" s="5" t="s">
        <v>21</v>
      </c>
      <c r="K3720" s="5">
        <v>70.0</v>
      </c>
      <c r="N3720" s="9">
        <v>44683.0</v>
      </c>
    </row>
    <row r="3721">
      <c r="A3721" s="5">
        <v>3720.0</v>
      </c>
      <c r="B3721" s="5" t="s">
        <v>4317</v>
      </c>
      <c r="C3721" s="5" t="s">
        <v>21</v>
      </c>
      <c r="K3721" s="5">
        <v>500.0</v>
      </c>
      <c r="N3721" s="9">
        <v>44603.0</v>
      </c>
    </row>
    <row r="3722">
      <c r="A3722" s="5">
        <v>3721.0</v>
      </c>
      <c r="B3722" s="5" t="s">
        <v>4318</v>
      </c>
      <c r="C3722" s="5" t="s">
        <v>21</v>
      </c>
      <c r="K3722" s="5">
        <v>40.0</v>
      </c>
      <c r="N3722" s="9">
        <v>44195.0</v>
      </c>
    </row>
    <row r="3723">
      <c r="A3723" s="5">
        <v>3722.0</v>
      </c>
      <c r="B3723" s="5" t="s">
        <v>4319</v>
      </c>
      <c r="C3723" s="5" t="s">
        <v>21</v>
      </c>
      <c r="K3723" s="5">
        <v>50.0</v>
      </c>
      <c r="N3723" s="9">
        <v>44049.0</v>
      </c>
    </row>
    <row r="3724">
      <c r="A3724" s="5">
        <v>3723.0</v>
      </c>
      <c r="B3724" s="5" t="s">
        <v>4320</v>
      </c>
      <c r="C3724" s="5" t="s">
        <v>21</v>
      </c>
      <c r="K3724" s="5">
        <v>1800.0</v>
      </c>
      <c r="N3724" s="9">
        <v>45827.0</v>
      </c>
    </row>
    <row r="3725">
      <c r="A3725" s="5">
        <v>3724.0</v>
      </c>
      <c r="B3725" s="5" t="s">
        <v>4321</v>
      </c>
      <c r="C3725" s="5" t="s">
        <v>21</v>
      </c>
      <c r="K3725" s="5">
        <v>1200.0</v>
      </c>
      <c r="N3725" s="9">
        <v>44519.0</v>
      </c>
    </row>
    <row r="3726">
      <c r="A3726" s="5">
        <v>3725.0</v>
      </c>
      <c r="B3726" s="5" t="s">
        <v>4322</v>
      </c>
      <c r="C3726" s="5" t="s">
        <v>21</v>
      </c>
      <c r="K3726" s="5">
        <v>1500.0</v>
      </c>
      <c r="N3726" s="9">
        <v>45143.0</v>
      </c>
    </row>
    <row r="3727">
      <c r="A3727" s="5">
        <v>3726.0</v>
      </c>
      <c r="B3727" s="5" t="s">
        <v>4323</v>
      </c>
      <c r="C3727" s="5" t="s">
        <v>21</v>
      </c>
      <c r="N3727" s="9">
        <v>45916.0</v>
      </c>
    </row>
    <row r="3728">
      <c r="A3728" s="5">
        <v>3727.0</v>
      </c>
      <c r="B3728" s="5" t="s">
        <v>4324</v>
      </c>
      <c r="C3728" s="5" t="s">
        <v>21</v>
      </c>
      <c r="K3728" s="5">
        <v>150.0</v>
      </c>
      <c r="N3728" s="9">
        <v>44825.0</v>
      </c>
    </row>
    <row r="3729">
      <c r="A3729" s="5">
        <v>3728.0</v>
      </c>
      <c r="B3729" s="5" t="s">
        <v>4325</v>
      </c>
      <c r="C3729" s="5" t="s">
        <v>21</v>
      </c>
      <c r="K3729" s="5">
        <v>100.0</v>
      </c>
      <c r="N3729" s="9">
        <v>44571.0</v>
      </c>
    </row>
    <row r="3730">
      <c r="A3730" s="5">
        <v>3729.0</v>
      </c>
      <c r="B3730" s="5" t="s">
        <v>4326</v>
      </c>
      <c r="C3730" s="5" t="s">
        <v>21</v>
      </c>
      <c r="K3730" s="5">
        <v>150.0</v>
      </c>
      <c r="N3730" s="9">
        <v>44349.0</v>
      </c>
    </row>
    <row r="3731">
      <c r="A3731" s="5">
        <v>3730.0</v>
      </c>
      <c r="B3731" s="5" t="s">
        <v>4327</v>
      </c>
      <c r="C3731" s="5" t="s">
        <v>21</v>
      </c>
      <c r="K3731" s="5">
        <v>600.0</v>
      </c>
      <c r="N3731" s="9">
        <v>44993.0</v>
      </c>
    </row>
    <row r="3732">
      <c r="A3732" s="5">
        <v>3731.0</v>
      </c>
      <c r="B3732" s="5" t="s">
        <v>4328</v>
      </c>
      <c r="C3732" s="5" t="s">
        <v>21</v>
      </c>
      <c r="K3732" s="5">
        <v>250.0</v>
      </c>
      <c r="N3732" s="9">
        <v>45467.0</v>
      </c>
    </row>
    <row r="3733">
      <c r="A3733" s="5">
        <v>3732.0</v>
      </c>
      <c r="B3733" s="5" t="s">
        <v>4329</v>
      </c>
      <c r="C3733" s="5" t="s">
        <v>21</v>
      </c>
      <c r="K3733" s="5">
        <v>150.0</v>
      </c>
      <c r="N3733" s="9">
        <v>44847.0</v>
      </c>
    </row>
    <row r="3734">
      <c r="A3734" s="5">
        <v>3733.0</v>
      </c>
      <c r="B3734" s="5" t="s">
        <v>4330</v>
      </c>
      <c r="C3734" s="5" t="s">
        <v>21</v>
      </c>
      <c r="K3734" s="5">
        <v>80.0</v>
      </c>
      <c r="N3734" s="9">
        <v>44061.0</v>
      </c>
    </row>
    <row r="3735">
      <c r="A3735" s="5">
        <v>3734.0</v>
      </c>
      <c r="B3735" s="5" t="s">
        <v>4331</v>
      </c>
      <c r="C3735" s="5" t="s">
        <v>21</v>
      </c>
      <c r="K3735" s="5">
        <v>40.0</v>
      </c>
      <c r="N3735" s="9">
        <v>45051.0</v>
      </c>
    </row>
    <row r="3736">
      <c r="A3736" s="5">
        <v>3735.0</v>
      </c>
      <c r="B3736" s="5" t="s">
        <v>4332</v>
      </c>
      <c r="C3736" s="5" t="s">
        <v>21</v>
      </c>
      <c r="K3736" s="5">
        <v>1200.0</v>
      </c>
      <c r="N3736" s="9">
        <v>44578.0</v>
      </c>
    </row>
    <row r="3737">
      <c r="A3737" s="5">
        <v>3736.0</v>
      </c>
      <c r="B3737" s="5" t="s">
        <v>4333</v>
      </c>
      <c r="C3737" s="5" t="s">
        <v>21</v>
      </c>
      <c r="K3737" s="5">
        <v>600.0</v>
      </c>
      <c r="N3737" s="9">
        <v>44223.0</v>
      </c>
    </row>
    <row r="3738">
      <c r="A3738" s="5">
        <v>3737.0</v>
      </c>
      <c r="B3738" s="5" t="s">
        <v>4334</v>
      </c>
      <c r="C3738" s="5" t="s">
        <v>21</v>
      </c>
      <c r="N3738" s="9">
        <v>45053.0</v>
      </c>
    </row>
    <row r="3739">
      <c r="A3739" s="5">
        <v>3738.0</v>
      </c>
      <c r="B3739" s="5" t="s">
        <v>4335</v>
      </c>
      <c r="C3739" s="5" t="s">
        <v>21</v>
      </c>
      <c r="K3739" s="5">
        <v>1600.0</v>
      </c>
      <c r="N3739" s="9">
        <v>44529.0</v>
      </c>
    </row>
    <row r="3740">
      <c r="A3740" s="5">
        <v>3739.0</v>
      </c>
      <c r="B3740" s="5" t="s">
        <v>4336</v>
      </c>
      <c r="C3740" s="5" t="s">
        <v>21</v>
      </c>
      <c r="K3740" s="5">
        <v>70.0</v>
      </c>
      <c r="N3740" s="9">
        <v>44088.0</v>
      </c>
    </row>
    <row r="3741">
      <c r="A3741" s="5">
        <v>3740.0</v>
      </c>
      <c r="B3741" s="5" t="s">
        <v>4337</v>
      </c>
      <c r="C3741" s="5" t="s">
        <v>21</v>
      </c>
      <c r="N3741" s="9">
        <v>44539.0</v>
      </c>
    </row>
    <row r="3742">
      <c r="A3742" s="5">
        <v>3741.0</v>
      </c>
      <c r="B3742" s="5" t="s">
        <v>4338</v>
      </c>
      <c r="C3742" s="5" t="s">
        <v>21</v>
      </c>
      <c r="K3742" s="5">
        <v>300.0</v>
      </c>
      <c r="N3742" s="9">
        <v>44503.0</v>
      </c>
    </row>
    <row r="3743">
      <c r="A3743" s="5">
        <v>3742.0</v>
      </c>
      <c r="B3743" s="5" t="s">
        <v>4339</v>
      </c>
      <c r="C3743" s="5" t="s">
        <v>21</v>
      </c>
      <c r="K3743" s="5">
        <v>10.0</v>
      </c>
      <c r="N3743" s="9">
        <v>45595.0</v>
      </c>
    </row>
    <row r="3744">
      <c r="A3744" s="5">
        <v>3743.0</v>
      </c>
      <c r="B3744" s="5" t="s">
        <v>4340</v>
      </c>
      <c r="C3744" s="5" t="s">
        <v>21</v>
      </c>
      <c r="K3744" s="5">
        <v>250.0</v>
      </c>
      <c r="N3744" s="9">
        <v>44942.0</v>
      </c>
    </row>
    <row r="3745">
      <c r="A3745" s="5">
        <v>3744.0</v>
      </c>
      <c r="B3745" s="5" t="s">
        <v>136</v>
      </c>
      <c r="C3745" s="5" t="s">
        <v>21</v>
      </c>
      <c r="K3745" s="5">
        <v>600.0</v>
      </c>
      <c r="N3745" s="9">
        <v>43883.0</v>
      </c>
    </row>
    <row r="3746">
      <c r="A3746" s="5">
        <v>3745.0</v>
      </c>
      <c r="B3746" s="5" t="s">
        <v>4341</v>
      </c>
      <c r="C3746" s="5" t="s">
        <v>21</v>
      </c>
      <c r="K3746" s="5">
        <v>150.0</v>
      </c>
      <c r="N3746" s="9">
        <v>45468.0</v>
      </c>
    </row>
    <row r="3747">
      <c r="A3747" s="5">
        <v>3746.0</v>
      </c>
      <c r="B3747" s="5" t="s">
        <v>4342</v>
      </c>
      <c r="C3747" s="5" t="s">
        <v>21</v>
      </c>
      <c r="K3747" s="5">
        <v>500.0</v>
      </c>
      <c r="N3747" s="9">
        <v>44099.0</v>
      </c>
    </row>
    <row r="3748">
      <c r="A3748" s="5">
        <v>3747.0</v>
      </c>
      <c r="B3748" s="5" t="s">
        <v>4343</v>
      </c>
      <c r="C3748" s="5" t="s">
        <v>21</v>
      </c>
      <c r="K3748" s="5">
        <v>150.0</v>
      </c>
      <c r="N3748" s="9">
        <v>44534.0</v>
      </c>
    </row>
    <row r="3749">
      <c r="A3749" s="5">
        <v>3748.0</v>
      </c>
      <c r="B3749" s="5" t="s">
        <v>4344</v>
      </c>
      <c r="C3749" s="5" t="s">
        <v>21</v>
      </c>
      <c r="K3749" s="5">
        <v>40.0</v>
      </c>
      <c r="N3749" s="9">
        <v>44236.0</v>
      </c>
    </row>
    <row r="3750">
      <c r="A3750" s="5">
        <v>3749.0</v>
      </c>
      <c r="B3750" s="5" t="s">
        <v>4345</v>
      </c>
      <c r="C3750" s="5" t="s">
        <v>21</v>
      </c>
      <c r="K3750" s="5">
        <v>350.0</v>
      </c>
      <c r="N3750" s="9">
        <v>45021.0</v>
      </c>
    </row>
    <row r="3751">
      <c r="A3751" s="5">
        <v>3750.0</v>
      </c>
      <c r="B3751" s="5" t="s">
        <v>4346</v>
      </c>
      <c r="C3751" s="5" t="s">
        <v>21</v>
      </c>
      <c r="K3751" s="5">
        <v>1300.0</v>
      </c>
      <c r="N3751" s="9">
        <v>44299.0</v>
      </c>
    </row>
    <row r="3752">
      <c r="A3752" s="5">
        <v>3751.0</v>
      </c>
      <c r="B3752" s="5" t="s">
        <v>4347</v>
      </c>
      <c r="C3752" s="5" t="s">
        <v>21</v>
      </c>
      <c r="K3752" s="5">
        <v>150.0</v>
      </c>
      <c r="N3752" s="9">
        <v>45075.0</v>
      </c>
    </row>
    <row r="3753">
      <c r="A3753" s="5">
        <v>3752.0</v>
      </c>
      <c r="B3753" s="5" t="s">
        <v>4348</v>
      </c>
      <c r="C3753" s="5" t="s">
        <v>21</v>
      </c>
      <c r="K3753" s="5">
        <v>60.0</v>
      </c>
      <c r="N3753" s="9">
        <v>44560.0</v>
      </c>
    </row>
    <row r="3754">
      <c r="A3754" s="5">
        <v>3753.0</v>
      </c>
      <c r="B3754" s="5" t="s">
        <v>4349</v>
      </c>
      <c r="C3754" s="5" t="s">
        <v>21</v>
      </c>
      <c r="K3754" s="5">
        <v>300.0</v>
      </c>
      <c r="N3754" s="9">
        <v>44491.0</v>
      </c>
    </row>
    <row r="3755">
      <c r="A3755" s="5">
        <v>3754.0</v>
      </c>
      <c r="B3755" s="5" t="s">
        <v>4350</v>
      </c>
      <c r="C3755" s="5" t="s">
        <v>21</v>
      </c>
      <c r="K3755" s="5">
        <v>900.0</v>
      </c>
      <c r="N3755" s="9">
        <v>44575.0</v>
      </c>
    </row>
    <row r="3756">
      <c r="A3756" s="5">
        <v>3755.0</v>
      </c>
      <c r="B3756" s="5" t="s">
        <v>4351</v>
      </c>
      <c r="C3756" s="5" t="s">
        <v>21</v>
      </c>
      <c r="K3756" s="5">
        <v>10.0</v>
      </c>
      <c r="N3756" s="9">
        <v>44542.0</v>
      </c>
    </row>
    <row r="3757">
      <c r="A3757" s="5">
        <v>3756.0</v>
      </c>
      <c r="B3757" s="5" t="s">
        <v>4352</v>
      </c>
      <c r="C3757" s="5" t="s">
        <v>21</v>
      </c>
      <c r="K3757" s="5">
        <v>1700.0</v>
      </c>
      <c r="N3757" s="9">
        <v>44135.0</v>
      </c>
    </row>
    <row r="3758">
      <c r="A3758" s="5">
        <v>3757.0</v>
      </c>
      <c r="B3758" s="5" t="s">
        <v>4353</v>
      </c>
      <c r="C3758" s="5" t="s">
        <v>21</v>
      </c>
      <c r="K3758" s="5">
        <v>20.0</v>
      </c>
      <c r="N3758" s="9">
        <v>44561.0</v>
      </c>
    </row>
    <row r="3759">
      <c r="A3759" s="5">
        <v>3758.0</v>
      </c>
      <c r="B3759" s="5" t="s">
        <v>4354</v>
      </c>
      <c r="C3759" s="5" t="s">
        <v>21</v>
      </c>
      <c r="K3759" s="5">
        <v>1400.0</v>
      </c>
      <c r="N3759" s="9">
        <v>44438.0</v>
      </c>
    </row>
    <row r="3760">
      <c r="A3760" s="5">
        <v>3759.0</v>
      </c>
      <c r="B3760" s="5" t="s">
        <v>4355</v>
      </c>
      <c r="C3760" s="5" t="s">
        <v>21</v>
      </c>
      <c r="K3760" s="5">
        <v>350.0</v>
      </c>
      <c r="N3760" s="9">
        <v>44572.0</v>
      </c>
    </row>
    <row r="3761">
      <c r="A3761" s="5">
        <v>3760.0</v>
      </c>
      <c r="B3761" s="5" t="s">
        <v>4356</v>
      </c>
      <c r="C3761" s="5" t="s">
        <v>21</v>
      </c>
      <c r="K3761" s="5">
        <v>150.0</v>
      </c>
      <c r="N3761" s="9">
        <v>45146.0</v>
      </c>
    </row>
    <row r="3762">
      <c r="A3762" s="5">
        <v>3761.0</v>
      </c>
      <c r="B3762" s="5" t="s">
        <v>4357</v>
      </c>
      <c r="C3762" s="5" t="s">
        <v>21</v>
      </c>
      <c r="K3762" s="5">
        <v>350.0</v>
      </c>
      <c r="N3762" s="9">
        <v>44565.0</v>
      </c>
    </row>
    <row r="3763">
      <c r="A3763" s="5">
        <v>3762.0</v>
      </c>
      <c r="B3763" s="5" t="s">
        <v>4358</v>
      </c>
      <c r="C3763" s="5" t="s">
        <v>21</v>
      </c>
      <c r="K3763" s="5">
        <v>300.0</v>
      </c>
      <c r="N3763" s="9">
        <v>44633.0</v>
      </c>
    </row>
    <row r="3764">
      <c r="A3764" s="5">
        <v>3763.0</v>
      </c>
      <c r="B3764" s="5" t="s">
        <v>4359</v>
      </c>
      <c r="C3764" s="5" t="s">
        <v>21</v>
      </c>
      <c r="K3764" s="5">
        <v>4400.0</v>
      </c>
      <c r="N3764" s="9">
        <v>44536.0</v>
      </c>
    </row>
    <row r="3765">
      <c r="A3765" s="5">
        <v>3764.0</v>
      </c>
      <c r="B3765" s="5" t="s">
        <v>4360</v>
      </c>
      <c r="C3765" s="5" t="s">
        <v>21</v>
      </c>
      <c r="K3765" s="5">
        <v>1400.0</v>
      </c>
      <c r="N3765" s="9">
        <v>44645.0</v>
      </c>
    </row>
    <row r="3766">
      <c r="A3766" s="5">
        <v>3765.0</v>
      </c>
      <c r="B3766" s="5" t="s">
        <v>4361</v>
      </c>
      <c r="C3766" s="5" t="s">
        <v>21</v>
      </c>
      <c r="K3766" s="5">
        <v>450.0</v>
      </c>
      <c r="N3766" s="9">
        <v>44832.0</v>
      </c>
    </row>
    <row r="3767">
      <c r="A3767" s="5">
        <v>3766.0</v>
      </c>
      <c r="B3767" s="5" t="s">
        <v>4362</v>
      </c>
      <c r="C3767" s="5" t="s">
        <v>21</v>
      </c>
      <c r="K3767" s="5">
        <v>4600.0</v>
      </c>
      <c r="N3767" s="9">
        <v>43896.0</v>
      </c>
    </row>
    <row r="3768">
      <c r="A3768" s="5">
        <v>3767.0</v>
      </c>
      <c r="B3768" s="5" t="s">
        <v>4363</v>
      </c>
      <c r="C3768" s="5" t="s">
        <v>21</v>
      </c>
      <c r="K3768" s="5">
        <v>150.0</v>
      </c>
      <c r="N3768" s="9">
        <v>44922.0</v>
      </c>
    </row>
    <row r="3769">
      <c r="A3769" s="5">
        <v>3768.0</v>
      </c>
      <c r="B3769" s="5" t="s">
        <v>4364</v>
      </c>
      <c r="C3769" s="5" t="s">
        <v>21</v>
      </c>
      <c r="K3769" s="5">
        <v>150.0</v>
      </c>
      <c r="N3769" s="9">
        <v>44592.0</v>
      </c>
    </row>
    <row r="3770">
      <c r="A3770" s="5">
        <v>3769.0</v>
      </c>
      <c r="B3770" s="5" t="s">
        <v>4365</v>
      </c>
      <c r="C3770" s="5" t="s">
        <v>21</v>
      </c>
      <c r="K3770" s="5">
        <v>200.0</v>
      </c>
      <c r="N3770" s="9">
        <v>45197.0</v>
      </c>
    </row>
    <row r="3771">
      <c r="A3771" s="5">
        <v>3770.0</v>
      </c>
      <c r="B3771" s="5" t="s">
        <v>4366</v>
      </c>
      <c r="C3771" s="5" t="s">
        <v>21</v>
      </c>
      <c r="K3771" s="5">
        <v>70.0</v>
      </c>
      <c r="N3771" s="9">
        <v>44732.0</v>
      </c>
    </row>
    <row r="3772">
      <c r="A3772" s="5">
        <v>3771.0</v>
      </c>
      <c r="B3772" s="5" t="s">
        <v>4367</v>
      </c>
      <c r="C3772" s="5" t="s">
        <v>21</v>
      </c>
      <c r="K3772" s="5">
        <v>5400.0</v>
      </c>
      <c r="N3772" s="9">
        <v>44437.0</v>
      </c>
    </row>
    <row r="3773">
      <c r="A3773" s="5">
        <v>3772.0</v>
      </c>
      <c r="B3773" s="5" t="s">
        <v>4368</v>
      </c>
      <c r="C3773" s="5" t="s">
        <v>21</v>
      </c>
      <c r="K3773" s="5">
        <v>10.0</v>
      </c>
      <c r="N3773" s="9">
        <v>43993.0</v>
      </c>
    </row>
    <row r="3774">
      <c r="A3774" s="5">
        <v>3773.0</v>
      </c>
      <c r="B3774" s="5" t="s">
        <v>4369</v>
      </c>
      <c r="C3774" s="5" t="s">
        <v>21</v>
      </c>
      <c r="K3774" s="5">
        <v>20.0</v>
      </c>
      <c r="N3774" s="9">
        <v>44627.0</v>
      </c>
    </row>
    <row r="3775">
      <c r="A3775" s="5">
        <v>3774.0</v>
      </c>
      <c r="B3775" s="5" t="s">
        <v>4370</v>
      </c>
      <c r="C3775" s="5" t="s">
        <v>21</v>
      </c>
      <c r="K3775" s="5">
        <v>800.0</v>
      </c>
      <c r="N3775" s="9">
        <v>44676.0</v>
      </c>
    </row>
    <row r="3776">
      <c r="A3776" s="5">
        <v>3775.0</v>
      </c>
      <c r="B3776" s="5" t="s">
        <v>4371</v>
      </c>
      <c r="C3776" s="5" t="s">
        <v>21</v>
      </c>
      <c r="K3776" s="5">
        <v>6300.0</v>
      </c>
      <c r="N3776" s="9">
        <v>44438.0</v>
      </c>
    </row>
    <row r="3777">
      <c r="A3777" s="5">
        <v>3776.0</v>
      </c>
      <c r="B3777" s="5" t="s">
        <v>4372</v>
      </c>
      <c r="C3777" s="5" t="s">
        <v>21</v>
      </c>
      <c r="K3777" s="5">
        <v>600.0</v>
      </c>
      <c r="N3777" s="9">
        <v>44171.0</v>
      </c>
    </row>
    <row r="3778">
      <c r="A3778" s="5">
        <v>3777.0</v>
      </c>
      <c r="B3778" s="5" t="s">
        <v>4373</v>
      </c>
      <c r="C3778" s="5" t="s">
        <v>21</v>
      </c>
      <c r="K3778" s="5">
        <v>1600.0</v>
      </c>
      <c r="N3778" s="9">
        <v>44526.0</v>
      </c>
    </row>
    <row r="3779">
      <c r="A3779" s="5">
        <v>3778.0</v>
      </c>
      <c r="B3779" s="5" t="s">
        <v>4374</v>
      </c>
      <c r="C3779" s="5" t="s">
        <v>21</v>
      </c>
      <c r="K3779" s="5">
        <v>250.0</v>
      </c>
      <c r="N3779" s="9">
        <v>43955.0</v>
      </c>
    </row>
    <row r="3780">
      <c r="A3780" s="5">
        <v>3779.0</v>
      </c>
      <c r="B3780" s="5" t="s">
        <v>4375</v>
      </c>
      <c r="C3780" s="5" t="s">
        <v>21</v>
      </c>
      <c r="K3780" s="5">
        <v>1200.0</v>
      </c>
      <c r="N3780" s="9">
        <v>43844.0</v>
      </c>
    </row>
    <row r="3781">
      <c r="A3781" s="5">
        <v>3780.0</v>
      </c>
      <c r="B3781" s="5" t="s">
        <v>4376</v>
      </c>
      <c r="C3781" s="5" t="s">
        <v>21</v>
      </c>
      <c r="K3781" s="5">
        <v>80.0</v>
      </c>
      <c r="N3781" s="9">
        <v>43928.0</v>
      </c>
    </row>
    <row r="3782">
      <c r="A3782" s="5">
        <v>3781.0</v>
      </c>
      <c r="B3782" s="5" t="s">
        <v>4377</v>
      </c>
      <c r="C3782" s="5" t="s">
        <v>21</v>
      </c>
      <c r="K3782" s="5">
        <v>1100.0</v>
      </c>
      <c r="N3782" s="9">
        <v>44621.0</v>
      </c>
    </row>
    <row r="3783">
      <c r="A3783" s="5">
        <v>3782.0</v>
      </c>
      <c r="B3783" s="5" t="s">
        <v>4378</v>
      </c>
      <c r="C3783" s="5" t="s">
        <v>21</v>
      </c>
      <c r="K3783" s="5">
        <v>1400.0</v>
      </c>
      <c r="N3783" s="9">
        <v>44557.0</v>
      </c>
    </row>
    <row r="3784">
      <c r="A3784" s="5">
        <v>3783.0</v>
      </c>
      <c r="B3784" s="5" t="s">
        <v>4379</v>
      </c>
      <c r="C3784" s="5" t="s">
        <v>21</v>
      </c>
      <c r="N3784" s="9">
        <v>44524.0</v>
      </c>
    </row>
    <row r="3785">
      <c r="A3785" s="5">
        <v>3784.0</v>
      </c>
      <c r="B3785" s="5" t="s">
        <v>4380</v>
      </c>
      <c r="C3785" s="5" t="s">
        <v>21</v>
      </c>
      <c r="K3785" s="5">
        <v>250.0</v>
      </c>
      <c r="N3785" s="9">
        <v>45176.0</v>
      </c>
    </row>
    <row r="3786">
      <c r="A3786" s="5">
        <v>3785.0</v>
      </c>
      <c r="B3786" s="5" t="s">
        <v>4381</v>
      </c>
      <c r="C3786" s="5" t="s">
        <v>21</v>
      </c>
      <c r="K3786" s="5">
        <v>30.0</v>
      </c>
      <c r="N3786" s="9">
        <v>44351.0</v>
      </c>
    </row>
    <row r="3787">
      <c r="A3787" s="5">
        <v>3786.0</v>
      </c>
      <c r="B3787" s="5" t="s">
        <v>4382</v>
      </c>
      <c r="C3787" s="5" t="s">
        <v>21</v>
      </c>
      <c r="K3787" s="5">
        <v>30.0</v>
      </c>
      <c r="N3787" s="9">
        <v>44756.0</v>
      </c>
    </row>
    <row r="3788">
      <c r="A3788" s="5">
        <v>3787.0</v>
      </c>
      <c r="B3788" s="5" t="s">
        <v>4383</v>
      </c>
      <c r="C3788" s="5" t="s">
        <v>21</v>
      </c>
      <c r="K3788" s="5">
        <v>30.0</v>
      </c>
      <c r="N3788" s="9">
        <v>45539.0</v>
      </c>
    </row>
    <row r="3789">
      <c r="A3789" s="5">
        <v>3788.0</v>
      </c>
      <c r="B3789" s="5" t="s">
        <v>4384</v>
      </c>
      <c r="C3789" s="5" t="s">
        <v>21</v>
      </c>
      <c r="K3789" s="5">
        <v>200.0</v>
      </c>
      <c r="N3789" s="9">
        <v>44397.0</v>
      </c>
    </row>
    <row r="3790">
      <c r="A3790" s="5">
        <v>3789.0</v>
      </c>
      <c r="B3790" s="5" t="s">
        <v>4385</v>
      </c>
      <c r="C3790" s="5" t="s">
        <v>21</v>
      </c>
      <c r="K3790" s="5">
        <v>400.0</v>
      </c>
      <c r="N3790" s="9">
        <v>44560.0</v>
      </c>
    </row>
    <row r="3791">
      <c r="A3791" s="5">
        <v>3790.0</v>
      </c>
      <c r="B3791" s="5" t="s">
        <v>4386</v>
      </c>
      <c r="C3791" s="5" t="s">
        <v>21</v>
      </c>
      <c r="K3791" s="5">
        <v>500.0</v>
      </c>
      <c r="N3791" s="9">
        <v>45107.0</v>
      </c>
    </row>
    <row r="3792">
      <c r="A3792" s="5">
        <v>3791.0</v>
      </c>
      <c r="B3792" s="5" t="s">
        <v>4387</v>
      </c>
      <c r="C3792" s="5" t="s">
        <v>21</v>
      </c>
      <c r="K3792" s="5">
        <v>700.0</v>
      </c>
      <c r="N3792" s="9">
        <v>43850.0</v>
      </c>
    </row>
    <row r="3793">
      <c r="A3793" s="5">
        <v>3792.0</v>
      </c>
      <c r="B3793" s="5" t="s">
        <v>4388</v>
      </c>
      <c r="C3793" s="5" t="s">
        <v>21</v>
      </c>
      <c r="N3793" s="9">
        <v>44518.0</v>
      </c>
    </row>
    <row r="3794">
      <c r="A3794" s="5">
        <v>3793.0</v>
      </c>
      <c r="B3794" s="5" t="s">
        <v>4389</v>
      </c>
      <c r="C3794" s="5" t="s">
        <v>21</v>
      </c>
      <c r="K3794" s="5">
        <v>600.0</v>
      </c>
      <c r="N3794" s="9">
        <v>44589.0</v>
      </c>
    </row>
    <row r="3795">
      <c r="A3795" s="5">
        <v>3794.0</v>
      </c>
      <c r="B3795" s="5" t="s">
        <v>4390</v>
      </c>
      <c r="C3795" s="5" t="s">
        <v>21</v>
      </c>
      <c r="K3795" s="5">
        <v>80.0</v>
      </c>
      <c r="N3795" s="9">
        <v>45579.0</v>
      </c>
    </row>
    <row r="3796">
      <c r="A3796" s="5">
        <v>3795.0</v>
      </c>
      <c r="B3796" s="5" t="s">
        <v>4391</v>
      </c>
      <c r="C3796" s="5" t="s">
        <v>21</v>
      </c>
      <c r="K3796" s="5">
        <v>80.0</v>
      </c>
      <c r="N3796" s="9">
        <v>45572.0</v>
      </c>
    </row>
    <row r="3797">
      <c r="A3797" s="5">
        <v>3796.0</v>
      </c>
      <c r="B3797" s="5" t="s">
        <v>4392</v>
      </c>
      <c r="C3797" s="5" t="s">
        <v>21</v>
      </c>
      <c r="K3797" s="5">
        <v>1100.0</v>
      </c>
      <c r="N3797" s="9">
        <v>45582.0</v>
      </c>
    </row>
    <row r="3798">
      <c r="A3798" s="5">
        <v>3797.0</v>
      </c>
      <c r="B3798" s="5" t="s">
        <v>4393</v>
      </c>
      <c r="C3798" s="5" t="s">
        <v>21</v>
      </c>
      <c r="K3798" s="5">
        <v>80.0</v>
      </c>
      <c r="N3798" s="9">
        <v>44850.0</v>
      </c>
    </row>
    <row r="3799">
      <c r="A3799" s="5">
        <v>3798.0</v>
      </c>
      <c r="B3799" s="5" t="s">
        <v>4394</v>
      </c>
      <c r="C3799" s="5" t="s">
        <v>21</v>
      </c>
      <c r="K3799" s="5">
        <v>500.0</v>
      </c>
      <c r="N3799" s="9">
        <v>45007.0</v>
      </c>
    </row>
    <row r="3800">
      <c r="A3800" s="5">
        <v>3799.0</v>
      </c>
      <c r="B3800" s="5" t="s">
        <v>4395</v>
      </c>
      <c r="C3800" s="5" t="s">
        <v>21</v>
      </c>
      <c r="K3800" s="5">
        <v>90.0</v>
      </c>
      <c r="N3800" s="9">
        <v>44248.0</v>
      </c>
    </row>
    <row r="3801">
      <c r="A3801" s="5">
        <v>3800.0</v>
      </c>
      <c r="B3801" s="5" t="s">
        <v>4396</v>
      </c>
      <c r="C3801" s="5" t="s">
        <v>21</v>
      </c>
      <c r="K3801" s="5">
        <v>40.0</v>
      </c>
      <c r="N3801" s="9">
        <v>44883.0</v>
      </c>
    </row>
    <row r="3802">
      <c r="A3802" s="5">
        <v>3801.0</v>
      </c>
      <c r="B3802" s="5" t="s">
        <v>4397</v>
      </c>
      <c r="C3802" s="5" t="s">
        <v>21</v>
      </c>
      <c r="K3802" s="5">
        <v>1000.0</v>
      </c>
      <c r="N3802" s="9">
        <v>44539.0</v>
      </c>
    </row>
    <row r="3803">
      <c r="A3803" s="5">
        <v>3802.0</v>
      </c>
      <c r="B3803" s="5" t="s">
        <v>4398</v>
      </c>
      <c r="C3803" s="5" t="s">
        <v>21</v>
      </c>
      <c r="K3803" s="5">
        <v>350.0</v>
      </c>
      <c r="N3803" s="9">
        <v>45082.0</v>
      </c>
    </row>
    <row r="3804">
      <c r="A3804" s="5">
        <v>3803.0</v>
      </c>
      <c r="B3804" s="5" t="s">
        <v>4399</v>
      </c>
      <c r="C3804" s="5" t="s">
        <v>21</v>
      </c>
      <c r="K3804" s="5">
        <v>450.0</v>
      </c>
      <c r="N3804" s="9">
        <v>45375.0</v>
      </c>
    </row>
    <row r="3805">
      <c r="A3805" s="5">
        <v>3804.0</v>
      </c>
      <c r="B3805" s="5" t="s">
        <v>4400</v>
      </c>
      <c r="C3805" s="5" t="s">
        <v>21</v>
      </c>
      <c r="K3805" s="5">
        <v>600.0</v>
      </c>
      <c r="N3805" s="9">
        <v>44556.0</v>
      </c>
    </row>
    <row r="3806">
      <c r="A3806" s="5">
        <v>3805.0</v>
      </c>
      <c r="B3806" s="5" t="s">
        <v>4401</v>
      </c>
      <c r="C3806" s="5" t="s">
        <v>21</v>
      </c>
      <c r="K3806" s="5">
        <v>200.0</v>
      </c>
      <c r="N3806" s="9">
        <v>44330.0</v>
      </c>
    </row>
    <row r="3807">
      <c r="A3807" s="5">
        <v>3806.0</v>
      </c>
      <c r="B3807" s="5" t="s">
        <v>4402</v>
      </c>
      <c r="C3807" s="5" t="s">
        <v>21</v>
      </c>
      <c r="K3807" s="5">
        <v>150.0</v>
      </c>
      <c r="N3807" s="9">
        <v>44699.0</v>
      </c>
    </row>
    <row r="3808">
      <c r="A3808" s="5">
        <v>3807.0</v>
      </c>
      <c r="B3808" s="5" t="s">
        <v>4403</v>
      </c>
      <c r="C3808" s="5" t="s">
        <v>21</v>
      </c>
      <c r="K3808" s="5">
        <v>250.0</v>
      </c>
      <c r="N3808" s="9">
        <v>44655.0</v>
      </c>
    </row>
    <row r="3809">
      <c r="A3809" s="5">
        <v>3808.0</v>
      </c>
      <c r="B3809" s="5" t="s">
        <v>4404</v>
      </c>
      <c r="C3809" s="5" t="s">
        <v>21</v>
      </c>
      <c r="K3809" s="5">
        <v>80.0</v>
      </c>
      <c r="N3809" s="9">
        <v>44879.0</v>
      </c>
    </row>
    <row r="3810">
      <c r="A3810" s="5">
        <v>3809.0</v>
      </c>
      <c r="B3810" s="5" t="s">
        <v>4405</v>
      </c>
      <c r="C3810" s="5" t="s">
        <v>21</v>
      </c>
      <c r="K3810" s="5">
        <v>40.0</v>
      </c>
      <c r="N3810" s="9">
        <v>44535.0</v>
      </c>
    </row>
    <row r="3811">
      <c r="A3811" s="5">
        <v>3810.0</v>
      </c>
      <c r="B3811" s="5" t="s">
        <v>4406</v>
      </c>
      <c r="C3811" s="5" t="s">
        <v>21</v>
      </c>
      <c r="K3811" s="5">
        <v>40.0</v>
      </c>
      <c r="N3811" s="9">
        <v>44376.0</v>
      </c>
    </row>
    <row r="3812">
      <c r="A3812" s="5">
        <v>3811.0</v>
      </c>
      <c r="B3812" s="5" t="s">
        <v>4407</v>
      </c>
      <c r="C3812" s="5" t="s">
        <v>21</v>
      </c>
      <c r="K3812" s="5">
        <v>500.0</v>
      </c>
      <c r="N3812" s="9">
        <v>44554.0</v>
      </c>
    </row>
    <row r="3813">
      <c r="A3813" s="5">
        <v>3812.0</v>
      </c>
      <c r="B3813" s="5" t="s">
        <v>4408</v>
      </c>
      <c r="C3813" s="5" t="s">
        <v>21</v>
      </c>
      <c r="K3813" s="5">
        <v>200.0</v>
      </c>
      <c r="N3813" s="9">
        <v>45784.0</v>
      </c>
    </row>
    <row r="3814">
      <c r="A3814" s="5">
        <v>3813.0</v>
      </c>
      <c r="B3814" s="5" t="s">
        <v>4409</v>
      </c>
      <c r="C3814" s="5" t="s">
        <v>21</v>
      </c>
      <c r="K3814" s="5">
        <v>30.0</v>
      </c>
      <c r="N3814" s="9">
        <v>45846.0</v>
      </c>
    </row>
    <row r="3815">
      <c r="A3815" s="5">
        <v>3814.0</v>
      </c>
      <c r="B3815" s="5" t="s">
        <v>4410</v>
      </c>
      <c r="C3815" s="5" t="s">
        <v>21</v>
      </c>
      <c r="K3815" s="5">
        <v>500.0</v>
      </c>
      <c r="N3815" s="9">
        <v>44553.0</v>
      </c>
    </row>
    <row r="3816">
      <c r="A3816" s="5">
        <v>3815.0</v>
      </c>
      <c r="B3816" s="5" t="s">
        <v>4411</v>
      </c>
      <c r="C3816" s="5" t="s">
        <v>21</v>
      </c>
      <c r="K3816" s="5">
        <v>40.0</v>
      </c>
      <c r="N3816" s="9">
        <v>45846.0</v>
      </c>
    </row>
    <row r="3817">
      <c r="A3817" s="5">
        <v>3816.0</v>
      </c>
      <c r="B3817" s="5" t="s">
        <v>4412</v>
      </c>
      <c r="C3817" s="5" t="s">
        <v>21</v>
      </c>
      <c r="K3817" s="5">
        <v>200.0</v>
      </c>
      <c r="N3817" s="9">
        <v>43857.0</v>
      </c>
    </row>
    <row r="3818">
      <c r="A3818" s="5">
        <v>3817.0</v>
      </c>
      <c r="B3818" s="5" t="s">
        <v>4413</v>
      </c>
      <c r="C3818" s="5" t="s">
        <v>21</v>
      </c>
      <c r="K3818" s="5">
        <v>600.0</v>
      </c>
      <c r="N3818" s="9">
        <v>44730.0</v>
      </c>
    </row>
    <row r="3819">
      <c r="A3819" s="5">
        <v>3818.0</v>
      </c>
      <c r="B3819" s="5" t="s">
        <v>4414</v>
      </c>
      <c r="C3819" s="5" t="s">
        <v>21</v>
      </c>
      <c r="K3819" s="5">
        <v>2100.0</v>
      </c>
      <c r="N3819" s="9">
        <v>43845.0</v>
      </c>
    </row>
    <row r="3820">
      <c r="A3820" s="5">
        <v>3819.0</v>
      </c>
      <c r="B3820" s="5" t="s">
        <v>4415</v>
      </c>
      <c r="C3820" s="5" t="s">
        <v>21</v>
      </c>
      <c r="K3820" s="5">
        <v>600.0</v>
      </c>
      <c r="N3820" s="9">
        <v>44165.0</v>
      </c>
    </row>
    <row r="3821">
      <c r="A3821" s="5">
        <v>3820.0</v>
      </c>
      <c r="B3821" s="5" t="s">
        <v>4416</v>
      </c>
      <c r="C3821" s="5" t="s">
        <v>21</v>
      </c>
      <c r="K3821" s="5">
        <v>20.0</v>
      </c>
      <c r="N3821" s="9">
        <v>43870.0</v>
      </c>
    </row>
    <row r="3822">
      <c r="A3822" s="5">
        <v>3821.0</v>
      </c>
      <c r="B3822" s="5" t="s">
        <v>4417</v>
      </c>
      <c r="C3822" s="5" t="s">
        <v>21</v>
      </c>
      <c r="K3822" s="5">
        <v>10.0</v>
      </c>
      <c r="N3822" s="9">
        <v>45090.0</v>
      </c>
    </row>
    <row r="3823">
      <c r="A3823" s="5">
        <v>3822.0</v>
      </c>
      <c r="B3823" s="5" t="s">
        <v>4418</v>
      </c>
      <c r="C3823" s="5" t="s">
        <v>21</v>
      </c>
      <c r="K3823" s="5">
        <v>1000.0</v>
      </c>
      <c r="N3823" s="9">
        <v>45329.0</v>
      </c>
    </row>
    <row r="3824">
      <c r="A3824" s="5">
        <v>3823.0</v>
      </c>
      <c r="B3824" s="5" t="s">
        <v>4419</v>
      </c>
      <c r="C3824" s="5" t="s">
        <v>21</v>
      </c>
      <c r="K3824" s="5">
        <v>400.0</v>
      </c>
      <c r="N3824" s="9">
        <v>44208.0</v>
      </c>
    </row>
    <row r="3825">
      <c r="A3825" s="5">
        <v>3824.0</v>
      </c>
      <c r="B3825" s="5" t="s">
        <v>4420</v>
      </c>
      <c r="C3825" s="5" t="s">
        <v>21</v>
      </c>
      <c r="K3825" s="5">
        <v>90.0</v>
      </c>
      <c r="N3825" s="9">
        <v>45511.0</v>
      </c>
    </row>
    <row r="3826">
      <c r="A3826" s="5">
        <v>3825.0</v>
      </c>
      <c r="B3826" s="5" t="s">
        <v>4421</v>
      </c>
      <c r="C3826" s="5" t="s">
        <v>21</v>
      </c>
      <c r="K3826" s="5">
        <v>80.0</v>
      </c>
      <c r="N3826" s="9">
        <v>44766.0</v>
      </c>
    </row>
    <row r="3827">
      <c r="A3827" s="5">
        <v>3826.0</v>
      </c>
      <c r="B3827" s="5" t="s">
        <v>4422</v>
      </c>
      <c r="C3827" s="5" t="s">
        <v>21</v>
      </c>
      <c r="K3827" s="5">
        <v>250.0</v>
      </c>
      <c r="N3827" s="9">
        <v>44531.0</v>
      </c>
    </row>
    <row r="3828">
      <c r="A3828" s="5">
        <v>3827.0</v>
      </c>
      <c r="B3828" s="5" t="s">
        <v>4423</v>
      </c>
      <c r="C3828" s="5" t="s">
        <v>21</v>
      </c>
      <c r="N3828" s="9">
        <v>44519.0</v>
      </c>
    </row>
    <row r="3829">
      <c r="A3829" s="5">
        <v>3828.0</v>
      </c>
      <c r="B3829" s="5" t="s">
        <v>4424</v>
      </c>
      <c r="C3829" s="5" t="s">
        <v>21</v>
      </c>
      <c r="K3829" s="5">
        <v>1100.0</v>
      </c>
      <c r="N3829" s="9">
        <v>45787.0</v>
      </c>
    </row>
    <row r="3830">
      <c r="A3830" s="5">
        <v>3829.0</v>
      </c>
      <c r="B3830" s="5" t="s">
        <v>4425</v>
      </c>
      <c r="C3830" s="5" t="s">
        <v>21</v>
      </c>
      <c r="N3830" s="9">
        <v>44720.0</v>
      </c>
    </row>
    <row r="3831">
      <c r="A3831" s="5">
        <v>3830.0</v>
      </c>
      <c r="B3831" s="5" t="s">
        <v>4426</v>
      </c>
      <c r="C3831" s="5" t="s">
        <v>21</v>
      </c>
      <c r="K3831" s="5">
        <v>6700.0</v>
      </c>
      <c r="N3831" s="9">
        <v>44048.0</v>
      </c>
    </row>
    <row r="3832">
      <c r="A3832" s="5">
        <v>3831.0</v>
      </c>
      <c r="B3832" s="5" t="s">
        <v>4427</v>
      </c>
      <c r="C3832" s="5" t="s">
        <v>21</v>
      </c>
      <c r="K3832" s="5">
        <v>700.0</v>
      </c>
      <c r="N3832" s="9">
        <v>44508.0</v>
      </c>
    </row>
    <row r="3833">
      <c r="A3833" s="5">
        <v>3832.0</v>
      </c>
      <c r="B3833" s="5" t="s">
        <v>4428</v>
      </c>
      <c r="C3833" s="5" t="s">
        <v>21</v>
      </c>
      <c r="K3833" s="5">
        <v>150.0</v>
      </c>
      <c r="N3833" s="9">
        <v>44609.0</v>
      </c>
    </row>
    <row r="3834">
      <c r="A3834" s="5">
        <v>3833.0</v>
      </c>
      <c r="B3834" s="5" t="s">
        <v>4429</v>
      </c>
      <c r="C3834" s="5" t="s">
        <v>21</v>
      </c>
      <c r="K3834" s="5">
        <v>250.0</v>
      </c>
      <c r="N3834" s="9">
        <v>44271.0</v>
      </c>
    </row>
    <row r="3835">
      <c r="A3835" s="5">
        <v>3834.0</v>
      </c>
      <c r="B3835" s="5" t="s">
        <v>4430</v>
      </c>
      <c r="C3835" s="5" t="s">
        <v>21</v>
      </c>
      <c r="K3835" s="5">
        <v>200.0</v>
      </c>
      <c r="N3835" s="9">
        <v>44472.0</v>
      </c>
    </row>
    <row r="3836">
      <c r="A3836" s="5">
        <v>3835.0</v>
      </c>
      <c r="B3836" s="5" t="s">
        <v>4431</v>
      </c>
      <c r="C3836" s="5" t="s">
        <v>21</v>
      </c>
      <c r="K3836" s="5">
        <v>900.0</v>
      </c>
      <c r="N3836" s="9">
        <v>44577.0</v>
      </c>
    </row>
    <row r="3837">
      <c r="A3837" s="5">
        <v>3836.0</v>
      </c>
      <c r="B3837" s="5" t="s">
        <v>4432</v>
      </c>
      <c r="C3837" s="5" t="s">
        <v>21</v>
      </c>
      <c r="K3837" s="5">
        <v>100.0</v>
      </c>
      <c r="N3837" s="9">
        <v>44614.0</v>
      </c>
    </row>
    <row r="3838">
      <c r="A3838" s="5">
        <v>3837.0</v>
      </c>
      <c r="B3838" s="5" t="s">
        <v>4433</v>
      </c>
      <c r="C3838" s="5" t="s">
        <v>21</v>
      </c>
      <c r="K3838" s="5">
        <v>150.0</v>
      </c>
      <c r="N3838" s="9">
        <v>43848.0</v>
      </c>
    </row>
    <row r="3839">
      <c r="A3839" s="5">
        <v>3838.0</v>
      </c>
      <c r="B3839" s="5" t="s">
        <v>4434</v>
      </c>
      <c r="C3839" s="5" t="s">
        <v>21</v>
      </c>
      <c r="K3839" s="5">
        <v>2200.0</v>
      </c>
      <c r="N3839" s="9">
        <v>44012.0</v>
      </c>
    </row>
    <row r="3840">
      <c r="A3840" s="5">
        <v>3839.0</v>
      </c>
      <c r="B3840" s="5" t="s">
        <v>4435</v>
      </c>
      <c r="C3840" s="5" t="s">
        <v>21</v>
      </c>
      <c r="K3840" s="5">
        <v>150.0</v>
      </c>
      <c r="N3840" s="9">
        <v>44649.0</v>
      </c>
    </row>
    <row r="3841">
      <c r="A3841" s="5">
        <v>3840.0</v>
      </c>
      <c r="B3841" s="5" t="s">
        <v>4436</v>
      </c>
      <c r="C3841" s="5" t="s">
        <v>21</v>
      </c>
      <c r="K3841" s="5">
        <v>800.0</v>
      </c>
      <c r="N3841" s="9">
        <v>44062.0</v>
      </c>
    </row>
    <row r="3842">
      <c r="A3842" s="5">
        <v>3841.0</v>
      </c>
      <c r="B3842" s="5" t="s">
        <v>4437</v>
      </c>
      <c r="C3842" s="5" t="s">
        <v>21</v>
      </c>
      <c r="K3842" s="5">
        <v>200.0</v>
      </c>
      <c r="N3842" s="9">
        <v>44555.0</v>
      </c>
    </row>
    <row r="3843">
      <c r="A3843" s="5">
        <v>3842.0</v>
      </c>
      <c r="B3843" s="5" t="s">
        <v>4438</v>
      </c>
      <c r="C3843" s="5" t="s">
        <v>21</v>
      </c>
      <c r="K3843" s="5">
        <v>20.0</v>
      </c>
      <c r="N3843" s="9">
        <v>45327.0</v>
      </c>
    </row>
    <row r="3844">
      <c r="A3844" s="5">
        <v>3843.0</v>
      </c>
      <c r="B3844" s="5" t="s">
        <v>4439</v>
      </c>
      <c r="C3844" s="5" t="s">
        <v>21</v>
      </c>
      <c r="K3844" s="5">
        <v>250.0</v>
      </c>
      <c r="N3844" s="9">
        <v>44691.0</v>
      </c>
    </row>
    <row r="3845">
      <c r="A3845" s="5">
        <v>3844.0</v>
      </c>
      <c r="B3845" s="5" t="s">
        <v>4440</v>
      </c>
      <c r="C3845" s="5" t="s">
        <v>21</v>
      </c>
      <c r="K3845" s="5">
        <v>100.0</v>
      </c>
      <c r="N3845" s="9">
        <v>43984.0</v>
      </c>
    </row>
    <row r="3846">
      <c r="A3846" s="5">
        <v>3845.0</v>
      </c>
      <c r="B3846" s="5" t="s">
        <v>4441</v>
      </c>
      <c r="C3846" s="5" t="s">
        <v>21</v>
      </c>
      <c r="K3846" s="5">
        <v>900.0</v>
      </c>
      <c r="N3846" s="9">
        <v>44520.0</v>
      </c>
    </row>
    <row r="3847">
      <c r="A3847" s="5">
        <v>3846.0</v>
      </c>
      <c r="B3847" s="5" t="s">
        <v>4442</v>
      </c>
      <c r="C3847" s="5" t="s">
        <v>21</v>
      </c>
      <c r="K3847" s="5">
        <v>100.0</v>
      </c>
      <c r="N3847" s="9">
        <v>44536.0</v>
      </c>
    </row>
    <row r="3848">
      <c r="A3848" s="5">
        <v>3847.0</v>
      </c>
      <c r="B3848" s="5" t="s">
        <v>4443</v>
      </c>
      <c r="C3848" s="5" t="s">
        <v>21</v>
      </c>
      <c r="K3848" s="5">
        <v>900.0</v>
      </c>
      <c r="N3848" s="9">
        <v>44886.0</v>
      </c>
    </row>
    <row r="3849">
      <c r="A3849" s="5">
        <v>3848.0</v>
      </c>
      <c r="B3849" s="5" t="s">
        <v>4444</v>
      </c>
      <c r="C3849" s="5" t="s">
        <v>21</v>
      </c>
      <c r="N3849" s="9">
        <v>44914.0</v>
      </c>
    </row>
    <row r="3850">
      <c r="A3850" s="5">
        <v>3849.0</v>
      </c>
      <c r="B3850" s="5" t="s">
        <v>4445</v>
      </c>
      <c r="C3850" s="5" t="s">
        <v>21</v>
      </c>
      <c r="K3850" s="5">
        <v>200.0</v>
      </c>
      <c r="N3850" s="9">
        <v>45219.0</v>
      </c>
    </row>
    <row r="3851">
      <c r="A3851" s="5">
        <v>3850.0</v>
      </c>
      <c r="B3851" s="5" t="s">
        <v>4446</v>
      </c>
      <c r="C3851" s="5" t="s">
        <v>21</v>
      </c>
      <c r="K3851" s="5">
        <v>6500.0</v>
      </c>
      <c r="N3851" s="9">
        <v>44545.0</v>
      </c>
    </row>
    <row r="3852">
      <c r="A3852" s="5">
        <v>3851.0</v>
      </c>
      <c r="B3852" s="5" t="s">
        <v>4447</v>
      </c>
      <c r="C3852" s="5" t="s">
        <v>21</v>
      </c>
      <c r="K3852" s="5">
        <v>100.0</v>
      </c>
      <c r="N3852" s="9">
        <v>44020.0</v>
      </c>
    </row>
    <row r="3853">
      <c r="A3853" s="5">
        <v>3852.0</v>
      </c>
      <c r="B3853" s="5" t="s">
        <v>4448</v>
      </c>
      <c r="C3853" s="5" t="s">
        <v>21</v>
      </c>
      <c r="K3853" s="5">
        <v>2100.0</v>
      </c>
      <c r="N3853" s="9">
        <v>44305.0</v>
      </c>
    </row>
    <row r="3854">
      <c r="A3854" s="5">
        <v>3853.0</v>
      </c>
      <c r="B3854" s="5" t="s">
        <v>4449</v>
      </c>
      <c r="C3854" s="5" t="s">
        <v>21</v>
      </c>
      <c r="K3854" s="5">
        <v>800.0</v>
      </c>
      <c r="N3854" s="9">
        <v>44225.0</v>
      </c>
    </row>
    <row r="3855">
      <c r="A3855" s="5">
        <v>3854.0</v>
      </c>
      <c r="B3855" s="5" t="s">
        <v>4450</v>
      </c>
      <c r="C3855" s="5" t="s">
        <v>21</v>
      </c>
      <c r="K3855" s="5">
        <v>450.0</v>
      </c>
      <c r="N3855" s="9">
        <v>44319.0</v>
      </c>
    </row>
    <row r="3856">
      <c r="A3856" s="5">
        <v>3855.0</v>
      </c>
      <c r="B3856" s="5" t="s">
        <v>4451</v>
      </c>
      <c r="C3856" s="5" t="s">
        <v>21</v>
      </c>
      <c r="N3856" s="9">
        <v>44559.0</v>
      </c>
    </row>
    <row r="3857">
      <c r="A3857" s="5">
        <v>3856.0</v>
      </c>
      <c r="B3857" s="5" t="s">
        <v>4452</v>
      </c>
      <c r="C3857" s="5" t="s">
        <v>21</v>
      </c>
      <c r="K3857" s="5">
        <v>300.0</v>
      </c>
      <c r="N3857" s="9">
        <v>44262.0</v>
      </c>
    </row>
    <row r="3858">
      <c r="A3858" s="5">
        <v>3857.0</v>
      </c>
      <c r="B3858" s="5" t="s">
        <v>4453</v>
      </c>
      <c r="C3858" s="5" t="s">
        <v>21</v>
      </c>
      <c r="K3858" s="5">
        <v>1000.0</v>
      </c>
      <c r="N3858" s="9">
        <v>44572.0</v>
      </c>
    </row>
    <row r="3859">
      <c r="A3859" s="5">
        <v>3858.0</v>
      </c>
      <c r="B3859" s="5" t="s">
        <v>4454</v>
      </c>
      <c r="C3859" s="5" t="s">
        <v>21</v>
      </c>
      <c r="K3859" s="5">
        <v>90.0</v>
      </c>
      <c r="N3859" s="9">
        <v>44954.0</v>
      </c>
    </row>
    <row r="3860">
      <c r="A3860" s="5">
        <v>3859.0</v>
      </c>
      <c r="B3860" s="5" t="s">
        <v>4455</v>
      </c>
      <c r="C3860" s="5" t="s">
        <v>21</v>
      </c>
      <c r="K3860" s="5">
        <v>1500.0</v>
      </c>
      <c r="N3860" s="9">
        <v>44536.0</v>
      </c>
    </row>
    <row r="3861">
      <c r="A3861" s="5">
        <v>3860.0</v>
      </c>
      <c r="B3861" s="5" t="s">
        <v>4456</v>
      </c>
      <c r="C3861" s="5" t="s">
        <v>21</v>
      </c>
      <c r="K3861" s="5">
        <v>200.0</v>
      </c>
      <c r="N3861" s="9">
        <v>44536.0</v>
      </c>
    </row>
    <row r="3862">
      <c r="A3862" s="5">
        <v>3861.0</v>
      </c>
      <c r="B3862" s="5" t="s">
        <v>4457</v>
      </c>
      <c r="C3862" s="5" t="s">
        <v>21</v>
      </c>
      <c r="K3862" s="5">
        <v>300.0</v>
      </c>
      <c r="N3862" s="9">
        <v>43850.0</v>
      </c>
    </row>
    <row r="3863">
      <c r="A3863" s="5">
        <v>3862.0</v>
      </c>
      <c r="B3863" s="5" t="s">
        <v>4458</v>
      </c>
      <c r="C3863" s="5" t="s">
        <v>21</v>
      </c>
      <c r="K3863" s="5">
        <v>10.0</v>
      </c>
      <c r="N3863" s="9">
        <v>44605.0</v>
      </c>
    </row>
    <row r="3864">
      <c r="A3864" s="5">
        <v>3863.0</v>
      </c>
      <c r="B3864" s="5" t="s">
        <v>4459</v>
      </c>
      <c r="C3864" s="5" t="s">
        <v>21</v>
      </c>
      <c r="K3864" s="5">
        <v>300.0</v>
      </c>
      <c r="N3864" s="9">
        <v>44525.0</v>
      </c>
    </row>
    <row r="3865">
      <c r="A3865" s="5">
        <v>3864.0</v>
      </c>
      <c r="B3865" s="5" t="s">
        <v>4460</v>
      </c>
      <c r="C3865" s="5" t="s">
        <v>21</v>
      </c>
      <c r="K3865" s="5">
        <v>1100.0</v>
      </c>
      <c r="N3865" s="9">
        <v>44203.0</v>
      </c>
    </row>
    <row r="3866">
      <c r="A3866" s="5">
        <v>3865.0</v>
      </c>
      <c r="B3866" s="5" t="s">
        <v>4461</v>
      </c>
      <c r="C3866" s="5" t="s">
        <v>21</v>
      </c>
      <c r="K3866" s="5">
        <v>1100.0</v>
      </c>
      <c r="N3866" s="9">
        <v>44252.0</v>
      </c>
    </row>
    <row r="3867">
      <c r="A3867" s="5">
        <v>3866.0</v>
      </c>
      <c r="B3867" s="5" t="s">
        <v>139</v>
      </c>
      <c r="C3867" s="5" t="s">
        <v>21</v>
      </c>
      <c r="N3867" s="9">
        <v>43436.0</v>
      </c>
    </row>
    <row r="3868">
      <c r="A3868" s="5">
        <v>3867.0</v>
      </c>
      <c r="B3868" s="5" t="s">
        <v>4462</v>
      </c>
      <c r="C3868" s="5" t="s">
        <v>21</v>
      </c>
      <c r="K3868" s="5">
        <v>60.0</v>
      </c>
      <c r="N3868" s="9">
        <v>44558.0</v>
      </c>
    </row>
    <row r="3869">
      <c r="A3869" s="5">
        <v>3868.0</v>
      </c>
      <c r="B3869" s="5" t="s">
        <v>4463</v>
      </c>
      <c r="C3869" s="5" t="s">
        <v>21</v>
      </c>
      <c r="K3869" s="5">
        <v>500.0</v>
      </c>
      <c r="N3869" s="9">
        <v>44545.0</v>
      </c>
    </row>
    <row r="3870">
      <c r="A3870" s="5">
        <v>3869.0</v>
      </c>
      <c r="B3870" s="5" t="s">
        <v>4464</v>
      </c>
      <c r="C3870" s="5" t="s">
        <v>21</v>
      </c>
      <c r="K3870" s="5">
        <v>60.0</v>
      </c>
      <c r="N3870" s="9">
        <v>44437.0</v>
      </c>
    </row>
    <row r="3871">
      <c r="A3871" s="5">
        <v>3870.0</v>
      </c>
      <c r="B3871" s="5" t="s">
        <v>4465</v>
      </c>
      <c r="C3871" s="5" t="s">
        <v>21</v>
      </c>
      <c r="K3871" s="5">
        <v>4700.0</v>
      </c>
      <c r="N3871" s="9">
        <v>45238.0</v>
      </c>
    </row>
    <row r="3872">
      <c r="A3872" s="5">
        <v>3871.0</v>
      </c>
      <c r="B3872" s="5" t="s">
        <v>4466</v>
      </c>
      <c r="C3872" s="5" t="s">
        <v>21</v>
      </c>
      <c r="K3872" s="5">
        <v>1000.0</v>
      </c>
      <c r="N3872" s="9">
        <v>44788.0</v>
      </c>
    </row>
    <row r="3873">
      <c r="A3873" s="5">
        <v>3872.0</v>
      </c>
      <c r="B3873" s="5" t="s">
        <v>4467</v>
      </c>
      <c r="C3873" s="5" t="s">
        <v>21</v>
      </c>
      <c r="K3873" s="5">
        <v>800.0</v>
      </c>
      <c r="N3873" s="9">
        <v>44306.0</v>
      </c>
    </row>
    <row r="3874">
      <c r="A3874" s="5">
        <v>3873.0</v>
      </c>
      <c r="B3874" s="5" t="s">
        <v>4468</v>
      </c>
      <c r="C3874" s="5" t="s">
        <v>21</v>
      </c>
      <c r="K3874" s="5">
        <v>40.0</v>
      </c>
      <c r="N3874" s="9">
        <v>44544.0</v>
      </c>
    </row>
    <row r="3875">
      <c r="A3875" s="5">
        <v>3874.0</v>
      </c>
      <c r="B3875" s="5" t="s">
        <v>4469</v>
      </c>
      <c r="C3875" s="5" t="s">
        <v>21</v>
      </c>
      <c r="K3875" s="5">
        <v>200.0</v>
      </c>
      <c r="N3875" s="9">
        <v>44970.0</v>
      </c>
    </row>
    <row r="3876">
      <c r="A3876" s="5">
        <v>3875.0</v>
      </c>
      <c r="B3876" s="5" t="s">
        <v>184</v>
      </c>
      <c r="C3876" s="5" t="s">
        <v>21</v>
      </c>
      <c r="K3876" s="5">
        <v>2700.0</v>
      </c>
      <c r="N3876" s="9">
        <v>43914.0</v>
      </c>
    </row>
    <row r="3877">
      <c r="A3877" s="5">
        <v>3876.0</v>
      </c>
      <c r="B3877" s="5" t="s">
        <v>4470</v>
      </c>
      <c r="C3877" s="5" t="s">
        <v>21</v>
      </c>
      <c r="K3877" s="5">
        <v>1000.0</v>
      </c>
      <c r="N3877" s="9">
        <v>44196.0</v>
      </c>
    </row>
    <row r="3878">
      <c r="A3878" s="5">
        <v>3877.0</v>
      </c>
      <c r="B3878" s="5" t="s">
        <v>4471</v>
      </c>
      <c r="C3878" s="5" t="s">
        <v>21</v>
      </c>
      <c r="K3878" s="5">
        <v>1100.0</v>
      </c>
      <c r="N3878" s="9">
        <v>42471.0</v>
      </c>
    </row>
    <row r="3879">
      <c r="A3879" s="5">
        <v>3878.0</v>
      </c>
      <c r="B3879" s="5" t="s">
        <v>4472</v>
      </c>
      <c r="C3879" s="5" t="s">
        <v>21</v>
      </c>
      <c r="K3879" s="5">
        <v>300.0</v>
      </c>
      <c r="N3879" s="9">
        <v>44687.0</v>
      </c>
    </row>
    <row r="3880">
      <c r="A3880" s="5">
        <v>3879.0</v>
      </c>
      <c r="B3880" s="5" t="s">
        <v>4473</v>
      </c>
      <c r="C3880" s="5" t="s">
        <v>21</v>
      </c>
      <c r="K3880" s="5">
        <v>70.0</v>
      </c>
      <c r="N3880" s="9">
        <v>44647.0</v>
      </c>
    </row>
    <row r="3881">
      <c r="A3881" s="5">
        <v>3880.0</v>
      </c>
      <c r="B3881" s="5" t="s">
        <v>4474</v>
      </c>
      <c r="C3881" s="5" t="s">
        <v>21</v>
      </c>
      <c r="K3881" s="5">
        <v>200.0</v>
      </c>
      <c r="N3881" s="9">
        <v>44793.0</v>
      </c>
    </row>
    <row r="3882">
      <c r="A3882" s="5">
        <v>3881.0</v>
      </c>
      <c r="B3882" s="5" t="s">
        <v>4475</v>
      </c>
      <c r="C3882" s="5" t="s">
        <v>21</v>
      </c>
      <c r="K3882" s="5">
        <v>200.0</v>
      </c>
      <c r="N3882" s="9">
        <v>44506.0</v>
      </c>
    </row>
    <row r="3883">
      <c r="A3883" s="5">
        <v>3882.0</v>
      </c>
      <c r="B3883" s="5" t="s">
        <v>4476</v>
      </c>
      <c r="C3883" s="5" t="s">
        <v>21</v>
      </c>
      <c r="K3883" s="5">
        <v>300.0</v>
      </c>
      <c r="N3883" s="9">
        <v>44832.0</v>
      </c>
    </row>
    <row r="3884">
      <c r="A3884" s="5">
        <v>3883.0</v>
      </c>
      <c r="B3884" s="5" t="s">
        <v>4477</v>
      </c>
      <c r="C3884" s="5" t="s">
        <v>21</v>
      </c>
      <c r="K3884" s="5">
        <v>150.0</v>
      </c>
      <c r="N3884" s="9">
        <v>44711.0</v>
      </c>
    </row>
    <row r="3885">
      <c r="A3885" s="5">
        <v>3884.0</v>
      </c>
      <c r="B3885" s="5" t="s">
        <v>4478</v>
      </c>
      <c r="C3885" s="5" t="s">
        <v>21</v>
      </c>
      <c r="K3885" s="5">
        <v>300.0</v>
      </c>
      <c r="N3885" s="9">
        <v>43948.0</v>
      </c>
    </row>
    <row r="3886">
      <c r="A3886" s="5">
        <v>3885.0</v>
      </c>
      <c r="B3886" s="5" t="s">
        <v>4479</v>
      </c>
      <c r="C3886" s="5" t="s">
        <v>21</v>
      </c>
      <c r="K3886" s="5">
        <v>900.0</v>
      </c>
      <c r="N3886" s="9">
        <v>44328.0</v>
      </c>
    </row>
    <row r="3887">
      <c r="A3887" s="5">
        <v>3886.0</v>
      </c>
      <c r="B3887" s="5" t="s">
        <v>4480</v>
      </c>
      <c r="C3887" s="5" t="s">
        <v>21</v>
      </c>
      <c r="K3887" s="5">
        <v>100.0</v>
      </c>
      <c r="N3887" s="9">
        <v>45031.0</v>
      </c>
    </row>
    <row r="3888">
      <c r="A3888" s="5">
        <v>3887.0</v>
      </c>
      <c r="B3888" s="5" t="s">
        <v>4481</v>
      </c>
      <c r="C3888" s="5" t="s">
        <v>21</v>
      </c>
      <c r="N3888" s="9">
        <v>44604.0</v>
      </c>
    </row>
    <row r="3889">
      <c r="A3889" s="5">
        <v>3888.0</v>
      </c>
      <c r="B3889" s="5" t="s">
        <v>4482</v>
      </c>
      <c r="C3889" s="5" t="s">
        <v>21</v>
      </c>
      <c r="K3889" s="5">
        <v>150.0</v>
      </c>
      <c r="N3889" s="9">
        <v>44367.0</v>
      </c>
    </row>
    <row r="3890">
      <c r="A3890" s="5">
        <v>3889.0</v>
      </c>
      <c r="B3890" s="5" t="s">
        <v>4483</v>
      </c>
      <c r="C3890" s="5" t="s">
        <v>21</v>
      </c>
      <c r="K3890" s="5">
        <v>450.0</v>
      </c>
      <c r="N3890" s="9">
        <v>44773.0</v>
      </c>
    </row>
    <row r="3891">
      <c r="A3891" s="5">
        <v>3890.0</v>
      </c>
      <c r="B3891" s="5" t="s">
        <v>4484</v>
      </c>
      <c r="C3891" s="5" t="s">
        <v>21</v>
      </c>
      <c r="K3891" s="5">
        <v>350.0</v>
      </c>
      <c r="N3891" s="9">
        <v>44532.0</v>
      </c>
    </row>
    <row r="3892">
      <c r="A3892" s="5">
        <v>3891.0</v>
      </c>
      <c r="B3892" s="5" t="s">
        <v>4485</v>
      </c>
      <c r="C3892" s="5" t="s">
        <v>21</v>
      </c>
      <c r="K3892" s="5">
        <v>1100.0</v>
      </c>
      <c r="N3892" s="9">
        <v>45738.0</v>
      </c>
    </row>
    <row r="3893">
      <c r="A3893" s="5">
        <v>3892.0</v>
      </c>
      <c r="B3893" s="5" t="s">
        <v>4486</v>
      </c>
      <c r="C3893" s="5" t="s">
        <v>21</v>
      </c>
      <c r="K3893" s="5">
        <v>150.0</v>
      </c>
      <c r="N3893" s="9">
        <v>43996.0</v>
      </c>
    </row>
    <row r="3894">
      <c r="A3894" s="5">
        <v>3893.0</v>
      </c>
      <c r="B3894" s="5" t="s">
        <v>4487</v>
      </c>
      <c r="C3894" s="5" t="s">
        <v>21</v>
      </c>
      <c r="K3894" s="5">
        <v>20.0</v>
      </c>
      <c r="N3894" s="9">
        <v>44543.0</v>
      </c>
    </row>
    <row r="3895">
      <c r="A3895" s="5">
        <v>3894.0</v>
      </c>
      <c r="B3895" s="5" t="s">
        <v>4488</v>
      </c>
      <c r="C3895" s="5" t="s">
        <v>21</v>
      </c>
      <c r="K3895" s="5">
        <v>100.0</v>
      </c>
      <c r="N3895" s="9">
        <v>44382.0</v>
      </c>
    </row>
    <row r="3896">
      <c r="A3896" s="5">
        <v>3895.0</v>
      </c>
      <c r="B3896" s="5" t="s">
        <v>4489</v>
      </c>
      <c r="C3896" s="5" t="s">
        <v>21</v>
      </c>
      <c r="N3896" s="9">
        <v>44380.0</v>
      </c>
    </row>
    <row r="3897">
      <c r="A3897" s="5">
        <v>3896.0</v>
      </c>
      <c r="B3897" s="5" t="s">
        <v>4490</v>
      </c>
      <c r="C3897" s="5" t="s">
        <v>21</v>
      </c>
      <c r="K3897" s="5">
        <v>300.0</v>
      </c>
      <c r="N3897" s="9">
        <v>45081.0</v>
      </c>
    </row>
    <row r="3898">
      <c r="A3898" s="5">
        <v>3897.0</v>
      </c>
      <c r="B3898" s="5" t="s">
        <v>4491</v>
      </c>
      <c r="C3898" s="5" t="s">
        <v>21</v>
      </c>
      <c r="K3898" s="5">
        <v>350.0</v>
      </c>
      <c r="N3898" s="9">
        <v>44563.0</v>
      </c>
    </row>
    <row r="3899">
      <c r="A3899" s="5">
        <v>3898.0</v>
      </c>
      <c r="B3899" s="5" t="s">
        <v>4492</v>
      </c>
      <c r="C3899" s="5" t="s">
        <v>21</v>
      </c>
      <c r="K3899" s="5">
        <v>150.0</v>
      </c>
      <c r="N3899" s="9">
        <v>44892.0</v>
      </c>
    </row>
    <row r="3900">
      <c r="A3900" s="5">
        <v>3899.0</v>
      </c>
      <c r="B3900" s="5" t="s">
        <v>4493</v>
      </c>
      <c r="C3900" s="5" t="s">
        <v>21</v>
      </c>
      <c r="K3900" s="5">
        <v>600.0</v>
      </c>
      <c r="N3900" s="9">
        <v>44300.0</v>
      </c>
    </row>
    <row r="3901">
      <c r="A3901" s="5">
        <v>3900.0</v>
      </c>
      <c r="B3901" s="5" t="s">
        <v>4494</v>
      </c>
      <c r="C3901" s="5" t="s">
        <v>21</v>
      </c>
      <c r="K3901" s="5">
        <v>800.0</v>
      </c>
      <c r="N3901" s="9">
        <v>44780.0</v>
      </c>
    </row>
    <row r="3902">
      <c r="A3902" s="5">
        <v>3901.0</v>
      </c>
      <c r="B3902" s="5" t="s">
        <v>4495</v>
      </c>
      <c r="C3902" s="5" t="s">
        <v>21</v>
      </c>
      <c r="K3902" s="5">
        <v>400.0</v>
      </c>
      <c r="N3902" s="9">
        <v>44679.0</v>
      </c>
    </row>
    <row r="3903">
      <c r="A3903" s="5">
        <v>3902.0</v>
      </c>
      <c r="B3903" s="5" t="s">
        <v>4496</v>
      </c>
      <c r="C3903" s="5" t="s">
        <v>21</v>
      </c>
      <c r="K3903" s="5">
        <v>900.0</v>
      </c>
      <c r="N3903" s="9">
        <v>44594.0</v>
      </c>
    </row>
    <row r="3904">
      <c r="A3904" s="5">
        <v>3903.0</v>
      </c>
      <c r="B3904" s="5" t="s">
        <v>4497</v>
      </c>
      <c r="C3904" s="5" t="s">
        <v>21</v>
      </c>
      <c r="K3904" s="5">
        <v>60.0</v>
      </c>
      <c r="N3904" s="9">
        <v>44802.0</v>
      </c>
    </row>
    <row r="3905">
      <c r="A3905" s="5">
        <v>3904.0</v>
      </c>
      <c r="B3905" s="5" t="s">
        <v>4498</v>
      </c>
      <c r="C3905" s="5" t="s">
        <v>21</v>
      </c>
      <c r="K3905" s="5">
        <v>70.0</v>
      </c>
      <c r="N3905" s="9">
        <v>44326.0</v>
      </c>
    </row>
    <row r="3906">
      <c r="A3906" s="5">
        <v>3905.0</v>
      </c>
      <c r="B3906" s="5" t="s">
        <v>4499</v>
      </c>
      <c r="C3906" s="5" t="s">
        <v>21</v>
      </c>
      <c r="K3906" s="5">
        <v>350.0</v>
      </c>
      <c r="N3906" s="9">
        <v>44123.0</v>
      </c>
    </row>
    <row r="3907">
      <c r="A3907" s="5">
        <v>3906.0</v>
      </c>
      <c r="B3907" s="5" t="s">
        <v>4500</v>
      </c>
      <c r="C3907" s="5" t="s">
        <v>21</v>
      </c>
      <c r="K3907" s="5">
        <v>100.0</v>
      </c>
      <c r="N3907" s="9">
        <v>44716.0</v>
      </c>
    </row>
    <row r="3908">
      <c r="A3908" s="5">
        <v>3907.0</v>
      </c>
      <c r="B3908" s="5" t="s">
        <v>4501</v>
      </c>
      <c r="C3908" s="5" t="s">
        <v>21</v>
      </c>
      <c r="K3908" s="5">
        <v>250.0</v>
      </c>
      <c r="N3908" s="9">
        <v>45193.0</v>
      </c>
    </row>
    <row r="3909">
      <c r="A3909" s="5">
        <v>3908.0</v>
      </c>
      <c r="B3909" s="5" t="s">
        <v>4502</v>
      </c>
      <c r="C3909" s="5" t="s">
        <v>21</v>
      </c>
      <c r="K3909" s="5">
        <v>40.0</v>
      </c>
      <c r="N3909" s="9">
        <v>44760.0</v>
      </c>
    </row>
    <row r="3910">
      <c r="A3910" s="5">
        <v>3909.0</v>
      </c>
      <c r="B3910" s="5" t="s">
        <v>4503</v>
      </c>
      <c r="C3910" s="5" t="s">
        <v>21</v>
      </c>
      <c r="K3910" s="5">
        <v>1300.0</v>
      </c>
      <c r="N3910" s="9">
        <v>44169.0</v>
      </c>
    </row>
    <row r="3911">
      <c r="A3911" s="5">
        <v>3910.0</v>
      </c>
      <c r="B3911" s="5" t="s">
        <v>4504</v>
      </c>
      <c r="C3911" s="5" t="s">
        <v>21</v>
      </c>
      <c r="K3911" s="5">
        <v>600.0</v>
      </c>
      <c r="N3911" s="9">
        <v>44830.0</v>
      </c>
    </row>
    <row r="3912">
      <c r="A3912" s="5">
        <v>3911.0</v>
      </c>
      <c r="B3912" s="5" t="s">
        <v>4505</v>
      </c>
      <c r="C3912" s="5" t="s">
        <v>21</v>
      </c>
      <c r="K3912" s="5">
        <v>200.0</v>
      </c>
      <c r="N3912" s="9">
        <v>44464.0</v>
      </c>
    </row>
    <row r="3913">
      <c r="A3913" s="5">
        <v>3912.0</v>
      </c>
      <c r="B3913" s="5" t="s">
        <v>4506</v>
      </c>
      <c r="C3913" s="5" t="s">
        <v>21</v>
      </c>
      <c r="K3913" s="5">
        <v>1500.0</v>
      </c>
      <c r="N3913" s="9">
        <v>44516.0</v>
      </c>
    </row>
    <row r="3914">
      <c r="A3914" s="5">
        <v>3913.0</v>
      </c>
      <c r="B3914" s="5" t="s">
        <v>4507</v>
      </c>
      <c r="C3914" s="5" t="s">
        <v>21</v>
      </c>
      <c r="K3914" s="5">
        <v>30.0</v>
      </c>
      <c r="N3914" s="9">
        <v>44391.0</v>
      </c>
    </row>
    <row r="3915">
      <c r="A3915" s="5">
        <v>3914.0</v>
      </c>
      <c r="B3915" s="5" t="s">
        <v>4508</v>
      </c>
      <c r="C3915" s="5" t="s">
        <v>21</v>
      </c>
      <c r="K3915" s="5">
        <v>100.0</v>
      </c>
      <c r="N3915" s="9">
        <v>44732.0</v>
      </c>
    </row>
    <row r="3916">
      <c r="A3916" s="5">
        <v>3915.0</v>
      </c>
      <c r="B3916" s="5" t="s">
        <v>4509</v>
      </c>
      <c r="C3916" s="5" t="s">
        <v>21</v>
      </c>
      <c r="K3916" s="5">
        <v>1000.0</v>
      </c>
      <c r="N3916" s="9">
        <v>44979.0</v>
      </c>
    </row>
    <row r="3917">
      <c r="A3917" s="5">
        <v>3916.0</v>
      </c>
      <c r="B3917" s="5" t="s">
        <v>4510</v>
      </c>
      <c r="C3917" s="5" t="s">
        <v>21</v>
      </c>
      <c r="K3917" s="5">
        <v>150.0</v>
      </c>
      <c r="N3917" s="9">
        <v>44645.0</v>
      </c>
    </row>
    <row r="3918">
      <c r="A3918" s="5">
        <v>3917.0</v>
      </c>
      <c r="B3918" s="5" t="s">
        <v>4511</v>
      </c>
      <c r="C3918" s="5" t="s">
        <v>21</v>
      </c>
      <c r="K3918" s="5">
        <v>600.0</v>
      </c>
      <c r="N3918" s="9">
        <v>45048.0</v>
      </c>
    </row>
    <row r="3919">
      <c r="A3919" s="5">
        <v>3918.0</v>
      </c>
      <c r="B3919" s="5" t="s">
        <v>4512</v>
      </c>
      <c r="C3919" s="5" t="s">
        <v>21</v>
      </c>
      <c r="K3919" s="5">
        <v>350.0</v>
      </c>
      <c r="N3919" s="9">
        <v>45099.0</v>
      </c>
    </row>
    <row r="3920">
      <c r="A3920" s="5">
        <v>3919.0</v>
      </c>
      <c r="B3920" s="5" t="s">
        <v>4513</v>
      </c>
      <c r="C3920" s="5" t="s">
        <v>21</v>
      </c>
      <c r="K3920" s="5">
        <v>150.0</v>
      </c>
      <c r="N3920" s="9">
        <v>44759.0</v>
      </c>
    </row>
    <row r="3921">
      <c r="A3921" s="5">
        <v>3920.0</v>
      </c>
      <c r="B3921" s="5" t="s">
        <v>4514</v>
      </c>
      <c r="C3921" s="5" t="s">
        <v>21</v>
      </c>
      <c r="K3921" s="5">
        <v>60.0</v>
      </c>
      <c r="N3921" s="9">
        <v>45206.0</v>
      </c>
    </row>
    <row r="3922">
      <c r="A3922" s="5">
        <v>3921.0</v>
      </c>
      <c r="B3922" s="5" t="s">
        <v>4515</v>
      </c>
      <c r="C3922" s="5" t="s">
        <v>21</v>
      </c>
      <c r="K3922" s="5">
        <v>900.0</v>
      </c>
      <c r="N3922" s="9">
        <v>44523.0</v>
      </c>
    </row>
    <row r="3923">
      <c r="A3923" s="5">
        <v>3922.0</v>
      </c>
      <c r="B3923" s="5" t="s">
        <v>4516</v>
      </c>
      <c r="C3923" s="5" t="s">
        <v>21</v>
      </c>
      <c r="K3923" s="5">
        <v>150.0</v>
      </c>
      <c r="N3923" s="9">
        <v>44178.0</v>
      </c>
    </row>
    <row r="3924">
      <c r="A3924" s="5">
        <v>3923.0</v>
      </c>
      <c r="B3924" s="5" t="s">
        <v>4517</v>
      </c>
      <c r="C3924" s="5" t="s">
        <v>21</v>
      </c>
      <c r="K3924" s="5">
        <v>500.0</v>
      </c>
      <c r="N3924" s="9">
        <v>44234.0</v>
      </c>
    </row>
    <row r="3925">
      <c r="A3925" s="5">
        <v>3924.0</v>
      </c>
      <c r="B3925" s="5" t="s">
        <v>4518</v>
      </c>
      <c r="C3925" s="5" t="s">
        <v>21</v>
      </c>
      <c r="K3925" s="5">
        <v>300.0</v>
      </c>
      <c r="N3925" s="9">
        <v>45565.0</v>
      </c>
    </row>
    <row r="3926">
      <c r="A3926" s="5">
        <v>3925.0</v>
      </c>
      <c r="B3926" s="5" t="s">
        <v>4519</v>
      </c>
      <c r="C3926" s="5" t="s">
        <v>21</v>
      </c>
      <c r="K3926" s="5">
        <v>350.0</v>
      </c>
      <c r="N3926" s="9">
        <v>44627.0</v>
      </c>
    </row>
    <row r="3927">
      <c r="A3927" s="5">
        <v>3926.0</v>
      </c>
      <c r="B3927" s="5" t="s">
        <v>4520</v>
      </c>
      <c r="C3927" s="5" t="s">
        <v>21</v>
      </c>
      <c r="K3927" s="5">
        <v>100.0</v>
      </c>
      <c r="N3927" s="9">
        <v>43862.0</v>
      </c>
    </row>
    <row r="3928">
      <c r="A3928" s="5">
        <v>3927.0</v>
      </c>
      <c r="B3928" s="5" t="s">
        <v>4521</v>
      </c>
      <c r="C3928" s="5" t="s">
        <v>21</v>
      </c>
      <c r="K3928" s="5">
        <v>150.0</v>
      </c>
      <c r="N3928" s="9">
        <v>44591.0</v>
      </c>
    </row>
    <row r="3929">
      <c r="A3929" s="5">
        <v>3928.0</v>
      </c>
      <c r="B3929" s="5" t="s">
        <v>4522</v>
      </c>
      <c r="C3929" s="5" t="s">
        <v>21</v>
      </c>
      <c r="K3929" s="5">
        <v>800.0</v>
      </c>
      <c r="N3929" s="9">
        <v>44503.0</v>
      </c>
    </row>
    <row r="3930">
      <c r="A3930" s="5">
        <v>3929.0</v>
      </c>
      <c r="B3930" s="5" t="s">
        <v>4523</v>
      </c>
      <c r="C3930" s="5" t="s">
        <v>21</v>
      </c>
      <c r="K3930" s="5">
        <v>2000.0</v>
      </c>
      <c r="N3930" s="9">
        <v>44050.0</v>
      </c>
    </row>
    <row r="3931">
      <c r="A3931" s="5">
        <v>3930.0</v>
      </c>
      <c r="B3931" s="5" t="s">
        <v>4524</v>
      </c>
      <c r="C3931" s="5" t="s">
        <v>21</v>
      </c>
      <c r="K3931" s="5">
        <v>600.0</v>
      </c>
      <c r="N3931" s="9">
        <v>44634.0</v>
      </c>
    </row>
    <row r="3932">
      <c r="A3932" s="5">
        <v>3931.0</v>
      </c>
      <c r="B3932" s="5" t="s">
        <v>4525</v>
      </c>
      <c r="C3932" s="5" t="s">
        <v>21</v>
      </c>
      <c r="K3932" s="5">
        <v>300.0</v>
      </c>
      <c r="N3932" s="9">
        <v>44527.0</v>
      </c>
    </row>
    <row r="3933">
      <c r="A3933" s="5">
        <v>3932.0</v>
      </c>
      <c r="B3933" s="5" t="s">
        <v>4526</v>
      </c>
      <c r="C3933" s="5" t="s">
        <v>21</v>
      </c>
      <c r="K3933" s="5">
        <v>700.0</v>
      </c>
      <c r="N3933" s="9">
        <v>44298.0</v>
      </c>
    </row>
    <row r="3934">
      <c r="A3934" s="5">
        <v>3933.0</v>
      </c>
      <c r="B3934" s="5" t="s">
        <v>4527</v>
      </c>
      <c r="C3934" s="5" t="s">
        <v>21</v>
      </c>
      <c r="N3934" s="9">
        <v>42405.0</v>
      </c>
    </row>
    <row r="3935">
      <c r="A3935" s="5">
        <v>3934.0</v>
      </c>
      <c r="B3935" s="5" t="s">
        <v>4528</v>
      </c>
      <c r="C3935" s="5" t="s">
        <v>21</v>
      </c>
      <c r="K3935" s="5">
        <v>450.0</v>
      </c>
      <c r="N3935" s="9">
        <v>44723.0</v>
      </c>
    </row>
    <row r="3936">
      <c r="A3936" s="5">
        <v>3935.0</v>
      </c>
      <c r="B3936" s="5" t="s">
        <v>4529</v>
      </c>
      <c r="C3936" s="5" t="s">
        <v>21</v>
      </c>
      <c r="K3936" s="5">
        <v>100.0</v>
      </c>
      <c r="N3936" s="9">
        <v>44873.0</v>
      </c>
    </row>
    <row r="3937">
      <c r="A3937" s="5">
        <v>3936.0</v>
      </c>
      <c r="B3937" s="5" t="s">
        <v>4530</v>
      </c>
      <c r="C3937" s="5" t="s">
        <v>21</v>
      </c>
      <c r="K3937" s="5">
        <v>20.0</v>
      </c>
      <c r="N3937" s="9">
        <v>44682.0</v>
      </c>
    </row>
    <row r="3938">
      <c r="A3938" s="5">
        <v>3937.0</v>
      </c>
      <c r="B3938" s="5" t="s">
        <v>4531</v>
      </c>
      <c r="C3938" s="5" t="s">
        <v>21</v>
      </c>
      <c r="K3938" s="5">
        <v>70.0</v>
      </c>
      <c r="N3938" s="9">
        <v>44730.0</v>
      </c>
    </row>
    <row r="3939">
      <c r="A3939" s="5">
        <v>3938.0</v>
      </c>
      <c r="B3939" s="5" t="s">
        <v>4532</v>
      </c>
      <c r="C3939" s="5" t="s">
        <v>21</v>
      </c>
      <c r="K3939" s="5">
        <v>100.0</v>
      </c>
      <c r="N3939" s="9">
        <v>44628.0</v>
      </c>
    </row>
    <row r="3940">
      <c r="A3940" s="5">
        <v>3939.0</v>
      </c>
      <c r="B3940" s="5" t="s">
        <v>4533</v>
      </c>
      <c r="C3940" s="5" t="s">
        <v>21</v>
      </c>
      <c r="K3940" s="5">
        <v>600.0</v>
      </c>
      <c r="N3940" s="9">
        <v>44943.0</v>
      </c>
    </row>
    <row r="3941">
      <c r="A3941" s="5">
        <v>3940.0</v>
      </c>
      <c r="B3941" s="5" t="s">
        <v>4534</v>
      </c>
      <c r="C3941" s="5" t="s">
        <v>21</v>
      </c>
      <c r="K3941" s="5">
        <v>200.0</v>
      </c>
      <c r="N3941" s="9">
        <v>44526.0</v>
      </c>
    </row>
    <row r="3942">
      <c r="A3942" s="5">
        <v>3941.0</v>
      </c>
      <c r="B3942" s="5" t="s">
        <v>4535</v>
      </c>
      <c r="C3942" s="5" t="s">
        <v>21</v>
      </c>
      <c r="K3942" s="5">
        <v>1200.0</v>
      </c>
      <c r="N3942" s="9">
        <v>44594.0</v>
      </c>
    </row>
    <row r="3943">
      <c r="A3943" s="5">
        <v>3942.0</v>
      </c>
      <c r="B3943" s="5" t="s">
        <v>4536</v>
      </c>
      <c r="C3943" s="5" t="s">
        <v>21</v>
      </c>
      <c r="K3943" s="5">
        <v>400.0</v>
      </c>
      <c r="N3943" s="9">
        <v>44862.0</v>
      </c>
    </row>
    <row r="3944">
      <c r="A3944" s="5">
        <v>3943.0</v>
      </c>
      <c r="B3944" s="5" t="s">
        <v>4537</v>
      </c>
      <c r="C3944" s="5" t="s">
        <v>21</v>
      </c>
      <c r="K3944" s="5">
        <v>150.0</v>
      </c>
      <c r="N3944" s="9">
        <v>45434.0</v>
      </c>
    </row>
    <row r="3945">
      <c r="A3945" s="5">
        <v>3944.0</v>
      </c>
      <c r="B3945" s="5" t="s">
        <v>4538</v>
      </c>
      <c r="C3945" s="5" t="s">
        <v>21</v>
      </c>
      <c r="K3945" s="5">
        <v>300.0</v>
      </c>
      <c r="N3945" s="9">
        <v>44543.0</v>
      </c>
    </row>
    <row r="3946">
      <c r="A3946" s="5">
        <v>3945.0</v>
      </c>
      <c r="B3946" s="5" t="s">
        <v>4539</v>
      </c>
      <c r="C3946" s="5" t="s">
        <v>21</v>
      </c>
      <c r="K3946" s="5">
        <v>90.0</v>
      </c>
      <c r="N3946" s="9">
        <v>46126.0</v>
      </c>
    </row>
    <row r="3947">
      <c r="A3947" s="5">
        <v>3946.0</v>
      </c>
      <c r="B3947" s="5" t="s">
        <v>4540</v>
      </c>
      <c r="C3947" s="5" t="s">
        <v>21</v>
      </c>
      <c r="K3947" s="5">
        <v>400.0</v>
      </c>
      <c r="N3947" s="9">
        <v>44625.0</v>
      </c>
    </row>
    <row r="3948">
      <c r="A3948" s="5">
        <v>3947.0</v>
      </c>
      <c r="B3948" s="5" t="s">
        <v>4541</v>
      </c>
      <c r="C3948" s="5" t="s">
        <v>21</v>
      </c>
      <c r="K3948" s="5">
        <v>700.0</v>
      </c>
      <c r="N3948" s="9">
        <v>44541.0</v>
      </c>
    </row>
    <row r="3949">
      <c r="A3949" s="5">
        <v>3948.0</v>
      </c>
      <c r="B3949" s="5" t="s">
        <v>4542</v>
      </c>
      <c r="C3949" s="5" t="s">
        <v>21</v>
      </c>
      <c r="K3949" s="5">
        <v>350.0</v>
      </c>
      <c r="N3949" s="9">
        <v>44933.0</v>
      </c>
    </row>
    <row r="3950">
      <c r="A3950" s="5">
        <v>3949.0</v>
      </c>
      <c r="B3950" s="5" t="s">
        <v>4543</v>
      </c>
      <c r="C3950" s="5" t="s">
        <v>21</v>
      </c>
      <c r="K3950" s="5">
        <v>1100.0</v>
      </c>
      <c r="N3950" s="9">
        <v>44323.0</v>
      </c>
    </row>
    <row r="3951">
      <c r="A3951" s="5">
        <v>3950.0</v>
      </c>
      <c r="B3951" s="5" t="s">
        <v>4544</v>
      </c>
      <c r="C3951" s="5" t="s">
        <v>21</v>
      </c>
      <c r="K3951" s="5">
        <v>250.0</v>
      </c>
      <c r="N3951" s="9">
        <v>44269.0</v>
      </c>
    </row>
    <row r="3952">
      <c r="A3952" s="5">
        <v>3951.0</v>
      </c>
      <c r="B3952" s="5" t="s">
        <v>4545</v>
      </c>
      <c r="C3952" s="5" t="s">
        <v>21</v>
      </c>
      <c r="K3952" s="5">
        <v>150.0</v>
      </c>
      <c r="N3952" s="9">
        <v>45589.0</v>
      </c>
    </row>
    <row r="3953">
      <c r="A3953" s="5">
        <v>3952.0</v>
      </c>
      <c r="B3953" s="5" t="s">
        <v>4546</v>
      </c>
      <c r="C3953" s="5" t="s">
        <v>21</v>
      </c>
      <c r="N3953" s="9">
        <v>44754.0</v>
      </c>
    </row>
    <row r="3954">
      <c r="A3954" s="5">
        <v>3953.0</v>
      </c>
      <c r="B3954" s="5" t="s">
        <v>4547</v>
      </c>
      <c r="C3954" s="5" t="s">
        <v>21</v>
      </c>
      <c r="K3954" s="5">
        <v>800.0</v>
      </c>
      <c r="N3954" s="9">
        <v>44710.0</v>
      </c>
    </row>
    <row r="3955">
      <c r="A3955" s="5">
        <v>3954.0</v>
      </c>
      <c r="B3955" s="5" t="s">
        <v>4548</v>
      </c>
      <c r="C3955" s="5" t="s">
        <v>21</v>
      </c>
      <c r="K3955" s="5">
        <v>700.0</v>
      </c>
      <c r="N3955" s="9">
        <v>45225.0</v>
      </c>
    </row>
    <row r="3956">
      <c r="A3956" s="5">
        <v>3955.0</v>
      </c>
      <c r="B3956" s="5" t="s">
        <v>4549</v>
      </c>
      <c r="C3956" s="5" t="s">
        <v>21</v>
      </c>
      <c r="K3956" s="5">
        <v>200.0</v>
      </c>
      <c r="N3956" s="9">
        <v>44734.0</v>
      </c>
    </row>
    <row r="3957">
      <c r="A3957" s="5">
        <v>3956.0</v>
      </c>
      <c r="B3957" s="5" t="s">
        <v>4550</v>
      </c>
      <c r="C3957" s="5" t="s">
        <v>21</v>
      </c>
      <c r="K3957" s="5">
        <v>1900.0</v>
      </c>
      <c r="N3957" s="9">
        <v>43942.0</v>
      </c>
    </row>
    <row r="3958">
      <c r="A3958" s="5">
        <v>3957.0</v>
      </c>
      <c r="B3958" s="5" t="s">
        <v>4551</v>
      </c>
      <c r="C3958" s="5" t="s">
        <v>21</v>
      </c>
      <c r="K3958" s="5">
        <v>100.0</v>
      </c>
      <c r="N3958" s="9">
        <v>44853.0</v>
      </c>
    </row>
    <row r="3959">
      <c r="A3959" s="5">
        <v>3958.0</v>
      </c>
      <c r="B3959" s="5" t="s">
        <v>4552</v>
      </c>
      <c r="C3959" s="5" t="s">
        <v>21</v>
      </c>
      <c r="K3959" s="5">
        <v>200.0</v>
      </c>
      <c r="N3959" s="9">
        <v>44827.0</v>
      </c>
    </row>
    <row r="3960">
      <c r="A3960" s="5">
        <v>3959.0</v>
      </c>
      <c r="B3960" s="5" t="s">
        <v>4553</v>
      </c>
      <c r="C3960" s="5" t="s">
        <v>21</v>
      </c>
      <c r="K3960" s="5">
        <v>200.0</v>
      </c>
      <c r="N3960" s="9">
        <v>45017.0</v>
      </c>
    </row>
    <row r="3961">
      <c r="A3961" s="5">
        <v>3960.0</v>
      </c>
      <c r="B3961" s="5" t="s">
        <v>4554</v>
      </c>
      <c r="C3961" s="5" t="s">
        <v>21</v>
      </c>
      <c r="K3961" s="5">
        <v>6100.0</v>
      </c>
      <c r="N3961" s="9">
        <v>45125.0</v>
      </c>
    </row>
    <row r="3962">
      <c r="A3962" s="5">
        <v>3961.0</v>
      </c>
      <c r="B3962" s="5" t="s">
        <v>4555</v>
      </c>
      <c r="C3962" s="5" t="s">
        <v>21</v>
      </c>
      <c r="K3962" s="5">
        <v>800.0</v>
      </c>
      <c r="N3962" s="9">
        <v>44942.0</v>
      </c>
    </row>
    <row r="3963">
      <c r="A3963" s="5">
        <v>3962.0</v>
      </c>
      <c r="B3963" s="5" t="s">
        <v>4556</v>
      </c>
      <c r="C3963" s="5" t="s">
        <v>21</v>
      </c>
      <c r="K3963" s="5">
        <v>300.0</v>
      </c>
      <c r="N3963" s="9">
        <v>44408.0</v>
      </c>
    </row>
    <row r="3964">
      <c r="A3964" s="5">
        <v>3963.0</v>
      </c>
      <c r="B3964" s="5" t="s">
        <v>4557</v>
      </c>
      <c r="C3964" s="5" t="s">
        <v>21</v>
      </c>
      <c r="K3964" s="5">
        <v>600.0</v>
      </c>
      <c r="N3964" s="9">
        <v>44575.0</v>
      </c>
    </row>
    <row r="3965">
      <c r="A3965" s="5">
        <v>3964.0</v>
      </c>
      <c r="B3965" s="5" t="s">
        <v>4558</v>
      </c>
      <c r="C3965" s="5" t="s">
        <v>21</v>
      </c>
      <c r="K3965" s="5">
        <v>200.0</v>
      </c>
      <c r="N3965" s="9">
        <v>44985.0</v>
      </c>
    </row>
    <row r="3966">
      <c r="A3966" s="5">
        <v>3965.0</v>
      </c>
      <c r="B3966" s="5" t="s">
        <v>4559</v>
      </c>
      <c r="C3966" s="5" t="s">
        <v>21</v>
      </c>
      <c r="K3966" s="5">
        <v>150.0</v>
      </c>
      <c r="N3966" s="9">
        <v>45073.0</v>
      </c>
    </row>
    <row r="3967">
      <c r="A3967" s="5">
        <v>3966.0</v>
      </c>
      <c r="B3967" s="5" t="s">
        <v>4560</v>
      </c>
      <c r="C3967" s="5" t="s">
        <v>21</v>
      </c>
      <c r="K3967" s="5">
        <v>1100.0</v>
      </c>
      <c r="N3967" s="9">
        <v>44275.0</v>
      </c>
    </row>
    <row r="3968">
      <c r="A3968" s="5">
        <v>3967.0</v>
      </c>
      <c r="B3968" s="5" t="s">
        <v>4561</v>
      </c>
      <c r="C3968" s="5" t="s">
        <v>21</v>
      </c>
      <c r="K3968" s="5">
        <v>1300.0</v>
      </c>
      <c r="N3968" s="9">
        <v>44090.0</v>
      </c>
    </row>
    <row r="3969">
      <c r="A3969" s="5">
        <v>3968.0</v>
      </c>
      <c r="B3969" s="5" t="s">
        <v>4562</v>
      </c>
      <c r="C3969" s="5" t="s">
        <v>21</v>
      </c>
      <c r="K3969" s="5">
        <v>1800.0</v>
      </c>
      <c r="N3969" s="9">
        <v>44074.0</v>
      </c>
    </row>
    <row r="3970">
      <c r="A3970" s="5">
        <v>3969.0</v>
      </c>
      <c r="B3970" s="5" t="s">
        <v>4563</v>
      </c>
      <c r="C3970" s="5" t="s">
        <v>21</v>
      </c>
      <c r="K3970" s="5">
        <v>30.0</v>
      </c>
      <c r="N3970" s="9">
        <v>45109.0</v>
      </c>
    </row>
    <row r="3971">
      <c r="A3971" s="5">
        <v>3970.0</v>
      </c>
      <c r="B3971" s="5" t="s">
        <v>4564</v>
      </c>
      <c r="C3971" s="5" t="s">
        <v>21</v>
      </c>
      <c r="K3971" s="5">
        <v>900.0</v>
      </c>
      <c r="N3971" s="9">
        <v>44390.0</v>
      </c>
    </row>
    <row r="3972">
      <c r="A3972" s="5">
        <v>3971.0</v>
      </c>
      <c r="B3972" s="5" t="s">
        <v>4565</v>
      </c>
      <c r="C3972" s="5" t="s">
        <v>21</v>
      </c>
      <c r="K3972" s="5">
        <v>250.0</v>
      </c>
      <c r="N3972" s="9">
        <v>44681.0</v>
      </c>
    </row>
    <row r="3973">
      <c r="A3973" s="5">
        <v>3972.0</v>
      </c>
      <c r="B3973" s="5" t="s">
        <v>4566</v>
      </c>
      <c r="C3973" s="5" t="s">
        <v>21</v>
      </c>
      <c r="N3973" s="9">
        <v>44048.0</v>
      </c>
    </row>
    <row r="3974">
      <c r="A3974" s="5">
        <v>3973.0</v>
      </c>
      <c r="B3974" s="5" t="s">
        <v>4567</v>
      </c>
      <c r="C3974" s="5" t="s">
        <v>21</v>
      </c>
      <c r="K3974" s="5">
        <v>100.0</v>
      </c>
      <c r="N3974" s="9">
        <v>44346.0</v>
      </c>
    </row>
    <row r="3975">
      <c r="A3975" s="5">
        <v>3974.0</v>
      </c>
      <c r="B3975" s="5" t="s">
        <v>4568</v>
      </c>
      <c r="C3975" s="5" t="s">
        <v>21</v>
      </c>
      <c r="K3975" s="5">
        <v>80.0</v>
      </c>
      <c r="N3975" s="9">
        <v>44551.0</v>
      </c>
    </row>
    <row r="3976">
      <c r="A3976" s="5">
        <v>3975.0</v>
      </c>
      <c r="B3976" s="5" t="s">
        <v>4569</v>
      </c>
      <c r="C3976" s="5" t="s">
        <v>21</v>
      </c>
      <c r="K3976" s="5">
        <v>4000.0</v>
      </c>
      <c r="N3976" s="9">
        <v>44609.0</v>
      </c>
    </row>
    <row r="3977">
      <c r="A3977" s="5">
        <v>3976.0</v>
      </c>
      <c r="B3977" s="5" t="s">
        <v>4570</v>
      </c>
      <c r="C3977" s="5" t="s">
        <v>21</v>
      </c>
      <c r="K3977" s="5">
        <v>700.0</v>
      </c>
      <c r="N3977" s="9">
        <v>44815.0</v>
      </c>
    </row>
    <row r="3978">
      <c r="A3978" s="5">
        <v>3977.0</v>
      </c>
      <c r="B3978" s="5" t="s">
        <v>4571</v>
      </c>
      <c r="C3978" s="5" t="s">
        <v>21</v>
      </c>
      <c r="K3978" s="5">
        <v>200.0</v>
      </c>
      <c r="N3978" s="9">
        <v>45273.0</v>
      </c>
    </row>
    <row r="3979">
      <c r="A3979" s="5">
        <v>3978.0</v>
      </c>
      <c r="B3979" s="5" t="s">
        <v>4572</v>
      </c>
      <c r="C3979" s="5" t="s">
        <v>21</v>
      </c>
      <c r="K3979" s="5">
        <v>450.0</v>
      </c>
      <c r="N3979" s="9">
        <v>44359.0</v>
      </c>
    </row>
    <row r="3980">
      <c r="A3980" s="5">
        <v>3979.0</v>
      </c>
      <c r="B3980" s="5" t="s">
        <v>4573</v>
      </c>
      <c r="C3980" s="5" t="s">
        <v>21</v>
      </c>
      <c r="N3980" s="9">
        <v>46010.0</v>
      </c>
    </row>
    <row r="3981">
      <c r="A3981" s="5">
        <v>3980.0</v>
      </c>
      <c r="B3981" s="5" t="s">
        <v>4574</v>
      </c>
      <c r="C3981" s="5" t="s">
        <v>21</v>
      </c>
      <c r="K3981" s="5">
        <v>200.0</v>
      </c>
      <c r="N3981" s="9">
        <v>44610.0</v>
      </c>
    </row>
    <row r="3982">
      <c r="A3982" s="5">
        <v>3981.0</v>
      </c>
      <c r="B3982" s="5" t="s">
        <v>4575</v>
      </c>
      <c r="C3982" s="5" t="s">
        <v>21</v>
      </c>
      <c r="K3982" s="5">
        <v>200.0</v>
      </c>
      <c r="N3982" s="9">
        <v>45036.0</v>
      </c>
    </row>
    <row r="3983">
      <c r="A3983" s="5">
        <v>3982.0</v>
      </c>
      <c r="B3983" s="5" t="s">
        <v>4576</v>
      </c>
      <c r="C3983" s="5" t="s">
        <v>21</v>
      </c>
      <c r="K3983" s="5">
        <v>150.0</v>
      </c>
      <c r="N3983" s="9">
        <v>44582.0</v>
      </c>
    </row>
    <row r="3984">
      <c r="A3984" s="5">
        <v>3983.0</v>
      </c>
      <c r="B3984" s="5" t="s">
        <v>4577</v>
      </c>
      <c r="C3984" s="5" t="s">
        <v>21</v>
      </c>
      <c r="K3984" s="5">
        <v>700.0</v>
      </c>
      <c r="N3984" s="9">
        <v>43978.0</v>
      </c>
    </row>
    <row r="3985">
      <c r="A3985" s="5">
        <v>3984.0</v>
      </c>
      <c r="B3985" s="5" t="s">
        <v>4578</v>
      </c>
      <c r="C3985" s="5" t="s">
        <v>21</v>
      </c>
      <c r="K3985" s="5">
        <v>40.0</v>
      </c>
      <c r="N3985" s="9">
        <v>44159.0</v>
      </c>
    </row>
    <row r="3986">
      <c r="A3986" s="5">
        <v>3985.0</v>
      </c>
      <c r="B3986" s="5" t="s">
        <v>4579</v>
      </c>
      <c r="C3986" s="5" t="s">
        <v>21</v>
      </c>
      <c r="K3986" s="5">
        <v>1400.0</v>
      </c>
      <c r="N3986" s="9">
        <v>44567.0</v>
      </c>
    </row>
    <row r="3987">
      <c r="A3987" s="5">
        <v>3986.0</v>
      </c>
      <c r="B3987" s="5" t="s">
        <v>4580</v>
      </c>
      <c r="C3987" s="5" t="s">
        <v>21</v>
      </c>
      <c r="K3987" s="5">
        <v>3300.0</v>
      </c>
      <c r="N3987" s="9">
        <v>43847.0</v>
      </c>
    </row>
    <row r="3988">
      <c r="A3988" s="5">
        <v>3987.0</v>
      </c>
      <c r="B3988" s="5" t="s">
        <v>4581</v>
      </c>
      <c r="C3988" s="5" t="s">
        <v>21</v>
      </c>
      <c r="K3988" s="5">
        <v>2600.0</v>
      </c>
      <c r="N3988" s="9">
        <v>43895.0</v>
      </c>
    </row>
    <row r="3989">
      <c r="A3989" s="5">
        <v>3988.0</v>
      </c>
      <c r="B3989" s="5" t="s">
        <v>4582</v>
      </c>
      <c r="C3989" s="5" t="s">
        <v>21</v>
      </c>
      <c r="K3989" s="5">
        <v>150.0</v>
      </c>
      <c r="N3989" s="9">
        <v>44529.0</v>
      </c>
    </row>
    <row r="3990">
      <c r="A3990" s="5">
        <v>3989.0</v>
      </c>
      <c r="B3990" s="5" t="s">
        <v>4583</v>
      </c>
      <c r="C3990" s="5" t="s">
        <v>21</v>
      </c>
      <c r="K3990" s="5">
        <v>500.0</v>
      </c>
      <c r="N3990" s="9">
        <v>44534.0</v>
      </c>
    </row>
    <row r="3991">
      <c r="A3991" s="5">
        <v>3990.0</v>
      </c>
      <c r="B3991" s="5" t="s">
        <v>4584</v>
      </c>
      <c r="C3991" s="5" t="s">
        <v>21</v>
      </c>
      <c r="K3991" s="5">
        <v>350.0</v>
      </c>
      <c r="N3991" s="9">
        <v>44683.0</v>
      </c>
    </row>
    <row r="3992">
      <c r="A3992" s="5">
        <v>3991.0</v>
      </c>
      <c r="B3992" s="5" t="s">
        <v>4585</v>
      </c>
      <c r="C3992" s="5" t="s">
        <v>21</v>
      </c>
      <c r="K3992" s="5">
        <v>1000.0</v>
      </c>
      <c r="N3992" s="9">
        <v>44680.0</v>
      </c>
    </row>
    <row r="3993">
      <c r="A3993" s="5">
        <v>3992.0</v>
      </c>
      <c r="B3993" s="5" t="s">
        <v>4586</v>
      </c>
      <c r="C3993" s="5" t="s">
        <v>21</v>
      </c>
      <c r="K3993" s="5">
        <v>200.0</v>
      </c>
      <c r="N3993" s="9">
        <v>44683.0</v>
      </c>
    </row>
    <row r="3994">
      <c r="A3994" s="5">
        <v>3993.0</v>
      </c>
      <c r="B3994" s="5" t="s">
        <v>4587</v>
      </c>
      <c r="C3994" s="5" t="s">
        <v>21</v>
      </c>
      <c r="K3994" s="5">
        <v>250.0</v>
      </c>
      <c r="N3994" s="9">
        <v>44698.0</v>
      </c>
    </row>
    <row r="3995">
      <c r="A3995" s="5">
        <v>3994.0</v>
      </c>
      <c r="B3995" s="5" t="s">
        <v>4588</v>
      </c>
      <c r="C3995" s="5" t="s">
        <v>21</v>
      </c>
      <c r="K3995" s="5">
        <v>1100.0</v>
      </c>
      <c r="N3995" s="9">
        <v>44530.0</v>
      </c>
    </row>
    <row r="3996">
      <c r="A3996" s="5">
        <v>3995.0</v>
      </c>
      <c r="B3996" s="5" t="s">
        <v>4589</v>
      </c>
      <c r="C3996" s="5" t="s">
        <v>21</v>
      </c>
      <c r="K3996" s="5">
        <v>900.0</v>
      </c>
      <c r="N3996" s="9">
        <v>45796.0</v>
      </c>
    </row>
    <row r="3997">
      <c r="A3997" s="5">
        <v>3996.0</v>
      </c>
      <c r="B3997" s="5" t="s">
        <v>4590</v>
      </c>
      <c r="C3997" s="5" t="s">
        <v>21</v>
      </c>
      <c r="K3997" s="5">
        <v>10.0</v>
      </c>
      <c r="N3997" s="9">
        <v>44563.0</v>
      </c>
    </row>
    <row r="3998">
      <c r="A3998" s="5">
        <v>3997.0</v>
      </c>
      <c r="B3998" s="5" t="s">
        <v>4591</v>
      </c>
      <c r="C3998" s="5" t="s">
        <v>21</v>
      </c>
      <c r="K3998" s="5">
        <v>10.0</v>
      </c>
      <c r="N3998" s="9">
        <v>44585.0</v>
      </c>
    </row>
    <row r="3999">
      <c r="A3999" s="5">
        <v>3998.0</v>
      </c>
      <c r="B3999" s="5" t="s">
        <v>4592</v>
      </c>
      <c r="C3999" s="5" t="s">
        <v>21</v>
      </c>
      <c r="K3999" s="5">
        <v>150.0</v>
      </c>
      <c r="N3999" s="9">
        <v>45267.0</v>
      </c>
    </row>
    <row r="4000">
      <c r="A4000" s="5">
        <v>3999.0</v>
      </c>
      <c r="B4000" s="5" t="s">
        <v>4593</v>
      </c>
      <c r="C4000" s="5" t="s">
        <v>21</v>
      </c>
      <c r="K4000" s="5">
        <v>400.0</v>
      </c>
      <c r="N4000" s="9">
        <v>44203.0</v>
      </c>
    </row>
    <row r="4001">
      <c r="A4001" s="5">
        <v>4000.0</v>
      </c>
      <c r="B4001" s="5" t="s">
        <v>4594</v>
      </c>
      <c r="C4001" s="5" t="s">
        <v>21</v>
      </c>
      <c r="K4001" s="5">
        <v>250.0</v>
      </c>
      <c r="N4001" s="9">
        <v>45106.0</v>
      </c>
    </row>
    <row r="4002">
      <c r="A4002" s="5">
        <v>4001.0</v>
      </c>
      <c r="B4002" s="5" t="s">
        <v>4595</v>
      </c>
      <c r="C4002" s="5" t="s">
        <v>21</v>
      </c>
      <c r="K4002" s="5">
        <v>80.0</v>
      </c>
      <c r="N4002" s="9">
        <v>44560.0</v>
      </c>
    </row>
    <row r="4003">
      <c r="A4003" s="5">
        <v>4002.0</v>
      </c>
      <c r="B4003" s="5" t="s">
        <v>4596</v>
      </c>
      <c r="C4003" s="5" t="s">
        <v>21</v>
      </c>
      <c r="K4003" s="5">
        <v>250.0</v>
      </c>
      <c r="N4003" s="9">
        <v>43884.0</v>
      </c>
    </row>
    <row r="4004">
      <c r="A4004" s="5">
        <v>4003.0</v>
      </c>
      <c r="B4004" s="5" t="s">
        <v>4597</v>
      </c>
      <c r="C4004" s="5" t="s">
        <v>21</v>
      </c>
      <c r="K4004" s="5">
        <v>1300.0</v>
      </c>
      <c r="N4004" s="9">
        <v>44559.0</v>
      </c>
    </row>
    <row r="4005">
      <c r="A4005" s="5">
        <v>4004.0</v>
      </c>
      <c r="B4005" s="5" t="s">
        <v>4598</v>
      </c>
      <c r="C4005" s="5" t="s">
        <v>21</v>
      </c>
      <c r="K4005" s="5">
        <v>30.0</v>
      </c>
      <c r="N4005" s="9">
        <v>44590.0</v>
      </c>
    </row>
    <row r="4006">
      <c r="A4006" s="5">
        <v>4005.0</v>
      </c>
      <c r="B4006" s="5" t="s">
        <v>4599</v>
      </c>
      <c r="C4006" s="5" t="s">
        <v>21</v>
      </c>
      <c r="K4006" s="5">
        <v>350.0</v>
      </c>
      <c r="N4006" s="9">
        <v>44593.0</v>
      </c>
    </row>
    <row r="4007">
      <c r="A4007" s="5">
        <v>4006.0</v>
      </c>
      <c r="B4007" s="5" t="s">
        <v>4600</v>
      </c>
      <c r="C4007" s="5" t="s">
        <v>21</v>
      </c>
      <c r="K4007" s="5">
        <v>100.0</v>
      </c>
      <c r="N4007" s="9">
        <v>44473.0</v>
      </c>
    </row>
    <row r="4008">
      <c r="A4008" s="5">
        <v>4007.0</v>
      </c>
      <c r="B4008" s="5" t="s">
        <v>4601</v>
      </c>
      <c r="C4008" s="5" t="s">
        <v>21</v>
      </c>
      <c r="K4008" s="5">
        <v>60.0</v>
      </c>
      <c r="N4008" s="9">
        <v>45122.0</v>
      </c>
    </row>
    <row r="4009">
      <c r="A4009" s="5">
        <v>4008.0</v>
      </c>
      <c r="B4009" s="5" t="s">
        <v>4602</v>
      </c>
      <c r="C4009" s="5" t="s">
        <v>21</v>
      </c>
      <c r="K4009" s="5">
        <v>80.0</v>
      </c>
      <c r="N4009" s="9">
        <v>44362.0</v>
      </c>
    </row>
    <row r="4010">
      <c r="A4010" s="5">
        <v>4009.0</v>
      </c>
      <c r="B4010" s="5" t="s">
        <v>4603</v>
      </c>
      <c r="C4010" s="5" t="s">
        <v>21</v>
      </c>
      <c r="K4010" s="5">
        <v>4900.0</v>
      </c>
      <c r="N4010" s="9">
        <v>44189.0</v>
      </c>
    </row>
    <row r="4011">
      <c r="A4011" s="5">
        <v>4010.0</v>
      </c>
      <c r="B4011" s="5" t="s">
        <v>4604</v>
      </c>
      <c r="C4011" s="5" t="s">
        <v>21</v>
      </c>
      <c r="K4011" s="5">
        <v>80.0</v>
      </c>
      <c r="N4011" s="9">
        <v>44529.0</v>
      </c>
    </row>
    <row r="4012">
      <c r="A4012" s="5">
        <v>4011.0</v>
      </c>
      <c r="B4012" s="5" t="s">
        <v>4605</v>
      </c>
      <c r="C4012" s="5" t="s">
        <v>21</v>
      </c>
      <c r="K4012" s="5">
        <v>30.0</v>
      </c>
      <c r="N4012" s="9">
        <v>45295.0</v>
      </c>
    </row>
    <row r="4013">
      <c r="A4013" s="5">
        <v>4012.0</v>
      </c>
      <c r="B4013" s="5" t="s">
        <v>4606</v>
      </c>
      <c r="C4013" s="5" t="s">
        <v>21</v>
      </c>
      <c r="K4013" s="5">
        <v>350.0</v>
      </c>
      <c r="N4013" s="9">
        <v>44581.0</v>
      </c>
    </row>
    <row r="4014">
      <c r="A4014" s="5">
        <v>4013.0</v>
      </c>
      <c r="B4014" s="5" t="s">
        <v>4607</v>
      </c>
      <c r="C4014" s="5" t="s">
        <v>21</v>
      </c>
      <c r="K4014" s="5">
        <v>450.0</v>
      </c>
      <c r="N4014" s="9">
        <v>44927.0</v>
      </c>
    </row>
    <row r="4015">
      <c r="A4015" s="5">
        <v>4014.0</v>
      </c>
      <c r="B4015" s="5" t="s">
        <v>4608</v>
      </c>
      <c r="C4015" s="5" t="s">
        <v>21</v>
      </c>
      <c r="K4015" s="5">
        <v>100.0</v>
      </c>
      <c r="N4015" s="9">
        <v>43843.0</v>
      </c>
    </row>
    <row r="4016">
      <c r="A4016" s="5">
        <v>4015.0</v>
      </c>
      <c r="B4016" s="5" t="s">
        <v>4609</v>
      </c>
      <c r="C4016" s="5" t="s">
        <v>21</v>
      </c>
      <c r="K4016" s="5">
        <v>4500.0</v>
      </c>
      <c r="N4016" s="9">
        <v>43912.0</v>
      </c>
    </row>
    <row r="4017">
      <c r="A4017" s="5">
        <v>4016.0</v>
      </c>
      <c r="B4017" s="5" t="s">
        <v>4610</v>
      </c>
      <c r="C4017" s="5" t="s">
        <v>21</v>
      </c>
      <c r="K4017" s="5">
        <v>700.0</v>
      </c>
      <c r="N4017" s="9">
        <v>44617.0</v>
      </c>
    </row>
    <row r="4018">
      <c r="A4018" s="5">
        <v>4017.0</v>
      </c>
      <c r="B4018" s="5" t="s">
        <v>4611</v>
      </c>
      <c r="C4018" s="5" t="s">
        <v>21</v>
      </c>
      <c r="K4018" s="5">
        <v>350.0</v>
      </c>
      <c r="N4018" s="9">
        <v>44550.0</v>
      </c>
    </row>
    <row r="4019">
      <c r="A4019" s="5">
        <v>4018.0</v>
      </c>
      <c r="B4019" s="5" t="s">
        <v>4612</v>
      </c>
      <c r="C4019" s="5" t="s">
        <v>21</v>
      </c>
      <c r="K4019" s="5">
        <v>300.0</v>
      </c>
      <c r="N4019" s="9">
        <v>44149.0</v>
      </c>
    </row>
    <row r="4020">
      <c r="A4020" s="5">
        <v>4019.0</v>
      </c>
      <c r="B4020" s="5" t="s">
        <v>4613</v>
      </c>
      <c r="C4020" s="5" t="s">
        <v>21</v>
      </c>
      <c r="K4020" s="5">
        <v>1300.0</v>
      </c>
      <c r="N4020" s="9">
        <v>44122.0</v>
      </c>
    </row>
    <row r="4021">
      <c r="A4021" s="5">
        <v>4020.0</v>
      </c>
      <c r="B4021" s="5" t="s">
        <v>4614</v>
      </c>
      <c r="C4021" s="5" t="s">
        <v>21</v>
      </c>
      <c r="K4021" s="5">
        <v>100.0</v>
      </c>
      <c r="N4021" s="9">
        <v>44600.0</v>
      </c>
    </row>
    <row r="4022">
      <c r="A4022" s="5">
        <v>4021.0</v>
      </c>
      <c r="B4022" s="5" t="s">
        <v>4615</v>
      </c>
      <c r="C4022" s="5" t="s">
        <v>21</v>
      </c>
      <c r="N4022" s="9">
        <v>44529.0</v>
      </c>
    </row>
    <row r="4023">
      <c r="A4023" s="5">
        <v>4022.0</v>
      </c>
      <c r="B4023" s="5" t="s">
        <v>4616</v>
      </c>
      <c r="C4023" s="5" t="s">
        <v>21</v>
      </c>
      <c r="K4023" s="5">
        <v>400.0</v>
      </c>
      <c r="N4023" s="9">
        <v>44568.0</v>
      </c>
    </row>
    <row r="4024">
      <c r="A4024" s="5">
        <v>4023.0</v>
      </c>
      <c r="B4024" s="5" t="s">
        <v>4617</v>
      </c>
      <c r="C4024" s="5" t="s">
        <v>21</v>
      </c>
      <c r="K4024" s="5">
        <v>100.0</v>
      </c>
      <c r="N4024" s="9">
        <v>44962.0</v>
      </c>
    </row>
    <row r="4025">
      <c r="A4025" s="5">
        <v>4024.0</v>
      </c>
      <c r="B4025" s="5" t="s">
        <v>4618</v>
      </c>
      <c r="C4025" s="5" t="s">
        <v>21</v>
      </c>
      <c r="K4025" s="5">
        <v>500.0</v>
      </c>
      <c r="N4025" s="9">
        <v>44362.0</v>
      </c>
    </row>
    <row r="4026">
      <c r="A4026" s="5">
        <v>4025.0</v>
      </c>
      <c r="B4026" s="5" t="s">
        <v>141</v>
      </c>
      <c r="C4026" s="5" t="s">
        <v>21</v>
      </c>
      <c r="K4026" s="5">
        <v>200.0</v>
      </c>
      <c r="N4026" s="9">
        <v>44629.0</v>
      </c>
    </row>
    <row r="4027">
      <c r="A4027" s="5">
        <v>4026.0</v>
      </c>
      <c r="B4027" s="5" t="s">
        <v>4619</v>
      </c>
      <c r="C4027" s="5" t="s">
        <v>21</v>
      </c>
      <c r="K4027" s="5">
        <v>600.0</v>
      </c>
      <c r="N4027" s="9">
        <v>44569.0</v>
      </c>
    </row>
    <row r="4028">
      <c r="A4028" s="5">
        <v>4027.0</v>
      </c>
      <c r="B4028" s="5" t="s">
        <v>4620</v>
      </c>
      <c r="C4028" s="5" t="s">
        <v>21</v>
      </c>
      <c r="K4028" s="5">
        <v>200.0</v>
      </c>
      <c r="N4028" s="9">
        <v>45418.0</v>
      </c>
    </row>
    <row r="4029">
      <c r="A4029" s="5">
        <v>4028.0</v>
      </c>
      <c r="B4029" s="5" t="s">
        <v>4621</v>
      </c>
      <c r="C4029" s="5" t="s">
        <v>21</v>
      </c>
      <c r="K4029" s="5">
        <v>400.0</v>
      </c>
      <c r="N4029" s="9">
        <v>44953.0</v>
      </c>
    </row>
    <row r="4030">
      <c r="A4030" s="5">
        <v>4029.0</v>
      </c>
      <c r="B4030" s="5" t="s">
        <v>4622</v>
      </c>
      <c r="C4030" s="5" t="s">
        <v>21</v>
      </c>
      <c r="K4030" s="5">
        <v>200.0</v>
      </c>
      <c r="N4030" s="9">
        <v>44795.0</v>
      </c>
    </row>
    <row r="4031">
      <c r="A4031" s="5">
        <v>4030.0</v>
      </c>
      <c r="B4031" s="5" t="s">
        <v>4623</v>
      </c>
      <c r="C4031" s="5" t="s">
        <v>21</v>
      </c>
      <c r="K4031" s="5">
        <v>90.0</v>
      </c>
      <c r="N4031" s="9">
        <v>44379.0</v>
      </c>
    </row>
    <row r="4032">
      <c r="A4032" s="5">
        <v>4031.0</v>
      </c>
      <c r="B4032" s="5" t="s">
        <v>4624</v>
      </c>
      <c r="C4032" s="5" t="s">
        <v>21</v>
      </c>
      <c r="K4032" s="5">
        <v>450.0</v>
      </c>
      <c r="N4032" s="9">
        <v>44217.0</v>
      </c>
    </row>
    <row r="4033">
      <c r="A4033" s="5">
        <v>4032.0</v>
      </c>
      <c r="B4033" s="5" t="s">
        <v>4625</v>
      </c>
      <c r="C4033" s="5" t="s">
        <v>21</v>
      </c>
      <c r="K4033" s="5">
        <v>40.0</v>
      </c>
      <c r="N4033" s="9">
        <v>44676.0</v>
      </c>
    </row>
    <row r="4034">
      <c r="A4034" s="5">
        <v>4033.0</v>
      </c>
      <c r="B4034" s="5" t="s">
        <v>4626</v>
      </c>
      <c r="C4034" s="5" t="s">
        <v>21</v>
      </c>
      <c r="K4034" s="5">
        <v>700.0</v>
      </c>
      <c r="N4034" s="9">
        <v>44575.0</v>
      </c>
    </row>
    <row r="4035">
      <c r="A4035" s="5">
        <v>4034.0</v>
      </c>
      <c r="B4035" s="5" t="s">
        <v>4627</v>
      </c>
      <c r="C4035" s="5" t="s">
        <v>21</v>
      </c>
      <c r="K4035" s="5">
        <v>1100.0</v>
      </c>
      <c r="N4035" s="9">
        <v>44697.0</v>
      </c>
    </row>
    <row r="4036">
      <c r="A4036" s="5">
        <v>4035.0</v>
      </c>
      <c r="B4036" s="5" t="s">
        <v>4628</v>
      </c>
      <c r="C4036" s="5" t="s">
        <v>21</v>
      </c>
      <c r="K4036" s="5">
        <v>20.0</v>
      </c>
      <c r="N4036" s="9">
        <v>45284.0</v>
      </c>
    </row>
    <row r="4037">
      <c r="A4037" s="5">
        <v>4036.0</v>
      </c>
      <c r="B4037" s="5" t="s">
        <v>4629</v>
      </c>
      <c r="C4037" s="5" t="s">
        <v>21</v>
      </c>
      <c r="K4037" s="5">
        <v>30.0</v>
      </c>
      <c r="N4037" s="9">
        <v>44965.0</v>
      </c>
    </row>
    <row r="4038">
      <c r="A4038" s="5">
        <v>4037.0</v>
      </c>
      <c r="B4038" s="5" t="s">
        <v>4630</v>
      </c>
      <c r="C4038" s="5" t="s">
        <v>21</v>
      </c>
      <c r="K4038" s="5">
        <v>200.0</v>
      </c>
      <c r="N4038" s="9">
        <v>44550.0</v>
      </c>
    </row>
    <row r="4039">
      <c r="A4039" s="5">
        <v>4038.0</v>
      </c>
      <c r="B4039" s="5" t="s">
        <v>4631</v>
      </c>
      <c r="C4039" s="5" t="s">
        <v>21</v>
      </c>
      <c r="K4039" s="5">
        <v>500.0</v>
      </c>
      <c r="N4039" s="9">
        <v>44532.0</v>
      </c>
    </row>
    <row r="4040">
      <c r="A4040" s="5">
        <v>4039.0</v>
      </c>
      <c r="B4040" s="5" t="s">
        <v>4632</v>
      </c>
      <c r="C4040" s="5" t="s">
        <v>21</v>
      </c>
      <c r="K4040" s="5">
        <v>200.0</v>
      </c>
      <c r="N4040" s="9">
        <v>45119.0</v>
      </c>
    </row>
    <row r="4041">
      <c r="A4041" s="5">
        <v>4040.0</v>
      </c>
      <c r="B4041" s="5" t="s">
        <v>4633</v>
      </c>
      <c r="C4041" s="5" t="s">
        <v>21</v>
      </c>
      <c r="K4041" s="5">
        <v>1100.0</v>
      </c>
      <c r="N4041" s="9">
        <v>44158.0</v>
      </c>
    </row>
    <row r="4042">
      <c r="A4042" s="5">
        <v>4041.0</v>
      </c>
      <c r="B4042" s="5" t="s">
        <v>4634</v>
      </c>
      <c r="C4042" s="5" t="s">
        <v>21</v>
      </c>
      <c r="K4042" s="5">
        <v>1200.0</v>
      </c>
      <c r="N4042" s="9">
        <v>44630.0</v>
      </c>
    </row>
    <row r="4043">
      <c r="A4043" s="5">
        <v>4042.0</v>
      </c>
      <c r="B4043" s="5" t="s">
        <v>4635</v>
      </c>
      <c r="C4043" s="5" t="s">
        <v>21</v>
      </c>
      <c r="K4043" s="5">
        <v>20.0</v>
      </c>
      <c r="N4043" s="9">
        <v>45395.0</v>
      </c>
    </row>
    <row r="4044">
      <c r="A4044" s="5">
        <v>4043.0</v>
      </c>
      <c r="B4044" s="5" t="s">
        <v>4636</v>
      </c>
      <c r="C4044" s="5" t="s">
        <v>21</v>
      </c>
      <c r="K4044" s="5">
        <v>50.0</v>
      </c>
      <c r="N4044" s="9">
        <v>44906.0</v>
      </c>
    </row>
    <row r="4045">
      <c r="A4045" s="5">
        <v>4044.0</v>
      </c>
      <c r="B4045" s="5" t="s">
        <v>4637</v>
      </c>
      <c r="C4045" s="5" t="s">
        <v>21</v>
      </c>
      <c r="K4045" s="5">
        <v>200.0</v>
      </c>
      <c r="N4045" s="9">
        <v>44528.0</v>
      </c>
    </row>
    <row r="4046">
      <c r="A4046" s="5">
        <v>4045.0</v>
      </c>
      <c r="B4046" s="5" t="s">
        <v>4638</v>
      </c>
      <c r="C4046" s="5" t="s">
        <v>21</v>
      </c>
      <c r="K4046" s="5">
        <v>1400.0</v>
      </c>
      <c r="N4046" s="9">
        <v>44215.0</v>
      </c>
    </row>
    <row r="4047">
      <c r="A4047" s="5">
        <v>4046.0</v>
      </c>
      <c r="B4047" s="5" t="s">
        <v>4639</v>
      </c>
      <c r="C4047" s="5" t="s">
        <v>21</v>
      </c>
      <c r="K4047" s="5">
        <v>250.0</v>
      </c>
      <c r="N4047" s="9">
        <v>44191.0</v>
      </c>
    </row>
    <row r="4048">
      <c r="A4048" s="5">
        <v>4047.0</v>
      </c>
      <c r="B4048" s="5" t="s">
        <v>4640</v>
      </c>
      <c r="C4048" s="5" t="s">
        <v>21</v>
      </c>
      <c r="K4048" s="5">
        <v>900.0</v>
      </c>
      <c r="N4048" s="9">
        <v>44608.0</v>
      </c>
    </row>
    <row r="4049">
      <c r="A4049" s="5">
        <v>4048.0</v>
      </c>
      <c r="B4049" s="5" t="s">
        <v>4641</v>
      </c>
      <c r="C4049" s="5" t="s">
        <v>21</v>
      </c>
      <c r="K4049" s="5">
        <v>350.0</v>
      </c>
      <c r="N4049" s="9">
        <v>44564.0</v>
      </c>
    </row>
    <row r="4050">
      <c r="A4050" s="5">
        <v>4049.0</v>
      </c>
      <c r="B4050" s="5" t="s">
        <v>4642</v>
      </c>
      <c r="C4050" s="5" t="s">
        <v>21</v>
      </c>
      <c r="K4050" s="5">
        <v>150.0</v>
      </c>
      <c r="N4050" s="9">
        <v>45078.0</v>
      </c>
    </row>
    <row r="4051">
      <c r="A4051" s="5">
        <v>4050.0</v>
      </c>
      <c r="B4051" s="5" t="s">
        <v>4643</v>
      </c>
      <c r="C4051" s="5" t="s">
        <v>21</v>
      </c>
      <c r="N4051" s="9">
        <v>44518.0</v>
      </c>
    </row>
    <row r="4052">
      <c r="A4052" s="5">
        <v>4051.0</v>
      </c>
      <c r="B4052" s="5" t="s">
        <v>4644</v>
      </c>
      <c r="C4052" s="5" t="s">
        <v>21</v>
      </c>
      <c r="K4052" s="5">
        <v>7500.0</v>
      </c>
      <c r="N4052" s="9">
        <v>43961.0</v>
      </c>
    </row>
    <row r="4053">
      <c r="A4053" s="5">
        <v>4052.0</v>
      </c>
      <c r="B4053" s="5" t="s">
        <v>4645</v>
      </c>
      <c r="C4053" s="5" t="s">
        <v>21</v>
      </c>
      <c r="K4053" s="5">
        <v>600.0</v>
      </c>
      <c r="N4053" s="9">
        <v>43935.0</v>
      </c>
    </row>
    <row r="4054">
      <c r="A4054" s="5">
        <v>4053.0</v>
      </c>
      <c r="B4054" s="5" t="s">
        <v>4646</v>
      </c>
      <c r="C4054" s="5" t="s">
        <v>21</v>
      </c>
      <c r="K4054" s="5">
        <v>350.0</v>
      </c>
      <c r="N4054" s="9">
        <v>44460.0</v>
      </c>
    </row>
    <row r="4055">
      <c r="A4055" s="5">
        <v>4054.0</v>
      </c>
      <c r="B4055" s="5" t="s">
        <v>4647</v>
      </c>
      <c r="C4055" s="5" t="s">
        <v>21</v>
      </c>
      <c r="K4055" s="5">
        <v>250.0</v>
      </c>
      <c r="N4055" s="9">
        <v>44713.0</v>
      </c>
    </row>
    <row r="4056">
      <c r="A4056" s="5">
        <v>4055.0</v>
      </c>
      <c r="B4056" s="5" t="s">
        <v>4648</v>
      </c>
      <c r="C4056" s="5" t="s">
        <v>21</v>
      </c>
      <c r="K4056" s="5">
        <v>350.0</v>
      </c>
      <c r="N4056" s="9">
        <v>44950.0</v>
      </c>
    </row>
    <row r="4057">
      <c r="A4057" s="5">
        <v>4056.0</v>
      </c>
      <c r="B4057" s="5" t="s">
        <v>4649</v>
      </c>
      <c r="C4057" s="5" t="s">
        <v>21</v>
      </c>
      <c r="K4057" s="5">
        <v>200.0</v>
      </c>
      <c r="N4057" s="9">
        <v>45151.0</v>
      </c>
    </row>
    <row r="4058">
      <c r="A4058" s="5">
        <v>4057.0</v>
      </c>
      <c r="B4058" s="5" t="s">
        <v>4650</v>
      </c>
      <c r="C4058" s="5" t="s">
        <v>21</v>
      </c>
      <c r="K4058" s="5">
        <v>250.0</v>
      </c>
      <c r="N4058" s="9">
        <v>44479.0</v>
      </c>
    </row>
    <row r="4059">
      <c r="A4059" s="5">
        <v>4058.0</v>
      </c>
      <c r="B4059" s="5" t="s">
        <v>4651</v>
      </c>
      <c r="C4059" s="5" t="s">
        <v>21</v>
      </c>
      <c r="K4059" s="5">
        <v>400.0</v>
      </c>
      <c r="N4059" s="9">
        <v>44698.0</v>
      </c>
    </row>
    <row r="4060">
      <c r="A4060" s="5">
        <v>4059.0</v>
      </c>
      <c r="B4060" s="5" t="s">
        <v>4652</v>
      </c>
      <c r="C4060" s="5" t="s">
        <v>21</v>
      </c>
      <c r="K4060" s="5">
        <v>150.0</v>
      </c>
      <c r="N4060" s="9">
        <v>44620.0</v>
      </c>
    </row>
    <row r="4061">
      <c r="A4061" s="5">
        <v>4060.0</v>
      </c>
      <c r="B4061" s="5" t="s">
        <v>4653</v>
      </c>
      <c r="C4061" s="5" t="s">
        <v>21</v>
      </c>
      <c r="K4061" s="5">
        <v>1700.0</v>
      </c>
      <c r="N4061" s="9">
        <v>45736.0</v>
      </c>
    </row>
    <row r="4062">
      <c r="A4062" s="5">
        <v>4061.0</v>
      </c>
      <c r="B4062" s="5" t="s">
        <v>4654</v>
      </c>
      <c r="C4062" s="5" t="s">
        <v>21</v>
      </c>
      <c r="K4062" s="5">
        <v>600.0</v>
      </c>
      <c r="N4062" s="9">
        <v>43860.0</v>
      </c>
    </row>
    <row r="4063">
      <c r="A4063" s="5">
        <v>4062.0</v>
      </c>
      <c r="B4063" s="5" t="s">
        <v>4655</v>
      </c>
      <c r="C4063" s="5" t="s">
        <v>21</v>
      </c>
      <c r="K4063" s="5">
        <v>300.0</v>
      </c>
      <c r="N4063" s="9">
        <v>44897.0</v>
      </c>
    </row>
    <row r="4064">
      <c r="A4064" s="5">
        <v>4063.0</v>
      </c>
      <c r="B4064" s="5" t="s">
        <v>4656</v>
      </c>
      <c r="C4064" s="5" t="s">
        <v>21</v>
      </c>
      <c r="K4064" s="5">
        <v>300.0</v>
      </c>
      <c r="N4064" s="9">
        <v>44565.0</v>
      </c>
    </row>
    <row r="4065">
      <c r="A4065" s="5">
        <v>4064.0</v>
      </c>
      <c r="B4065" s="5" t="s">
        <v>4657</v>
      </c>
      <c r="C4065" s="5" t="s">
        <v>21</v>
      </c>
      <c r="K4065" s="5">
        <v>350.0</v>
      </c>
      <c r="N4065" s="9">
        <v>45292.0</v>
      </c>
    </row>
    <row r="4066">
      <c r="A4066" s="5">
        <v>4065.0</v>
      </c>
      <c r="B4066" s="5" t="s">
        <v>4658</v>
      </c>
      <c r="C4066" s="5" t="s">
        <v>21</v>
      </c>
      <c r="K4066" s="5">
        <v>900.0</v>
      </c>
      <c r="N4066" s="9">
        <v>44154.0</v>
      </c>
    </row>
    <row r="4067">
      <c r="A4067" s="5">
        <v>4066.0</v>
      </c>
      <c r="B4067" s="5" t="s">
        <v>4659</v>
      </c>
      <c r="C4067" s="5" t="s">
        <v>21</v>
      </c>
      <c r="K4067" s="5">
        <v>50.0</v>
      </c>
      <c r="N4067" s="9">
        <v>44475.0</v>
      </c>
    </row>
    <row r="4068">
      <c r="A4068" s="5">
        <v>4067.0</v>
      </c>
      <c r="B4068" s="5" t="s">
        <v>4660</v>
      </c>
      <c r="C4068" s="5" t="s">
        <v>21</v>
      </c>
      <c r="K4068" s="5">
        <v>350.0</v>
      </c>
      <c r="N4068" s="9">
        <v>44601.0</v>
      </c>
    </row>
    <row r="4069">
      <c r="A4069" s="5">
        <v>4068.0</v>
      </c>
      <c r="B4069" s="5" t="s">
        <v>4661</v>
      </c>
      <c r="C4069" s="5" t="s">
        <v>21</v>
      </c>
      <c r="K4069" s="5">
        <v>10.0</v>
      </c>
      <c r="N4069" s="9">
        <v>45059.0</v>
      </c>
    </row>
    <row r="4070">
      <c r="A4070" s="5">
        <v>4069.0</v>
      </c>
      <c r="B4070" s="5" t="s">
        <v>4662</v>
      </c>
      <c r="C4070" s="5" t="s">
        <v>21</v>
      </c>
      <c r="K4070" s="5">
        <v>1100.0</v>
      </c>
      <c r="N4070" s="9">
        <v>44289.0</v>
      </c>
    </row>
    <row r="4071">
      <c r="A4071" s="5">
        <v>4070.0</v>
      </c>
      <c r="B4071" s="5" t="s">
        <v>4663</v>
      </c>
      <c r="C4071" s="5" t="s">
        <v>21</v>
      </c>
      <c r="K4071" s="5">
        <v>150.0</v>
      </c>
      <c r="N4071" s="9">
        <v>44031.0</v>
      </c>
    </row>
    <row r="4072">
      <c r="A4072" s="5">
        <v>4071.0</v>
      </c>
      <c r="B4072" s="5" t="s">
        <v>4664</v>
      </c>
      <c r="C4072" s="5" t="s">
        <v>21</v>
      </c>
      <c r="K4072" s="5">
        <v>150.0</v>
      </c>
      <c r="N4072" s="9">
        <v>44352.0</v>
      </c>
    </row>
    <row r="4073">
      <c r="A4073" s="5">
        <v>4072.0</v>
      </c>
      <c r="B4073" s="5" t="s">
        <v>4665</v>
      </c>
      <c r="C4073" s="5" t="s">
        <v>21</v>
      </c>
      <c r="K4073" s="5">
        <v>150.0</v>
      </c>
      <c r="N4073" s="9">
        <v>45086.0</v>
      </c>
    </row>
    <row r="4074">
      <c r="A4074" s="5">
        <v>4073.0</v>
      </c>
      <c r="B4074" s="5" t="s">
        <v>4666</v>
      </c>
      <c r="C4074" s="5" t="s">
        <v>21</v>
      </c>
      <c r="K4074" s="5">
        <v>1600.0</v>
      </c>
      <c r="N4074" s="9">
        <v>44532.0</v>
      </c>
    </row>
    <row r="4075">
      <c r="A4075" s="5">
        <v>4074.0</v>
      </c>
      <c r="B4075" s="5" t="s">
        <v>4667</v>
      </c>
      <c r="C4075" s="5" t="s">
        <v>21</v>
      </c>
      <c r="K4075" s="5">
        <v>200.0</v>
      </c>
      <c r="N4075" s="9">
        <v>44678.0</v>
      </c>
    </row>
    <row r="4076">
      <c r="A4076" s="5">
        <v>4075.0</v>
      </c>
      <c r="B4076" s="5" t="s">
        <v>4668</v>
      </c>
      <c r="C4076" s="5" t="s">
        <v>21</v>
      </c>
      <c r="K4076" s="5">
        <v>150.0</v>
      </c>
      <c r="N4076" s="9">
        <v>44695.0</v>
      </c>
    </row>
    <row r="4077">
      <c r="A4077" s="5">
        <v>4076.0</v>
      </c>
      <c r="B4077" s="5" t="s">
        <v>186</v>
      </c>
      <c r="C4077" s="5" t="s">
        <v>21</v>
      </c>
      <c r="K4077" s="5">
        <v>30000.0</v>
      </c>
      <c r="N4077" s="9">
        <v>43960.0</v>
      </c>
    </row>
    <row r="4078">
      <c r="A4078" s="5">
        <v>4077.0</v>
      </c>
      <c r="B4078" s="5" t="s">
        <v>4669</v>
      </c>
      <c r="C4078" s="5" t="s">
        <v>21</v>
      </c>
      <c r="K4078" s="5">
        <v>350.0</v>
      </c>
      <c r="N4078" s="9">
        <v>44862.0</v>
      </c>
    </row>
    <row r="4079">
      <c r="A4079" s="5">
        <v>4078.0</v>
      </c>
      <c r="B4079" s="5" t="s">
        <v>4670</v>
      </c>
      <c r="C4079" s="5" t="s">
        <v>21</v>
      </c>
      <c r="K4079" s="5">
        <v>2200.0</v>
      </c>
      <c r="N4079" s="9">
        <v>43867.0</v>
      </c>
    </row>
    <row r="4080">
      <c r="A4080" s="5">
        <v>4079.0</v>
      </c>
      <c r="B4080" s="5" t="s">
        <v>143</v>
      </c>
      <c r="C4080" s="5" t="s">
        <v>21</v>
      </c>
      <c r="K4080" s="5">
        <v>100.0</v>
      </c>
      <c r="N4080" s="9">
        <v>43908.0</v>
      </c>
    </row>
    <row r="4081">
      <c r="A4081" s="5">
        <v>4080.0</v>
      </c>
      <c r="B4081" s="5" t="s">
        <v>4671</v>
      </c>
      <c r="C4081" s="5" t="s">
        <v>21</v>
      </c>
      <c r="K4081" s="5">
        <v>90.0</v>
      </c>
      <c r="N4081" s="9">
        <v>44692.0</v>
      </c>
    </row>
    <row r="4082">
      <c r="A4082" s="5">
        <v>4081.0</v>
      </c>
      <c r="B4082" s="5" t="s">
        <v>4672</v>
      </c>
      <c r="C4082" s="5" t="s">
        <v>21</v>
      </c>
      <c r="K4082" s="5">
        <v>2000.0</v>
      </c>
      <c r="N4082" s="9">
        <v>44341.0</v>
      </c>
    </row>
    <row r="4083">
      <c r="A4083" s="5">
        <v>4082.0</v>
      </c>
      <c r="B4083" s="5" t="s">
        <v>4673</v>
      </c>
      <c r="C4083" s="5" t="s">
        <v>21</v>
      </c>
      <c r="K4083" s="5">
        <v>3100.0</v>
      </c>
      <c r="N4083" s="9">
        <v>44349.0</v>
      </c>
    </row>
    <row r="4084">
      <c r="A4084" s="5">
        <v>4083.0</v>
      </c>
      <c r="B4084" s="5" t="s">
        <v>4674</v>
      </c>
      <c r="C4084" s="5" t="s">
        <v>21</v>
      </c>
      <c r="K4084" s="5">
        <v>100.0</v>
      </c>
      <c r="N4084" s="9">
        <v>43883.0</v>
      </c>
    </row>
    <row r="4085">
      <c r="A4085" s="5">
        <v>4084.0</v>
      </c>
      <c r="B4085" s="5" t="s">
        <v>4675</v>
      </c>
      <c r="C4085" s="5" t="s">
        <v>21</v>
      </c>
      <c r="K4085" s="5">
        <v>700.0</v>
      </c>
      <c r="N4085" s="9">
        <v>44529.0</v>
      </c>
    </row>
    <row r="4086">
      <c r="A4086" s="5">
        <v>4085.0</v>
      </c>
      <c r="B4086" s="5" t="s">
        <v>4676</v>
      </c>
      <c r="C4086" s="5" t="s">
        <v>21</v>
      </c>
      <c r="K4086" s="5">
        <v>800.0</v>
      </c>
      <c r="N4086" s="9">
        <v>44319.0</v>
      </c>
    </row>
    <row r="4087">
      <c r="A4087" s="5">
        <v>4086.0</v>
      </c>
      <c r="B4087" s="5" t="s">
        <v>4677</v>
      </c>
      <c r="C4087" s="5" t="s">
        <v>21</v>
      </c>
      <c r="K4087" s="5">
        <v>6700.0</v>
      </c>
      <c r="N4087" s="9">
        <v>43956.0</v>
      </c>
    </row>
    <row r="4088">
      <c r="A4088" s="5">
        <v>4087.0</v>
      </c>
      <c r="B4088" s="5" t="s">
        <v>4678</v>
      </c>
      <c r="C4088" s="5" t="s">
        <v>21</v>
      </c>
      <c r="K4088" s="5">
        <v>250.0</v>
      </c>
      <c r="N4088" s="9">
        <v>44189.0</v>
      </c>
    </row>
    <row r="4089">
      <c r="A4089" s="5">
        <v>4088.0</v>
      </c>
      <c r="B4089" s="5" t="s">
        <v>4679</v>
      </c>
      <c r="C4089" s="5" t="s">
        <v>21</v>
      </c>
      <c r="K4089" s="5">
        <v>250.0</v>
      </c>
      <c r="N4089" s="9">
        <v>44382.0</v>
      </c>
    </row>
    <row r="4090">
      <c r="A4090" s="5">
        <v>4089.0</v>
      </c>
      <c r="B4090" s="5" t="s">
        <v>4680</v>
      </c>
      <c r="C4090" s="5" t="s">
        <v>21</v>
      </c>
      <c r="K4090" s="5">
        <v>10.0</v>
      </c>
      <c r="N4090" s="9">
        <v>44905.0</v>
      </c>
    </row>
    <row r="4091">
      <c r="A4091" s="5">
        <v>4090.0</v>
      </c>
      <c r="B4091" s="5" t="s">
        <v>4681</v>
      </c>
      <c r="C4091" s="5" t="s">
        <v>21</v>
      </c>
      <c r="K4091" s="5">
        <v>20.0</v>
      </c>
      <c r="N4091" s="9">
        <v>43842.0</v>
      </c>
    </row>
    <row r="4092">
      <c r="A4092" s="5">
        <v>4091.0</v>
      </c>
      <c r="B4092" s="5" t="s">
        <v>4682</v>
      </c>
      <c r="C4092" s="5" t="s">
        <v>21</v>
      </c>
      <c r="K4092" s="5">
        <v>600.0</v>
      </c>
      <c r="N4092" s="9">
        <v>44259.0</v>
      </c>
    </row>
    <row r="4093">
      <c r="A4093" s="5">
        <v>4092.0</v>
      </c>
      <c r="B4093" s="5" t="s">
        <v>4683</v>
      </c>
      <c r="C4093" s="5" t="s">
        <v>21</v>
      </c>
      <c r="K4093" s="5">
        <v>400.0</v>
      </c>
      <c r="N4093" s="9">
        <v>43929.0</v>
      </c>
    </row>
    <row r="4094">
      <c r="A4094" s="5">
        <v>4093.0</v>
      </c>
      <c r="B4094" s="5" t="s">
        <v>4684</v>
      </c>
      <c r="C4094" s="5" t="s">
        <v>21</v>
      </c>
      <c r="K4094" s="5">
        <v>700.0</v>
      </c>
      <c r="N4094" s="9">
        <v>42403.0</v>
      </c>
    </row>
    <row r="4095">
      <c r="A4095" s="5">
        <v>4094.0</v>
      </c>
      <c r="B4095" s="5" t="s">
        <v>4685</v>
      </c>
      <c r="C4095" s="5" t="s">
        <v>21</v>
      </c>
      <c r="K4095" s="5">
        <v>3900.0</v>
      </c>
      <c r="N4095" s="9">
        <v>44260.0</v>
      </c>
    </row>
    <row r="4096">
      <c r="A4096" s="5">
        <v>4095.0</v>
      </c>
      <c r="B4096" s="5" t="s">
        <v>4686</v>
      </c>
      <c r="C4096" s="5" t="s">
        <v>21</v>
      </c>
      <c r="K4096" s="5">
        <v>250.0</v>
      </c>
      <c r="N4096" s="9">
        <v>44627.0</v>
      </c>
    </row>
    <row r="4097">
      <c r="A4097" s="5">
        <v>4096.0</v>
      </c>
      <c r="B4097" s="5" t="s">
        <v>4687</v>
      </c>
      <c r="C4097" s="5" t="s">
        <v>21</v>
      </c>
      <c r="K4097" s="5">
        <v>350.0</v>
      </c>
      <c r="N4097" s="9">
        <v>44624.0</v>
      </c>
    </row>
    <row r="4098">
      <c r="A4098" s="5">
        <v>4097.0</v>
      </c>
      <c r="B4098" s="5" t="s">
        <v>189</v>
      </c>
      <c r="C4098" s="5" t="s">
        <v>21</v>
      </c>
      <c r="K4098" s="5">
        <v>1000.0</v>
      </c>
      <c r="N4098" s="9">
        <v>44506.0</v>
      </c>
    </row>
    <row r="4099">
      <c r="A4099" s="5">
        <v>4098.0</v>
      </c>
      <c r="B4099" s="5" t="s">
        <v>4688</v>
      </c>
      <c r="C4099" s="5" t="s">
        <v>21</v>
      </c>
      <c r="K4099" s="5">
        <v>60.0</v>
      </c>
      <c r="N4099" s="9">
        <v>44914.0</v>
      </c>
    </row>
    <row r="4100">
      <c r="A4100" s="5">
        <v>4099.0</v>
      </c>
      <c r="B4100" s="5" t="s">
        <v>4689</v>
      </c>
      <c r="C4100" s="5" t="s">
        <v>21</v>
      </c>
      <c r="K4100" s="5">
        <v>6200.0</v>
      </c>
      <c r="N4100" s="9">
        <v>44026.0</v>
      </c>
    </row>
    <row r="4101">
      <c r="A4101" s="5">
        <v>4100.0</v>
      </c>
      <c r="B4101" s="5" t="s">
        <v>4690</v>
      </c>
      <c r="C4101" s="5" t="s">
        <v>21</v>
      </c>
      <c r="K4101" s="5">
        <v>1700.0</v>
      </c>
      <c r="N4101" s="9">
        <v>44523.0</v>
      </c>
    </row>
    <row r="4102">
      <c r="A4102" s="5">
        <v>4101.0</v>
      </c>
      <c r="B4102" s="5" t="s">
        <v>4691</v>
      </c>
      <c r="C4102" s="5" t="s">
        <v>21</v>
      </c>
      <c r="K4102" s="5">
        <v>90.0</v>
      </c>
      <c r="N4102" s="9">
        <v>44453.0</v>
      </c>
    </row>
    <row r="4103">
      <c r="A4103" s="5">
        <v>4102.0</v>
      </c>
      <c r="B4103" s="5" t="s">
        <v>4692</v>
      </c>
      <c r="C4103" s="5" t="s">
        <v>21</v>
      </c>
      <c r="N4103" s="9">
        <v>44558.0</v>
      </c>
    </row>
    <row r="4104">
      <c r="A4104" s="5">
        <v>4103.0</v>
      </c>
      <c r="B4104" s="5" t="s">
        <v>4693</v>
      </c>
      <c r="C4104" s="5" t="s">
        <v>21</v>
      </c>
      <c r="K4104" s="5">
        <v>60.0</v>
      </c>
      <c r="N4104" s="9">
        <v>45117.0</v>
      </c>
    </row>
    <row r="4105">
      <c r="A4105" s="5">
        <v>4104.0</v>
      </c>
      <c r="B4105" s="5" t="s">
        <v>4694</v>
      </c>
      <c r="C4105" s="5" t="s">
        <v>21</v>
      </c>
      <c r="K4105" s="5">
        <v>450.0</v>
      </c>
      <c r="N4105" s="9">
        <v>44579.0</v>
      </c>
    </row>
    <row r="4106">
      <c r="A4106" s="5">
        <v>4105.0</v>
      </c>
      <c r="B4106" s="5" t="s">
        <v>4695</v>
      </c>
      <c r="C4106" s="5" t="s">
        <v>21</v>
      </c>
      <c r="N4106" s="9">
        <v>44523.0</v>
      </c>
    </row>
    <row r="4107">
      <c r="A4107" s="5">
        <v>4106.0</v>
      </c>
      <c r="B4107" s="5" t="s">
        <v>4696</v>
      </c>
      <c r="C4107" s="5" t="s">
        <v>21</v>
      </c>
      <c r="K4107" s="5">
        <v>40.0</v>
      </c>
      <c r="N4107" s="9">
        <v>45122.0</v>
      </c>
    </row>
    <row r="4108">
      <c r="A4108" s="5">
        <v>4107.0</v>
      </c>
      <c r="B4108" s="5" t="s">
        <v>4697</v>
      </c>
      <c r="C4108" s="5" t="s">
        <v>21</v>
      </c>
      <c r="K4108" s="5">
        <v>200.0</v>
      </c>
      <c r="N4108" s="9">
        <v>44551.0</v>
      </c>
    </row>
    <row r="4109">
      <c r="A4109" s="5">
        <v>4108.0</v>
      </c>
      <c r="B4109" s="5" t="s">
        <v>4698</v>
      </c>
      <c r="C4109" s="5" t="s">
        <v>21</v>
      </c>
      <c r="K4109" s="5">
        <v>400.0</v>
      </c>
      <c r="N4109" s="9">
        <v>44586.0</v>
      </c>
    </row>
    <row r="4110">
      <c r="A4110" s="5">
        <v>4109.0</v>
      </c>
      <c r="B4110" s="5" t="s">
        <v>4699</v>
      </c>
      <c r="C4110" s="5" t="s">
        <v>21</v>
      </c>
      <c r="K4110" s="5">
        <v>200.0</v>
      </c>
      <c r="N4110" s="9">
        <v>44608.0</v>
      </c>
    </row>
    <row r="4111">
      <c r="A4111" s="5">
        <v>4110.0</v>
      </c>
      <c r="B4111" s="5" t="s">
        <v>4700</v>
      </c>
      <c r="C4111" s="5" t="s">
        <v>21</v>
      </c>
      <c r="K4111" s="5">
        <v>500.0</v>
      </c>
      <c r="N4111" s="9">
        <v>44628.0</v>
      </c>
    </row>
    <row r="4112">
      <c r="A4112" s="5">
        <v>4111.0</v>
      </c>
      <c r="B4112" s="5" t="s">
        <v>4701</v>
      </c>
      <c r="C4112" s="5" t="s">
        <v>21</v>
      </c>
      <c r="K4112" s="5">
        <v>40.0</v>
      </c>
      <c r="N4112" s="9">
        <v>44181.0</v>
      </c>
    </row>
    <row r="4113">
      <c r="A4113" s="5">
        <v>4112.0</v>
      </c>
      <c r="B4113" s="5" t="s">
        <v>4702</v>
      </c>
      <c r="C4113" s="5" t="s">
        <v>21</v>
      </c>
      <c r="K4113" s="5">
        <v>70.0</v>
      </c>
      <c r="N4113" s="9">
        <v>44571.0</v>
      </c>
    </row>
    <row r="4114">
      <c r="A4114" s="5">
        <v>4113.0</v>
      </c>
      <c r="B4114" s="5" t="s">
        <v>4703</v>
      </c>
      <c r="C4114" s="5" t="s">
        <v>21</v>
      </c>
      <c r="K4114" s="5">
        <v>400.0</v>
      </c>
      <c r="N4114" s="9">
        <v>44432.0</v>
      </c>
    </row>
    <row r="4115">
      <c r="A4115" s="5">
        <v>4114.0</v>
      </c>
      <c r="B4115" s="5" t="s">
        <v>4704</v>
      </c>
      <c r="C4115" s="5" t="s">
        <v>21</v>
      </c>
      <c r="K4115" s="5">
        <v>450.0</v>
      </c>
      <c r="N4115" s="9">
        <v>44716.0</v>
      </c>
    </row>
    <row r="4116">
      <c r="A4116" s="5">
        <v>4115.0</v>
      </c>
      <c r="B4116" s="5" t="s">
        <v>4705</v>
      </c>
      <c r="C4116" s="5" t="s">
        <v>21</v>
      </c>
      <c r="K4116" s="5">
        <v>1000.0</v>
      </c>
      <c r="N4116" s="9">
        <v>44557.0</v>
      </c>
    </row>
    <row r="4117">
      <c r="A4117" s="5">
        <v>4116.0</v>
      </c>
      <c r="B4117" s="5" t="s">
        <v>4706</v>
      </c>
      <c r="C4117" s="5" t="s">
        <v>21</v>
      </c>
      <c r="K4117" s="5">
        <v>250.0</v>
      </c>
      <c r="N4117" s="9">
        <v>44659.0</v>
      </c>
    </row>
    <row r="4118">
      <c r="A4118" s="5">
        <v>4117.0</v>
      </c>
      <c r="B4118" s="5" t="s">
        <v>4707</v>
      </c>
      <c r="C4118" s="5" t="s">
        <v>21</v>
      </c>
      <c r="K4118" s="5">
        <v>800.0</v>
      </c>
      <c r="N4118" s="9">
        <v>44678.0</v>
      </c>
    </row>
    <row r="4119">
      <c r="A4119" s="5">
        <v>4118.0</v>
      </c>
      <c r="B4119" s="5" t="s">
        <v>4708</v>
      </c>
      <c r="C4119" s="5" t="s">
        <v>21</v>
      </c>
      <c r="K4119" s="5">
        <v>1700.0</v>
      </c>
      <c r="N4119" s="9">
        <v>45061.0</v>
      </c>
    </row>
    <row r="4120">
      <c r="A4120" s="5">
        <v>4119.0</v>
      </c>
      <c r="B4120" s="5" t="s">
        <v>4709</v>
      </c>
      <c r="C4120" s="5" t="s">
        <v>21</v>
      </c>
      <c r="K4120" s="5">
        <v>100.0</v>
      </c>
      <c r="N4120" s="9">
        <v>44636.0</v>
      </c>
    </row>
    <row r="4121">
      <c r="A4121" s="5">
        <v>4120.0</v>
      </c>
      <c r="B4121" s="5" t="s">
        <v>4710</v>
      </c>
      <c r="C4121" s="5" t="s">
        <v>21</v>
      </c>
      <c r="K4121" s="5">
        <v>800.0</v>
      </c>
      <c r="N4121" s="9">
        <v>43939.0</v>
      </c>
    </row>
    <row r="4122">
      <c r="A4122" s="5">
        <v>4121.0</v>
      </c>
      <c r="B4122" s="5" t="s">
        <v>4711</v>
      </c>
      <c r="C4122" s="5" t="s">
        <v>21</v>
      </c>
      <c r="K4122" s="5">
        <v>1100.0</v>
      </c>
      <c r="N4122" s="9">
        <v>44577.0</v>
      </c>
    </row>
    <row r="4123">
      <c r="A4123" s="5">
        <v>4122.0</v>
      </c>
      <c r="B4123" s="5" t="s">
        <v>4712</v>
      </c>
      <c r="C4123" s="5" t="s">
        <v>21</v>
      </c>
      <c r="K4123" s="5">
        <v>150.0</v>
      </c>
      <c r="N4123" s="9">
        <v>45358.0</v>
      </c>
    </row>
    <row r="4124">
      <c r="A4124" s="5">
        <v>4123.0</v>
      </c>
      <c r="B4124" s="5" t="s">
        <v>4713</v>
      </c>
      <c r="C4124" s="5" t="s">
        <v>21</v>
      </c>
      <c r="K4124" s="5">
        <v>150.0</v>
      </c>
      <c r="N4124" s="9">
        <v>44584.0</v>
      </c>
    </row>
    <row r="4125">
      <c r="A4125" s="5">
        <v>4124.0</v>
      </c>
      <c r="B4125" s="5" t="s">
        <v>4714</v>
      </c>
      <c r="C4125" s="5" t="s">
        <v>21</v>
      </c>
      <c r="K4125" s="5">
        <v>300.0</v>
      </c>
      <c r="N4125" s="9">
        <v>44532.0</v>
      </c>
    </row>
    <row r="4126">
      <c r="A4126" s="5">
        <v>4125.0</v>
      </c>
      <c r="B4126" s="5" t="s">
        <v>4715</v>
      </c>
      <c r="C4126" s="5" t="s">
        <v>21</v>
      </c>
      <c r="K4126" s="5">
        <v>200.0</v>
      </c>
      <c r="N4126" s="9">
        <v>44931.0</v>
      </c>
    </row>
    <row r="4127">
      <c r="A4127" s="5">
        <v>4126.0</v>
      </c>
      <c r="B4127" s="5" t="s">
        <v>4716</v>
      </c>
      <c r="C4127" s="5" t="s">
        <v>21</v>
      </c>
      <c r="K4127" s="5">
        <v>700.0</v>
      </c>
      <c r="N4127" s="9">
        <v>44531.0</v>
      </c>
    </row>
    <row r="4128">
      <c r="A4128" s="5">
        <v>4127.0</v>
      </c>
      <c r="B4128" s="5" t="s">
        <v>4717</v>
      </c>
      <c r="C4128" s="5" t="s">
        <v>21</v>
      </c>
      <c r="K4128" s="5">
        <v>100.0</v>
      </c>
      <c r="N4128" s="9">
        <v>44549.0</v>
      </c>
    </row>
    <row r="4129">
      <c r="A4129" s="5">
        <v>4128.0</v>
      </c>
      <c r="B4129" s="5" t="s">
        <v>4718</v>
      </c>
      <c r="C4129" s="5" t="s">
        <v>21</v>
      </c>
      <c r="K4129" s="5">
        <v>700.0</v>
      </c>
      <c r="N4129" s="9">
        <v>44528.0</v>
      </c>
    </row>
    <row r="4130">
      <c r="A4130" s="5">
        <v>4129.0</v>
      </c>
      <c r="B4130" s="5" t="s">
        <v>4719</v>
      </c>
      <c r="C4130" s="5" t="s">
        <v>21</v>
      </c>
      <c r="K4130" s="5">
        <v>300.0</v>
      </c>
      <c r="N4130" s="9">
        <v>44702.0</v>
      </c>
    </row>
    <row r="4131">
      <c r="A4131" s="5">
        <v>4130.0</v>
      </c>
      <c r="B4131" s="5" t="s">
        <v>4720</v>
      </c>
      <c r="C4131" s="5" t="s">
        <v>21</v>
      </c>
      <c r="K4131" s="5">
        <v>300.0</v>
      </c>
      <c r="N4131" s="9">
        <v>44818.0</v>
      </c>
    </row>
    <row r="4132">
      <c r="A4132" s="5">
        <v>4131.0</v>
      </c>
      <c r="B4132" s="5" t="s">
        <v>4721</v>
      </c>
      <c r="C4132" s="5" t="s">
        <v>21</v>
      </c>
      <c r="K4132" s="5">
        <v>5100.0</v>
      </c>
      <c r="N4132" s="9">
        <v>45357.0</v>
      </c>
    </row>
    <row r="4133">
      <c r="A4133" s="5">
        <v>4132.0</v>
      </c>
      <c r="B4133" s="5" t="s">
        <v>4722</v>
      </c>
      <c r="C4133" s="5" t="s">
        <v>21</v>
      </c>
      <c r="K4133" s="5">
        <v>900.0</v>
      </c>
      <c r="N4133" s="9">
        <v>43996.0</v>
      </c>
    </row>
    <row r="4134">
      <c r="A4134" s="5">
        <v>4133.0</v>
      </c>
      <c r="B4134" s="5" t="s">
        <v>4723</v>
      </c>
      <c r="C4134" s="5" t="s">
        <v>21</v>
      </c>
      <c r="K4134" s="5">
        <v>150.0</v>
      </c>
      <c r="N4134" s="9">
        <v>44250.0</v>
      </c>
    </row>
    <row r="4135">
      <c r="A4135" s="5">
        <v>4134.0</v>
      </c>
      <c r="B4135" s="5" t="s">
        <v>4724</v>
      </c>
      <c r="C4135" s="5" t="s">
        <v>21</v>
      </c>
      <c r="K4135" s="5">
        <v>10.0</v>
      </c>
      <c r="N4135" s="9">
        <v>45288.0</v>
      </c>
    </row>
    <row r="4136">
      <c r="A4136" s="5">
        <v>4135.0</v>
      </c>
      <c r="B4136" s="5" t="s">
        <v>4725</v>
      </c>
      <c r="C4136" s="5" t="s">
        <v>21</v>
      </c>
      <c r="K4136" s="5">
        <v>50.0</v>
      </c>
      <c r="N4136" s="9">
        <v>44531.0</v>
      </c>
    </row>
    <row r="4137">
      <c r="A4137" s="5">
        <v>4136.0</v>
      </c>
      <c r="B4137" s="5" t="s">
        <v>4726</v>
      </c>
      <c r="C4137" s="5" t="s">
        <v>21</v>
      </c>
      <c r="K4137" s="5">
        <v>60.0</v>
      </c>
      <c r="N4137" s="9">
        <v>44755.0</v>
      </c>
    </row>
    <row r="4138">
      <c r="A4138" s="5">
        <v>4137.0</v>
      </c>
      <c r="B4138" s="5" t="s">
        <v>4727</v>
      </c>
      <c r="C4138" s="5" t="s">
        <v>21</v>
      </c>
      <c r="K4138" s="5">
        <v>250.0</v>
      </c>
      <c r="N4138" s="9">
        <v>44603.0</v>
      </c>
    </row>
    <row r="4139">
      <c r="A4139" s="5">
        <v>4138.0</v>
      </c>
      <c r="B4139" s="5" t="s">
        <v>4728</v>
      </c>
      <c r="C4139" s="5" t="s">
        <v>21</v>
      </c>
      <c r="K4139" s="5">
        <v>80.0</v>
      </c>
      <c r="N4139" s="9">
        <v>44738.0</v>
      </c>
    </row>
    <row r="4140">
      <c r="A4140" s="5">
        <v>4139.0</v>
      </c>
      <c r="B4140" s="5" t="s">
        <v>4729</v>
      </c>
      <c r="C4140" s="5" t="s">
        <v>21</v>
      </c>
      <c r="K4140" s="5">
        <v>1400.0</v>
      </c>
      <c r="N4140" s="9">
        <v>44324.0</v>
      </c>
    </row>
    <row r="4141">
      <c r="A4141" s="5">
        <v>4140.0</v>
      </c>
      <c r="B4141" s="5" t="s">
        <v>4730</v>
      </c>
      <c r="C4141" s="5" t="s">
        <v>21</v>
      </c>
      <c r="K4141" s="5">
        <v>100.0</v>
      </c>
      <c r="N4141" s="9">
        <v>44531.0</v>
      </c>
    </row>
    <row r="4142">
      <c r="A4142" s="5">
        <v>4141.0</v>
      </c>
      <c r="B4142" s="5" t="s">
        <v>4731</v>
      </c>
      <c r="C4142" s="5" t="s">
        <v>21</v>
      </c>
      <c r="K4142" s="5">
        <v>900.0</v>
      </c>
      <c r="N4142" s="9">
        <v>44336.0</v>
      </c>
    </row>
    <row r="4143">
      <c r="A4143" s="5">
        <v>4142.0</v>
      </c>
      <c r="B4143" s="5" t="s">
        <v>4732</v>
      </c>
      <c r="C4143" s="5" t="s">
        <v>21</v>
      </c>
      <c r="K4143" s="5">
        <v>20.0</v>
      </c>
      <c r="N4143" s="9">
        <v>44699.0</v>
      </c>
    </row>
    <row r="4144">
      <c r="A4144" s="5">
        <v>4143.0</v>
      </c>
      <c r="B4144" s="5" t="s">
        <v>4733</v>
      </c>
      <c r="C4144" s="5" t="s">
        <v>21</v>
      </c>
      <c r="K4144" s="5">
        <v>1700.0</v>
      </c>
      <c r="N4144" s="9">
        <v>44228.0</v>
      </c>
    </row>
    <row r="4145">
      <c r="A4145" s="5">
        <v>4144.0</v>
      </c>
      <c r="B4145" s="5" t="s">
        <v>4734</v>
      </c>
      <c r="C4145" s="5" t="s">
        <v>21</v>
      </c>
      <c r="K4145" s="5">
        <v>350.0</v>
      </c>
      <c r="N4145" s="9">
        <v>44384.0</v>
      </c>
    </row>
    <row r="4146">
      <c r="A4146" s="5">
        <v>4145.0</v>
      </c>
      <c r="B4146" s="5" t="s">
        <v>4735</v>
      </c>
      <c r="C4146" s="5" t="s">
        <v>21</v>
      </c>
      <c r="K4146" s="5">
        <v>30.0</v>
      </c>
      <c r="N4146" s="9">
        <v>44446.0</v>
      </c>
    </row>
    <row r="4147">
      <c r="A4147" s="5">
        <v>4146.0</v>
      </c>
      <c r="B4147" s="5" t="s">
        <v>4736</v>
      </c>
      <c r="C4147" s="5" t="s">
        <v>21</v>
      </c>
      <c r="K4147" s="5">
        <v>80.0</v>
      </c>
      <c r="N4147" s="9">
        <v>44701.0</v>
      </c>
    </row>
    <row r="4148">
      <c r="A4148" s="5">
        <v>4147.0</v>
      </c>
      <c r="B4148" s="5" t="s">
        <v>4737</v>
      </c>
      <c r="C4148" s="5" t="s">
        <v>21</v>
      </c>
      <c r="K4148" s="5">
        <v>700.0</v>
      </c>
      <c r="N4148" s="9">
        <v>43967.0</v>
      </c>
    </row>
    <row r="4149">
      <c r="A4149" s="5">
        <v>4148.0</v>
      </c>
      <c r="B4149" s="5" t="s">
        <v>4738</v>
      </c>
      <c r="C4149" s="5" t="s">
        <v>21</v>
      </c>
      <c r="K4149" s="5">
        <v>200.0</v>
      </c>
      <c r="N4149" s="9">
        <v>44840.0</v>
      </c>
    </row>
    <row r="4150">
      <c r="A4150" s="5">
        <v>4149.0</v>
      </c>
      <c r="B4150" s="5" t="s">
        <v>4739</v>
      </c>
      <c r="C4150" s="5" t="s">
        <v>21</v>
      </c>
      <c r="K4150" s="5">
        <v>100.0</v>
      </c>
      <c r="N4150" s="9">
        <v>44538.0</v>
      </c>
    </row>
    <row r="4151">
      <c r="A4151" s="5">
        <v>4150.0</v>
      </c>
      <c r="B4151" s="5" t="s">
        <v>4740</v>
      </c>
      <c r="C4151" s="5" t="s">
        <v>21</v>
      </c>
      <c r="K4151" s="5">
        <v>200.0</v>
      </c>
      <c r="N4151" s="9">
        <v>44073.0</v>
      </c>
    </row>
    <row r="4152">
      <c r="A4152" s="5">
        <v>4151.0</v>
      </c>
      <c r="B4152" s="5" t="s">
        <v>4741</v>
      </c>
      <c r="C4152" s="5" t="s">
        <v>21</v>
      </c>
      <c r="K4152" s="5">
        <v>200.0</v>
      </c>
      <c r="N4152" s="9">
        <v>44572.0</v>
      </c>
    </row>
    <row r="4153">
      <c r="A4153" s="5">
        <v>4152.0</v>
      </c>
      <c r="B4153" s="5" t="s">
        <v>4742</v>
      </c>
      <c r="C4153" s="5" t="s">
        <v>21</v>
      </c>
      <c r="K4153" s="5">
        <v>200.0</v>
      </c>
      <c r="N4153" s="9">
        <v>44109.0</v>
      </c>
    </row>
    <row r="4154">
      <c r="A4154" s="5">
        <v>4153.0</v>
      </c>
      <c r="B4154" s="5" t="s">
        <v>4743</v>
      </c>
      <c r="C4154" s="5" t="s">
        <v>21</v>
      </c>
      <c r="K4154" s="5">
        <v>900.0</v>
      </c>
      <c r="N4154" s="9">
        <v>45385.0</v>
      </c>
    </row>
    <row r="4155">
      <c r="A4155" s="5">
        <v>4154.0</v>
      </c>
      <c r="B4155" s="5" t="s">
        <v>4744</v>
      </c>
      <c r="C4155" s="5" t="s">
        <v>21</v>
      </c>
      <c r="K4155" s="5">
        <v>900.0</v>
      </c>
      <c r="N4155" s="9">
        <v>44119.0</v>
      </c>
    </row>
    <row r="4156">
      <c r="A4156" s="5">
        <v>4155.0</v>
      </c>
      <c r="B4156" s="5" t="s">
        <v>4745</v>
      </c>
      <c r="C4156" s="5" t="s">
        <v>21</v>
      </c>
      <c r="K4156" s="5">
        <v>150.0</v>
      </c>
      <c r="N4156" s="9">
        <v>44531.0</v>
      </c>
    </row>
    <row r="4157">
      <c r="A4157" s="5">
        <v>4156.0</v>
      </c>
      <c r="B4157" s="5" t="s">
        <v>4746</v>
      </c>
      <c r="C4157" s="5" t="s">
        <v>21</v>
      </c>
      <c r="K4157" s="5">
        <v>150.0</v>
      </c>
      <c r="N4157" s="9">
        <v>44897.0</v>
      </c>
    </row>
    <row r="4158">
      <c r="A4158" s="5">
        <v>4157.0</v>
      </c>
      <c r="B4158" s="5" t="s">
        <v>4747</v>
      </c>
      <c r="C4158" s="5" t="s">
        <v>21</v>
      </c>
      <c r="K4158" s="5">
        <v>200.0</v>
      </c>
      <c r="N4158" s="9">
        <v>45119.0</v>
      </c>
    </row>
    <row r="4159">
      <c r="A4159" s="5">
        <v>4158.0</v>
      </c>
      <c r="B4159" s="5" t="s">
        <v>4748</v>
      </c>
      <c r="C4159" s="5" t="s">
        <v>21</v>
      </c>
      <c r="K4159" s="5">
        <v>150.0</v>
      </c>
      <c r="N4159" s="9">
        <v>44567.0</v>
      </c>
    </row>
    <row r="4160">
      <c r="A4160" s="5">
        <v>4159.0</v>
      </c>
      <c r="B4160" s="5" t="s">
        <v>4749</v>
      </c>
      <c r="C4160" s="5" t="s">
        <v>21</v>
      </c>
      <c r="K4160" s="5">
        <v>500.0</v>
      </c>
      <c r="N4160" s="9">
        <v>44250.0</v>
      </c>
    </row>
    <row r="4161">
      <c r="A4161" s="5">
        <v>4160.0</v>
      </c>
      <c r="B4161" s="5" t="s">
        <v>4750</v>
      </c>
      <c r="C4161" s="5" t="s">
        <v>21</v>
      </c>
      <c r="K4161" s="5">
        <v>150.0</v>
      </c>
      <c r="N4161" s="9">
        <v>44988.0</v>
      </c>
    </row>
    <row r="4162">
      <c r="A4162" s="5">
        <v>4161.0</v>
      </c>
      <c r="B4162" s="5" t="s">
        <v>4751</v>
      </c>
      <c r="C4162" s="5" t="s">
        <v>21</v>
      </c>
      <c r="K4162" s="5">
        <v>600.0</v>
      </c>
      <c r="N4162" s="9">
        <v>44727.0</v>
      </c>
    </row>
    <row r="4163">
      <c r="A4163" s="5">
        <v>4162.0</v>
      </c>
      <c r="B4163" s="5" t="s">
        <v>4752</v>
      </c>
      <c r="C4163" s="5" t="s">
        <v>21</v>
      </c>
      <c r="K4163" s="5">
        <v>400.0</v>
      </c>
      <c r="N4163" s="9">
        <v>44446.0</v>
      </c>
    </row>
    <row r="4164">
      <c r="A4164" s="5">
        <v>4163.0</v>
      </c>
      <c r="B4164" s="5" t="s">
        <v>4753</v>
      </c>
      <c r="C4164" s="5" t="s">
        <v>21</v>
      </c>
      <c r="K4164" s="5">
        <v>20.0</v>
      </c>
      <c r="N4164" s="9">
        <v>44572.0</v>
      </c>
    </row>
    <row r="4165">
      <c r="A4165" s="5">
        <v>4164.0</v>
      </c>
      <c r="B4165" s="5" t="s">
        <v>4754</v>
      </c>
      <c r="C4165" s="5" t="s">
        <v>21</v>
      </c>
      <c r="K4165" s="5">
        <v>500.0</v>
      </c>
      <c r="N4165" s="9">
        <v>44906.0</v>
      </c>
    </row>
    <row r="4166">
      <c r="A4166" s="5">
        <v>4165.0</v>
      </c>
      <c r="B4166" s="5" t="s">
        <v>4755</v>
      </c>
      <c r="C4166" s="5" t="s">
        <v>21</v>
      </c>
      <c r="K4166" s="5">
        <v>4000.0</v>
      </c>
      <c r="N4166" s="9">
        <v>44895.0</v>
      </c>
    </row>
    <row r="4167">
      <c r="A4167" s="5">
        <v>4166.0</v>
      </c>
      <c r="B4167" s="5" t="s">
        <v>4756</v>
      </c>
      <c r="C4167" s="5" t="s">
        <v>21</v>
      </c>
      <c r="K4167" s="5">
        <v>600.0</v>
      </c>
      <c r="N4167" s="9">
        <v>44582.0</v>
      </c>
    </row>
    <row r="4168">
      <c r="A4168" s="5">
        <v>4167.0</v>
      </c>
      <c r="B4168" s="5" t="s">
        <v>4757</v>
      </c>
      <c r="C4168" s="5" t="s">
        <v>21</v>
      </c>
      <c r="K4168" s="5">
        <v>4900.0</v>
      </c>
      <c r="N4168" s="9">
        <v>45077.0</v>
      </c>
    </row>
    <row r="4169">
      <c r="A4169" s="5">
        <v>4168.0</v>
      </c>
      <c r="B4169" s="5" t="s">
        <v>4758</v>
      </c>
      <c r="C4169" s="5" t="s">
        <v>21</v>
      </c>
      <c r="K4169" s="5">
        <v>450.0</v>
      </c>
      <c r="N4169" s="9">
        <v>44429.0</v>
      </c>
    </row>
    <row r="4170">
      <c r="A4170" s="5">
        <v>4169.0</v>
      </c>
      <c r="B4170" s="5" t="s">
        <v>145</v>
      </c>
      <c r="C4170" s="5" t="s">
        <v>21</v>
      </c>
      <c r="K4170" s="5">
        <v>2700.0</v>
      </c>
      <c r="N4170" s="9">
        <v>45686.0</v>
      </c>
    </row>
    <row r="4171">
      <c r="A4171" s="5">
        <v>4170.0</v>
      </c>
      <c r="B4171" s="5" t="s">
        <v>4759</v>
      </c>
      <c r="C4171" s="5" t="s">
        <v>21</v>
      </c>
      <c r="N4171" s="9">
        <v>44358.0</v>
      </c>
    </row>
    <row r="4172">
      <c r="A4172" s="5">
        <v>4171.0</v>
      </c>
      <c r="B4172" s="5" t="s">
        <v>4760</v>
      </c>
      <c r="C4172" s="5" t="s">
        <v>21</v>
      </c>
      <c r="K4172" s="5">
        <v>9000.0</v>
      </c>
      <c r="N4172" s="9">
        <v>46093.0</v>
      </c>
    </row>
    <row r="4173">
      <c r="A4173" s="5">
        <v>4172.0</v>
      </c>
      <c r="B4173" s="5" t="s">
        <v>4761</v>
      </c>
      <c r="C4173" s="5" t="s">
        <v>21</v>
      </c>
      <c r="K4173" s="5">
        <v>10000.0</v>
      </c>
      <c r="N4173" s="9">
        <v>44120.0</v>
      </c>
    </row>
    <row r="4174">
      <c r="A4174" s="5">
        <v>4173.0</v>
      </c>
      <c r="B4174" s="5" t="s">
        <v>4762</v>
      </c>
      <c r="C4174" s="5" t="s">
        <v>21</v>
      </c>
      <c r="K4174" s="5">
        <v>450.0</v>
      </c>
      <c r="N4174" s="9">
        <v>43920.0</v>
      </c>
    </row>
    <row r="4175">
      <c r="A4175" s="5">
        <v>4174.0</v>
      </c>
      <c r="B4175" s="5" t="s">
        <v>4763</v>
      </c>
      <c r="C4175" s="5" t="s">
        <v>21</v>
      </c>
      <c r="K4175" s="5">
        <v>250.0</v>
      </c>
      <c r="N4175" s="9">
        <v>44634.0</v>
      </c>
    </row>
    <row r="4176">
      <c r="A4176" s="5">
        <v>4175.0</v>
      </c>
      <c r="B4176" s="5" t="s">
        <v>4764</v>
      </c>
      <c r="C4176" s="5" t="s">
        <v>21</v>
      </c>
      <c r="K4176" s="5">
        <v>100.0</v>
      </c>
      <c r="N4176" s="9">
        <v>44717.0</v>
      </c>
    </row>
    <row r="4177">
      <c r="A4177" s="5">
        <v>4176.0</v>
      </c>
      <c r="B4177" s="5" t="s">
        <v>4765</v>
      </c>
      <c r="C4177" s="5" t="s">
        <v>21</v>
      </c>
      <c r="K4177" s="5">
        <v>150.0</v>
      </c>
      <c r="N4177" s="9">
        <v>45097.0</v>
      </c>
    </row>
    <row r="4178">
      <c r="A4178" s="5">
        <v>4177.0</v>
      </c>
      <c r="B4178" s="5" t="s">
        <v>4766</v>
      </c>
      <c r="C4178" s="5" t="s">
        <v>21</v>
      </c>
      <c r="K4178" s="5">
        <v>80.0</v>
      </c>
      <c r="N4178" s="9">
        <v>44661.0</v>
      </c>
    </row>
    <row r="4179">
      <c r="A4179" s="5">
        <v>4178.0</v>
      </c>
      <c r="B4179" s="5" t="s">
        <v>4767</v>
      </c>
      <c r="C4179" s="5" t="s">
        <v>21</v>
      </c>
      <c r="K4179" s="5">
        <v>90.0</v>
      </c>
      <c r="N4179" s="9">
        <v>44528.0</v>
      </c>
    </row>
    <row r="4180">
      <c r="A4180" s="5">
        <v>4179.0</v>
      </c>
      <c r="B4180" s="5" t="s">
        <v>4768</v>
      </c>
      <c r="C4180" s="5" t="s">
        <v>21</v>
      </c>
      <c r="K4180" s="5">
        <v>3900.0</v>
      </c>
      <c r="N4180" s="9">
        <v>45926.0</v>
      </c>
    </row>
    <row r="4181">
      <c r="A4181" s="5">
        <v>4180.0</v>
      </c>
      <c r="B4181" s="5" t="s">
        <v>4769</v>
      </c>
      <c r="C4181" s="5" t="s">
        <v>21</v>
      </c>
      <c r="K4181" s="5">
        <v>100.0</v>
      </c>
      <c r="N4181" s="9">
        <v>44702.0</v>
      </c>
    </row>
    <row r="4182">
      <c r="A4182" s="5">
        <v>4181.0</v>
      </c>
      <c r="B4182" s="5" t="s">
        <v>4770</v>
      </c>
      <c r="C4182" s="5" t="s">
        <v>21</v>
      </c>
      <c r="K4182" s="5">
        <v>90.0</v>
      </c>
      <c r="N4182" s="9">
        <v>44615.0</v>
      </c>
    </row>
    <row r="4183">
      <c r="A4183" s="5">
        <v>4182.0</v>
      </c>
      <c r="B4183" s="5" t="s">
        <v>4771</v>
      </c>
      <c r="C4183" s="5" t="s">
        <v>21</v>
      </c>
      <c r="K4183" s="5">
        <v>700.0</v>
      </c>
      <c r="N4183" s="9">
        <v>44981.0</v>
      </c>
    </row>
    <row r="4184">
      <c r="A4184" s="5">
        <v>4183.0</v>
      </c>
      <c r="B4184" s="5" t="s">
        <v>4772</v>
      </c>
      <c r="C4184" s="5" t="s">
        <v>21</v>
      </c>
      <c r="K4184" s="5">
        <v>150.0</v>
      </c>
      <c r="N4184" s="9">
        <v>43867.0</v>
      </c>
    </row>
    <row r="4185">
      <c r="A4185" s="5">
        <v>4184.0</v>
      </c>
      <c r="B4185" s="5" t="s">
        <v>4773</v>
      </c>
      <c r="C4185" s="5" t="s">
        <v>21</v>
      </c>
      <c r="K4185" s="5">
        <v>500.0</v>
      </c>
      <c r="N4185" s="9">
        <v>44592.0</v>
      </c>
    </row>
    <row r="4186">
      <c r="A4186" s="5">
        <v>4185.0</v>
      </c>
      <c r="B4186" s="5" t="s">
        <v>4774</v>
      </c>
      <c r="C4186" s="5" t="s">
        <v>21</v>
      </c>
      <c r="K4186" s="5">
        <v>200.0</v>
      </c>
      <c r="N4186" s="9">
        <v>44464.0</v>
      </c>
    </row>
    <row r="4187">
      <c r="A4187" s="5">
        <v>4186.0</v>
      </c>
      <c r="B4187" s="5" t="s">
        <v>4775</v>
      </c>
      <c r="C4187" s="5" t="s">
        <v>21</v>
      </c>
      <c r="K4187" s="5">
        <v>10.0</v>
      </c>
      <c r="N4187" s="9">
        <v>44230.0</v>
      </c>
    </row>
    <row r="4188">
      <c r="A4188" s="5">
        <v>4187.0</v>
      </c>
      <c r="B4188" s="5" t="s">
        <v>4776</v>
      </c>
      <c r="C4188" s="5" t="s">
        <v>21</v>
      </c>
      <c r="K4188" s="5">
        <v>350.0</v>
      </c>
      <c r="N4188" s="9">
        <v>44889.0</v>
      </c>
    </row>
    <row r="4189">
      <c r="A4189" s="5">
        <v>4188.0</v>
      </c>
      <c r="B4189" s="5" t="s">
        <v>4777</v>
      </c>
      <c r="C4189" s="5" t="s">
        <v>21</v>
      </c>
      <c r="K4189" s="5">
        <v>30.0</v>
      </c>
      <c r="N4189" s="9">
        <v>45089.0</v>
      </c>
    </row>
    <row r="4190">
      <c r="A4190" s="5">
        <v>4189.0</v>
      </c>
      <c r="B4190" s="5" t="s">
        <v>4778</v>
      </c>
      <c r="C4190" s="5" t="s">
        <v>21</v>
      </c>
      <c r="K4190" s="5">
        <v>60.0</v>
      </c>
      <c r="N4190" s="9">
        <v>44174.0</v>
      </c>
    </row>
    <row r="4191">
      <c r="A4191" s="5">
        <v>4190.0</v>
      </c>
      <c r="B4191" s="5" t="s">
        <v>4779</v>
      </c>
      <c r="C4191" s="5" t="s">
        <v>21</v>
      </c>
      <c r="K4191" s="5">
        <v>250.0</v>
      </c>
      <c r="N4191" s="9">
        <v>44873.0</v>
      </c>
    </row>
    <row r="4192">
      <c r="A4192" s="5">
        <v>4191.0</v>
      </c>
      <c r="B4192" s="5" t="s">
        <v>4780</v>
      </c>
      <c r="C4192" s="5" t="s">
        <v>21</v>
      </c>
      <c r="K4192" s="5">
        <v>500.0</v>
      </c>
      <c r="N4192" s="9">
        <v>43985.0</v>
      </c>
    </row>
    <row r="4193">
      <c r="A4193" s="5">
        <v>4192.0</v>
      </c>
      <c r="B4193" s="5" t="s">
        <v>4781</v>
      </c>
      <c r="C4193" s="5" t="s">
        <v>21</v>
      </c>
      <c r="N4193" s="9">
        <v>44912.0</v>
      </c>
    </row>
    <row r="4194">
      <c r="A4194" s="5">
        <v>4193.0</v>
      </c>
      <c r="B4194" s="5" t="s">
        <v>4782</v>
      </c>
      <c r="C4194" s="5" t="s">
        <v>21</v>
      </c>
      <c r="K4194" s="5">
        <v>5700.0</v>
      </c>
      <c r="N4194" s="9">
        <v>43917.0</v>
      </c>
    </row>
    <row r="4195">
      <c r="A4195" s="5">
        <v>4194.0</v>
      </c>
      <c r="B4195" s="5" t="s">
        <v>4783</v>
      </c>
      <c r="C4195" s="5" t="s">
        <v>21</v>
      </c>
      <c r="K4195" s="5">
        <v>350.0</v>
      </c>
      <c r="N4195" s="9">
        <v>44911.0</v>
      </c>
    </row>
    <row r="4196">
      <c r="A4196" s="5">
        <v>4195.0</v>
      </c>
      <c r="B4196" s="5" t="s">
        <v>4784</v>
      </c>
      <c r="C4196" s="5" t="s">
        <v>21</v>
      </c>
      <c r="K4196" s="5">
        <v>250.0</v>
      </c>
      <c r="N4196" s="9">
        <v>44191.0</v>
      </c>
    </row>
    <row r="4197">
      <c r="A4197" s="5">
        <v>4196.0</v>
      </c>
      <c r="B4197" s="5" t="s">
        <v>4785</v>
      </c>
      <c r="C4197" s="5" t="s">
        <v>21</v>
      </c>
      <c r="K4197" s="5">
        <v>1300.0</v>
      </c>
      <c r="N4197" s="9">
        <v>44572.0</v>
      </c>
    </row>
    <row r="4198">
      <c r="A4198" s="5">
        <v>4197.0</v>
      </c>
      <c r="B4198" s="5" t="s">
        <v>4786</v>
      </c>
      <c r="C4198" s="5" t="s">
        <v>21</v>
      </c>
      <c r="K4198" s="5">
        <v>200.0</v>
      </c>
      <c r="N4198" s="9">
        <v>43848.0</v>
      </c>
    </row>
    <row r="4199">
      <c r="A4199" s="5">
        <v>4198.0</v>
      </c>
      <c r="B4199" s="5" t="s">
        <v>4787</v>
      </c>
      <c r="C4199" s="5" t="s">
        <v>21</v>
      </c>
      <c r="K4199" s="5">
        <v>400.0</v>
      </c>
      <c r="N4199" s="9">
        <v>44552.0</v>
      </c>
    </row>
    <row r="4200">
      <c r="A4200" s="5">
        <v>4199.0</v>
      </c>
      <c r="B4200" s="5" t="s">
        <v>191</v>
      </c>
      <c r="C4200" s="5" t="s">
        <v>21</v>
      </c>
      <c r="K4200" s="5">
        <v>2400.0</v>
      </c>
      <c r="N4200" s="9">
        <v>44602.0</v>
      </c>
    </row>
    <row r="4201">
      <c r="A4201" s="5">
        <v>4200.0</v>
      </c>
      <c r="B4201" s="5" t="s">
        <v>4788</v>
      </c>
      <c r="C4201" s="5" t="s">
        <v>21</v>
      </c>
      <c r="K4201" s="5">
        <v>1600.0</v>
      </c>
      <c r="N4201" s="9">
        <v>44481.0</v>
      </c>
    </row>
    <row r="4202">
      <c r="A4202" s="5">
        <v>4201.0</v>
      </c>
      <c r="B4202" s="5" t="s">
        <v>4789</v>
      </c>
      <c r="C4202" s="5" t="s">
        <v>21</v>
      </c>
      <c r="K4202" s="5">
        <v>81000.0</v>
      </c>
      <c r="N4202" s="9">
        <v>46128.0</v>
      </c>
    </row>
    <row r="4203">
      <c r="A4203" s="5">
        <v>4202.0</v>
      </c>
      <c r="B4203" s="5" t="s">
        <v>4790</v>
      </c>
      <c r="C4203" s="5" t="s">
        <v>21</v>
      </c>
      <c r="K4203" s="5">
        <v>150.0</v>
      </c>
      <c r="N4203" s="9">
        <v>44938.0</v>
      </c>
    </row>
    <row r="4204">
      <c r="A4204" s="5">
        <v>4203.0</v>
      </c>
      <c r="B4204" s="5" t="s">
        <v>4791</v>
      </c>
      <c r="C4204" s="5" t="s">
        <v>21</v>
      </c>
      <c r="K4204" s="5">
        <v>400.0</v>
      </c>
      <c r="N4204" s="9">
        <v>43992.0</v>
      </c>
    </row>
    <row r="4205">
      <c r="A4205" s="5">
        <v>4204.0</v>
      </c>
      <c r="B4205" s="5" t="s">
        <v>4792</v>
      </c>
      <c r="C4205" s="5" t="s">
        <v>21</v>
      </c>
      <c r="K4205" s="5">
        <v>500.0</v>
      </c>
      <c r="N4205" s="9">
        <v>44532.0</v>
      </c>
    </row>
    <row r="4206">
      <c r="A4206" s="5">
        <v>4205.0</v>
      </c>
      <c r="B4206" s="5" t="s">
        <v>4793</v>
      </c>
      <c r="C4206" s="5" t="s">
        <v>21</v>
      </c>
      <c r="K4206" s="5">
        <v>450.0</v>
      </c>
      <c r="N4206" s="9">
        <v>44749.0</v>
      </c>
    </row>
    <row r="4207">
      <c r="A4207" s="5">
        <v>4206.0</v>
      </c>
      <c r="B4207" s="5" t="s">
        <v>4794</v>
      </c>
      <c r="C4207" s="5" t="s">
        <v>21</v>
      </c>
      <c r="K4207" s="5">
        <v>1100.0</v>
      </c>
      <c r="N4207" s="9">
        <v>44596.0</v>
      </c>
    </row>
    <row r="4208">
      <c r="A4208" s="5">
        <v>4207.0</v>
      </c>
      <c r="B4208" s="5" t="s">
        <v>4795</v>
      </c>
      <c r="C4208" s="5" t="s">
        <v>21</v>
      </c>
      <c r="K4208" s="5">
        <v>500.0</v>
      </c>
      <c r="N4208" s="9">
        <v>44557.0</v>
      </c>
    </row>
    <row r="4209">
      <c r="A4209" s="5">
        <v>4208.0</v>
      </c>
      <c r="B4209" s="5" t="s">
        <v>4796</v>
      </c>
      <c r="C4209" s="5" t="s">
        <v>21</v>
      </c>
      <c r="K4209" s="5">
        <v>200.0</v>
      </c>
      <c r="N4209" s="9">
        <v>44939.0</v>
      </c>
    </row>
    <row r="4210">
      <c r="A4210" s="5">
        <v>4209.0</v>
      </c>
      <c r="B4210" s="5" t="s">
        <v>4797</v>
      </c>
      <c r="C4210" s="5" t="s">
        <v>21</v>
      </c>
      <c r="K4210" s="5">
        <v>700.0</v>
      </c>
      <c r="N4210" s="9">
        <v>44975.0</v>
      </c>
    </row>
    <row r="4211">
      <c r="A4211" s="5">
        <v>4210.0</v>
      </c>
      <c r="B4211" s="5" t="s">
        <v>4798</v>
      </c>
      <c r="C4211" s="5" t="s">
        <v>21</v>
      </c>
      <c r="K4211" s="5">
        <v>150.0</v>
      </c>
      <c r="N4211" s="9">
        <v>44977.0</v>
      </c>
    </row>
    <row r="4212">
      <c r="A4212" s="5">
        <v>4211.0</v>
      </c>
      <c r="B4212" s="5" t="s">
        <v>4799</v>
      </c>
      <c r="C4212" s="5" t="s">
        <v>21</v>
      </c>
      <c r="K4212" s="5">
        <v>2700.0</v>
      </c>
      <c r="N4212" s="9">
        <v>44250.0</v>
      </c>
    </row>
    <row r="4213">
      <c r="A4213" s="5">
        <v>4212.0</v>
      </c>
      <c r="B4213" s="5" t="s">
        <v>4800</v>
      </c>
      <c r="C4213" s="5" t="s">
        <v>21</v>
      </c>
      <c r="K4213" s="5">
        <v>150.0</v>
      </c>
      <c r="N4213" s="9">
        <v>44629.0</v>
      </c>
    </row>
    <row r="4214">
      <c r="A4214" s="5">
        <v>4213.0</v>
      </c>
      <c r="B4214" s="5" t="s">
        <v>4801</v>
      </c>
      <c r="C4214" s="5" t="s">
        <v>21</v>
      </c>
      <c r="N4214" s="9">
        <v>44755.0</v>
      </c>
    </row>
    <row r="4215">
      <c r="A4215" s="5">
        <v>4214.0</v>
      </c>
      <c r="B4215" s="5" t="s">
        <v>4802</v>
      </c>
      <c r="C4215" s="5" t="s">
        <v>21</v>
      </c>
      <c r="K4215" s="5">
        <v>400.0</v>
      </c>
      <c r="N4215" s="9">
        <v>45692.0</v>
      </c>
    </row>
    <row r="4216">
      <c r="A4216" s="5">
        <v>4215.0</v>
      </c>
      <c r="B4216" s="5" t="s">
        <v>4803</v>
      </c>
      <c r="C4216" s="5" t="s">
        <v>21</v>
      </c>
      <c r="K4216" s="5">
        <v>100.0</v>
      </c>
      <c r="N4216" s="9">
        <v>45498.0</v>
      </c>
    </row>
    <row r="4217">
      <c r="A4217" s="5">
        <v>4216.0</v>
      </c>
      <c r="B4217" s="5" t="s">
        <v>4804</v>
      </c>
      <c r="C4217" s="5" t="s">
        <v>21</v>
      </c>
      <c r="K4217" s="5">
        <v>2300.0</v>
      </c>
      <c r="N4217" s="9">
        <v>44046.0</v>
      </c>
    </row>
    <row r="4218">
      <c r="A4218" s="5">
        <v>4217.0</v>
      </c>
      <c r="B4218" s="5" t="s">
        <v>4805</v>
      </c>
      <c r="C4218" s="5" t="s">
        <v>21</v>
      </c>
      <c r="K4218" s="5">
        <v>40.0</v>
      </c>
      <c r="N4218" s="9">
        <v>44543.0</v>
      </c>
    </row>
    <row r="4219">
      <c r="A4219" s="5">
        <v>4218.0</v>
      </c>
      <c r="B4219" s="5" t="s">
        <v>4806</v>
      </c>
      <c r="C4219" s="5" t="s">
        <v>21</v>
      </c>
      <c r="K4219" s="5">
        <v>3200.0</v>
      </c>
      <c r="N4219" s="9">
        <v>44803.0</v>
      </c>
    </row>
    <row r="4220">
      <c r="A4220" s="5">
        <v>4219.0</v>
      </c>
      <c r="B4220" s="5" t="s">
        <v>4807</v>
      </c>
      <c r="C4220" s="5" t="s">
        <v>21</v>
      </c>
      <c r="K4220" s="5">
        <v>200.0</v>
      </c>
      <c r="N4220" s="9">
        <v>45564.0</v>
      </c>
    </row>
    <row r="4221">
      <c r="A4221" s="5">
        <v>4220.0</v>
      </c>
      <c r="B4221" s="5" t="s">
        <v>4808</v>
      </c>
      <c r="C4221" s="5" t="s">
        <v>21</v>
      </c>
      <c r="K4221" s="5">
        <v>60.0</v>
      </c>
      <c r="N4221" s="9">
        <v>44564.0</v>
      </c>
    </row>
    <row r="4222">
      <c r="A4222" s="5">
        <v>4221.0</v>
      </c>
      <c r="B4222" s="5" t="s">
        <v>4809</v>
      </c>
      <c r="C4222" s="5" t="s">
        <v>21</v>
      </c>
      <c r="K4222" s="5">
        <v>250.0</v>
      </c>
      <c r="N4222" s="9">
        <v>45199.0</v>
      </c>
    </row>
    <row r="4223">
      <c r="A4223" s="5">
        <v>4222.0</v>
      </c>
      <c r="B4223" s="5" t="s">
        <v>4810</v>
      </c>
      <c r="C4223" s="5" t="s">
        <v>21</v>
      </c>
      <c r="K4223" s="5">
        <v>1400.0</v>
      </c>
      <c r="N4223" s="9">
        <v>44512.0</v>
      </c>
    </row>
    <row r="4224">
      <c r="A4224" s="5">
        <v>4223.0</v>
      </c>
      <c r="B4224" s="5" t="s">
        <v>4811</v>
      </c>
      <c r="C4224" s="5" t="s">
        <v>21</v>
      </c>
      <c r="N4224" s="9">
        <v>44724.0</v>
      </c>
    </row>
    <row r="4225">
      <c r="A4225" s="5">
        <v>4224.0</v>
      </c>
      <c r="B4225" s="5" t="s">
        <v>4812</v>
      </c>
      <c r="C4225" s="5" t="s">
        <v>21</v>
      </c>
      <c r="K4225" s="5">
        <v>700.0</v>
      </c>
      <c r="N4225" s="9">
        <v>44517.0</v>
      </c>
    </row>
    <row r="4226">
      <c r="A4226" s="5">
        <v>4225.0</v>
      </c>
      <c r="B4226" s="5" t="s">
        <v>4813</v>
      </c>
      <c r="C4226" s="5" t="s">
        <v>21</v>
      </c>
      <c r="K4226" s="5">
        <v>20.0</v>
      </c>
      <c r="N4226" s="9">
        <v>44792.0</v>
      </c>
    </row>
    <row r="4227">
      <c r="A4227" s="5">
        <v>4226.0</v>
      </c>
      <c r="B4227" s="5" t="s">
        <v>4814</v>
      </c>
      <c r="C4227" s="5" t="s">
        <v>21</v>
      </c>
      <c r="K4227" s="5">
        <v>30.0</v>
      </c>
      <c r="N4227" s="9">
        <v>44539.0</v>
      </c>
    </row>
    <row r="4228">
      <c r="A4228" s="5">
        <v>4227.0</v>
      </c>
      <c r="B4228" s="5" t="s">
        <v>4815</v>
      </c>
      <c r="C4228" s="5" t="s">
        <v>21</v>
      </c>
      <c r="K4228" s="5">
        <v>10.0</v>
      </c>
      <c r="N4228" s="9">
        <v>43929.0</v>
      </c>
    </row>
    <row r="4229">
      <c r="A4229" s="5">
        <v>4228.0</v>
      </c>
      <c r="B4229" s="5" t="s">
        <v>4816</v>
      </c>
      <c r="C4229" s="5" t="s">
        <v>21</v>
      </c>
      <c r="K4229" s="5">
        <v>800.0</v>
      </c>
      <c r="N4229" s="9">
        <v>44585.0</v>
      </c>
    </row>
    <row r="4230">
      <c r="A4230" s="5">
        <v>4229.0</v>
      </c>
      <c r="B4230" s="5" t="s">
        <v>4817</v>
      </c>
      <c r="C4230" s="5" t="s">
        <v>21</v>
      </c>
      <c r="K4230" s="5">
        <v>90.0</v>
      </c>
      <c r="N4230" s="9">
        <v>44293.0</v>
      </c>
    </row>
    <row r="4231">
      <c r="A4231" s="5">
        <v>4230.0</v>
      </c>
      <c r="B4231" s="5" t="s">
        <v>4818</v>
      </c>
      <c r="C4231" s="5" t="s">
        <v>21</v>
      </c>
      <c r="K4231" s="5">
        <v>350.0</v>
      </c>
      <c r="N4231" s="9">
        <v>44608.0</v>
      </c>
    </row>
    <row r="4232">
      <c r="A4232" s="5">
        <v>4231.0</v>
      </c>
      <c r="B4232" s="5" t="s">
        <v>4819</v>
      </c>
      <c r="C4232" s="5" t="s">
        <v>21</v>
      </c>
      <c r="K4232" s="5">
        <v>400.0</v>
      </c>
      <c r="N4232" s="9">
        <v>44627.0</v>
      </c>
    </row>
    <row r="4233">
      <c r="A4233" s="5">
        <v>4232.0</v>
      </c>
      <c r="B4233" s="5" t="s">
        <v>4820</v>
      </c>
      <c r="C4233" s="5" t="s">
        <v>21</v>
      </c>
      <c r="K4233" s="5">
        <v>800.0</v>
      </c>
      <c r="N4233" s="9">
        <v>44692.0</v>
      </c>
    </row>
    <row r="4234">
      <c r="A4234" s="5">
        <v>4233.0</v>
      </c>
      <c r="B4234" s="5" t="s">
        <v>4821</v>
      </c>
      <c r="C4234" s="5" t="s">
        <v>21</v>
      </c>
      <c r="K4234" s="5">
        <v>800.0</v>
      </c>
      <c r="N4234" s="9">
        <v>44543.0</v>
      </c>
    </row>
    <row r="4235">
      <c r="A4235" s="5">
        <v>4234.0</v>
      </c>
      <c r="B4235" s="5" t="s">
        <v>4822</v>
      </c>
      <c r="C4235" s="5" t="s">
        <v>21</v>
      </c>
      <c r="K4235" s="5">
        <v>1000.0</v>
      </c>
      <c r="N4235" s="9">
        <v>44106.0</v>
      </c>
    </row>
    <row r="4236">
      <c r="A4236" s="5">
        <v>4235.0</v>
      </c>
      <c r="B4236" s="5" t="s">
        <v>4823</v>
      </c>
      <c r="C4236" s="5" t="s">
        <v>21</v>
      </c>
      <c r="K4236" s="5">
        <v>4900.0</v>
      </c>
      <c r="N4236" s="9">
        <v>43842.0</v>
      </c>
    </row>
    <row r="4237">
      <c r="A4237" s="5">
        <v>4236.0</v>
      </c>
      <c r="B4237" s="5" t="s">
        <v>4824</v>
      </c>
      <c r="C4237" s="5" t="s">
        <v>21</v>
      </c>
      <c r="K4237" s="5">
        <v>900.0</v>
      </c>
      <c r="N4237" s="9">
        <v>44521.0</v>
      </c>
    </row>
    <row r="4238">
      <c r="A4238" s="5">
        <v>4237.0</v>
      </c>
      <c r="B4238" s="5" t="s">
        <v>4825</v>
      </c>
      <c r="C4238" s="5" t="s">
        <v>21</v>
      </c>
      <c r="K4238" s="5">
        <v>150.0</v>
      </c>
      <c r="N4238" s="9">
        <v>44572.0</v>
      </c>
    </row>
    <row r="4239">
      <c r="A4239" s="5">
        <v>4238.0</v>
      </c>
      <c r="B4239" s="5" t="s">
        <v>4826</v>
      </c>
      <c r="C4239" s="5" t="s">
        <v>21</v>
      </c>
      <c r="K4239" s="5">
        <v>250.0</v>
      </c>
      <c r="N4239" s="9">
        <v>45224.0</v>
      </c>
    </row>
    <row r="4240">
      <c r="A4240" s="5">
        <v>4239.0</v>
      </c>
      <c r="B4240" s="5" t="s">
        <v>4827</v>
      </c>
      <c r="C4240" s="5" t="s">
        <v>21</v>
      </c>
      <c r="K4240" s="5">
        <v>700.0</v>
      </c>
      <c r="N4240" s="9">
        <v>45229.0</v>
      </c>
    </row>
    <row r="4241">
      <c r="A4241" s="5">
        <v>4240.0</v>
      </c>
      <c r="B4241" s="5" t="s">
        <v>4828</v>
      </c>
      <c r="C4241" s="5" t="s">
        <v>21</v>
      </c>
      <c r="N4241" s="9">
        <v>44533.0</v>
      </c>
    </row>
    <row r="4242">
      <c r="A4242" s="5">
        <v>4241.0</v>
      </c>
      <c r="B4242" s="5" t="s">
        <v>4829</v>
      </c>
      <c r="C4242" s="5" t="s">
        <v>21</v>
      </c>
      <c r="K4242" s="5">
        <v>200.0</v>
      </c>
      <c r="N4242" s="9">
        <v>45411.0</v>
      </c>
    </row>
    <row r="4243">
      <c r="A4243" s="5">
        <v>4242.0</v>
      </c>
      <c r="B4243" s="5" t="s">
        <v>4830</v>
      </c>
      <c r="C4243" s="5" t="s">
        <v>21</v>
      </c>
      <c r="N4243" s="9">
        <v>44504.0</v>
      </c>
    </row>
    <row r="4244">
      <c r="A4244" s="5">
        <v>4243.0</v>
      </c>
      <c r="B4244" s="5" t="s">
        <v>148</v>
      </c>
      <c r="C4244" s="5" t="s">
        <v>21</v>
      </c>
      <c r="K4244" s="5">
        <v>90.0</v>
      </c>
      <c r="N4244" s="9">
        <v>43847.0</v>
      </c>
    </row>
    <row r="4245">
      <c r="A4245" s="5">
        <v>4244.0</v>
      </c>
      <c r="B4245" s="5" t="s">
        <v>4831</v>
      </c>
      <c r="C4245" s="5" t="s">
        <v>21</v>
      </c>
      <c r="K4245" s="5">
        <v>70.0</v>
      </c>
      <c r="N4245" s="9">
        <v>45674.0</v>
      </c>
    </row>
    <row r="4246">
      <c r="A4246" s="5">
        <v>4245.0</v>
      </c>
      <c r="B4246" s="5" t="s">
        <v>4832</v>
      </c>
      <c r="C4246" s="5" t="s">
        <v>21</v>
      </c>
      <c r="K4246" s="5">
        <v>90.0</v>
      </c>
      <c r="N4246" s="9">
        <v>44596.0</v>
      </c>
    </row>
    <row r="4247">
      <c r="A4247" s="5">
        <v>4246.0</v>
      </c>
      <c r="B4247" s="5" t="s">
        <v>4833</v>
      </c>
      <c r="C4247" s="5" t="s">
        <v>21</v>
      </c>
      <c r="N4247" s="9">
        <v>44634.0</v>
      </c>
    </row>
    <row r="4248">
      <c r="A4248" s="5">
        <v>4247.0</v>
      </c>
      <c r="B4248" s="5" t="s">
        <v>4834</v>
      </c>
      <c r="C4248" s="5" t="s">
        <v>21</v>
      </c>
      <c r="K4248" s="5">
        <v>250.0</v>
      </c>
      <c r="N4248" s="9">
        <v>44567.0</v>
      </c>
    </row>
    <row r="4249">
      <c r="A4249" s="5">
        <v>4248.0</v>
      </c>
      <c r="B4249" s="5" t="s">
        <v>4835</v>
      </c>
      <c r="C4249" s="5" t="s">
        <v>21</v>
      </c>
      <c r="K4249" s="5">
        <v>150.0</v>
      </c>
      <c r="N4249" s="9">
        <v>44560.0</v>
      </c>
    </row>
    <row r="4250">
      <c r="A4250" s="5">
        <v>4249.0</v>
      </c>
      <c r="B4250" s="5" t="s">
        <v>4836</v>
      </c>
      <c r="C4250" s="5" t="s">
        <v>21</v>
      </c>
      <c r="K4250" s="5">
        <v>1200.0</v>
      </c>
      <c r="N4250" s="9">
        <v>44703.0</v>
      </c>
    </row>
    <row r="4251">
      <c r="A4251" s="5">
        <v>4250.0</v>
      </c>
      <c r="B4251" s="5" t="s">
        <v>4837</v>
      </c>
      <c r="C4251" s="5" t="s">
        <v>21</v>
      </c>
      <c r="K4251" s="5">
        <v>90.0</v>
      </c>
      <c r="N4251" s="9">
        <v>45476.0</v>
      </c>
    </row>
    <row r="4252">
      <c r="A4252" s="5">
        <v>4251.0</v>
      </c>
      <c r="B4252" s="5" t="s">
        <v>4838</v>
      </c>
      <c r="C4252" s="5" t="s">
        <v>21</v>
      </c>
      <c r="K4252" s="5">
        <v>20.0</v>
      </c>
      <c r="N4252" s="9">
        <v>45353.0</v>
      </c>
    </row>
    <row r="4253">
      <c r="A4253" s="5">
        <v>4252.0</v>
      </c>
      <c r="B4253" s="5" t="s">
        <v>4839</v>
      </c>
      <c r="C4253" s="5" t="s">
        <v>21</v>
      </c>
      <c r="K4253" s="5">
        <v>70.0</v>
      </c>
      <c r="N4253" s="9">
        <v>44549.0</v>
      </c>
    </row>
    <row r="4254">
      <c r="A4254" s="5">
        <v>4253.0</v>
      </c>
      <c r="B4254" s="5" t="s">
        <v>4840</v>
      </c>
      <c r="C4254" s="5" t="s">
        <v>21</v>
      </c>
      <c r="K4254" s="5">
        <v>800.0</v>
      </c>
      <c r="N4254" s="9">
        <v>44549.0</v>
      </c>
    </row>
    <row r="4255">
      <c r="A4255" s="5">
        <v>4254.0</v>
      </c>
      <c r="B4255" s="5" t="s">
        <v>4841</v>
      </c>
      <c r="C4255" s="5" t="s">
        <v>21</v>
      </c>
      <c r="K4255" s="5">
        <v>200.0</v>
      </c>
      <c r="N4255" s="9">
        <v>45643.0</v>
      </c>
    </row>
    <row r="4256">
      <c r="A4256" s="5">
        <v>4255.0</v>
      </c>
      <c r="B4256" s="5" t="s">
        <v>4842</v>
      </c>
      <c r="C4256" s="5" t="s">
        <v>21</v>
      </c>
      <c r="K4256" s="5">
        <v>1400.0</v>
      </c>
      <c r="N4256" s="9">
        <v>45643.0</v>
      </c>
    </row>
    <row r="4257">
      <c r="A4257" s="5">
        <v>4256.0</v>
      </c>
      <c r="B4257" s="5" t="s">
        <v>4843</v>
      </c>
      <c r="C4257" s="5" t="s">
        <v>21</v>
      </c>
      <c r="K4257" s="5">
        <v>300.0</v>
      </c>
      <c r="N4257" s="9">
        <v>44917.0</v>
      </c>
    </row>
    <row r="4258">
      <c r="A4258" s="5">
        <v>4257.0</v>
      </c>
      <c r="B4258" s="5" t="s">
        <v>4844</v>
      </c>
      <c r="C4258" s="5" t="s">
        <v>21</v>
      </c>
      <c r="K4258" s="5">
        <v>1000.0</v>
      </c>
      <c r="N4258" s="9">
        <v>44073.0</v>
      </c>
    </row>
    <row r="4259">
      <c r="A4259" s="5">
        <v>4258.0</v>
      </c>
      <c r="B4259" s="5" t="s">
        <v>4845</v>
      </c>
      <c r="C4259" s="5" t="s">
        <v>21</v>
      </c>
      <c r="K4259" s="5">
        <v>900.0</v>
      </c>
      <c r="N4259" s="9">
        <v>44523.0</v>
      </c>
    </row>
    <row r="4260">
      <c r="A4260" s="5">
        <v>4259.0</v>
      </c>
      <c r="B4260" s="5" t="s">
        <v>4846</v>
      </c>
      <c r="C4260" s="5" t="s">
        <v>21</v>
      </c>
      <c r="K4260" s="5">
        <v>700.0</v>
      </c>
      <c r="N4260" s="9">
        <v>44539.0</v>
      </c>
    </row>
    <row r="4261">
      <c r="A4261" s="5">
        <v>4260.0</v>
      </c>
      <c r="B4261" s="5" t="s">
        <v>4847</v>
      </c>
      <c r="C4261" s="5" t="s">
        <v>21</v>
      </c>
      <c r="N4261" s="9">
        <v>44528.0</v>
      </c>
    </row>
    <row r="4262">
      <c r="A4262" s="5">
        <v>4261.0</v>
      </c>
      <c r="B4262" s="5" t="s">
        <v>4848</v>
      </c>
      <c r="C4262" s="5" t="s">
        <v>21</v>
      </c>
      <c r="K4262" s="5">
        <v>500.0</v>
      </c>
      <c r="N4262" s="9">
        <v>45160.0</v>
      </c>
    </row>
    <row r="4263">
      <c r="A4263" s="5">
        <v>4262.0</v>
      </c>
      <c r="B4263" s="5" t="s">
        <v>4849</v>
      </c>
      <c r="C4263" s="5" t="s">
        <v>21</v>
      </c>
      <c r="K4263" s="5">
        <v>1100.0</v>
      </c>
      <c r="N4263" s="9">
        <v>44535.0</v>
      </c>
    </row>
    <row r="4264">
      <c r="A4264" s="5">
        <v>4263.0</v>
      </c>
      <c r="B4264" s="5" t="s">
        <v>194</v>
      </c>
      <c r="C4264" s="5" t="s">
        <v>21</v>
      </c>
      <c r="K4264" s="5">
        <v>2300.0</v>
      </c>
      <c r="N4264" s="9">
        <v>44948.0</v>
      </c>
    </row>
    <row r="4265">
      <c r="A4265" s="5">
        <v>4264.0</v>
      </c>
      <c r="B4265" s="5" t="s">
        <v>4850</v>
      </c>
      <c r="C4265" s="5" t="s">
        <v>21</v>
      </c>
      <c r="K4265" s="5">
        <v>600.0</v>
      </c>
      <c r="N4265" s="9">
        <v>45385.0</v>
      </c>
    </row>
    <row r="4266">
      <c r="A4266" s="5">
        <v>4265.0</v>
      </c>
      <c r="B4266" s="5" t="s">
        <v>4851</v>
      </c>
      <c r="C4266" s="5" t="s">
        <v>21</v>
      </c>
      <c r="K4266" s="5">
        <v>20.0</v>
      </c>
      <c r="N4266" s="9">
        <v>44036.0</v>
      </c>
    </row>
    <row r="4267">
      <c r="A4267" s="5">
        <v>4266.0</v>
      </c>
      <c r="B4267" s="5" t="s">
        <v>4852</v>
      </c>
      <c r="C4267" s="5" t="s">
        <v>21</v>
      </c>
      <c r="K4267" s="5">
        <v>10.0</v>
      </c>
      <c r="N4267" s="9">
        <v>44637.0</v>
      </c>
    </row>
    <row r="4268">
      <c r="A4268" s="5">
        <v>4267.0</v>
      </c>
      <c r="B4268" s="5" t="s">
        <v>4853</v>
      </c>
      <c r="C4268" s="5" t="s">
        <v>21</v>
      </c>
      <c r="K4268" s="5">
        <v>4600.0</v>
      </c>
      <c r="N4268" s="9">
        <v>43921.0</v>
      </c>
    </row>
    <row r="4269">
      <c r="A4269" s="5">
        <v>4268.0</v>
      </c>
      <c r="B4269" s="5" t="s">
        <v>4854</v>
      </c>
      <c r="C4269" s="5" t="s">
        <v>21</v>
      </c>
      <c r="N4269" s="9">
        <v>44827.0</v>
      </c>
    </row>
    <row r="4270">
      <c r="A4270" s="5">
        <v>4269.0</v>
      </c>
      <c r="B4270" s="5" t="s">
        <v>4855</v>
      </c>
      <c r="C4270" s="5" t="s">
        <v>21</v>
      </c>
      <c r="K4270" s="5">
        <v>60.0</v>
      </c>
      <c r="N4270" s="9">
        <v>44841.0</v>
      </c>
    </row>
    <row r="4271">
      <c r="A4271" s="5">
        <v>4270.0</v>
      </c>
      <c r="B4271" s="5" t="s">
        <v>4856</v>
      </c>
      <c r="C4271" s="5" t="s">
        <v>21</v>
      </c>
      <c r="K4271" s="5">
        <v>800.0</v>
      </c>
      <c r="N4271" s="9">
        <v>44538.0</v>
      </c>
    </row>
    <row r="4272">
      <c r="A4272" s="5">
        <v>4271.0</v>
      </c>
      <c r="B4272" s="5" t="s">
        <v>4857</v>
      </c>
      <c r="C4272" s="5" t="s">
        <v>21</v>
      </c>
      <c r="K4272" s="5">
        <v>250.0</v>
      </c>
      <c r="N4272" s="9">
        <v>44945.0</v>
      </c>
    </row>
    <row r="4273">
      <c r="A4273" s="5">
        <v>4272.0</v>
      </c>
      <c r="B4273" s="5" t="s">
        <v>4858</v>
      </c>
      <c r="C4273" s="5" t="s">
        <v>21</v>
      </c>
      <c r="K4273" s="5">
        <v>80.0</v>
      </c>
      <c r="N4273" s="9">
        <v>45551.0</v>
      </c>
    </row>
    <row r="4274">
      <c r="A4274" s="5">
        <v>4273.0</v>
      </c>
      <c r="B4274" s="5" t="s">
        <v>150</v>
      </c>
      <c r="C4274" s="5" t="s">
        <v>21</v>
      </c>
      <c r="K4274" s="5">
        <v>80.0</v>
      </c>
      <c r="N4274" s="9">
        <v>44428.0</v>
      </c>
    </row>
    <row r="4275">
      <c r="A4275" s="5">
        <v>4274.0</v>
      </c>
      <c r="B4275" s="5" t="s">
        <v>4859</v>
      </c>
      <c r="C4275" s="5" t="s">
        <v>21</v>
      </c>
      <c r="K4275" s="5">
        <v>50.0</v>
      </c>
      <c r="N4275" s="9">
        <v>44753.0</v>
      </c>
    </row>
    <row r="4276">
      <c r="A4276" s="5">
        <v>4275.0</v>
      </c>
      <c r="B4276" s="5" t="s">
        <v>4860</v>
      </c>
      <c r="C4276" s="5" t="s">
        <v>21</v>
      </c>
      <c r="N4276" s="9">
        <v>44588.0</v>
      </c>
    </row>
    <row r="4277">
      <c r="A4277" s="5">
        <v>4276.0</v>
      </c>
      <c r="B4277" s="5" t="s">
        <v>4861</v>
      </c>
      <c r="C4277" s="5" t="s">
        <v>21</v>
      </c>
      <c r="K4277" s="5">
        <v>350.0</v>
      </c>
      <c r="N4277" s="9">
        <v>45730.0</v>
      </c>
    </row>
    <row r="4278">
      <c r="A4278" s="5">
        <v>4277.0</v>
      </c>
      <c r="B4278" s="5" t="s">
        <v>4862</v>
      </c>
      <c r="C4278" s="5" t="s">
        <v>21</v>
      </c>
      <c r="K4278" s="5">
        <v>60.0</v>
      </c>
      <c r="N4278" s="9">
        <v>45271.0</v>
      </c>
    </row>
    <row r="4279">
      <c r="A4279" s="5">
        <v>4278.0</v>
      </c>
      <c r="B4279" s="5" t="s">
        <v>4863</v>
      </c>
      <c r="C4279" s="5" t="s">
        <v>21</v>
      </c>
      <c r="K4279" s="5">
        <v>20.0</v>
      </c>
      <c r="N4279" s="9">
        <v>44916.0</v>
      </c>
    </row>
    <row r="4280">
      <c r="A4280" s="5">
        <v>4279.0</v>
      </c>
      <c r="B4280" s="5" t="s">
        <v>4864</v>
      </c>
      <c r="C4280" s="5" t="s">
        <v>21</v>
      </c>
      <c r="K4280" s="5">
        <v>90.0</v>
      </c>
      <c r="N4280" s="9">
        <v>44543.0</v>
      </c>
    </row>
    <row r="4281">
      <c r="A4281" s="5">
        <v>4280.0</v>
      </c>
      <c r="B4281" s="5" t="s">
        <v>4865</v>
      </c>
      <c r="C4281" s="5" t="s">
        <v>21</v>
      </c>
      <c r="K4281" s="5">
        <v>3000.0</v>
      </c>
      <c r="N4281" s="9">
        <v>44023.0</v>
      </c>
    </row>
    <row r="4282">
      <c r="A4282" s="5">
        <v>4281.0</v>
      </c>
      <c r="B4282" s="5" t="s">
        <v>4866</v>
      </c>
      <c r="C4282" s="5" t="s">
        <v>21</v>
      </c>
      <c r="K4282" s="5">
        <v>700.0</v>
      </c>
      <c r="N4282" s="9">
        <v>43860.0</v>
      </c>
    </row>
    <row r="4283">
      <c r="A4283" s="5">
        <v>4282.0</v>
      </c>
      <c r="B4283" s="5" t="s">
        <v>4867</v>
      </c>
      <c r="C4283" s="5" t="s">
        <v>21</v>
      </c>
      <c r="K4283" s="5">
        <v>450.0</v>
      </c>
      <c r="N4283" s="9">
        <v>44608.0</v>
      </c>
    </row>
    <row r="4284">
      <c r="A4284" s="5">
        <v>4283.0</v>
      </c>
      <c r="B4284" s="5" t="s">
        <v>4868</v>
      </c>
      <c r="C4284" s="5" t="s">
        <v>21</v>
      </c>
      <c r="K4284" s="5">
        <v>250.0</v>
      </c>
      <c r="N4284" s="9">
        <v>45215.0</v>
      </c>
    </row>
    <row r="4285">
      <c r="A4285" s="5">
        <v>4284.0</v>
      </c>
      <c r="B4285" s="5" t="s">
        <v>4869</v>
      </c>
      <c r="C4285" s="5" t="s">
        <v>21</v>
      </c>
      <c r="K4285" s="5">
        <v>350.0</v>
      </c>
      <c r="N4285" s="9">
        <v>44612.0</v>
      </c>
    </row>
    <row r="4286">
      <c r="A4286" s="5">
        <v>4285.0</v>
      </c>
      <c r="B4286" s="5" t="s">
        <v>4870</v>
      </c>
      <c r="C4286" s="5" t="s">
        <v>21</v>
      </c>
      <c r="K4286" s="5">
        <v>90.0</v>
      </c>
      <c r="N4286" s="9">
        <v>45092.0</v>
      </c>
    </row>
    <row r="4287">
      <c r="A4287" s="5">
        <v>4286.0</v>
      </c>
      <c r="B4287" s="5" t="s">
        <v>4871</v>
      </c>
      <c r="C4287" s="5" t="s">
        <v>21</v>
      </c>
      <c r="K4287" s="5">
        <v>7300.0</v>
      </c>
      <c r="N4287" s="9">
        <v>43847.0</v>
      </c>
    </row>
    <row r="4288">
      <c r="A4288" s="5">
        <v>4287.0</v>
      </c>
      <c r="B4288" s="5" t="s">
        <v>4872</v>
      </c>
      <c r="C4288" s="5" t="s">
        <v>21</v>
      </c>
      <c r="K4288" s="5">
        <v>150.0</v>
      </c>
      <c r="N4288" s="9">
        <v>44585.0</v>
      </c>
    </row>
    <row r="4289">
      <c r="A4289" s="5">
        <v>4288.0</v>
      </c>
      <c r="B4289" s="5" t="s">
        <v>4873</v>
      </c>
      <c r="C4289" s="5" t="s">
        <v>21</v>
      </c>
      <c r="K4289" s="5">
        <v>150.0</v>
      </c>
      <c r="N4289" s="9">
        <v>44729.0</v>
      </c>
    </row>
    <row r="4290">
      <c r="A4290" s="5">
        <v>4289.0</v>
      </c>
      <c r="B4290" s="5" t="s">
        <v>4874</v>
      </c>
      <c r="C4290" s="5" t="s">
        <v>21</v>
      </c>
      <c r="N4290" s="9">
        <v>44565.0</v>
      </c>
    </row>
    <row r="4291">
      <c r="A4291" s="5">
        <v>4290.0</v>
      </c>
      <c r="B4291" s="5" t="s">
        <v>4875</v>
      </c>
      <c r="C4291" s="5" t="s">
        <v>21</v>
      </c>
      <c r="N4291" s="9">
        <v>45066.0</v>
      </c>
    </row>
    <row r="4292">
      <c r="A4292" s="5">
        <v>4291.0</v>
      </c>
      <c r="B4292" s="5" t="s">
        <v>4876</v>
      </c>
      <c r="C4292" s="5" t="s">
        <v>21</v>
      </c>
      <c r="K4292" s="5">
        <v>200.0</v>
      </c>
      <c r="N4292" s="9">
        <v>44925.0</v>
      </c>
    </row>
    <row r="4293">
      <c r="A4293" s="5">
        <v>4292.0</v>
      </c>
      <c r="B4293" s="5" t="s">
        <v>4877</v>
      </c>
      <c r="C4293" s="5" t="s">
        <v>21</v>
      </c>
      <c r="K4293" s="5">
        <v>100.0</v>
      </c>
      <c r="N4293" s="9">
        <v>44825.0</v>
      </c>
    </row>
    <row r="4294">
      <c r="A4294" s="5">
        <v>4293.0</v>
      </c>
      <c r="B4294" s="5" t="s">
        <v>4878</v>
      </c>
      <c r="C4294" s="5" t="s">
        <v>21</v>
      </c>
      <c r="K4294" s="5">
        <v>2400.0</v>
      </c>
      <c r="N4294" s="9">
        <v>45041.0</v>
      </c>
    </row>
    <row r="4295">
      <c r="A4295" s="5">
        <v>4294.0</v>
      </c>
      <c r="B4295" s="5" t="s">
        <v>4879</v>
      </c>
      <c r="C4295" s="5" t="s">
        <v>21</v>
      </c>
      <c r="K4295" s="5">
        <v>450.0</v>
      </c>
      <c r="N4295" s="9">
        <v>45336.0</v>
      </c>
    </row>
    <row r="4296">
      <c r="A4296" s="5">
        <v>4295.0</v>
      </c>
      <c r="B4296" s="5" t="s">
        <v>4880</v>
      </c>
      <c r="C4296" s="5" t="s">
        <v>21</v>
      </c>
      <c r="K4296" s="5">
        <v>1300.0</v>
      </c>
      <c r="N4296" s="9">
        <v>44479.0</v>
      </c>
    </row>
    <row r="4297">
      <c r="A4297" s="5">
        <v>4296.0</v>
      </c>
      <c r="B4297" s="5" t="s">
        <v>4881</v>
      </c>
      <c r="C4297" s="5" t="s">
        <v>21</v>
      </c>
      <c r="K4297" s="5">
        <v>90.0</v>
      </c>
      <c r="N4297" s="9">
        <v>44321.0</v>
      </c>
    </row>
    <row r="4298">
      <c r="A4298" s="5">
        <v>4297.0</v>
      </c>
      <c r="B4298" s="5" t="s">
        <v>4882</v>
      </c>
      <c r="C4298" s="5" t="s">
        <v>21</v>
      </c>
      <c r="K4298" s="5">
        <v>1400.0</v>
      </c>
      <c r="N4298" s="9">
        <v>44544.0</v>
      </c>
    </row>
    <row r="4299">
      <c r="A4299" s="5">
        <v>4298.0</v>
      </c>
      <c r="B4299" s="5" t="s">
        <v>4883</v>
      </c>
      <c r="C4299" s="5" t="s">
        <v>21</v>
      </c>
      <c r="K4299" s="5">
        <v>600.0</v>
      </c>
      <c r="N4299" s="9">
        <v>44527.0</v>
      </c>
    </row>
    <row r="4300">
      <c r="A4300" s="5">
        <v>4299.0</v>
      </c>
      <c r="B4300" s="5" t="s">
        <v>4884</v>
      </c>
      <c r="C4300" s="5" t="s">
        <v>21</v>
      </c>
      <c r="K4300" s="5">
        <v>300.0</v>
      </c>
      <c r="N4300" s="9">
        <v>44817.0</v>
      </c>
    </row>
    <row r="4301">
      <c r="A4301" s="5">
        <v>4300.0</v>
      </c>
      <c r="B4301" s="5" t="s">
        <v>4885</v>
      </c>
      <c r="C4301" s="5" t="s">
        <v>21</v>
      </c>
      <c r="K4301" s="5">
        <v>60.0</v>
      </c>
      <c r="N4301" s="9">
        <v>44973.0</v>
      </c>
    </row>
    <row r="4302">
      <c r="A4302" s="5">
        <v>4301.0</v>
      </c>
      <c r="B4302" s="5" t="s">
        <v>4886</v>
      </c>
      <c r="C4302" s="5" t="s">
        <v>21</v>
      </c>
      <c r="K4302" s="5">
        <v>60.0</v>
      </c>
      <c r="N4302" s="9">
        <v>44565.0</v>
      </c>
    </row>
    <row r="4303">
      <c r="A4303" s="5">
        <v>4302.0</v>
      </c>
      <c r="B4303" s="5" t="s">
        <v>4887</v>
      </c>
      <c r="C4303" s="5" t="s">
        <v>21</v>
      </c>
      <c r="N4303" s="9">
        <v>44504.0</v>
      </c>
    </row>
    <row r="4304">
      <c r="A4304" s="5">
        <v>4303.0</v>
      </c>
      <c r="B4304" s="5" t="s">
        <v>4888</v>
      </c>
      <c r="C4304" s="5" t="s">
        <v>21</v>
      </c>
      <c r="K4304" s="5">
        <v>800.0</v>
      </c>
      <c r="N4304" s="9">
        <v>44581.0</v>
      </c>
    </row>
    <row r="4305">
      <c r="A4305" s="5">
        <v>4304.0</v>
      </c>
      <c r="B4305" s="5" t="s">
        <v>4889</v>
      </c>
      <c r="C4305" s="5" t="s">
        <v>21</v>
      </c>
      <c r="K4305" s="5">
        <v>350.0</v>
      </c>
      <c r="N4305" s="9">
        <v>45320.0</v>
      </c>
    </row>
    <row r="4306">
      <c r="A4306" s="5">
        <v>4305.0</v>
      </c>
      <c r="B4306" s="5" t="s">
        <v>4890</v>
      </c>
      <c r="C4306" s="5" t="s">
        <v>21</v>
      </c>
      <c r="K4306" s="5">
        <v>2800.0</v>
      </c>
      <c r="N4306" s="9">
        <v>44574.0</v>
      </c>
    </row>
    <row r="4307">
      <c r="A4307" s="5">
        <v>4306.0</v>
      </c>
      <c r="B4307" s="5" t="s">
        <v>4891</v>
      </c>
      <c r="C4307" s="5" t="s">
        <v>21</v>
      </c>
      <c r="K4307" s="5">
        <v>900.0</v>
      </c>
      <c r="N4307" s="9">
        <v>44636.0</v>
      </c>
    </row>
    <row r="4308">
      <c r="A4308" s="5">
        <v>4307.0</v>
      </c>
      <c r="B4308" s="5" t="s">
        <v>4892</v>
      </c>
      <c r="C4308" s="5" t="s">
        <v>21</v>
      </c>
      <c r="K4308" s="5">
        <v>400.0</v>
      </c>
      <c r="N4308" s="9">
        <v>44584.0</v>
      </c>
    </row>
    <row r="4309">
      <c r="A4309" s="5">
        <v>4308.0</v>
      </c>
      <c r="B4309" s="5" t="s">
        <v>4893</v>
      </c>
      <c r="C4309" s="5" t="s">
        <v>21</v>
      </c>
      <c r="K4309" s="5">
        <v>150.0</v>
      </c>
      <c r="N4309" s="9">
        <v>45345.0</v>
      </c>
    </row>
    <row r="4310">
      <c r="A4310" s="5">
        <v>4309.0</v>
      </c>
      <c r="B4310" s="5" t="s">
        <v>4894</v>
      </c>
      <c r="C4310" s="5" t="s">
        <v>21</v>
      </c>
      <c r="K4310" s="5">
        <v>200.0</v>
      </c>
      <c r="N4310" s="9">
        <v>45259.0</v>
      </c>
    </row>
    <row r="4311">
      <c r="A4311" s="5">
        <v>4310.0</v>
      </c>
      <c r="B4311" s="5" t="s">
        <v>4895</v>
      </c>
      <c r="C4311" s="5" t="s">
        <v>21</v>
      </c>
      <c r="K4311" s="5">
        <v>90.0</v>
      </c>
      <c r="N4311" s="9">
        <v>44621.0</v>
      </c>
    </row>
    <row r="4312">
      <c r="A4312" s="5">
        <v>4311.0</v>
      </c>
      <c r="B4312" s="5" t="s">
        <v>4896</v>
      </c>
      <c r="C4312" s="5" t="s">
        <v>21</v>
      </c>
      <c r="K4312" s="5">
        <v>400.0</v>
      </c>
      <c r="N4312" s="9">
        <v>44531.0</v>
      </c>
    </row>
    <row r="4313">
      <c r="A4313" s="5">
        <v>4312.0</v>
      </c>
      <c r="B4313" s="5" t="s">
        <v>4897</v>
      </c>
      <c r="C4313" s="5" t="s">
        <v>21</v>
      </c>
      <c r="K4313" s="5">
        <v>300.0</v>
      </c>
      <c r="N4313" s="9">
        <v>44814.0</v>
      </c>
    </row>
    <row r="4314">
      <c r="A4314" s="5">
        <v>4313.0</v>
      </c>
      <c r="B4314" s="5" t="s">
        <v>4898</v>
      </c>
      <c r="C4314" s="5" t="s">
        <v>21</v>
      </c>
      <c r="K4314" s="5">
        <v>350.0</v>
      </c>
      <c r="N4314" s="9">
        <v>44407.0</v>
      </c>
    </row>
    <row r="4315">
      <c r="A4315" s="5">
        <v>4314.0</v>
      </c>
      <c r="B4315" s="5" t="s">
        <v>4899</v>
      </c>
      <c r="C4315" s="5" t="s">
        <v>21</v>
      </c>
      <c r="K4315" s="5">
        <v>700.0</v>
      </c>
      <c r="N4315" s="9">
        <v>44074.0</v>
      </c>
    </row>
    <row r="4316">
      <c r="A4316" s="5">
        <v>4315.0</v>
      </c>
      <c r="B4316" s="5" t="s">
        <v>4900</v>
      </c>
      <c r="C4316" s="5" t="s">
        <v>21</v>
      </c>
      <c r="K4316" s="5">
        <v>150.0</v>
      </c>
      <c r="N4316" s="9">
        <v>44619.0</v>
      </c>
    </row>
    <row r="4317">
      <c r="A4317" s="5">
        <v>4316.0</v>
      </c>
      <c r="B4317" s="5" t="s">
        <v>4901</v>
      </c>
      <c r="C4317" s="5" t="s">
        <v>21</v>
      </c>
      <c r="K4317" s="5">
        <v>600.0</v>
      </c>
      <c r="N4317" s="9">
        <v>44451.0</v>
      </c>
    </row>
    <row r="4318">
      <c r="A4318" s="5">
        <v>4317.0</v>
      </c>
      <c r="B4318" s="5" t="s">
        <v>4902</v>
      </c>
      <c r="C4318" s="5" t="s">
        <v>21</v>
      </c>
      <c r="N4318" s="9">
        <v>44630.0</v>
      </c>
    </row>
    <row r="4319">
      <c r="A4319" s="5">
        <v>4318.0</v>
      </c>
      <c r="B4319" s="5" t="s">
        <v>4903</v>
      </c>
      <c r="C4319" s="5" t="s">
        <v>21</v>
      </c>
      <c r="K4319" s="5">
        <v>3400.0</v>
      </c>
      <c r="N4319" s="9">
        <v>44008.0</v>
      </c>
    </row>
    <row r="4320">
      <c r="A4320" s="5">
        <v>4319.0</v>
      </c>
      <c r="B4320" s="5" t="s">
        <v>4904</v>
      </c>
      <c r="C4320" s="5" t="s">
        <v>21</v>
      </c>
      <c r="K4320" s="5">
        <v>500.0</v>
      </c>
      <c r="N4320" s="9">
        <v>44331.0</v>
      </c>
    </row>
    <row r="4321">
      <c r="A4321" s="5">
        <v>4320.0</v>
      </c>
      <c r="B4321" s="5" t="s">
        <v>4905</v>
      </c>
      <c r="C4321" s="5" t="s">
        <v>21</v>
      </c>
      <c r="K4321" s="5">
        <v>600.0</v>
      </c>
      <c r="N4321" s="9">
        <v>43883.0</v>
      </c>
    </row>
    <row r="4322">
      <c r="A4322" s="5">
        <v>4321.0</v>
      </c>
      <c r="B4322" s="5" t="s">
        <v>4906</v>
      </c>
      <c r="C4322" s="5" t="s">
        <v>21</v>
      </c>
      <c r="K4322" s="5">
        <v>200.0</v>
      </c>
      <c r="N4322" s="9">
        <v>44575.0</v>
      </c>
    </row>
    <row r="4323">
      <c r="A4323" s="5">
        <v>4322.0</v>
      </c>
      <c r="B4323" s="5" t="s">
        <v>4907</v>
      </c>
      <c r="C4323" s="5" t="s">
        <v>21</v>
      </c>
      <c r="K4323" s="5">
        <v>250.0</v>
      </c>
      <c r="N4323" s="9">
        <v>44294.0</v>
      </c>
    </row>
    <row r="4324">
      <c r="A4324" s="5">
        <v>4323.0</v>
      </c>
      <c r="B4324" s="5" t="s">
        <v>4908</v>
      </c>
      <c r="C4324" s="5" t="s">
        <v>21</v>
      </c>
      <c r="K4324" s="5">
        <v>100.0</v>
      </c>
      <c r="N4324" s="9">
        <v>44740.0</v>
      </c>
    </row>
    <row r="4325">
      <c r="A4325" s="5">
        <v>4324.0</v>
      </c>
      <c r="B4325" s="5" t="s">
        <v>4909</v>
      </c>
      <c r="C4325" s="5" t="s">
        <v>21</v>
      </c>
      <c r="K4325" s="5">
        <v>300.0</v>
      </c>
      <c r="N4325" s="9">
        <v>43898.0</v>
      </c>
    </row>
    <row r="4326">
      <c r="A4326" s="5">
        <v>4325.0</v>
      </c>
      <c r="B4326" s="5" t="s">
        <v>4910</v>
      </c>
      <c r="C4326" s="5" t="s">
        <v>21</v>
      </c>
      <c r="K4326" s="5">
        <v>150.0</v>
      </c>
      <c r="N4326" s="9">
        <v>44751.0</v>
      </c>
    </row>
    <row r="4327">
      <c r="A4327" s="5">
        <v>4326.0</v>
      </c>
      <c r="B4327" s="5" t="s">
        <v>4911</v>
      </c>
      <c r="C4327" s="5" t="s">
        <v>21</v>
      </c>
      <c r="K4327" s="5">
        <v>80.0</v>
      </c>
      <c r="N4327" s="9">
        <v>45350.0</v>
      </c>
    </row>
    <row r="4328">
      <c r="A4328" s="5">
        <v>4327.0</v>
      </c>
      <c r="B4328" s="5" t="s">
        <v>4912</v>
      </c>
      <c r="C4328" s="5" t="s">
        <v>21</v>
      </c>
      <c r="K4328" s="5">
        <v>40.0</v>
      </c>
      <c r="N4328" s="9">
        <v>44437.0</v>
      </c>
    </row>
    <row r="4329">
      <c r="A4329" s="5">
        <v>4328.0</v>
      </c>
      <c r="B4329" s="5" t="s">
        <v>4913</v>
      </c>
      <c r="C4329" s="5" t="s">
        <v>21</v>
      </c>
      <c r="K4329" s="5">
        <v>100.0</v>
      </c>
      <c r="N4329" s="9">
        <v>44529.0</v>
      </c>
    </row>
    <row r="4330">
      <c r="A4330" s="5">
        <v>4329.0</v>
      </c>
      <c r="B4330" s="5" t="s">
        <v>4914</v>
      </c>
      <c r="C4330" s="5" t="s">
        <v>21</v>
      </c>
      <c r="K4330" s="5">
        <v>200.0</v>
      </c>
      <c r="N4330" s="9">
        <v>44655.0</v>
      </c>
    </row>
    <row r="4331">
      <c r="A4331" s="5">
        <v>4330.0</v>
      </c>
      <c r="B4331" s="5" t="s">
        <v>4915</v>
      </c>
      <c r="C4331" s="5" t="s">
        <v>21</v>
      </c>
      <c r="K4331" s="5">
        <v>60.0</v>
      </c>
      <c r="N4331" s="9">
        <v>44498.0</v>
      </c>
    </row>
    <row r="4332">
      <c r="A4332" s="5">
        <v>4331.0</v>
      </c>
      <c r="B4332" s="5" t="s">
        <v>4916</v>
      </c>
      <c r="C4332" s="5" t="s">
        <v>21</v>
      </c>
      <c r="K4332" s="5">
        <v>1800.0</v>
      </c>
      <c r="N4332" s="9">
        <v>43999.0</v>
      </c>
    </row>
    <row r="4333">
      <c r="A4333" s="5">
        <v>4332.0</v>
      </c>
      <c r="B4333" s="5" t="s">
        <v>4917</v>
      </c>
      <c r="C4333" s="5" t="s">
        <v>21</v>
      </c>
      <c r="K4333" s="5">
        <v>150.0</v>
      </c>
      <c r="N4333" s="9">
        <v>45304.0</v>
      </c>
    </row>
    <row r="4334">
      <c r="A4334" s="5">
        <v>4333.0</v>
      </c>
      <c r="B4334" s="5" t="s">
        <v>4918</v>
      </c>
      <c r="C4334" s="5" t="s">
        <v>21</v>
      </c>
      <c r="K4334" s="5">
        <v>350.0</v>
      </c>
      <c r="N4334" s="9">
        <v>44528.0</v>
      </c>
    </row>
    <row r="4335">
      <c r="A4335" s="5">
        <v>4334.0</v>
      </c>
      <c r="B4335" s="5" t="s">
        <v>4919</v>
      </c>
      <c r="C4335" s="5" t="s">
        <v>21</v>
      </c>
      <c r="K4335" s="5">
        <v>5200.0</v>
      </c>
      <c r="N4335" s="9">
        <v>44190.0</v>
      </c>
    </row>
    <row r="4336">
      <c r="A4336" s="5">
        <v>4335.0</v>
      </c>
      <c r="B4336" s="5" t="s">
        <v>4920</v>
      </c>
      <c r="C4336" s="5" t="s">
        <v>21</v>
      </c>
      <c r="K4336" s="5">
        <v>200.0</v>
      </c>
      <c r="N4336" s="9">
        <v>44327.0</v>
      </c>
    </row>
    <row r="4337">
      <c r="A4337" s="5">
        <v>4336.0</v>
      </c>
      <c r="B4337" s="5" t="s">
        <v>4921</v>
      </c>
      <c r="C4337" s="5" t="s">
        <v>21</v>
      </c>
      <c r="K4337" s="5">
        <v>400.0</v>
      </c>
      <c r="N4337" s="9">
        <v>45433.0</v>
      </c>
    </row>
    <row r="4338">
      <c r="A4338" s="5">
        <v>4337.0</v>
      </c>
      <c r="B4338" s="5" t="s">
        <v>4922</v>
      </c>
      <c r="C4338" s="5" t="s">
        <v>21</v>
      </c>
      <c r="K4338" s="5">
        <v>100.0</v>
      </c>
      <c r="N4338" s="9">
        <v>44029.0</v>
      </c>
    </row>
    <row r="4339">
      <c r="A4339" s="5">
        <v>4338.0</v>
      </c>
      <c r="B4339" s="5" t="s">
        <v>4923</v>
      </c>
      <c r="C4339" s="5" t="s">
        <v>21</v>
      </c>
      <c r="K4339" s="5">
        <v>10.0</v>
      </c>
      <c r="N4339" s="9">
        <v>44454.0</v>
      </c>
    </row>
    <row r="4340">
      <c r="A4340" s="5">
        <v>4339.0</v>
      </c>
      <c r="B4340" s="5" t="s">
        <v>4924</v>
      </c>
      <c r="C4340" s="5" t="s">
        <v>21</v>
      </c>
      <c r="K4340" s="5">
        <v>1000.0</v>
      </c>
      <c r="N4340" s="9">
        <v>45614.0</v>
      </c>
    </row>
    <row r="4341">
      <c r="A4341" s="5">
        <v>4340.0</v>
      </c>
      <c r="B4341" s="5" t="s">
        <v>4925</v>
      </c>
      <c r="C4341" s="5" t="s">
        <v>21</v>
      </c>
      <c r="K4341" s="5">
        <v>50.0</v>
      </c>
      <c r="N4341" s="9">
        <v>45219.0</v>
      </c>
    </row>
    <row r="4342">
      <c r="A4342" s="5">
        <v>4341.0</v>
      </c>
      <c r="B4342" s="5" t="s">
        <v>4926</v>
      </c>
      <c r="C4342" s="5" t="s">
        <v>21</v>
      </c>
      <c r="K4342" s="5">
        <v>500.0</v>
      </c>
      <c r="N4342" s="9">
        <v>44396.0</v>
      </c>
    </row>
    <row r="4343">
      <c r="A4343" s="5">
        <v>4342.0</v>
      </c>
      <c r="B4343" s="5" t="s">
        <v>4927</v>
      </c>
      <c r="C4343" s="5" t="s">
        <v>21</v>
      </c>
      <c r="K4343" s="5">
        <v>100.0</v>
      </c>
      <c r="N4343" s="9">
        <v>44247.0</v>
      </c>
    </row>
    <row r="4344">
      <c r="A4344" s="5">
        <v>4343.0</v>
      </c>
      <c r="B4344" s="5" t="s">
        <v>4928</v>
      </c>
      <c r="C4344" s="5" t="s">
        <v>21</v>
      </c>
      <c r="K4344" s="5">
        <v>350.0</v>
      </c>
      <c r="N4344" s="9">
        <v>44682.0</v>
      </c>
    </row>
    <row r="4345">
      <c r="A4345" s="5">
        <v>4344.0</v>
      </c>
      <c r="B4345" s="5" t="s">
        <v>4929</v>
      </c>
      <c r="C4345" s="5" t="s">
        <v>21</v>
      </c>
      <c r="K4345" s="5">
        <v>200.0</v>
      </c>
      <c r="N4345" s="9">
        <v>44516.0</v>
      </c>
    </row>
    <row r="4346">
      <c r="A4346" s="5">
        <v>4345.0</v>
      </c>
      <c r="B4346" s="5" t="s">
        <v>4930</v>
      </c>
      <c r="C4346" s="5" t="s">
        <v>21</v>
      </c>
      <c r="K4346" s="5">
        <v>300.0</v>
      </c>
      <c r="N4346" s="9">
        <v>44520.0</v>
      </c>
    </row>
    <row r="4347">
      <c r="A4347" s="5">
        <v>4346.0</v>
      </c>
      <c r="B4347" s="5" t="s">
        <v>4931</v>
      </c>
      <c r="C4347" s="5" t="s">
        <v>21</v>
      </c>
      <c r="K4347" s="5">
        <v>500.0</v>
      </c>
      <c r="N4347" s="9">
        <v>45628.0</v>
      </c>
    </row>
    <row r="4348">
      <c r="A4348" s="5">
        <v>4347.0</v>
      </c>
      <c r="B4348" s="5" t="s">
        <v>4932</v>
      </c>
      <c r="C4348" s="5" t="s">
        <v>21</v>
      </c>
      <c r="K4348" s="5">
        <v>700.0</v>
      </c>
      <c r="N4348" s="9">
        <v>44518.0</v>
      </c>
    </row>
    <row r="4349">
      <c r="A4349" s="5">
        <v>4348.0</v>
      </c>
      <c r="B4349" s="5" t="s">
        <v>4933</v>
      </c>
      <c r="C4349" s="5" t="s">
        <v>21</v>
      </c>
      <c r="K4349" s="5">
        <v>2000.0</v>
      </c>
      <c r="N4349" s="9">
        <v>43905.0</v>
      </c>
    </row>
    <row r="4350">
      <c r="A4350" s="5">
        <v>4349.0</v>
      </c>
      <c r="B4350" s="5" t="s">
        <v>4934</v>
      </c>
      <c r="C4350" s="5" t="s">
        <v>21</v>
      </c>
      <c r="K4350" s="5">
        <v>250.0</v>
      </c>
      <c r="N4350" s="9">
        <v>44559.0</v>
      </c>
    </row>
    <row r="4351">
      <c r="A4351" s="5">
        <v>4350.0</v>
      </c>
      <c r="B4351" s="5" t="s">
        <v>4935</v>
      </c>
      <c r="C4351" s="5" t="s">
        <v>21</v>
      </c>
      <c r="K4351" s="5">
        <v>20.0</v>
      </c>
      <c r="N4351" s="9">
        <v>44498.0</v>
      </c>
    </row>
    <row r="4352">
      <c r="A4352" s="5">
        <v>4351.0</v>
      </c>
      <c r="B4352" s="5" t="s">
        <v>4936</v>
      </c>
      <c r="C4352" s="5" t="s">
        <v>21</v>
      </c>
      <c r="K4352" s="5">
        <v>350.0</v>
      </c>
      <c r="N4352" s="9">
        <v>45526.0</v>
      </c>
    </row>
    <row r="4353">
      <c r="A4353" s="5">
        <v>4352.0</v>
      </c>
      <c r="B4353" s="5" t="s">
        <v>4937</v>
      </c>
      <c r="C4353" s="5" t="s">
        <v>21</v>
      </c>
      <c r="K4353" s="5">
        <v>250.0</v>
      </c>
      <c r="N4353" s="9">
        <v>44920.0</v>
      </c>
    </row>
    <row r="4354">
      <c r="A4354" s="5">
        <v>4353.0</v>
      </c>
      <c r="B4354" s="5" t="s">
        <v>4938</v>
      </c>
      <c r="C4354" s="5" t="s">
        <v>21</v>
      </c>
      <c r="K4354" s="5">
        <v>70.0</v>
      </c>
      <c r="N4354" s="9">
        <v>44577.0</v>
      </c>
    </row>
    <row r="4355">
      <c r="A4355" s="5">
        <v>4354.0</v>
      </c>
      <c r="B4355" s="5" t="s">
        <v>4939</v>
      </c>
      <c r="C4355" s="5" t="s">
        <v>21</v>
      </c>
      <c r="K4355" s="5">
        <v>400.0</v>
      </c>
      <c r="N4355" s="9">
        <v>44856.0</v>
      </c>
    </row>
    <row r="4356">
      <c r="A4356" s="5">
        <v>4355.0</v>
      </c>
      <c r="B4356" s="5" t="s">
        <v>4940</v>
      </c>
      <c r="C4356" s="5" t="s">
        <v>21</v>
      </c>
      <c r="K4356" s="5">
        <v>40.0</v>
      </c>
      <c r="N4356" s="9">
        <v>44047.0</v>
      </c>
    </row>
    <row r="4357">
      <c r="A4357" s="5">
        <v>4356.0</v>
      </c>
      <c r="B4357" s="5" t="s">
        <v>4941</v>
      </c>
      <c r="C4357" s="5" t="s">
        <v>21</v>
      </c>
      <c r="K4357" s="5">
        <v>600.0</v>
      </c>
      <c r="N4357" s="9">
        <v>44316.0</v>
      </c>
    </row>
    <row r="4358">
      <c r="A4358" s="5">
        <v>4357.0</v>
      </c>
      <c r="B4358" s="5" t="s">
        <v>4942</v>
      </c>
      <c r="C4358" s="5" t="s">
        <v>21</v>
      </c>
      <c r="K4358" s="5">
        <v>700.0</v>
      </c>
      <c r="N4358" s="9">
        <v>44514.0</v>
      </c>
    </row>
    <row r="4359">
      <c r="A4359" s="5">
        <v>4358.0</v>
      </c>
      <c r="B4359" s="5" t="s">
        <v>4943</v>
      </c>
      <c r="C4359" s="5" t="s">
        <v>21</v>
      </c>
      <c r="K4359" s="5">
        <v>3100.0</v>
      </c>
      <c r="N4359" s="9">
        <v>44055.0</v>
      </c>
    </row>
    <row r="4360">
      <c r="A4360" s="5">
        <v>4359.0</v>
      </c>
      <c r="B4360" s="5" t="s">
        <v>4944</v>
      </c>
      <c r="C4360" s="5" t="s">
        <v>21</v>
      </c>
      <c r="K4360" s="5">
        <v>80.0</v>
      </c>
      <c r="N4360" s="9">
        <v>44506.0</v>
      </c>
    </row>
    <row r="4361">
      <c r="A4361" s="5">
        <v>4360.0</v>
      </c>
      <c r="B4361" s="5" t="s">
        <v>4945</v>
      </c>
      <c r="C4361" s="5" t="s">
        <v>21</v>
      </c>
      <c r="K4361" s="5">
        <v>200.0</v>
      </c>
      <c r="N4361" s="9">
        <v>44988.0</v>
      </c>
    </row>
    <row r="4362">
      <c r="A4362" s="5">
        <v>4361.0</v>
      </c>
      <c r="B4362" s="5" t="s">
        <v>4946</v>
      </c>
      <c r="C4362" s="5" t="s">
        <v>21</v>
      </c>
      <c r="K4362" s="5">
        <v>250.0</v>
      </c>
      <c r="N4362" s="9">
        <v>44749.0</v>
      </c>
    </row>
    <row r="4363">
      <c r="A4363" s="5">
        <v>4362.0</v>
      </c>
      <c r="B4363" s="5" t="s">
        <v>4947</v>
      </c>
      <c r="C4363" s="5" t="s">
        <v>21</v>
      </c>
      <c r="K4363" s="5">
        <v>90.0</v>
      </c>
      <c r="N4363" s="9">
        <v>44599.0</v>
      </c>
    </row>
    <row r="4364">
      <c r="A4364" s="5">
        <v>4363.0</v>
      </c>
      <c r="B4364" s="5" t="s">
        <v>4948</v>
      </c>
      <c r="C4364" s="5" t="s">
        <v>21</v>
      </c>
      <c r="K4364" s="5">
        <v>250.0</v>
      </c>
      <c r="N4364" s="9">
        <v>44372.0</v>
      </c>
    </row>
    <row r="4365">
      <c r="A4365" s="5">
        <v>4364.0</v>
      </c>
      <c r="B4365" s="5" t="s">
        <v>4949</v>
      </c>
      <c r="C4365" s="5" t="s">
        <v>21</v>
      </c>
      <c r="K4365" s="5">
        <v>800.0</v>
      </c>
      <c r="N4365" s="9">
        <v>44548.0</v>
      </c>
    </row>
    <row r="4366">
      <c r="A4366" s="5">
        <v>4365.0</v>
      </c>
      <c r="B4366" s="5" t="s">
        <v>4950</v>
      </c>
      <c r="C4366" s="5" t="s">
        <v>21</v>
      </c>
      <c r="K4366" s="5">
        <v>300.0</v>
      </c>
      <c r="N4366" s="9">
        <v>44534.0</v>
      </c>
    </row>
    <row r="4367">
      <c r="A4367" s="5">
        <v>4366.0</v>
      </c>
      <c r="B4367" s="5" t="s">
        <v>4951</v>
      </c>
      <c r="C4367" s="5" t="s">
        <v>21</v>
      </c>
      <c r="N4367" s="9">
        <v>44539.0</v>
      </c>
    </row>
    <row r="4368">
      <c r="A4368" s="5">
        <v>4367.0</v>
      </c>
      <c r="B4368" s="5" t="s">
        <v>4952</v>
      </c>
      <c r="C4368" s="5" t="s">
        <v>21</v>
      </c>
      <c r="K4368" s="5">
        <v>200.0</v>
      </c>
      <c r="N4368" s="9">
        <v>44549.0</v>
      </c>
    </row>
    <row r="4369">
      <c r="A4369" s="5">
        <v>4368.0</v>
      </c>
      <c r="B4369" s="5" t="s">
        <v>4953</v>
      </c>
      <c r="C4369" s="5" t="s">
        <v>21</v>
      </c>
      <c r="K4369" s="5">
        <v>70.0</v>
      </c>
      <c r="N4369" s="9">
        <v>45100.0</v>
      </c>
    </row>
    <row r="4370">
      <c r="A4370" s="5">
        <v>4369.0</v>
      </c>
      <c r="B4370" s="5" t="s">
        <v>4954</v>
      </c>
      <c r="C4370" s="5" t="s">
        <v>21</v>
      </c>
      <c r="K4370" s="5">
        <v>1500.0</v>
      </c>
      <c r="N4370" s="9">
        <v>44313.0</v>
      </c>
    </row>
    <row r="4371">
      <c r="A4371" s="5">
        <v>4370.0</v>
      </c>
      <c r="B4371" s="5" t="s">
        <v>4955</v>
      </c>
      <c r="C4371" s="5" t="s">
        <v>21</v>
      </c>
      <c r="K4371" s="5">
        <v>10.0</v>
      </c>
      <c r="N4371" s="9">
        <v>44526.0</v>
      </c>
    </row>
    <row r="4372">
      <c r="A4372" s="5">
        <v>4371.0</v>
      </c>
      <c r="B4372" s="5" t="s">
        <v>4956</v>
      </c>
      <c r="C4372" s="5" t="s">
        <v>21</v>
      </c>
      <c r="K4372" s="5">
        <v>100.0</v>
      </c>
      <c r="N4372" s="9">
        <v>44733.0</v>
      </c>
    </row>
    <row r="4373">
      <c r="A4373" s="5">
        <v>4372.0</v>
      </c>
      <c r="B4373" s="5" t="s">
        <v>4957</v>
      </c>
      <c r="C4373" s="5" t="s">
        <v>21</v>
      </c>
      <c r="K4373" s="5">
        <v>250.0</v>
      </c>
      <c r="N4373" s="9">
        <v>43999.0</v>
      </c>
    </row>
    <row r="4374">
      <c r="A4374" s="5">
        <v>4373.0</v>
      </c>
      <c r="B4374" s="5" t="s">
        <v>4958</v>
      </c>
      <c r="C4374" s="5" t="s">
        <v>21</v>
      </c>
      <c r="K4374" s="5">
        <v>1900.0</v>
      </c>
      <c r="N4374" s="9">
        <v>44226.0</v>
      </c>
    </row>
    <row r="4375">
      <c r="A4375" s="5">
        <v>4374.0</v>
      </c>
      <c r="B4375" s="5" t="s">
        <v>4959</v>
      </c>
      <c r="C4375" s="5" t="s">
        <v>21</v>
      </c>
      <c r="K4375" s="5">
        <v>350.0</v>
      </c>
      <c r="N4375" s="9">
        <v>45077.0</v>
      </c>
    </row>
    <row r="4376">
      <c r="A4376" s="5">
        <v>4375.0</v>
      </c>
      <c r="B4376" s="5" t="s">
        <v>4960</v>
      </c>
      <c r="C4376" s="5" t="s">
        <v>21</v>
      </c>
      <c r="K4376" s="5">
        <v>2100.0</v>
      </c>
      <c r="N4376" s="9">
        <v>43899.0</v>
      </c>
    </row>
    <row r="4377">
      <c r="A4377" s="5">
        <v>4376.0</v>
      </c>
      <c r="B4377" s="5" t="s">
        <v>4961</v>
      </c>
      <c r="C4377" s="5" t="s">
        <v>21</v>
      </c>
      <c r="K4377" s="5">
        <v>150.0</v>
      </c>
      <c r="N4377" s="9">
        <v>44344.0</v>
      </c>
    </row>
    <row r="4378">
      <c r="A4378" s="5">
        <v>4377.0</v>
      </c>
      <c r="B4378" s="5" t="s">
        <v>4962</v>
      </c>
      <c r="C4378" s="5" t="s">
        <v>21</v>
      </c>
      <c r="K4378" s="5">
        <v>150.0</v>
      </c>
      <c r="N4378" s="9">
        <v>44232.0</v>
      </c>
    </row>
    <row r="4379">
      <c r="A4379" s="5">
        <v>4378.0</v>
      </c>
      <c r="B4379" s="5" t="s">
        <v>4963</v>
      </c>
      <c r="C4379" s="5" t="s">
        <v>21</v>
      </c>
      <c r="K4379" s="5">
        <v>60.0</v>
      </c>
      <c r="N4379" s="9">
        <v>44534.0</v>
      </c>
    </row>
    <row r="4380">
      <c r="A4380" s="5">
        <v>4379.0</v>
      </c>
      <c r="B4380" s="5" t="s">
        <v>4964</v>
      </c>
      <c r="C4380" s="5" t="s">
        <v>21</v>
      </c>
      <c r="K4380" s="5">
        <v>300.0</v>
      </c>
      <c r="N4380" s="9">
        <v>44439.0</v>
      </c>
    </row>
    <row r="4381">
      <c r="A4381" s="5">
        <v>4380.0</v>
      </c>
      <c r="B4381" s="5" t="s">
        <v>4965</v>
      </c>
      <c r="C4381" s="5" t="s">
        <v>21</v>
      </c>
      <c r="K4381" s="5">
        <v>500.0</v>
      </c>
      <c r="N4381" s="9">
        <v>44530.0</v>
      </c>
    </row>
    <row r="4382">
      <c r="A4382" s="5">
        <v>4381.0</v>
      </c>
      <c r="B4382" s="5" t="s">
        <v>4966</v>
      </c>
      <c r="C4382" s="5" t="s">
        <v>21</v>
      </c>
      <c r="K4382" s="5">
        <v>150.0</v>
      </c>
      <c r="N4382" s="9">
        <v>44590.0</v>
      </c>
    </row>
    <row r="4383">
      <c r="A4383" s="5">
        <v>4382.0</v>
      </c>
      <c r="B4383" s="5" t="s">
        <v>4967</v>
      </c>
      <c r="C4383" s="5" t="s">
        <v>21</v>
      </c>
      <c r="K4383" s="5">
        <v>200.0</v>
      </c>
      <c r="N4383" s="9">
        <v>45003.0</v>
      </c>
    </row>
    <row r="4384">
      <c r="A4384" s="5">
        <v>4383.0</v>
      </c>
      <c r="B4384" s="5" t="s">
        <v>4968</v>
      </c>
      <c r="C4384" s="5" t="s">
        <v>21</v>
      </c>
      <c r="K4384" s="5">
        <v>250.0</v>
      </c>
      <c r="N4384" s="9">
        <v>45542.0</v>
      </c>
    </row>
    <row r="4385">
      <c r="A4385" s="5">
        <v>4384.0</v>
      </c>
      <c r="B4385" s="5" t="s">
        <v>197</v>
      </c>
      <c r="C4385" s="5" t="s">
        <v>21</v>
      </c>
      <c r="K4385" s="5">
        <v>1400.0</v>
      </c>
      <c r="N4385" s="9">
        <v>44073.0</v>
      </c>
    </row>
    <row r="4386">
      <c r="A4386" s="5">
        <v>4385.0</v>
      </c>
      <c r="B4386" s="5" t="s">
        <v>4969</v>
      </c>
      <c r="C4386" s="5" t="s">
        <v>21</v>
      </c>
      <c r="K4386" s="5">
        <v>60.0</v>
      </c>
      <c r="N4386" s="9">
        <v>44548.0</v>
      </c>
    </row>
    <row r="4387">
      <c r="A4387" s="5">
        <v>4386.0</v>
      </c>
      <c r="B4387" s="5" t="s">
        <v>4970</v>
      </c>
      <c r="C4387" s="5" t="s">
        <v>21</v>
      </c>
      <c r="K4387" s="5">
        <v>1700.0</v>
      </c>
      <c r="N4387" s="9">
        <v>43861.0</v>
      </c>
    </row>
    <row r="4388">
      <c r="A4388" s="5">
        <v>4387.0</v>
      </c>
      <c r="B4388" s="5" t="s">
        <v>4971</v>
      </c>
      <c r="C4388" s="5" t="s">
        <v>21</v>
      </c>
      <c r="K4388" s="5">
        <v>150.0</v>
      </c>
      <c r="N4388" s="9">
        <v>44865.0</v>
      </c>
    </row>
    <row r="4389">
      <c r="A4389" s="5">
        <v>4388.0</v>
      </c>
      <c r="B4389" s="5" t="s">
        <v>4972</v>
      </c>
      <c r="C4389" s="5" t="s">
        <v>21</v>
      </c>
      <c r="K4389" s="5">
        <v>800.0</v>
      </c>
      <c r="N4389" s="9">
        <v>45486.0</v>
      </c>
    </row>
    <row r="4390">
      <c r="A4390" s="5">
        <v>4389.0</v>
      </c>
      <c r="B4390" s="5" t="s">
        <v>4973</v>
      </c>
      <c r="C4390" s="5" t="s">
        <v>21</v>
      </c>
      <c r="K4390" s="5">
        <v>900.0</v>
      </c>
      <c r="N4390" s="9">
        <v>44543.0</v>
      </c>
    </row>
    <row r="4391">
      <c r="A4391" s="5">
        <v>4390.0</v>
      </c>
      <c r="B4391" s="5" t="s">
        <v>4974</v>
      </c>
      <c r="C4391" s="5" t="s">
        <v>21</v>
      </c>
      <c r="K4391" s="5">
        <v>2100.0</v>
      </c>
      <c r="N4391" s="9">
        <v>45392.0</v>
      </c>
    </row>
    <row r="4392">
      <c r="A4392" s="5">
        <v>4391.0</v>
      </c>
      <c r="B4392" s="5" t="s">
        <v>4975</v>
      </c>
      <c r="C4392" s="5" t="s">
        <v>21</v>
      </c>
      <c r="K4392" s="5">
        <v>400.0</v>
      </c>
      <c r="N4392" s="9">
        <v>44547.0</v>
      </c>
    </row>
    <row r="4393">
      <c r="A4393" s="5">
        <v>4392.0</v>
      </c>
      <c r="B4393" s="5" t="s">
        <v>4976</v>
      </c>
      <c r="C4393" s="5" t="s">
        <v>21</v>
      </c>
      <c r="K4393" s="5">
        <v>350.0</v>
      </c>
      <c r="N4393" s="9">
        <v>44813.0</v>
      </c>
    </row>
    <row r="4394">
      <c r="A4394" s="5">
        <v>4393.0</v>
      </c>
      <c r="B4394" s="5" t="s">
        <v>4977</v>
      </c>
      <c r="C4394" s="5" t="s">
        <v>21</v>
      </c>
      <c r="K4394" s="5">
        <v>900.0</v>
      </c>
      <c r="N4394" s="9">
        <v>43906.0</v>
      </c>
    </row>
    <row r="4395">
      <c r="A4395" s="5">
        <v>4394.0</v>
      </c>
      <c r="B4395" s="5" t="s">
        <v>4978</v>
      </c>
      <c r="C4395" s="5" t="s">
        <v>21</v>
      </c>
      <c r="K4395" s="5">
        <v>20.0</v>
      </c>
      <c r="N4395" s="9">
        <v>44563.0</v>
      </c>
    </row>
    <row r="4396">
      <c r="A4396" s="5">
        <v>4395.0</v>
      </c>
      <c r="B4396" s="5" t="s">
        <v>4979</v>
      </c>
      <c r="C4396" s="5" t="s">
        <v>21</v>
      </c>
      <c r="K4396" s="5">
        <v>500.0</v>
      </c>
      <c r="N4396" s="9">
        <v>44280.0</v>
      </c>
    </row>
    <row r="4397">
      <c r="A4397" s="5">
        <v>4396.0</v>
      </c>
      <c r="B4397" s="5" t="s">
        <v>4980</v>
      </c>
      <c r="C4397" s="5" t="s">
        <v>21</v>
      </c>
      <c r="K4397" s="5">
        <v>700.0</v>
      </c>
      <c r="N4397" s="9">
        <v>45040.0</v>
      </c>
    </row>
    <row r="4398">
      <c r="A4398" s="5">
        <v>4397.0</v>
      </c>
      <c r="B4398" s="5" t="s">
        <v>4981</v>
      </c>
      <c r="C4398" s="5" t="s">
        <v>21</v>
      </c>
      <c r="K4398" s="5">
        <v>4800.0</v>
      </c>
      <c r="N4398" s="9">
        <v>44057.0</v>
      </c>
    </row>
    <row r="4399">
      <c r="A4399" s="5">
        <v>4398.0</v>
      </c>
      <c r="B4399" s="5" t="s">
        <v>4982</v>
      </c>
      <c r="C4399" s="5" t="s">
        <v>21</v>
      </c>
      <c r="K4399" s="5">
        <v>350.0</v>
      </c>
      <c r="N4399" s="9">
        <v>45042.0</v>
      </c>
    </row>
    <row r="4400">
      <c r="A4400" s="5">
        <v>4399.0</v>
      </c>
      <c r="B4400" s="5" t="s">
        <v>4983</v>
      </c>
      <c r="C4400" s="5" t="s">
        <v>21</v>
      </c>
      <c r="K4400" s="5">
        <v>150.0</v>
      </c>
      <c r="N4400" s="9">
        <v>45594.0</v>
      </c>
    </row>
    <row r="4401">
      <c r="A4401" s="5">
        <v>4400.0</v>
      </c>
      <c r="B4401" s="5" t="s">
        <v>4984</v>
      </c>
      <c r="C4401" s="5" t="s">
        <v>21</v>
      </c>
      <c r="K4401" s="5">
        <v>2800.0</v>
      </c>
      <c r="N4401" s="9">
        <v>44429.0</v>
      </c>
    </row>
    <row r="4402">
      <c r="A4402" s="5">
        <v>4401.0</v>
      </c>
      <c r="B4402" s="5" t="s">
        <v>4985</v>
      </c>
      <c r="C4402" s="5" t="s">
        <v>21</v>
      </c>
      <c r="K4402" s="5">
        <v>250.0</v>
      </c>
      <c r="N4402" s="9">
        <v>44301.0</v>
      </c>
    </row>
    <row r="4403">
      <c r="A4403" s="5">
        <v>4402.0</v>
      </c>
      <c r="B4403" s="5" t="s">
        <v>4986</v>
      </c>
      <c r="C4403" s="5" t="s">
        <v>21</v>
      </c>
      <c r="K4403" s="5">
        <v>30.0</v>
      </c>
      <c r="N4403" s="9">
        <v>45523.0</v>
      </c>
    </row>
    <row r="4404">
      <c r="A4404" s="5">
        <v>4403.0</v>
      </c>
      <c r="B4404" s="5" t="s">
        <v>4987</v>
      </c>
      <c r="C4404" s="5" t="s">
        <v>21</v>
      </c>
      <c r="K4404" s="5">
        <v>400.0</v>
      </c>
      <c r="N4404" s="9">
        <v>44535.0</v>
      </c>
    </row>
    <row r="4405">
      <c r="A4405" s="5">
        <v>4404.0</v>
      </c>
      <c r="B4405" s="5" t="s">
        <v>4988</v>
      </c>
      <c r="C4405" s="5" t="s">
        <v>21</v>
      </c>
      <c r="K4405" s="5">
        <v>70.0</v>
      </c>
      <c r="N4405" s="9">
        <v>44381.0</v>
      </c>
    </row>
    <row r="4406">
      <c r="A4406" s="5">
        <v>4405.0</v>
      </c>
      <c r="B4406" s="5" t="s">
        <v>4989</v>
      </c>
      <c r="C4406" s="5" t="s">
        <v>21</v>
      </c>
      <c r="K4406" s="5">
        <v>100.0</v>
      </c>
      <c r="N4406" s="9">
        <v>44687.0</v>
      </c>
    </row>
    <row r="4407">
      <c r="A4407" s="5">
        <v>4406.0</v>
      </c>
      <c r="B4407" s="5" t="s">
        <v>4990</v>
      </c>
      <c r="C4407" s="5" t="s">
        <v>21</v>
      </c>
      <c r="K4407" s="5">
        <v>12000.0</v>
      </c>
      <c r="N4407" s="9">
        <v>44041.0</v>
      </c>
    </row>
    <row r="4408">
      <c r="A4408" s="5">
        <v>4407.0</v>
      </c>
      <c r="B4408" s="5" t="s">
        <v>4991</v>
      </c>
      <c r="C4408" s="5" t="s">
        <v>21</v>
      </c>
      <c r="N4408" s="9">
        <v>44623.0</v>
      </c>
    </row>
    <row r="4409">
      <c r="A4409" s="5">
        <v>4408.0</v>
      </c>
      <c r="B4409" s="5" t="s">
        <v>4992</v>
      </c>
      <c r="C4409" s="5" t="s">
        <v>21</v>
      </c>
      <c r="K4409" s="5">
        <v>10.0</v>
      </c>
      <c r="N4409" s="9">
        <v>44534.0</v>
      </c>
    </row>
    <row r="4410">
      <c r="A4410" s="5">
        <v>4409.0</v>
      </c>
      <c r="B4410" s="5" t="s">
        <v>4993</v>
      </c>
      <c r="C4410" s="5" t="s">
        <v>21</v>
      </c>
      <c r="K4410" s="5">
        <v>90.0</v>
      </c>
      <c r="N4410" s="9">
        <v>44050.0</v>
      </c>
    </row>
    <row r="4411">
      <c r="A4411" s="5">
        <v>4410.0</v>
      </c>
      <c r="B4411" s="5" t="s">
        <v>4994</v>
      </c>
      <c r="C4411" s="5" t="s">
        <v>21</v>
      </c>
      <c r="K4411" s="5">
        <v>150.0</v>
      </c>
      <c r="N4411" s="9">
        <v>45574.0</v>
      </c>
    </row>
    <row r="4412">
      <c r="A4412" s="5">
        <v>4411.0</v>
      </c>
      <c r="B4412" s="5" t="s">
        <v>4995</v>
      </c>
      <c r="C4412" s="5" t="s">
        <v>21</v>
      </c>
      <c r="K4412" s="5">
        <v>700.0</v>
      </c>
      <c r="N4412" s="9">
        <v>44715.0</v>
      </c>
    </row>
    <row r="4413">
      <c r="A4413" s="5">
        <v>4412.0</v>
      </c>
      <c r="B4413" s="5" t="s">
        <v>4996</v>
      </c>
      <c r="C4413" s="5" t="s">
        <v>21</v>
      </c>
      <c r="K4413" s="5">
        <v>450.0</v>
      </c>
      <c r="N4413" s="9">
        <v>43928.0</v>
      </c>
    </row>
    <row r="4414">
      <c r="A4414" s="5">
        <v>4413.0</v>
      </c>
      <c r="B4414" s="5" t="s">
        <v>4997</v>
      </c>
      <c r="C4414" s="5" t="s">
        <v>21</v>
      </c>
      <c r="N4414" s="9">
        <v>44631.0</v>
      </c>
    </row>
    <row r="4415">
      <c r="A4415" s="5">
        <v>4414.0</v>
      </c>
      <c r="B4415" s="5" t="s">
        <v>4998</v>
      </c>
      <c r="C4415" s="5" t="s">
        <v>21</v>
      </c>
      <c r="K4415" s="5">
        <v>1300.0</v>
      </c>
      <c r="N4415" s="9">
        <v>44026.0</v>
      </c>
    </row>
    <row r="4416">
      <c r="A4416" s="5">
        <v>4415.0</v>
      </c>
      <c r="B4416" s="5" t="s">
        <v>4999</v>
      </c>
      <c r="C4416" s="5" t="s">
        <v>21</v>
      </c>
      <c r="K4416" s="5">
        <v>300.0</v>
      </c>
      <c r="N4416" s="9">
        <v>45325.0</v>
      </c>
    </row>
    <row r="4417">
      <c r="A4417" s="5">
        <v>4416.0</v>
      </c>
      <c r="B4417" s="5" t="s">
        <v>5000</v>
      </c>
      <c r="C4417" s="5" t="s">
        <v>21</v>
      </c>
      <c r="K4417" s="5">
        <v>150.0</v>
      </c>
      <c r="N4417" s="9">
        <v>44675.0</v>
      </c>
    </row>
    <row r="4418">
      <c r="A4418" s="5">
        <v>4417.0</v>
      </c>
      <c r="B4418" s="5" t="s">
        <v>5001</v>
      </c>
      <c r="C4418" s="5" t="s">
        <v>21</v>
      </c>
      <c r="K4418" s="5">
        <v>800.0</v>
      </c>
      <c r="N4418" s="9">
        <v>45485.0</v>
      </c>
    </row>
    <row r="4419">
      <c r="A4419" s="5">
        <v>4418.0</v>
      </c>
      <c r="B4419" s="5" t="s">
        <v>5002</v>
      </c>
      <c r="C4419" s="5" t="s">
        <v>21</v>
      </c>
      <c r="K4419" s="5">
        <v>3200.0</v>
      </c>
      <c r="N4419" s="9">
        <v>44677.0</v>
      </c>
    </row>
    <row r="4420">
      <c r="A4420" s="5">
        <v>4419.0</v>
      </c>
      <c r="B4420" s="5" t="s">
        <v>5003</v>
      </c>
      <c r="C4420" s="5" t="s">
        <v>21</v>
      </c>
      <c r="K4420" s="5">
        <v>70.0</v>
      </c>
      <c r="N4420" s="9">
        <v>44025.0</v>
      </c>
    </row>
    <row r="4421">
      <c r="A4421" s="5">
        <v>4420.0</v>
      </c>
      <c r="B4421" s="5" t="s">
        <v>5004</v>
      </c>
      <c r="C4421" s="5" t="s">
        <v>21</v>
      </c>
      <c r="K4421" s="5">
        <v>100.0</v>
      </c>
      <c r="N4421" s="9">
        <v>44551.0</v>
      </c>
    </row>
    <row r="4422">
      <c r="A4422" s="5">
        <v>4421.0</v>
      </c>
      <c r="B4422" s="5" t="s">
        <v>5005</v>
      </c>
      <c r="C4422" s="5" t="s">
        <v>21</v>
      </c>
      <c r="K4422" s="5">
        <v>100.0</v>
      </c>
      <c r="N4422" s="9">
        <v>45171.0</v>
      </c>
    </row>
    <row r="4423">
      <c r="A4423" s="5">
        <v>4422.0</v>
      </c>
      <c r="B4423" s="5" t="s">
        <v>5006</v>
      </c>
      <c r="C4423" s="5" t="s">
        <v>21</v>
      </c>
      <c r="K4423" s="5">
        <v>6500.0</v>
      </c>
      <c r="N4423" s="9">
        <v>44266.0</v>
      </c>
    </row>
    <row r="4424">
      <c r="A4424" s="5">
        <v>4423.0</v>
      </c>
      <c r="B4424" s="5" t="s">
        <v>5007</v>
      </c>
      <c r="C4424" s="5" t="s">
        <v>21</v>
      </c>
      <c r="K4424" s="5">
        <v>100.0</v>
      </c>
      <c r="N4424" s="9">
        <v>45100.0</v>
      </c>
    </row>
    <row r="4425">
      <c r="A4425" s="5">
        <v>4424.0</v>
      </c>
      <c r="B4425" s="5" t="s">
        <v>5008</v>
      </c>
      <c r="C4425" s="5" t="s">
        <v>21</v>
      </c>
      <c r="K4425" s="5">
        <v>300.0</v>
      </c>
      <c r="N4425" s="9">
        <v>44586.0</v>
      </c>
    </row>
    <row r="4426">
      <c r="A4426" s="5">
        <v>4425.0</v>
      </c>
      <c r="B4426" s="5" t="s">
        <v>5009</v>
      </c>
      <c r="C4426" s="5" t="s">
        <v>21</v>
      </c>
      <c r="K4426" s="5">
        <v>10.0</v>
      </c>
      <c r="N4426" s="9">
        <v>44311.0</v>
      </c>
    </row>
    <row r="4427">
      <c r="A4427" s="5">
        <v>4426.0</v>
      </c>
      <c r="B4427" s="5" t="s">
        <v>5010</v>
      </c>
      <c r="C4427" s="5" t="s">
        <v>21</v>
      </c>
      <c r="K4427" s="5">
        <v>600.0</v>
      </c>
      <c r="N4427" s="9">
        <v>43895.0</v>
      </c>
    </row>
    <row r="4428">
      <c r="A4428" s="5">
        <v>4427.0</v>
      </c>
      <c r="B4428" s="5" t="s">
        <v>5011</v>
      </c>
      <c r="C4428" s="5" t="s">
        <v>21</v>
      </c>
      <c r="K4428" s="5">
        <v>450.0</v>
      </c>
      <c r="N4428" s="9">
        <v>44187.0</v>
      </c>
    </row>
    <row r="4429">
      <c r="A4429" s="5">
        <v>4428.0</v>
      </c>
      <c r="B4429" s="5" t="s">
        <v>5012</v>
      </c>
      <c r="C4429" s="5" t="s">
        <v>21</v>
      </c>
      <c r="K4429" s="5">
        <v>400.0</v>
      </c>
      <c r="N4429" s="9">
        <v>43945.0</v>
      </c>
    </row>
    <row r="4430">
      <c r="A4430" s="5">
        <v>4429.0</v>
      </c>
      <c r="B4430" s="5" t="s">
        <v>5013</v>
      </c>
      <c r="C4430" s="5" t="s">
        <v>21</v>
      </c>
      <c r="K4430" s="5">
        <v>1500.0</v>
      </c>
      <c r="N4430" s="9">
        <v>44055.0</v>
      </c>
    </row>
    <row r="4431">
      <c r="A4431" s="5">
        <v>4430.0</v>
      </c>
      <c r="B4431" s="5" t="s">
        <v>5014</v>
      </c>
      <c r="C4431" s="5" t="s">
        <v>21</v>
      </c>
      <c r="K4431" s="5">
        <v>150.0</v>
      </c>
      <c r="N4431" s="9">
        <v>44634.0</v>
      </c>
    </row>
    <row r="4432">
      <c r="A4432" s="5">
        <v>4431.0</v>
      </c>
      <c r="B4432" s="5" t="s">
        <v>5015</v>
      </c>
      <c r="C4432" s="5" t="s">
        <v>21</v>
      </c>
      <c r="N4432" s="9">
        <v>44549.0</v>
      </c>
    </row>
    <row r="4433">
      <c r="A4433" s="5">
        <v>4432.0</v>
      </c>
      <c r="B4433" s="5" t="s">
        <v>5016</v>
      </c>
      <c r="C4433" s="5" t="s">
        <v>21</v>
      </c>
      <c r="K4433" s="5">
        <v>500.0</v>
      </c>
      <c r="N4433" s="9">
        <v>44365.0</v>
      </c>
    </row>
    <row r="4434">
      <c r="A4434" s="5">
        <v>4433.0</v>
      </c>
      <c r="B4434" s="5" t="s">
        <v>5017</v>
      </c>
      <c r="C4434" s="5" t="s">
        <v>21</v>
      </c>
      <c r="K4434" s="5">
        <v>600.0</v>
      </c>
      <c r="N4434" s="9">
        <v>44576.0</v>
      </c>
    </row>
    <row r="4435">
      <c r="A4435" s="5">
        <v>4434.0</v>
      </c>
      <c r="B4435" s="5" t="s">
        <v>5018</v>
      </c>
      <c r="C4435" s="5" t="s">
        <v>21</v>
      </c>
      <c r="K4435" s="5">
        <v>4100.0</v>
      </c>
      <c r="N4435" s="9">
        <v>44513.0</v>
      </c>
    </row>
    <row r="4436">
      <c r="A4436" s="5">
        <v>4435.0</v>
      </c>
      <c r="B4436" s="5" t="s">
        <v>5019</v>
      </c>
      <c r="C4436" s="5" t="s">
        <v>21</v>
      </c>
      <c r="K4436" s="5">
        <v>150.0</v>
      </c>
      <c r="N4436" s="9">
        <v>44463.0</v>
      </c>
    </row>
    <row r="4437">
      <c r="A4437" s="5">
        <v>4436.0</v>
      </c>
      <c r="B4437" s="5" t="s">
        <v>5020</v>
      </c>
      <c r="C4437" s="5" t="s">
        <v>21</v>
      </c>
      <c r="K4437" s="5">
        <v>200.0</v>
      </c>
      <c r="N4437" s="9">
        <v>44964.0</v>
      </c>
    </row>
    <row r="4438">
      <c r="A4438" s="5">
        <v>4437.0</v>
      </c>
      <c r="B4438" s="5" t="s">
        <v>200</v>
      </c>
      <c r="C4438" s="5" t="s">
        <v>21</v>
      </c>
      <c r="K4438" s="5">
        <v>400.0</v>
      </c>
      <c r="N4438" s="9">
        <v>44653.0</v>
      </c>
    </row>
    <row r="4439">
      <c r="A4439" s="5">
        <v>4438.0</v>
      </c>
      <c r="B4439" s="5" t="s">
        <v>5021</v>
      </c>
      <c r="C4439" s="5" t="s">
        <v>21</v>
      </c>
      <c r="K4439" s="5">
        <v>200.0</v>
      </c>
      <c r="N4439" s="9">
        <v>44796.0</v>
      </c>
    </row>
    <row r="4440">
      <c r="A4440" s="5">
        <v>4439.0</v>
      </c>
      <c r="B4440" s="5" t="s">
        <v>5022</v>
      </c>
      <c r="C4440" s="5" t="s">
        <v>21</v>
      </c>
      <c r="K4440" s="5">
        <v>5100.0</v>
      </c>
      <c r="N4440" s="9">
        <v>44518.0</v>
      </c>
    </row>
    <row r="4441">
      <c r="A4441" s="5">
        <v>4440.0</v>
      </c>
      <c r="B4441" s="5" t="s">
        <v>5023</v>
      </c>
      <c r="C4441" s="5" t="s">
        <v>21</v>
      </c>
      <c r="K4441" s="5">
        <v>600.0</v>
      </c>
      <c r="N4441" s="9">
        <v>44666.0</v>
      </c>
    </row>
    <row r="4442">
      <c r="A4442" s="5">
        <v>4441.0</v>
      </c>
      <c r="B4442" s="5" t="s">
        <v>5024</v>
      </c>
      <c r="C4442" s="5" t="s">
        <v>21</v>
      </c>
      <c r="K4442" s="5">
        <v>70.0</v>
      </c>
      <c r="N4442" s="9">
        <v>45066.0</v>
      </c>
    </row>
    <row r="4443">
      <c r="A4443" s="5">
        <v>4442.0</v>
      </c>
      <c r="B4443" s="5" t="s">
        <v>5025</v>
      </c>
      <c r="C4443" s="5" t="s">
        <v>21</v>
      </c>
      <c r="K4443" s="5">
        <v>20.0</v>
      </c>
      <c r="N4443" s="9">
        <v>45299.0</v>
      </c>
    </row>
    <row r="4444">
      <c r="A4444" s="5">
        <v>4443.0</v>
      </c>
      <c r="B4444" s="5" t="s">
        <v>5026</v>
      </c>
      <c r="C4444" s="5" t="s">
        <v>21</v>
      </c>
      <c r="K4444" s="5">
        <v>500.0</v>
      </c>
      <c r="N4444" s="9">
        <v>45512.0</v>
      </c>
    </row>
    <row r="4445">
      <c r="A4445" s="5">
        <v>4444.0</v>
      </c>
      <c r="B4445" s="5" t="s">
        <v>5027</v>
      </c>
      <c r="C4445" s="5" t="s">
        <v>21</v>
      </c>
      <c r="K4445" s="5">
        <v>250.0</v>
      </c>
      <c r="N4445" s="9">
        <v>44744.0</v>
      </c>
    </row>
    <row r="4446">
      <c r="A4446" s="5">
        <v>4445.0</v>
      </c>
      <c r="B4446" s="5" t="s">
        <v>5028</v>
      </c>
      <c r="C4446" s="5" t="s">
        <v>21</v>
      </c>
      <c r="K4446" s="5">
        <v>1500.0</v>
      </c>
      <c r="N4446" s="9">
        <v>44216.0</v>
      </c>
    </row>
    <row r="4447">
      <c r="A4447" s="5">
        <v>4446.0</v>
      </c>
      <c r="B4447" s="5" t="s">
        <v>5029</v>
      </c>
      <c r="C4447" s="5" t="s">
        <v>21</v>
      </c>
      <c r="K4447" s="5">
        <v>400.0</v>
      </c>
      <c r="N4447" s="9">
        <v>46124.0</v>
      </c>
    </row>
    <row r="4448">
      <c r="A4448" s="5">
        <v>4447.0</v>
      </c>
      <c r="B4448" s="5" t="s">
        <v>5030</v>
      </c>
      <c r="C4448" s="5" t="s">
        <v>21</v>
      </c>
      <c r="K4448" s="5">
        <v>600.0</v>
      </c>
      <c r="N4448" s="9">
        <v>43930.0</v>
      </c>
    </row>
    <row r="4449">
      <c r="A4449" s="5">
        <v>4448.0</v>
      </c>
      <c r="B4449" s="5" t="s">
        <v>5031</v>
      </c>
      <c r="C4449" s="5" t="s">
        <v>21</v>
      </c>
      <c r="K4449" s="5">
        <v>300.0</v>
      </c>
      <c r="N4449" s="9">
        <v>44245.0</v>
      </c>
    </row>
    <row r="4450">
      <c r="A4450" s="5">
        <v>4449.0</v>
      </c>
      <c r="B4450" s="5" t="s">
        <v>5032</v>
      </c>
      <c r="C4450" s="5" t="s">
        <v>21</v>
      </c>
      <c r="K4450" s="5">
        <v>300.0</v>
      </c>
      <c r="N4450" s="9">
        <v>44744.0</v>
      </c>
    </row>
    <row r="4451">
      <c r="A4451" s="5">
        <v>4450.0</v>
      </c>
      <c r="B4451" s="5" t="s">
        <v>5033</v>
      </c>
      <c r="C4451" s="5" t="s">
        <v>21</v>
      </c>
      <c r="K4451" s="5">
        <v>1300.0</v>
      </c>
      <c r="N4451" s="9">
        <v>44539.0</v>
      </c>
    </row>
    <row r="4452">
      <c r="A4452" s="5">
        <v>4451.0</v>
      </c>
      <c r="B4452" s="5" t="s">
        <v>5034</v>
      </c>
      <c r="C4452" s="5" t="s">
        <v>21</v>
      </c>
      <c r="K4452" s="5">
        <v>200.0</v>
      </c>
      <c r="N4452" s="9">
        <v>44717.0</v>
      </c>
    </row>
    <row r="4453">
      <c r="A4453" s="5">
        <v>4452.0</v>
      </c>
      <c r="B4453" s="5" t="s">
        <v>5035</v>
      </c>
      <c r="C4453" s="5" t="s">
        <v>21</v>
      </c>
      <c r="K4453" s="5">
        <v>450.0</v>
      </c>
      <c r="N4453" s="9">
        <v>43986.0</v>
      </c>
    </row>
    <row r="4454">
      <c r="A4454" s="5">
        <v>4453.0</v>
      </c>
      <c r="B4454" s="5" t="s">
        <v>5036</v>
      </c>
      <c r="C4454" s="5" t="s">
        <v>21</v>
      </c>
      <c r="K4454" s="5">
        <v>300.0</v>
      </c>
      <c r="N4454" s="9">
        <v>45531.0</v>
      </c>
    </row>
    <row r="4455">
      <c r="A4455" s="5">
        <v>4454.0</v>
      </c>
      <c r="B4455" s="5" t="s">
        <v>5037</v>
      </c>
      <c r="C4455" s="5" t="s">
        <v>21</v>
      </c>
      <c r="K4455" s="5">
        <v>250.0</v>
      </c>
      <c r="N4455" s="9">
        <v>45486.0</v>
      </c>
    </row>
    <row r="4456">
      <c r="A4456" s="5">
        <v>4455.0</v>
      </c>
      <c r="B4456" s="5" t="s">
        <v>5038</v>
      </c>
      <c r="C4456" s="5" t="s">
        <v>21</v>
      </c>
      <c r="K4456" s="5">
        <v>400.0</v>
      </c>
      <c r="N4456" s="9">
        <v>43853.0</v>
      </c>
    </row>
    <row r="4457">
      <c r="A4457" s="5">
        <v>4456.0</v>
      </c>
      <c r="B4457" s="5" t="s">
        <v>5039</v>
      </c>
      <c r="C4457" s="5" t="s">
        <v>21</v>
      </c>
      <c r="K4457" s="5">
        <v>2500.0</v>
      </c>
      <c r="N4457" s="9">
        <v>44168.0</v>
      </c>
    </row>
    <row r="4458">
      <c r="A4458" s="5">
        <v>4457.0</v>
      </c>
      <c r="B4458" s="5" t="s">
        <v>5040</v>
      </c>
      <c r="C4458" s="5" t="s">
        <v>21</v>
      </c>
      <c r="K4458" s="5">
        <v>100.0</v>
      </c>
      <c r="N4458" s="9">
        <v>44565.0</v>
      </c>
    </row>
    <row r="4459">
      <c r="A4459" s="5">
        <v>4458.0</v>
      </c>
      <c r="B4459" s="5" t="s">
        <v>5041</v>
      </c>
      <c r="C4459" s="5" t="s">
        <v>21</v>
      </c>
      <c r="K4459" s="5">
        <v>100.0</v>
      </c>
      <c r="N4459" s="9">
        <v>44756.0</v>
      </c>
    </row>
    <row r="4460">
      <c r="A4460" s="5">
        <v>4459.0</v>
      </c>
      <c r="B4460" s="5" t="s">
        <v>5042</v>
      </c>
      <c r="C4460" s="5" t="s">
        <v>21</v>
      </c>
      <c r="K4460" s="5">
        <v>150.0</v>
      </c>
      <c r="N4460" s="9">
        <v>44340.0</v>
      </c>
    </row>
    <row r="4461">
      <c r="A4461" s="5">
        <v>4460.0</v>
      </c>
      <c r="B4461" s="5" t="s">
        <v>5043</v>
      </c>
      <c r="C4461" s="5" t="s">
        <v>21</v>
      </c>
      <c r="K4461" s="5">
        <v>700.0</v>
      </c>
      <c r="N4461" s="9">
        <v>44309.0</v>
      </c>
    </row>
    <row r="4462">
      <c r="A4462" s="5">
        <v>4461.0</v>
      </c>
      <c r="B4462" s="5" t="s">
        <v>5044</v>
      </c>
      <c r="C4462" s="5" t="s">
        <v>21</v>
      </c>
      <c r="K4462" s="5">
        <v>200.0</v>
      </c>
      <c r="N4462" s="9">
        <v>45491.0</v>
      </c>
    </row>
    <row r="4463">
      <c r="A4463" s="5">
        <v>4462.0</v>
      </c>
      <c r="B4463" s="5" t="s">
        <v>5045</v>
      </c>
      <c r="C4463" s="5" t="s">
        <v>21</v>
      </c>
      <c r="K4463" s="5">
        <v>600.0</v>
      </c>
      <c r="N4463" s="9">
        <v>44644.0</v>
      </c>
    </row>
    <row r="4464">
      <c r="A4464" s="5">
        <v>4463.0</v>
      </c>
      <c r="B4464" s="5" t="s">
        <v>5046</v>
      </c>
      <c r="C4464" s="5" t="s">
        <v>21</v>
      </c>
      <c r="K4464" s="5">
        <v>400.0</v>
      </c>
      <c r="N4464" s="9">
        <v>45035.0</v>
      </c>
    </row>
    <row r="4465">
      <c r="A4465" s="5">
        <v>4464.0</v>
      </c>
      <c r="B4465" s="5" t="s">
        <v>5047</v>
      </c>
      <c r="C4465" s="5" t="s">
        <v>21</v>
      </c>
      <c r="K4465" s="5">
        <v>4100.0</v>
      </c>
      <c r="N4465" s="9">
        <v>43931.0</v>
      </c>
    </row>
    <row r="4466">
      <c r="A4466" s="5">
        <v>4465.0</v>
      </c>
      <c r="B4466" s="5" t="s">
        <v>5048</v>
      </c>
      <c r="C4466" s="5" t="s">
        <v>21</v>
      </c>
      <c r="K4466" s="5">
        <v>10.0</v>
      </c>
      <c r="N4466" s="9">
        <v>44358.0</v>
      </c>
    </row>
    <row r="4467">
      <c r="A4467" s="5">
        <v>4466.0</v>
      </c>
      <c r="B4467" s="5" t="s">
        <v>5049</v>
      </c>
      <c r="C4467" s="5" t="s">
        <v>21</v>
      </c>
      <c r="K4467" s="5">
        <v>600.0</v>
      </c>
      <c r="N4467" s="9">
        <v>44328.0</v>
      </c>
    </row>
    <row r="4468">
      <c r="A4468" s="5">
        <v>4467.0</v>
      </c>
      <c r="B4468" s="5" t="s">
        <v>5050</v>
      </c>
      <c r="C4468" s="5" t="s">
        <v>21</v>
      </c>
      <c r="K4468" s="5">
        <v>450.0</v>
      </c>
      <c r="N4468" s="9">
        <v>44534.0</v>
      </c>
    </row>
    <row r="4469">
      <c r="A4469" s="5">
        <v>4468.0</v>
      </c>
      <c r="B4469" s="5" t="s">
        <v>5051</v>
      </c>
      <c r="C4469" s="5" t="s">
        <v>21</v>
      </c>
      <c r="K4469" s="5">
        <v>80.0</v>
      </c>
      <c r="N4469" s="9">
        <v>45091.0</v>
      </c>
    </row>
    <row r="4470">
      <c r="A4470" s="5">
        <v>4469.0</v>
      </c>
      <c r="B4470" s="5" t="s">
        <v>5052</v>
      </c>
      <c r="C4470" s="5" t="s">
        <v>21</v>
      </c>
      <c r="K4470" s="5">
        <v>200.0</v>
      </c>
      <c r="N4470" s="9">
        <v>44530.0</v>
      </c>
    </row>
    <row r="4471">
      <c r="A4471" s="5">
        <v>4470.0</v>
      </c>
      <c r="B4471" s="5" t="s">
        <v>5053</v>
      </c>
      <c r="C4471" s="5" t="s">
        <v>21</v>
      </c>
      <c r="K4471" s="5">
        <v>1100.0</v>
      </c>
      <c r="N4471" s="9">
        <v>44138.0</v>
      </c>
    </row>
    <row r="4472">
      <c r="A4472" s="5">
        <v>4471.0</v>
      </c>
      <c r="B4472" s="5" t="s">
        <v>5054</v>
      </c>
      <c r="C4472" s="5" t="s">
        <v>21</v>
      </c>
      <c r="K4472" s="5">
        <v>200.0</v>
      </c>
      <c r="N4472" s="9">
        <v>45483.0</v>
      </c>
    </row>
    <row r="4473">
      <c r="A4473" s="5">
        <v>4472.0</v>
      </c>
      <c r="B4473" s="5" t="s">
        <v>5055</v>
      </c>
      <c r="C4473" s="5" t="s">
        <v>21</v>
      </c>
      <c r="K4473" s="5">
        <v>3500.0</v>
      </c>
      <c r="N4473" s="9">
        <v>43873.0</v>
      </c>
    </row>
    <row r="4474">
      <c r="A4474" s="5">
        <v>4473.0</v>
      </c>
      <c r="B4474" s="5" t="s">
        <v>5056</v>
      </c>
      <c r="C4474" s="5" t="s">
        <v>21</v>
      </c>
      <c r="K4474" s="5">
        <v>200.0</v>
      </c>
      <c r="N4474" s="9">
        <v>44554.0</v>
      </c>
    </row>
    <row r="4475">
      <c r="A4475" s="5">
        <v>4474.0</v>
      </c>
      <c r="B4475" s="5" t="s">
        <v>5057</v>
      </c>
      <c r="C4475" s="5" t="s">
        <v>21</v>
      </c>
      <c r="K4475" s="5">
        <v>2200.0</v>
      </c>
      <c r="N4475" s="9">
        <v>44362.0</v>
      </c>
    </row>
    <row r="4476">
      <c r="A4476" s="5">
        <v>4475.0</v>
      </c>
      <c r="B4476" s="5" t="s">
        <v>5058</v>
      </c>
      <c r="C4476" s="5" t="s">
        <v>21</v>
      </c>
      <c r="K4476" s="5">
        <v>450.0</v>
      </c>
      <c r="N4476" s="9">
        <v>44478.0</v>
      </c>
    </row>
    <row r="4477">
      <c r="A4477" s="5">
        <v>4476.0</v>
      </c>
      <c r="B4477" s="5" t="s">
        <v>5059</v>
      </c>
      <c r="C4477" s="5" t="s">
        <v>21</v>
      </c>
      <c r="K4477" s="5">
        <v>50.0</v>
      </c>
      <c r="N4477" s="9">
        <v>43841.0</v>
      </c>
    </row>
    <row r="4478">
      <c r="A4478" s="5">
        <v>4477.0</v>
      </c>
      <c r="B4478" s="5" t="s">
        <v>5060</v>
      </c>
      <c r="C4478" s="5" t="s">
        <v>21</v>
      </c>
      <c r="K4478" s="5">
        <v>800.0</v>
      </c>
      <c r="N4478" s="9">
        <v>45585.0</v>
      </c>
    </row>
    <row r="4479">
      <c r="A4479" s="5">
        <v>4478.0</v>
      </c>
      <c r="B4479" s="5" t="s">
        <v>5061</v>
      </c>
      <c r="C4479" s="5" t="s">
        <v>21</v>
      </c>
      <c r="K4479" s="5">
        <v>250.0</v>
      </c>
      <c r="N4479" s="9">
        <v>44702.0</v>
      </c>
    </row>
    <row r="4480">
      <c r="A4480" s="5">
        <v>4479.0</v>
      </c>
      <c r="B4480" s="5" t="s">
        <v>5062</v>
      </c>
      <c r="C4480" s="5" t="s">
        <v>21</v>
      </c>
      <c r="K4480" s="5">
        <v>20.0</v>
      </c>
      <c r="N4480" s="9">
        <v>44834.0</v>
      </c>
    </row>
    <row r="4481">
      <c r="A4481" s="5">
        <v>4480.0</v>
      </c>
      <c r="B4481" s="5" t="s">
        <v>5063</v>
      </c>
      <c r="C4481" s="5" t="s">
        <v>21</v>
      </c>
      <c r="K4481" s="5">
        <v>1600.0</v>
      </c>
      <c r="N4481" s="9">
        <v>44188.0</v>
      </c>
    </row>
    <row r="4482">
      <c r="A4482" s="5">
        <v>4481.0</v>
      </c>
      <c r="B4482" s="5" t="s">
        <v>5064</v>
      </c>
      <c r="C4482" s="5" t="s">
        <v>21</v>
      </c>
      <c r="N4482" s="9">
        <v>44617.0</v>
      </c>
    </row>
    <row r="4483">
      <c r="A4483" s="5">
        <v>4482.0</v>
      </c>
      <c r="B4483" s="5" t="s">
        <v>5065</v>
      </c>
      <c r="C4483" s="5" t="s">
        <v>21</v>
      </c>
      <c r="K4483" s="5">
        <v>60.0</v>
      </c>
      <c r="N4483" s="9">
        <v>45092.0</v>
      </c>
    </row>
    <row r="4484">
      <c r="A4484" s="5">
        <v>4483.0</v>
      </c>
      <c r="B4484" s="5" t="s">
        <v>5066</v>
      </c>
      <c r="C4484" s="5" t="s">
        <v>21</v>
      </c>
      <c r="K4484" s="5">
        <v>200.0</v>
      </c>
      <c r="N4484" s="9">
        <v>44736.0</v>
      </c>
    </row>
    <row r="4485">
      <c r="A4485" s="5">
        <v>4484.0</v>
      </c>
      <c r="B4485" s="5" t="s">
        <v>5067</v>
      </c>
      <c r="C4485" s="5" t="s">
        <v>21</v>
      </c>
      <c r="K4485" s="5">
        <v>400.0</v>
      </c>
      <c r="N4485" s="9">
        <v>44768.0</v>
      </c>
    </row>
    <row r="4486">
      <c r="A4486" s="5">
        <v>4485.0</v>
      </c>
      <c r="B4486" s="5" t="s">
        <v>5068</v>
      </c>
      <c r="C4486" s="5" t="s">
        <v>21</v>
      </c>
      <c r="K4486" s="5">
        <v>20.0</v>
      </c>
      <c r="N4486" s="9">
        <v>45574.0</v>
      </c>
    </row>
    <row r="4487">
      <c r="A4487" s="5">
        <v>4486.0</v>
      </c>
      <c r="B4487" s="5" t="s">
        <v>5069</v>
      </c>
      <c r="C4487" s="5" t="s">
        <v>21</v>
      </c>
      <c r="K4487" s="5">
        <v>30.0</v>
      </c>
      <c r="N4487" s="9">
        <v>44612.0</v>
      </c>
    </row>
    <row r="4488">
      <c r="A4488" s="5">
        <v>4487.0</v>
      </c>
      <c r="B4488" s="5" t="s">
        <v>5070</v>
      </c>
      <c r="C4488" s="5" t="s">
        <v>21</v>
      </c>
      <c r="K4488" s="5">
        <v>60.0</v>
      </c>
      <c r="N4488" s="9">
        <v>44765.0</v>
      </c>
    </row>
    <row r="4489">
      <c r="A4489" s="5">
        <v>4488.0</v>
      </c>
      <c r="B4489" s="5" t="s">
        <v>5071</v>
      </c>
      <c r="C4489" s="5" t="s">
        <v>21</v>
      </c>
      <c r="K4489" s="5">
        <v>700.0</v>
      </c>
      <c r="N4489" s="9">
        <v>44738.0</v>
      </c>
    </row>
    <row r="4490">
      <c r="A4490" s="5">
        <v>4489.0</v>
      </c>
      <c r="B4490" s="5" t="s">
        <v>5072</v>
      </c>
      <c r="C4490" s="5" t="s">
        <v>21</v>
      </c>
      <c r="K4490" s="5">
        <v>350.0</v>
      </c>
      <c r="N4490" s="9">
        <v>44578.0</v>
      </c>
    </row>
    <row r="4491">
      <c r="A4491" s="5">
        <v>4490.0</v>
      </c>
      <c r="B4491" s="5" t="s">
        <v>5073</v>
      </c>
      <c r="C4491" s="5" t="s">
        <v>21</v>
      </c>
      <c r="K4491" s="5">
        <v>250.0</v>
      </c>
      <c r="N4491" s="9">
        <v>45537.0</v>
      </c>
    </row>
    <row r="4492">
      <c r="A4492" s="5">
        <v>4491.0</v>
      </c>
      <c r="B4492" s="5" t="s">
        <v>5074</v>
      </c>
      <c r="C4492" s="5" t="s">
        <v>21</v>
      </c>
      <c r="N4492" s="9">
        <v>44563.0</v>
      </c>
    </row>
    <row r="4493">
      <c r="A4493" s="5">
        <v>4492.0</v>
      </c>
      <c r="B4493" s="5" t="s">
        <v>5075</v>
      </c>
      <c r="C4493" s="5" t="s">
        <v>21</v>
      </c>
      <c r="K4493" s="5">
        <v>1000.0</v>
      </c>
      <c r="N4493" s="9">
        <v>43839.0</v>
      </c>
    </row>
    <row r="4494">
      <c r="A4494" s="5">
        <v>4493.0</v>
      </c>
      <c r="B4494" s="5" t="s">
        <v>5076</v>
      </c>
      <c r="C4494" s="5" t="s">
        <v>21</v>
      </c>
      <c r="K4494" s="5">
        <v>600.0</v>
      </c>
      <c r="N4494" s="9">
        <v>45487.0</v>
      </c>
    </row>
    <row r="4495">
      <c r="A4495" s="5">
        <v>4494.0</v>
      </c>
      <c r="B4495" s="5" t="s">
        <v>5077</v>
      </c>
      <c r="C4495" s="5" t="s">
        <v>21</v>
      </c>
      <c r="K4495" s="5">
        <v>150.0</v>
      </c>
      <c r="N4495" s="9">
        <v>44833.0</v>
      </c>
    </row>
    <row r="4496">
      <c r="A4496" s="5">
        <v>4495.0</v>
      </c>
      <c r="B4496" s="5" t="s">
        <v>5078</v>
      </c>
      <c r="C4496" s="5" t="s">
        <v>21</v>
      </c>
      <c r="K4496" s="5">
        <v>300.0</v>
      </c>
      <c r="N4496" s="9">
        <v>44511.0</v>
      </c>
    </row>
    <row r="4497">
      <c r="A4497" s="5">
        <v>4496.0</v>
      </c>
      <c r="B4497" s="5" t="s">
        <v>5079</v>
      </c>
      <c r="C4497" s="5" t="s">
        <v>21</v>
      </c>
      <c r="K4497" s="5">
        <v>70.0</v>
      </c>
      <c r="N4497" s="9">
        <v>44718.0</v>
      </c>
    </row>
    <row r="4498">
      <c r="A4498" s="5">
        <v>4497.0</v>
      </c>
      <c r="B4498" s="5" t="s">
        <v>5080</v>
      </c>
      <c r="C4498" s="5" t="s">
        <v>21</v>
      </c>
      <c r="K4498" s="5">
        <v>250.0</v>
      </c>
      <c r="N4498" s="9">
        <v>44609.0</v>
      </c>
    </row>
    <row r="4499">
      <c r="A4499" s="5">
        <v>4498.0</v>
      </c>
      <c r="B4499" s="5" t="s">
        <v>5081</v>
      </c>
      <c r="C4499" s="5" t="s">
        <v>21</v>
      </c>
      <c r="K4499" s="5">
        <v>900.0</v>
      </c>
      <c r="N4499" s="9">
        <v>44142.0</v>
      </c>
    </row>
    <row r="4500">
      <c r="A4500" s="5">
        <v>4499.0</v>
      </c>
      <c r="B4500" s="5" t="s">
        <v>5082</v>
      </c>
      <c r="C4500" s="5" t="s">
        <v>21</v>
      </c>
      <c r="K4500" s="5">
        <v>350.0</v>
      </c>
      <c r="N4500" s="9">
        <v>43976.0</v>
      </c>
    </row>
    <row r="4501">
      <c r="A4501" s="5">
        <v>4500.0</v>
      </c>
      <c r="B4501" s="5" t="s">
        <v>5083</v>
      </c>
      <c r="C4501" s="5" t="s">
        <v>21</v>
      </c>
      <c r="K4501" s="5">
        <v>40.0</v>
      </c>
      <c r="N4501" s="9">
        <v>44853.0</v>
      </c>
    </row>
    <row r="4502">
      <c r="A4502" s="5">
        <v>4501.0</v>
      </c>
      <c r="B4502" s="5" t="s">
        <v>5084</v>
      </c>
      <c r="C4502" s="5" t="s">
        <v>21</v>
      </c>
      <c r="K4502" s="5">
        <v>1500.0</v>
      </c>
      <c r="N4502" s="9">
        <v>44530.0</v>
      </c>
    </row>
    <row r="4503">
      <c r="A4503" s="5">
        <v>4502.0</v>
      </c>
      <c r="B4503" s="5" t="s">
        <v>5085</v>
      </c>
      <c r="C4503" s="5" t="s">
        <v>21</v>
      </c>
      <c r="K4503" s="5">
        <v>1100.0</v>
      </c>
      <c r="N4503" s="9">
        <v>45118.0</v>
      </c>
    </row>
    <row r="4504">
      <c r="A4504" s="5">
        <v>4503.0</v>
      </c>
      <c r="B4504" s="5" t="s">
        <v>5086</v>
      </c>
      <c r="C4504" s="5" t="s">
        <v>21</v>
      </c>
      <c r="K4504" s="5">
        <v>20.0</v>
      </c>
      <c r="N4504" s="9">
        <v>45675.0</v>
      </c>
    </row>
    <row r="4505">
      <c r="A4505" s="5">
        <v>4504.0</v>
      </c>
      <c r="B4505" s="5" t="s">
        <v>5087</v>
      </c>
      <c r="C4505" s="5" t="s">
        <v>21</v>
      </c>
      <c r="K4505" s="5">
        <v>900.0</v>
      </c>
      <c r="N4505" s="9">
        <v>44572.0</v>
      </c>
    </row>
    <row r="4506">
      <c r="A4506" s="5">
        <v>4505.0</v>
      </c>
      <c r="B4506" s="5" t="s">
        <v>5088</v>
      </c>
      <c r="C4506" s="5" t="s">
        <v>21</v>
      </c>
      <c r="K4506" s="5">
        <v>10.0</v>
      </c>
      <c r="N4506" s="9">
        <v>44573.0</v>
      </c>
    </row>
    <row r="4507">
      <c r="A4507" s="5">
        <v>4506.0</v>
      </c>
      <c r="B4507" s="5" t="s">
        <v>5089</v>
      </c>
      <c r="C4507" s="5" t="s">
        <v>21</v>
      </c>
      <c r="K4507" s="5">
        <v>20.0</v>
      </c>
      <c r="N4507" s="9">
        <v>44237.0</v>
      </c>
    </row>
    <row r="4508">
      <c r="A4508" s="5">
        <v>4507.0</v>
      </c>
      <c r="B4508" s="5" t="s">
        <v>5090</v>
      </c>
      <c r="C4508" s="5" t="s">
        <v>21</v>
      </c>
      <c r="K4508" s="5">
        <v>6800.0</v>
      </c>
      <c r="N4508" s="9">
        <v>44539.0</v>
      </c>
    </row>
    <row r="4509">
      <c r="A4509" s="5">
        <v>4508.0</v>
      </c>
      <c r="B4509" s="5" t="s">
        <v>5091</v>
      </c>
      <c r="C4509" s="5" t="s">
        <v>21</v>
      </c>
      <c r="K4509" s="5">
        <v>200.0</v>
      </c>
      <c r="N4509" s="9">
        <v>45410.0</v>
      </c>
    </row>
    <row r="4510">
      <c r="A4510" s="5">
        <v>4509.0</v>
      </c>
      <c r="B4510" s="5" t="s">
        <v>5092</v>
      </c>
      <c r="C4510" s="5" t="s">
        <v>21</v>
      </c>
      <c r="K4510" s="5">
        <v>400.0</v>
      </c>
      <c r="N4510" s="9">
        <v>45699.0</v>
      </c>
    </row>
    <row r="4511">
      <c r="A4511" s="5">
        <v>4510.0</v>
      </c>
      <c r="B4511" s="5" t="s">
        <v>5093</v>
      </c>
      <c r="C4511" s="5" t="s">
        <v>21</v>
      </c>
      <c r="K4511" s="5">
        <v>900.0</v>
      </c>
      <c r="N4511" s="9">
        <v>44535.0</v>
      </c>
    </row>
    <row r="4512">
      <c r="A4512" s="5">
        <v>4511.0</v>
      </c>
      <c r="B4512" s="5" t="s">
        <v>5094</v>
      </c>
      <c r="C4512" s="5" t="s">
        <v>21</v>
      </c>
      <c r="K4512" s="5">
        <v>700.0</v>
      </c>
      <c r="N4512" s="9">
        <v>45614.0</v>
      </c>
    </row>
    <row r="4513">
      <c r="A4513" s="5">
        <v>4512.0</v>
      </c>
      <c r="B4513" s="5" t="s">
        <v>5095</v>
      </c>
      <c r="C4513" s="5" t="s">
        <v>21</v>
      </c>
      <c r="K4513" s="5">
        <v>300.0</v>
      </c>
      <c r="N4513" s="9">
        <v>44629.0</v>
      </c>
    </row>
    <row r="4514">
      <c r="A4514" s="5">
        <v>4513.0</v>
      </c>
      <c r="B4514" s="5" t="s">
        <v>5096</v>
      </c>
      <c r="C4514" s="5" t="s">
        <v>21</v>
      </c>
      <c r="K4514" s="5">
        <v>250.0</v>
      </c>
      <c r="N4514" s="9">
        <v>45096.0</v>
      </c>
    </row>
    <row r="4515">
      <c r="A4515" s="5">
        <v>4514.0</v>
      </c>
      <c r="B4515" s="5" t="s">
        <v>5097</v>
      </c>
      <c r="C4515" s="5" t="s">
        <v>21</v>
      </c>
      <c r="K4515" s="5">
        <v>5300.0</v>
      </c>
      <c r="N4515" s="9">
        <v>43922.0</v>
      </c>
    </row>
    <row r="4516">
      <c r="A4516" s="5">
        <v>4515.0</v>
      </c>
      <c r="B4516" s="5" t="s">
        <v>5098</v>
      </c>
      <c r="C4516" s="5" t="s">
        <v>21</v>
      </c>
      <c r="K4516" s="5">
        <v>150.0</v>
      </c>
      <c r="N4516" s="9">
        <v>44561.0</v>
      </c>
    </row>
    <row r="4517">
      <c r="A4517" s="5">
        <v>4516.0</v>
      </c>
      <c r="B4517" s="5" t="s">
        <v>5099</v>
      </c>
      <c r="C4517" s="5" t="s">
        <v>21</v>
      </c>
      <c r="K4517" s="5">
        <v>60.0</v>
      </c>
      <c r="N4517" s="9">
        <v>44788.0</v>
      </c>
    </row>
    <row r="4518">
      <c r="A4518" s="5">
        <v>4517.0</v>
      </c>
      <c r="B4518" s="5" t="s">
        <v>5100</v>
      </c>
      <c r="C4518" s="5" t="s">
        <v>21</v>
      </c>
      <c r="K4518" s="5">
        <v>250.0</v>
      </c>
      <c r="N4518" s="9">
        <v>43927.0</v>
      </c>
    </row>
    <row r="4519">
      <c r="A4519" s="5">
        <v>4518.0</v>
      </c>
      <c r="B4519" s="5" t="s">
        <v>5101</v>
      </c>
      <c r="C4519" s="5" t="s">
        <v>21</v>
      </c>
      <c r="K4519" s="5">
        <v>10.0</v>
      </c>
      <c r="N4519" s="9">
        <v>44598.0</v>
      </c>
    </row>
    <row r="4520">
      <c r="A4520" s="5">
        <v>4519.0</v>
      </c>
      <c r="B4520" s="5" t="s">
        <v>5102</v>
      </c>
      <c r="C4520" s="5" t="s">
        <v>21</v>
      </c>
      <c r="K4520" s="5">
        <v>80.0</v>
      </c>
      <c r="N4520" s="9">
        <v>45077.0</v>
      </c>
    </row>
    <row r="4521">
      <c r="A4521" s="5">
        <v>4520.0</v>
      </c>
      <c r="B4521" s="5" t="s">
        <v>5103</v>
      </c>
      <c r="C4521" s="5" t="s">
        <v>21</v>
      </c>
      <c r="N4521" s="9">
        <v>44551.0</v>
      </c>
    </row>
    <row r="4522">
      <c r="A4522" s="5">
        <v>4521.0</v>
      </c>
      <c r="B4522" s="5" t="s">
        <v>5104</v>
      </c>
      <c r="C4522" s="5" t="s">
        <v>21</v>
      </c>
      <c r="K4522" s="5">
        <v>200.0</v>
      </c>
      <c r="N4522" s="9">
        <v>44580.0</v>
      </c>
    </row>
    <row r="4523">
      <c r="A4523" s="5">
        <v>4522.0</v>
      </c>
      <c r="B4523" s="5" t="s">
        <v>5105</v>
      </c>
      <c r="C4523" s="5" t="s">
        <v>21</v>
      </c>
      <c r="K4523" s="5">
        <v>250.0</v>
      </c>
      <c r="N4523" s="9">
        <v>44529.0</v>
      </c>
    </row>
    <row r="4524">
      <c r="A4524" s="5">
        <v>4523.0</v>
      </c>
      <c r="B4524" s="5" t="s">
        <v>5106</v>
      </c>
      <c r="C4524" s="5" t="s">
        <v>21</v>
      </c>
      <c r="N4524" s="9">
        <v>43931.0</v>
      </c>
    </row>
    <row r="4525">
      <c r="A4525" s="5">
        <v>4524.0</v>
      </c>
      <c r="B4525" s="5" t="s">
        <v>5107</v>
      </c>
      <c r="C4525" s="5" t="s">
        <v>21</v>
      </c>
      <c r="N4525" s="9">
        <v>45121.0</v>
      </c>
    </row>
    <row r="4526">
      <c r="A4526" s="5">
        <v>4525.0</v>
      </c>
      <c r="B4526" s="5" t="s">
        <v>5108</v>
      </c>
      <c r="C4526" s="5" t="s">
        <v>21</v>
      </c>
      <c r="K4526" s="5">
        <v>200.0</v>
      </c>
      <c r="N4526" s="9">
        <v>44425.0</v>
      </c>
    </row>
    <row r="4527">
      <c r="A4527" s="5">
        <v>4526.0</v>
      </c>
      <c r="B4527" s="5" t="s">
        <v>5109</v>
      </c>
      <c r="C4527" s="5" t="s">
        <v>21</v>
      </c>
      <c r="K4527" s="5">
        <v>150.0</v>
      </c>
      <c r="N4527" s="9">
        <v>44567.0</v>
      </c>
    </row>
    <row r="4528">
      <c r="A4528" s="5">
        <v>4527.0</v>
      </c>
      <c r="B4528" s="5" t="s">
        <v>5110</v>
      </c>
      <c r="C4528" s="5" t="s">
        <v>21</v>
      </c>
      <c r="K4528" s="5">
        <v>1000.0</v>
      </c>
      <c r="N4528" s="9">
        <v>43877.0</v>
      </c>
    </row>
    <row r="4529">
      <c r="A4529" s="5">
        <v>4528.0</v>
      </c>
      <c r="B4529" s="5" t="s">
        <v>5111</v>
      </c>
      <c r="C4529" s="5" t="s">
        <v>21</v>
      </c>
      <c r="K4529" s="5">
        <v>150.0</v>
      </c>
      <c r="N4529" s="9">
        <v>45487.0</v>
      </c>
    </row>
    <row r="4530">
      <c r="A4530" s="5">
        <v>4529.0</v>
      </c>
      <c r="B4530" s="5" t="s">
        <v>5112</v>
      </c>
      <c r="C4530" s="5" t="s">
        <v>21</v>
      </c>
      <c r="K4530" s="5">
        <v>400.0</v>
      </c>
      <c r="N4530" s="9">
        <v>44736.0</v>
      </c>
    </row>
    <row r="4531">
      <c r="A4531" s="5">
        <v>4530.0</v>
      </c>
      <c r="B4531" s="5" t="s">
        <v>5113</v>
      </c>
      <c r="C4531" s="5" t="s">
        <v>21</v>
      </c>
      <c r="K4531" s="5">
        <v>250.0</v>
      </c>
      <c r="N4531" s="9">
        <v>44546.0</v>
      </c>
    </row>
    <row r="4532">
      <c r="A4532" s="5">
        <v>4531.0</v>
      </c>
      <c r="B4532" s="5" t="s">
        <v>154</v>
      </c>
      <c r="C4532" s="5" t="s">
        <v>21</v>
      </c>
      <c r="K4532" s="5">
        <v>80.0</v>
      </c>
      <c r="N4532" s="9">
        <v>44138.0</v>
      </c>
    </row>
    <row r="4533">
      <c r="A4533" s="5">
        <v>4532.0</v>
      </c>
      <c r="B4533" s="5" t="s">
        <v>5114</v>
      </c>
      <c r="C4533" s="5" t="s">
        <v>21</v>
      </c>
      <c r="K4533" s="5">
        <v>200.0</v>
      </c>
      <c r="N4533" s="9">
        <v>44693.0</v>
      </c>
    </row>
    <row r="4534">
      <c r="A4534" s="5">
        <v>4533.0</v>
      </c>
      <c r="B4534" s="5" t="s">
        <v>5115</v>
      </c>
      <c r="C4534" s="5" t="s">
        <v>21</v>
      </c>
      <c r="K4534" s="5">
        <v>200.0</v>
      </c>
      <c r="N4534" s="9">
        <v>43886.0</v>
      </c>
    </row>
    <row r="4535">
      <c r="A4535" s="5">
        <v>4534.0</v>
      </c>
      <c r="B4535" s="5" t="s">
        <v>5116</v>
      </c>
      <c r="C4535" s="5" t="s">
        <v>21</v>
      </c>
      <c r="K4535" s="5">
        <v>500.0</v>
      </c>
      <c r="N4535" s="9">
        <v>45248.0</v>
      </c>
    </row>
    <row r="4536">
      <c r="A4536" s="5">
        <v>4535.0</v>
      </c>
      <c r="B4536" s="5" t="s">
        <v>5117</v>
      </c>
      <c r="C4536" s="5" t="s">
        <v>21</v>
      </c>
      <c r="K4536" s="5">
        <v>40.0</v>
      </c>
      <c r="N4536" s="9">
        <v>43863.0</v>
      </c>
    </row>
    <row r="4537">
      <c r="A4537" s="5">
        <v>4536.0</v>
      </c>
      <c r="B4537" s="5" t="s">
        <v>5118</v>
      </c>
      <c r="C4537" s="5" t="s">
        <v>21</v>
      </c>
      <c r="K4537" s="5">
        <v>600.0</v>
      </c>
      <c r="N4537" s="9">
        <v>45447.0</v>
      </c>
    </row>
    <row r="4538">
      <c r="A4538" s="5">
        <v>4537.0</v>
      </c>
      <c r="B4538" s="5" t="s">
        <v>5119</v>
      </c>
      <c r="C4538" s="5" t="s">
        <v>21</v>
      </c>
      <c r="K4538" s="5">
        <v>150.0</v>
      </c>
      <c r="N4538" s="9">
        <v>45109.0</v>
      </c>
    </row>
    <row r="4539">
      <c r="A4539" s="5">
        <v>4538.0</v>
      </c>
      <c r="B4539" s="5" t="s">
        <v>5120</v>
      </c>
      <c r="C4539" s="5" t="s">
        <v>21</v>
      </c>
      <c r="K4539" s="5">
        <v>600.0</v>
      </c>
      <c r="N4539" s="9">
        <v>44781.0</v>
      </c>
    </row>
    <row r="4540">
      <c r="A4540" s="5">
        <v>4539.0</v>
      </c>
      <c r="B4540" s="5" t="s">
        <v>5121</v>
      </c>
      <c r="C4540" s="5" t="s">
        <v>21</v>
      </c>
      <c r="K4540" s="5">
        <v>40.0</v>
      </c>
      <c r="N4540" s="9">
        <v>44533.0</v>
      </c>
    </row>
    <row r="4541">
      <c r="A4541" s="5">
        <v>4540.0</v>
      </c>
      <c r="B4541" s="5" t="s">
        <v>5122</v>
      </c>
      <c r="C4541" s="5" t="s">
        <v>21</v>
      </c>
      <c r="K4541" s="5">
        <v>60.0</v>
      </c>
      <c r="N4541" s="9">
        <v>44549.0</v>
      </c>
    </row>
    <row r="4542">
      <c r="A4542" s="5">
        <v>4541.0</v>
      </c>
      <c r="B4542" s="5" t="s">
        <v>5123</v>
      </c>
      <c r="C4542" s="5" t="s">
        <v>21</v>
      </c>
      <c r="K4542" s="5">
        <v>1000.0</v>
      </c>
      <c r="N4542" s="9">
        <v>43850.0</v>
      </c>
    </row>
    <row r="4543">
      <c r="A4543" s="5">
        <v>4542.0</v>
      </c>
      <c r="B4543" s="5" t="s">
        <v>5124</v>
      </c>
      <c r="C4543" s="5" t="s">
        <v>21</v>
      </c>
      <c r="K4543" s="5">
        <v>150.0</v>
      </c>
      <c r="N4543" s="9">
        <v>44541.0</v>
      </c>
    </row>
    <row r="4544">
      <c r="A4544" s="5">
        <v>4543.0</v>
      </c>
      <c r="B4544" s="5" t="s">
        <v>5125</v>
      </c>
      <c r="C4544" s="5" t="s">
        <v>21</v>
      </c>
      <c r="K4544" s="5">
        <v>60.0</v>
      </c>
      <c r="N4544" s="9">
        <v>44724.0</v>
      </c>
    </row>
    <row r="4545">
      <c r="A4545" s="5">
        <v>4544.0</v>
      </c>
      <c r="B4545" s="5" t="s">
        <v>5126</v>
      </c>
      <c r="C4545" s="5" t="s">
        <v>21</v>
      </c>
      <c r="K4545" s="5">
        <v>450.0</v>
      </c>
      <c r="N4545" s="9">
        <v>44558.0</v>
      </c>
    </row>
    <row r="4546">
      <c r="A4546" s="5">
        <v>4545.0</v>
      </c>
      <c r="B4546" s="5" t="s">
        <v>5127</v>
      </c>
      <c r="C4546" s="5" t="s">
        <v>21</v>
      </c>
      <c r="N4546" s="9">
        <v>44631.0</v>
      </c>
    </row>
    <row r="4547">
      <c r="A4547" s="5">
        <v>4546.0</v>
      </c>
      <c r="B4547" s="5" t="s">
        <v>5128</v>
      </c>
      <c r="C4547" s="5" t="s">
        <v>21</v>
      </c>
      <c r="K4547" s="5">
        <v>300.0</v>
      </c>
      <c r="N4547" s="9">
        <v>45453.0</v>
      </c>
    </row>
    <row r="4548">
      <c r="A4548" s="5">
        <v>4547.0</v>
      </c>
      <c r="B4548" s="5" t="s">
        <v>5129</v>
      </c>
      <c r="C4548" s="5" t="s">
        <v>21</v>
      </c>
      <c r="N4548" s="9">
        <v>44518.0</v>
      </c>
    </row>
    <row r="4549">
      <c r="A4549" s="5">
        <v>4548.0</v>
      </c>
      <c r="B4549" s="5" t="s">
        <v>5130</v>
      </c>
      <c r="C4549" s="5" t="s">
        <v>21</v>
      </c>
      <c r="K4549" s="5">
        <v>60.0</v>
      </c>
      <c r="N4549" s="9">
        <v>44643.0</v>
      </c>
    </row>
    <row r="4550">
      <c r="A4550" s="5">
        <v>4549.0</v>
      </c>
      <c r="B4550" s="5" t="s">
        <v>5131</v>
      </c>
      <c r="C4550" s="5" t="s">
        <v>21</v>
      </c>
      <c r="K4550" s="5">
        <v>100.0</v>
      </c>
      <c r="N4550" s="9">
        <v>44978.0</v>
      </c>
    </row>
    <row r="4551">
      <c r="A4551" s="5">
        <v>4550.0</v>
      </c>
      <c r="B4551" s="5" t="s">
        <v>5132</v>
      </c>
      <c r="C4551" s="5" t="s">
        <v>21</v>
      </c>
      <c r="K4551" s="5">
        <v>500.0</v>
      </c>
      <c r="N4551" s="9">
        <v>44535.0</v>
      </c>
    </row>
    <row r="4552">
      <c r="A4552" s="5">
        <v>4551.0</v>
      </c>
      <c r="B4552" s="5" t="s">
        <v>5133</v>
      </c>
      <c r="C4552" s="5" t="s">
        <v>21</v>
      </c>
      <c r="K4552" s="5">
        <v>60.0</v>
      </c>
      <c r="N4552" s="9">
        <v>44645.0</v>
      </c>
    </row>
    <row r="4553">
      <c r="A4553" s="5">
        <v>4552.0</v>
      </c>
      <c r="B4553" s="5" t="s">
        <v>5134</v>
      </c>
      <c r="C4553" s="5" t="s">
        <v>21</v>
      </c>
      <c r="K4553" s="5">
        <v>100.0</v>
      </c>
      <c r="N4553" s="9">
        <v>44281.0</v>
      </c>
    </row>
    <row r="4554">
      <c r="A4554" s="5">
        <v>4553.0</v>
      </c>
      <c r="B4554" s="5" t="s">
        <v>5135</v>
      </c>
      <c r="C4554" s="5" t="s">
        <v>21</v>
      </c>
      <c r="N4554" s="9">
        <v>44528.0</v>
      </c>
    </row>
    <row r="4555">
      <c r="A4555" s="5">
        <v>4554.0</v>
      </c>
      <c r="B4555" s="5" t="s">
        <v>5136</v>
      </c>
      <c r="C4555" s="5" t="s">
        <v>21</v>
      </c>
      <c r="K4555" s="5">
        <v>500.0</v>
      </c>
      <c r="N4555" s="9">
        <v>44543.0</v>
      </c>
    </row>
    <row r="4556">
      <c r="A4556" s="5">
        <v>4555.0</v>
      </c>
      <c r="B4556" s="5" t="s">
        <v>5137</v>
      </c>
      <c r="C4556" s="5" t="s">
        <v>21</v>
      </c>
      <c r="K4556" s="5">
        <v>2600.0</v>
      </c>
      <c r="N4556" s="9">
        <v>44634.0</v>
      </c>
    </row>
    <row r="4557">
      <c r="A4557" s="5">
        <v>4556.0</v>
      </c>
      <c r="B4557" s="5" t="s">
        <v>5138</v>
      </c>
      <c r="C4557" s="5" t="s">
        <v>21</v>
      </c>
      <c r="K4557" s="5">
        <v>7300.0</v>
      </c>
      <c r="N4557" s="9">
        <v>45464.0</v>
      </c>
    </row>
    <row r="4558">
      <c r="A4558" s="5">
        <v>4557.0</v>
      </c>
      <c r="B4558" s="5" t="s">
        <v>5139</v>
      </c>
      <c r="C4558" s="5" t="s">
        <v>21</v>
      </c>
      <c r="K4558" s="5">
        <v>500.0</v>
      </c>
      <c r="N4558" s="9">
        <v>44587.0</v>
      </c>
    </row>
    <row r="4559">
      <c r="A4559" s="5">
        <v>4558.0</v>
      </c>
      <c r="B4559" s="5" t="s">
        <v>5140</v>
      </c>
      <c r="C4559" s="5" t="s">
        <v>21</v>
      </c>
      <c r="K4559" s="5">
        <v>2000.0</v>
      </c>
      <c r="N4559" s="9">
        <v>44732.0</v>
      </c>
    </row>
    <row r="4560">
      <c r="A4560" s="5">
        <v>4559.0</v>
      </c>
      <c r="B4560" s="5" t="s">
        <v>5141</v>
      </c>
      <c r="C4560" s="5" t="s">
        <v>21</v>
      </c>
      <c r="K4560" s="5">
        <v>200.0</v>
      </c>
      <c r="N4560" s="9">
        <v>45702.0</v>
      </c>
    </row>
    <row r="4561">
      <c r="A4561" s="5">
        <v>4560.0</v>
      </c>
      <c r="B4561" s="5" t="s">
        <v>5142</v>
      </c>
      <c r="C4561" s="5" t="s">
        <v>21</v>
      </c>
      <c r="K4561" s="5">
        <v>70.0</v>
      </c>
      <c r="N4561" s="9">
        <v>44659.0</v>
      </c>
    </row>
    <row r="4562">
      <c r="A4562" s="5">
        <v>4561.0</v>
      </c>
      <c r="B4562" s="5" t="s">
        <v>5143</v>
      </c>
      <c r="C4562" s="5" t="s">
        <v>21</v>
      </c>
      <c r="K4562" s="5">
        <v>150.0</v>
      </c>
      <c r="N4562" s="9">
        <v>44400.0</v>
      </c>
    </row>
    <row r="4563">
      <c r="A4563" s="5">
        <v>4562.0</v>
      </c>
      <c r="B4563" s="5" t="s">
        <v>5144</v>
      </c>
      <c r="C4563" s="5" t="s">
        <v>21</v>
      </c>
      <c r="K4563" s="5">
        <v>80.0</v>
      </c>
      <c r="N4563" s="9">
        <v>44666.0</v>
      </c>
    </row>
    <row r="4564">
      <c r="A4564" s="5">
        <v>4563.0</v>
      </c>
      <c r="B4564" s="5" t="s">
        <v>202</v>
      </c>
      <c r="C4564" s="5" t="s">
        <v>21</v>
      </c>
      <c r="K4564" s="5">
        <v>250.0</v>
      </c>
      <c r="N4564" s="9">
        <v>44941.0</v>
      </c>
    </row>
    <row r="4565">
      <c r="A4565" s="5">
        <v>4564.0</v>
      </c>
      <c r="B4565" s="5" t="s">
        <v>5145</v>
      </c>
      <c r="C4565" s="5" t="s">
        <v>21</v>
      </c>
      <c r="K4565" s="5">
        <v>60.0</v>
      </c>
      <c r="N4565" s="9">
        <v>44597.0</v>
      </c>
    </row>
    <row r="4566">
      <c r="A4566" s="5">
        <v>4565.0</v>
      </c>
      <c r="B4566" s="5" t="s">
        <v>5146</v>
      </c>
      <c r="C4566" s="5" t="s">
        <v>21</v>
      </c>
      <c r="K4566" s="5">
        <v>50.0</v>
      </c>
      <c r="N4566" s="9">
        <v>44738.0</v>
      </c>
    </row>
    <row r="4567">
      <c r="A4567" s="5">
        <v>4566.0</v>
      </c>
      <c r="B4567" s="5" t="s">
        <v>5147</v>
      </c>
      <c r="C4567" s="5" t="s">
        <v>21</v>
      </c>
      <c r="K4567" s="5">
        <v>200.0</v>
      </c>
      <c r="N4567" s="9">
        <v>44692.0</v>
      </c>
    </row>
    <row r="4568">
      <c r="A4568" s="5">
        <v>4567.0</v>
      </c>
      <c r="B4568" s="5" t="s">
        <v>5148</v>
      </c>
      <c r="C4568" s="5" t="s">
        <v>21</v>
      </c>
      <c r="K4568" s="5">
        <v>600.0</v>
      </c>
      <c r="N4568" s="9">
        <v>44557.0</v>
      </c>
    </row>
    <row r="4569">
      <c r="A4569" s="5">
        <v>4568.0</v>
      </c>
      <c r="B4569" s="5" t="s">
        <v>5149</v>
      </c>
      <c r="C4569" s="5" t="s">
        <v>21</v>
      </c>
      <c r="K4569" s="5">
        <v>1400.0</v>
      </c>
      <c r="N4569" s="9">
        <v>44858.0</v>
      </c>
    </row>
    <row r="4570">
      <c r="A4570" s="5">
        <v>4569.0</v>
      </c>
      <c r="B4570" s="5" t="s">
        <v>5150</v>
      </c>
      <c r="C4570" s="5" t="s">
        <v>21</v>
      </c>
      <c r="K4570" s="5">
        <v>150.0</v>
      </c>
      <c r="N4570" s="9">
        <v>44305.0</v>
      </c>
    </row>
    <row r="4571">
      <c r="A4571" s="5">
        <v>4570.0</v>
      </c>
      <c r="B4571" s="5" t="s">
        <v>5151</v>
      </c>
      <c r="C4571" s="5" t="s">
        <v>21</v>
      </c>
      <c r="K4571" s="5">
        <v>200.0</v>
      </c>
      <c r="N4571" s="9">
        <v>44767.0</v>
      </c>
    </row>
    <row r="4572">
      <c r="A4572" s="5">
        <v>4571.0</v>
      </c>
      <c r="B4572" s="5" t="s">
        <v>5152</v>
      </c>
      <c r="C4572" s="5" t="s">
        <v>21</v>
      </c>
      <c r="K4572" s="5">
        <v>300.0</v>
      </c>
      <c r="N4572" s="9">
        <v>44091.0</v>
      </c>
    </row>
    <row r="4573">
      <c r="A4573" s="5">
        <v>4572.0</v>
      </c>
      <c r="B4573" s="5" t="s">
        <v>5153</v>
      </c>
      <c r="C4573" s="5" t="s">
        <v>21</v>
      </c>
      <c r="K4573" s="5">
        <v>200.0</v>
      </c>
      <c r="N4573" s="9">
        <v>45117.0</v>
      </c>
    </row>
    <row r="4574">
      <c r="A4574" s="5">
        <v>4573.0</v>
      </c>
      <c r="B4574" s="5" t="s">
        <v>5154</v>
      </c>
      <c r="C4574" s="5" t="s">
        <v>21</v>
      </c>
      <c r="K4574" s="5">
        <v>20.0</v>
      </c>
      <c r="N4574" s="9">
        <v>44542.0</v>
      </c>
    </row>
    <row r="4575">
      <c r="A4575" s="5">
        <v>4574.0</v>
      </c>
      <c r="B4575" s="5" t="s">
        <v>5155</v>
      </c>
      <c r="C4575" s="5" t="s">
        <v>21</v>
      </c>
      <c r="K4575" s="5">
        <v>150.0</v>
      </c>
      <c r="N4575" s="9">
        <v>44933.0</v>
      </c>
    </row>
    <row r="4576">
      <c r="A4576" s="5">
        <v>4575.0</v>
      </c>
      <c r="B4576" s="5" t="s">
        <v>5156</v>
      </c>
      <c r="C4576" s="5" t="s">
        <v>21</v>
      </c>
      <c r="K4576" s="5">
        <v>30.0</v>
      </c>
      <c r="N4576" s="9">
        <v>45062.0</v>
      </c>
    </row>
    <row r="4577">
      <c r="A4577" s="5">
        <v>4576.0</v>
      </c>
      <c r="B4577" s="5" t="s">
        <v>5157</v>
      </c>
      <c r="C4577" s="5" t="s">
        <v>21</v>
      </c>
      <c r="K4577" s="5">
        <v>1100.0</v>
      </c>
      <c r="N4577" s="9">
        <v>44557.0</v>
      </c>
    </row>
    <row r="4578">
      <c r="A4578" s="5">
        <v>4577.0</v>
      </c>
      <c r="B4578" s="5" t="s">
        <v>5158</v>
      </c>
      <c r="C4578" s="5" t="s">
        <v>21</v>
      </c>
      <c r="K4578" s="5">
        <v>3900.0</v>
      </c>
      <c r="N4578" s="9">
        <v>44724.0</v>
      </c>
    </row>
    <row r="4579">
      <c r="A4579" s="5">
        <v>4578.0</v>
      </c>
      <c r="B4579" s="5" t="s">
        <v>5159</v>
      </c>
      <c r="C4579" s="5" t="s">
        <v>21</v>
      </c>
      <c r="K4579" s="5">
        <v>6800.0</v>
      </c>
      <c r="N4579" s="9">
        <v>45785.0</v>
      </c>
    </row>
    <row r="4580">
      <c r="A4580" s="5">
        <v>4579.0</v>
      </c>
      <c r="B4580" s="5" t="s">
        <v>5160</v>
      </c>
      <c r="C4580" s="5" t="s">
        <v>21</v>
      </c>
      <c r="K4580" s="5">
        <v>200.0</v>
      </c>
      <c r="N4580" s="9">
        <v>44720.0</v>
      </c>
    </row>
    <row r="4581">
      <c r="A4581" s="5">
        <v>4580.0</v>
      </c>
      <c r="B4581" s="5" t="s">
        <v>5161</v>
      </c>
      <c r="C4581" s="5" t="s">
        <v>21</v>
      </c>
      <c r="K4581" s="5">
        <v>1700.0</v>
      </c>
      <c r="N4581" s="9">
        <v>44168.0</v>
      </c>
    </row>
    <row r="4582">
      <c r="A4582" s="5">
        <v>4581.0</v>
      </c>
      <c r="B4582" s="5" t="s">
        <v>5162</v>
      </c>
      <c r="C4582" s="5" t="s">
        <v>21</v>
      </c>
      <c r="K4582" s="5">
        <v>30.0</v>
      </c>
      <c r="N4582" s="9">
        <v>44048.0</v>
      </c>
    </row>
    <row r="4583">
      <c r="A4583" s="5">
        <v>4582.0</v>
      </c>
      <c r="B4583" s="5" t="s">
        <v>5163</v>
      </c>
      <c r="C4583" s="5" t="s">
        <v>21</v>
      </c>
      <c r="K4583" s="5">
        <v>100.0</v>
      </c>
      <c r="N4583" s="9">
        <v>43988.0</v>
      </c>
    </row>
    <row r="4584">
      <c r="A4584" s="5">
        <v>4583.0</v>
      </c>
      <c r="B4584" s="5" t="s">
        <v>5164</v>
      </c>
      <c r="C4584" s="5" t="s">
        <v>21</v>
      </c>
      <c r="K4584" s="5">
        <v>40.0</v>
      </c>
      <c r="N4584" s="9">
        <v>44735.0</v>
      </c>
    </row>
    <row r="4585">
      <c r="A4585" s="5">
        <v>4584.0</v>
      </c>
      <c r="B4585" s="5" t="s">
        <v>5165</v>
      </c>
      <c r="C4585" s="5" t="s">
        <v>21</v>
      </c>
      <c r="K4585" s="5">
        <v>400.0</v>
      </c>
      <c r="N4585" s="9">
        <v>44564.0</v>
      </c>
    </row>
    <row r="4586">
      <c r="A4586" s="5">
        <v>4585.0</v>
      </c>
      <c r="B4586" s="5" t="s">
        <v>5166</v>
      </c>
      <c r="C4586" s="5" t="s">
        <v>21</v>
      </c>
      <c r="K4586" s="5">
        <v>80.0</v>
      </c>
      <c r="N4586" s="9">
        <v>45104.0</v>
      </c>
    </row>
    <row r="4587">
      <c r="A4587" s="5">
        <v>4586.0</v>
      </c>
      <c r="B4587" s="5" t="s">
        <v>5167</v>
      </c>
      <c r="C4587" s="5" t="s">
        <v>21</v>
      </c>
      <c r="K4587" s="5">
        <v>250.0</v>
      </c>
      <c r="N4587" s="9">
        <v>45219.0</v>
      </c>
    </row>
    <row r="4588">
      <c r="A4588" s="5">
        <v>4587.0</v>
      </c>
      <c r="B4588" s="5" t="s">
        <v>5168</v>
      </c>
      <c r="C4588" s="5" t="s">
        <v>21</v>
      </c>
      <c r="K4588" s="5">
        <v>250.0</v>
      </c>
      <c r="N4588" s="9">
        <v>44249.0</v>
      </c>
    </row>
    <row r="4589">
      <c r="A4589" s="5">
        <v>4588.0</v>
      </c>
      <c r="B4589" s="5" t="s">
        <v>5169</v>
      </c>
      <c r="C4589" s="5" t="s">
        <v>21</v>
      </c>
      <c r="K4589" s="5">
        <v>1000.0</v>
      </c>
      <c r="N4589" s="9">
        <v>44747.0</v>
      </c>
    </row>
    <row r="4590">
      <c r="A4590" s="5">
        <v>4589.0</v>
      </c>
      <c r="B4590" s="5" t="s">
        <v>5170</v>
      </c>
      <c r="C4590" s="5" t="s">
        <v>21</v>
      </c>
      <c r="K4590" s="5">
        <v>700.0</v>
      </c>
      <c r="N4590" s="9">
        <v>44380.0</v>
      </c>
    </row>
    <row r="4591">
      <c r="A4591" s="5">
        <v>4590.0</v>
      </c>
      <c r="B4591" s="5" t="s">
        <v>5171</v>
      </c>
      <c r="C4591" s="5" t="s">
        <v>21</v>
      </c>
      <c r="K4591" s="5">
        <v>800.0</v>
      </c>
      <c r="N4591" s="9">
        <v>44564.0</v>
      </c>
    </row>
    <row r="4592">
      <c r="A4592" s="5">
        <v>4591.0</v>
      </c>
      <c r="B4592" s="5" t="s">
        <v>5172</v>
      </c>
      <c r="C4592" s="5" t="s">
        <v>21</v>
      </c>
      <c r="K4592" s="5">
        <v>150.0</v>
      </c>
      <c r="N4592" s="9">
        <v>44872.0</v>
      </c>
    </row>
    <row r="4593">
      <c r="A4593" s="5">
        <v>4592.0</v>
      </c>
      <c r="B4593" s="5" t="s">
        <v>5173</v>
      </c>
      <c r="C4593" s="5" t="s">
        <v>21</v>
      </c>
      <c r="N4593" s="9">
        <v>44528.0</v>
      </c>
    </row>
    <row r="4594">
      <c r="A4594" s="5">
        <v>4593.0</v>
      </c>
      <c r="B4594" s="5" t="s">
        <v>5174</v>
      </c>
      <c r="C4594" s="5" t="s">
        <v>21</v>
      </c>
      <c r="K4594" s="5">
        <v>600.0</v>
      </c>
      <c r="N4594" s="9">
        <v>44878.0</v>
      </c>
    </row>
    <row r="4595">
      <c r="A4595" s="5">
        <v>4594.0</v>
      </c>
      <c r="B4595" s="5" t="s">
        <v>5175</v>
      </c>
      <c r="C4595" s="5" t="s">
        <v>21</v>
      </c>
      <c r="K4595" s="5">
        <v>80.0</v>
      </c>
      <c r="N4595" s="9">
        <v>44528.0</v>
      </c>
    </row>
    <row r="4596">
      <c r="A4596" s="5">
        <v>4595.0</v>
      </c>
      <c r="B4596" s="5" t="s">
        <v>5176</v>
      </c>
      <c r="C4596" s="5" t="s">
        <v>21</v>
      </c>
      <c r="K4596" s="5">
        <v>250.0</v>
      </c>
      <c r="N4596" s="9">
        <v>44870.0</v>
      </c>
    </row>
    <row r="4597">
      <c r="A4597" s="5">
        <v>4596.0</v>
      </c>
      <c r="B4597" s="5" t="s">
        <v>5177</v>
      </c>
      <c r="C4597" s="5" t="s">
        <v>21</v>
      </c>
      <c r="K4597" s="5">
        <v>150.0</v>
      </c>
      <c r="N4597" s="9">
        <v>44571.0</v>
      </c>
    </row>
    <row r="4598">
      <c r="A4598" s="5">
        <v>4597.0</v>
      </c>
      <c r="B4598" s="5" t="s">
        <v>5178</v>
      </c>
      <c r="C4598" s="5" t="s">
        <v>21</v>
      </c>
      <c r="K4598" s="5">
        <v>1200.0</v>
      </c>
      <c r="N4598" s="9">
        <v>44214.0</v>
      </c>
    </row>
    <row r="4599">
      <c r="A4599" s="5">
        <v>4598.0</v>
      </c>
      <c r="B4599" s="5" t="s">
        <v>5179</v>
      </c>
      <c r="C4599" s="5" t="s">
        <v>21</v>
      </c>
      <c r="K4599" s="5">
        <v>200.0</v>
      </c>
      <c r="N4599" s="9">
        <v>45465.0</v>
      </c>
    </row>
    <row r="4600">
      <c r="A4600" s="5">
        <v>4599.0</v>
      </c>
      <c r="B4600" s="5" t="s">
        <v>5180</v>
      </c>
      <c r="C4600" s="5" t="s">
        <v>21</v>
      </c>
      <c r="K4600" s="5">
        <v>30.0</v>
      </c>
      <c r="N4600" s="9">
        <v>45558.0</v>
      </c>
    </row>
    <row r="4601">
      <c r="A4601" s="5">
        <v>4600.0</v>
      </c>
      <c r="B4601" s="5" t="s">
        <v>5181</v>
      </c>
      <c r="C4601" s="5" t="s">
        <v>21</v>
      </c>
      <c r="K4601" s="5">
        <v>900.0</v>
      </c>
      <c r="N4601" s="9">
        <v>45304.0</v>
      </c>
    </row>
    <row r="4602">
      <c r="A4602" s="5">
        <v>4601.0</v>
      </c>
      <c r="B4602" s="5" t="s">
        <v>5182</v>
      </c>
      <c r="C4602" s="5" t="s">
        <v>21</v>
      </c>
      <c r="N4602" s="9">
        <v>45344.0</v>
      </c>
    </row>
    <row r="4603">
      <c r="A4603" s="5">
        <v>4602.0</v>
      </c>
      <c r="B4603" s="5" t="s">
        <v>5183</v>
      </c>
      <c r="C4603" s="5" t="s">
        <v>21</v>
      </c>
      <c r="K4603" s="5">
        <v>200.0</v>
      </c>
      <c r="N4603" s="9">
        <v>45345.0</v>
      </c>
    </row>
    <row r="4604">
      <c r="A4604" s="5">
        <v>4603.0</v>
      </c>
      <c r="B4604" s="5" t="s">
        <v>5184</v>
      </c>
      <c r="C4604" s="5" t="s">
        <v>21</v>
      </c>
      <c r="K4604" s="5">
        <v>4700.0</v>
      </c>
      <c r="N4604" s="9">
        <v>44532.0</v>
      </c>
    </row>
    <row r="4605">
      <c r="A4605" s="5">
        <v>4604.0</v>
      </c>
      <c r="B4605" s="5" t="s">
        <v>5185</v>
      </c>
      <c r="C4605" s="5" t="s">
        <v>21</v>
      </c>
      <c r="K4605" s="5">
        <v>350.0</v>
      </c>
      <c r="N4605" s="9">
        <v>44535.0</v>
      </c>
    </row>
    <row r="4606">
      <c r="A4606" s="5">
        <v>4605.0</v>
      </c>
      <c r="B4606" s="5" t="s">
        <v>5186</v>
      </c>
      <c r="C4606" s="5" t="s">
        <v>21</v>
      </c>
      <c r="K4606" s="5">
        <v>600.0</v>
      </c>
      <c r="N4606" s="9">
        <v>44832.0</v>
      </c>
    </row>
    <row r="4607">
      <c r="A4607" s="5">
        <v>4606.0</v>
      </c>
      <c r="B4607" s="5" t="s">
        <v>5187</v>
      </c>
      <c r="C4607" s="5" t="s">
        <v>21</v>
      </c>
      <c r="K4607" s="5">
        <v>10.0</v>
      </c>
      <c r="N4607" s="9">
        <v>44573.0</v>
      </c>
    </row>
    <row r="4608">
      <c r="A4608" s="5">
        <v>4607.0</v>
      </c>
      <c r="B4608" s="5" t="s">
        <v>5188</v>
      </c>
      <c r="C4608" s="5" t="s">
        <v>21</v>
      </c>
      <c r="K4608" s="5">
        <v>300.0</v>
      </c>
      <c r="N4608" s="9">
        <v>44587.0</v>
      </c>
    </row>
    <row r="4609">
      <c r="A4609" s="5">
        <v>4608.0</v>
      </c>
      <c r="B4609" s="5" t="s">
        <v>5189</v>
      </c>
      <c r="C4609" s="5" t="s">
        <v>21</v>
      </c>
      <c r="K4609" s="5">
        <v>700.0</v>
      </c>
      <c r="N4609" s="9">
        <v>43986.0</v>
      </c>
    </row>
    <row r="4610">
      <c r="A4610" s="5">
        <v>4609.0</v>
      </c>
      <c r="B4610" s="5" t="s">
        <v>5190</v>
      </c>
      <c r="C4610" s="5" t="s">
        <v>21</v>
      </c>
      <c r="K4610" s="5">
        <v>150.0</v>
      </c>
      <c r="N4610" s="9">
        <v>45147.0</v>
      </c>
    </row>
    <row r="4611">
      <c r="A4611" s="5">
        <v>4610.0</v>
      </c>
      <c r="B4611" s="5" t="s">
        <v>5191</v>
      </c>
      <c r="C4611" s="5" t="s">
        <v>21</v>
      </c>
      <c r="K4611" s="5">
        <v>800.0</v>
      </c>
      <c r="N4611" s="9">
        <v>44771.0</v>
      </c>
    </row>
    <row r="4612">
      <c r="A4612" s="5">
        <v>4611.0</v>
      </c>
      <c r="B4612" s="5" t="s">
        <v>5192</v>
      </c>
      <c r="C4612" s="5" t="s">
        <v>21</v>
      </c>
      <c r="K4612" s="5">
        <v>450.0</v>
      </c>
      <c r="N4612" s="9">
        <v>44506.0</v>
      </c>
    </row>
    <row r="4613">
      <c r="A4613" s="5">
        <v>4612.0</v>
      </c>
      <c r="B4613" s="5" t="s">
        <v>5193</v>
      </c>
      <c r="C4613" s="5" t="s">
        <v>21</v>
      </c>
      <c r="K4613" s="5">
        <v>1400.0</v>
      </c>
      <c r="N4613" s="9">
        <v>43861.0</v>
      </c>
    </row>
    <row r="4614">
      <c r="A4614" s="5">
        <v>4613.0</v>
      </c>
      <c r="B4614" s="5" t="s">
        <v>5194</v>
      </c>
      <c r="C4614" s="5" t="s">
        <v>21</v>
      </c>
      <c r="K4614" s="5">
        <v>30.0</v>
      </c>
      <c r="N4614" s="9">
        <v>45093.0</v>
      </c>
    </row>
    <row r="4615">
      <c r="A4615" s="5">
        <v>4614.0</v>
      </c>
      <c r="B4615" s="5" t="s">
        <v>5195</v>
      </c>
      <c r="C4615" s="5" t="s">
        <v>21</v>
      </c>
      <c r="K4615" s="5">
        <v>1200.0</v>
      </c>
      <c r="N4615" s="9">
        <v>44818.0</v>
      </c>
    </row>
    <row r="4616">
      <c r="A4616" s="5">
        <v>4615.0</v>
      </c>
      <c r="B4616" s="5" t="s">
        <v>5196</v>
      </c>
      <c r="C4616" s="5" t="s">
        <v>21</v>
      </c>
      <c r="K4616" s="5">
        <v>900.0</v>
      </c>
      <c r="N4616" s="9">
        <v>44745.0</v>
      </c>
    </row>
    <row r="4617">
      <c r="A4617" s="5">
        <v>4616.0</v>
      </c>
      <c r="B4617" s="5" t="s">
        <v>5197</v>
      </c>
      <c r="C4617" s="5" t="s">
        <v>21</v>
      </c>
      <c r="K4617" s="5">
        <v>700.0</v>
      </c>
      <c r="N4617" s="9">
        <v>44642.0</v>
      </c>
    </row>
    <row r="4618">
      <c r="A4618" s="5">
        <v>4617.0</v>
      </c>
      <c r="B4618" s="5" t="s">
        <v>5198</v>
      </c>
      <c r="C4618" s="5" t="s">
        <v>21</v>
      </c>
      <c r="K4618" s="5">
        <v>400.0</v>
      </c>
      <c r="N4618" s="9">
        <v>44915.0</v>
      </c>
    </row>
    <row r="4619">
      <c r="A4619" s="5">
        <v>4618.0</v>
      </c>
      <c r="B4619" s="5" t="s">
        <v>5199</v>
      </c>
      <c r="C4619" s="5" t="s">
        <v>21</v>
      </c>
      <c r="K4619" s="5">
        <v>17000.0</v>
      </c>
      <c r="N4619" s="9">
        <v>43927.0</v>
      </c>
    </row>
    <row r="4620">
      <c r="A4620" s="5">
        <v>4619.0</v>
      </c>
      <c r="B4620" s="5" t="s">
        <v>5200</v>
      </c>
      <c r="C4620" s="5" t="s">
        <v>21</v>
      </c>
      <c r="K4620" s="5">
        <v>450.0</v>
      </c>
      <c r="N4620" s="9">
        <v>44952.0</v>
      </c>
    </row>
    <row r="4621">
      <c r="A4621" s="5">
        <v>4620.0</v>
      </c>
      <c r="B4621" s="5" t="s">
        <v>5201</v>
      </c>
      <c r="C4621" s="5" t="s">
        <v>21</v>
      </c>
      <c r="K4621" s="5">
        <v>250.0</v>
      </c>
      <c r="N4621" s="9">
        <v>44584.0</v>
      </c>
    </row>
    <row r="4622">
      <c r="A4622" s="5">
        <v>4621.0</v>
      </c>
      <c r="B4622" s="5" t="s">
        <v>5202</v>
      </c>
      <c r="C4622" s="5" t="s">
        <v>21</v>
      </c>
      <c r="K4622" s="5">
        <v>300.0</v>
      </c>
      <c r="N4622" s="9">
        <v>44521.0</v>
      </c>
    </row>
    <row r="4623">
      <c r="A4623" s="5">
        <v>4622.0</v>
      </c>
      <c r="B4623" s="5" t="s">
        <v>5203</v>
      </c>
      <c r="C4623" s="5" t="s">
        <v>21</v>
      </c>
      <c r="K4623" s="5">
        <v>200.0</v>
      </c>
      <c r="N4623" s="9">
        <v>45192.0</v>
      </c>
    </row>
    <row r="4624">
      <c r="A4624" s="5">
        <v>4623.0</v>
      </c>
      <c r="B4624" s="5" t="s">
        <v>5204</v>
      </c>
      <c r="C4624" s="5" t="s">
        <v>21</v>
      </c>
      <c r="K4624" s="5">
        <v>200.0</v>
      </c>
      <c r="N4624" s="9">
        <v>44729.0</v>
      </c>
    </row>
    <row r="4625">
      <c r="A4625" s="5">
        <v>4624.0</v>
      </c>
      <c r="B4625" s="5" t="s">
        <v>5205</v>
      </c>
      <c r="C4625" s="5" t="s">
        <v>21</v>
      </c>
      <c r="K4625" s="5">
        <v>800.0</v>
      </c>
      <c r="N4625" s="9">
        <v>44816.0</v>
      </c>
    </row>
    <row r="4626">
      <c r="A4626" s="5">
        <v>4625.0</v>
      </c>
      <c r="B4626" s="5" t="s">
        <v>5206</v>
      </c>
      <c r="C4626" s="5" t="s">
        <v>21</v>
      </c>
      <c r="K4626" s="5">
        <v>350.0</v>
      </c>
      <c r="N4626" s="9">
        <v>44559.0</v>
      </c>
    </row>
    <row r="4627">
      <c r="A4627" s="5">
        <v>4626.0</v>
      </c>
      <c r="B4627" s="5" t="s">
        <v>5207</v>
      </c>
      <c r="C4627" s="5" t="s">
        <v>21</v>
      </c>
      <c r="K4627" s="5">
        <v>50.0</v>
      </c>
      <c r="N4627" s="9">
        <v>44572.0</v>
      </c>
    </row>
    <row r="4628">
      <c r="A4628" s="5">
        <v>4627.0</v>
      </c>
      <c r="B4628" s="5" t="s">
        <v>5208</v>
      </c>
      <c r="C4628" s="5" t="s">
        <v>21</v>
      </c>
      <c r="K4628" s="5">
        <v>1000.0</v>
      </c>
      <c r="N4628" s="9">
        <v>44881.0</v>
      </c>
    </row>
    <row r="4629">
      <c r="A4629" s="5">
        <v>4628.0</v>
      </c>
      <c r="B4629" s="5" t="s">
        <v>5209</v>
      </c>
      <c r="C4629" s="5" t="s">
        <v>21</v>
      </c>
      <c r="K4629" s="5">
        <v>250.0</v>
      </c>
      <c r="N4629" s="9">
        <v>45722.0</v>
      </c>
    </row>
    <row r="4630">
      <c r="A4630" s="5">
        <v>4629.0</v>
      </c>
      <c r="B4630" s="5" t="s">
        <v>5210</v>
      </c>
      <c r="C4630" s="5" t="s">
        <v>21</v>
      </c>
      <c r="K4630" s="5">
        <v>800.0</v>
      </c>
      <c r="N4630" s="9">
        <v>44743.0</v>
      </c>
    </row>
    <row r="4631">
      <c r="A4631" s="5">
        <v>4630.0</v>
      </c>
      <c r="B4631" s="5" t="s">
        <v>5211</v>
      </c>
      <c r="C4631" s="5" t="s">
        <v>21</v>
      </c>
      <c r="K4631" s="5">
        <v>100.0</v>
      </c>
      <c r="N4631" s="9">
        <v>45559.0</v>
      </c>
    </row>
    <row r="4632">
      <c r="A4632" s="5">
        <v>4631.0</v>
      </c>
      <c r="B4632" s="5" t="s">
        <v>5212</v>
      </c>
      <c r="C4632" s="5" t="s">
        <v>21</v>
      </c>
      <c r="K4632" s="5">
        <v>60.0</v>
      </c>
      <c r="N4632" s="9">
        <v>45457.0</v>
      </c>
    </row>
    <row r="4633">
      <c r="A4633" s="5">
        <v>4632.0</v>
      </c>
      <c r="B4633" s="5" t="s">
        <v>5213</v>
      </c>
      <c r="C4633" s="5" t="s">
        <v>21</v>
      </c>
      <c r="K4633" s="5">
        <v>3500.0</v>
      </c>
      <c r="N4633" s="9">
        <v>44392.0</v>
      </c>
    </row>
    <row r="4634">
      <c r="A4634" s="5">
        <v>4633.0</v>
      </c>
      <c r="B4634" s="5" t="s">
        <v>5214</v>
      </c>
      <c r="C4634" s="5" t="s">
        <v>21</v>
      </c>
      <c r="K4634" s="5">
        <v>20.0</v>
      </c>
      <c r="N4634" s="9">
        <v>44759.0</v>
      </c>
    </row>
    <row r="4635">
      <c r="A4635" s="5">
        <v>4634.0</v>
      </c>
      <c r="B4635" s="5" t="s">
        <v>5215</v>
      </c>
      <c r="C4635" s="5" t="s">
        <v>21</v>
      </c>
      <c r="K4635" s="5">
        <v>20.0</v>
      </c>
      <c r="N4635" s="9">
        <v>44262.0</v>
      </c>
    </row>
    <row r="4636">
      <c r="A4636" s="5">
        <v>4635.0</v>
      </c>
      <c r="B4636" s="5" t="s">
        <v>5216</v>
      </c>
      <c r="C4636" s="5" t="s">
        <v>21</v>
      </c>
      <c r="K4636" s="5">
        <v>900.0</v>
      </c>
      <c r="N4636" s="9">
        <v>44358.0</v>
      </c>
    </row>
    <row r="4637">
      <c r="A4637" s="5">
        <v>4636.0</v>
      </c>
      <c r="B4637" s="5" t="s">
        <v>5217</v>
      </c>
      <c r="C4637" s="5" t="s">
        <v>21</v>
      </c>
      <c r="K4637" s="5">
        <v>150.0</v>
      </c>
      <c r="N4637" s="9">
        <v>44578.0</v>
      </c>
    </row>
    <row r="4638">
      <c r="A4638" s="5">
        <v>4637.0</v>
      </c>
      <c r="B4638" s="5" t="s">
        <v>5218</v>
      </c>
      <c r="C4638" s="5" t="s">
        <v>21</v>
      </c>
      <c r="K4638" s="5">
        <v>100.0</v>
      </c>
      <c r="N4638" s="9">
        <v>44613.0</v>
      </c>
    </row>
    <row r="4639">
      <c r="A4639" s="5">
        <v>4638.0</v>
      </c>
      <c r="B4639" s="5" t="s">
        <v>5219</v>
      </c>
      <c r="C4639" s="5" t="s">
        <v>21</v>
      </c>
      <c r="K4639" s="5">
        <v>1400.0</v>
      </c>
      <c r="N4639" s="9">
        <v>44207.0</v>
      </c>
    </row>
    <row r="4640">
      <c r="A4640" s="5">
        <v>4639.0</v>
      </c>
      <c r="B4640" s="5" t="s">
        <v>5220</v>
      </c>
      <c r="C4640" s="5" t="s">
        <v>21</v>
      </c>
      <c r="K4640" s="5">
        <v>50.0</v>
      </c>
      <c r="N4640" s="9">
        <v>44282.0</v>
      </c>
    </row>
    <row r="4641">
      <c r="A4641" s="5">
        <v>4640.0</v>
      </c>
      <c r="B4641" s="5" t="s">
        <v>5221</v>
      </c>
      <c r="C4641" s="5" t="s">
        <v>21</v>
      </c>
      <c r="K4641" s="5">
        <v>40.0</v>
      </c>
      <c r="N4641" s="9">
        <v>44570.0</v>
      </c>
    </row>
    <row r="4642">
      <c r="A4642" s="5">
        <v>4641.0</v>
      </c>
      <c r="B4642" s="5" t="s">
        <v>5222</v>
      </c>
      <c r="C4642" s="5" t="s">
        <v>21</v>
      </c>
      <c r="K4642" s="5">
        <v>350.0</v>
      </c>
      <c r="N4642" s="9">
        <v>44290.0</v>
      </c>
    </row>
    <row r="4643">
      <c r="A4643" s="5">
        <v>4642.0</v>
      </c>
      <c r="B4643" s="5" t="s">
        <v>5223</v>
      </c>
      <c r="C4643" s="5" t="s">
        <v>21</v>
      </c>
      <c r="K4643" s="5">
        <v>300.0</v>
      </c>
      <c r="N4643" s="9">
        <v>44300.0</v>
      </c>
    </row>
    <row r="4644">
      <c r="A4644" s="5">
        <v>4643.0</v>
      </c>
      <c r="B4644" s="5" t="s">
        <v>5224</v>
      </c>
      <c r="C4644" s="5" t="s">
        <v>21</v>
      </c>
      <c r="K4644" s="5">
        <v>7000.0</v>
      </c>
      <c r="N4644" s="9">
        <v>43990.0</v>
      </c>
    </row>
    <row r="4645">
      <c r="A4645" s="5">
        <v>4644.0</v>
      </c>
      <c r="B4645" s="5" t="s">
        <v>5225</v>
      </c>
      <c r="C4645" s="5" t="s">
        <v>21</v>
      </c>
      <c r="K4645" s="5">
        <v>900.0</v>
      </c>
      <c r="N4645" s="9">
        <v>44855.0</v>
      </c>
    </row>
    <row r="4646">
      <c r="A4646" s="5">
        <v>4645.0</v>
      </c>
      <c r="B4646" s="5" t="s">
        <v>5226</v>
      </c>
      <c r="C4646" s="5" t="s">
        <v>21</v>
      </c>
      <c r="K4646" s="5">
        <v>20.0</v>
      </c>
      <c r="N4646" s="9">
        <v>43890.0</v>
      </c>
    </row>
    <row r="4647">
      <c r="A4647" s="5">
        <v>4646.0</v>
      </c>
      <c r="B4647" s="5" t="s">
        <v>205</v>
      </c>
      <c r="C4647" s="5" t="s">
        <v>21</v>
      </c>
      <c r="K4647" s="5">
        <v>1100.0</v>
      </c>
      <c r="N4647" s="9">
        <v>44015.0</v>
      </c>
    </row>
    <row r="4648">
      <c r="A4648" s="5">
        <v>4647.0</v>
      </c>
      <c r="B4648" s="5" t="s">
        <v>5227</v>
      </c>
      <c r="C4648" s="5" t="s">
        <v>21</v>
      </c>
      <c r="K4648" s="5">
        <v>350.0</v>
      </c>
      <c r="N4648" s="9">
        <v>44777.0</v>
      </c>
    </row>
    <row r="4649">
      <c r="A4649" s="5">
        <v>4648.0</v>
      </c>
      <c r="B4649" s="5" t="s">
        <v>5228</v>
      </c>
      <c r="C4649" s="5" t="s">
        <v>21</v>
      </c>
      <c r="K4649" s="5">
        <v>500.0</v>
      </c>
      <c r="N4649" s="9">
        <v>44717.0</v>
      </c>
    </row>
    <row r="4650">
      <c r="A4650" s="5">
        <v>4649.0</v>
      </c>
      <c r="B4650" s="5" t="s">
        <v>5229</v>
      </c>
      <c r="C4650" s="5" t="s">
        <v>21</v>
      </c>
      <c r="K4650" s="5">
        <v>250.0</v>
      </c>
      <c r="N4650" s="9">
        <v>44381.0</v>
      </c>
    </row>
    <row r="4651">
      <c r="A4651" s="5">
        <v>4650.0</v>
      </c>
      <c r="B4651" s="5" t="s">
        <v>5230</v>
      </c>
      <c r="C4651" s="5" t="s">
        <v>21</v>
      </c>
      <c r="K4651" s="5">
        <v>3200.0</v>
      </c>
      <c r="N4651" s="9">
        <v>44311.0</v>
      </c>
    </row>
    <row r="4652">
      <c r="A4652" s="5">
        <v>4651.0</v>
      </c>
      <c r="B4652" s="5" t="s">
        <v>157</v>
      </c>
      <c r="C4652" s="5" t="s">
        <v>21</v>
      </c>
      <c r="K4652" s="5">
        <v>150.0</v>
      </c>
      <c r="N4652" s="9">
        <v>43888.0</v>
      </c>
    </row>
    <row r="4653">
      <c r="A4653" s="5">
        <v>4652.0</v>
      </c>
      <c r="B4653" s="5" t="s">
        <v>5231</v>
      </c>
      <c r="C4653" s="5" t="s">
        <v>21</v>
      </c>
      <c r="K4653" s="5">
        <v>150.0</v>
      </c>
      <c r="N4653" s="9">
        <v>45049.0</v>
      </c>
    </row>
    <row r="4654">
      <c r="A4654" s="5">
        <v>4653.0</v>
      </c>
      <c r="B4654" s="5" t="s">
        <v>5232</v>
      </c>
      <c r="C4654" s="5" t="s">
        <v>21</v>
      </c>
      <c r="K4654" s="5">
        <v>200.0</v>
      </c>
      <c r="N4654" s="9">
        <v>44530.0</v>
      </c>
    </row>
    <row r="4655">
      <c r="A4655" s="5">
        <v>4654.0</v>
      </c>
      <c r="B4655" s="5" t="s">
        <v>5233</v>
      </c>
      <c r="C4655" s="5" t="s">
        <v>21</v>
      </c>
      <c r="K4655" s="5">
        <v>700.0</v>
      </c>
      <c r="N4655" s="9">
        <v>45641.0</v>
      </c>
    </row>
    <row r="4656">
      <c r="A4656" s="5">
        <v>4655.0</v>
      </c>
      <c r="B4656" s="5" t="s">
        <v>5234</v>
      </c>
      <c r="C4656" s="5" t="s">
        <v>21</v>
      </c>
      <c r="K4656" s="5">
        <v>500.0</v>
      </c>
      <c r="N4656" s="9">
        <v>44546.0</v>
      </c>
    </row>
    <row r="4657">
      <c r="A4657" s="5">
        <v>4656.0</v>
      </c>
      <c r="B4657" s="5" t="s">
        <v>5235</v>
      </c>
      <c r="C4657" s="5" t="s">
        <v>21</v>
      </c>
      <c r="K4657" s="5">
        <v>900.0</v>
      </c>
      <c r="N4657" s="9">
        <v>45524.0</v>
      </c>
    </row>
    <row r="4658">
      <c r="A4658" s="5">
        <v>4657.0</v>
      </c>
      <c r="B4658" s="5" t="s">
        <v>5236</v>
      </c>
      <c r="C4658" s="5" t="s">
        <v>21</v>
      </c>
      <c r="K4658" s="5">
        <v>50.0</v>
      </c>
      <c r="N4658" s="9">
        <v>44039.0</v>
      </c>
    </row>
    <row r="4659">
      <c r="A4659" s="5">
        <v>4658.0</v>
      </c>
      <c r="B4659" s="5" t="s">
        <v>5237</v>
      </c>
      <c r="C4659" s="5" t="s">
        <v>21</v>
      </c>
      <c r="K4659" s="5">
        <v>100.0</v>
      </c>
      <c r="N4659" s="9">
        <v>44596.0</v>
      </c>
    </row>
    <row r="4660">
      <c r="A4660" s="5">
        <v>4659.0</v>
      </c>
      <c r="B4660" s="5" t="s">
        <v>5238</v>
      </c>
      <c r="C4660" s="5" t="s">
        <v>21</v>
      </c>
      <c r="K4660" s="5">
        <v>450.0</v>
      </c>
      <c r="N4660" s="9">
        <v>44807.0</v>
      </c>
    </row>
    <row r="4661">
      <c r="A4661" s="5">
        <v>4660.0</v>
      </c>
      <c r="B4661" s="5" t="s">
        <v>5239</v>
      </c>
      <c r="C4661" s="5" t="s">
        <v>21</v>
      </c>
      <c r="K4661" s="5">
        <v>350.0</v>
      </c>
      <c r="N4661" s="9">
        <v>44554.0</v>
      </c>
    </row>
    <row r="4662">
      <c r="A4662" s="5">
        <v>4661.0</v>
      </c>
      <c r="B4662" s="5" t="s">
        <v>5240</v>
      </c>
      <c r="C4662" s="5" t="s">
        <v>21</v>
      </c>
      <c r="K4662" s="5">
        <v>50.0</v>
      </c>
      <c r="N4662" s="9">
        <v>44665.0</v>
      </c>
    </row>
    <row r="4663">
      <c r="A4663" s="5">
        <v>4662.0</v>
      </c>
      <c r="B4663" s="5" t="s">
        <v>5241</v>
      </c>
      <c r="C4663" s="5" t="s">
        <v>21</v>
      </c>
      <c r="N4663" s="9">
        <v>44707.0</v>
      </c>
    </row>
    <row r="4664">
      <c r="A4664" s="5">
        <v>4663.0</v>
      </c>
      <c r="B4664" s="5" t="s">
        <v>5242</v>
      </c>
      <c r="C4664" s="5" t="s">
        <v>21</v>
      </c>
      <c r="K4664" s="5">
        <v>150.0</v>
      </c>
      <c r="N4664" s="9">
        <v>44564.0</v>
      </c>
    </row>
    <row r="4665">
      <c r="A4665" s="5">
        <v>4664.0</v>
      </c>
      <c r="B4665" s="5" t="s">
        <v>5243</v>
      </c>
      <c r="C4665" s="5" t="s">
        <v>21</v>
      </c>
      <c r="K4665" s="5">
        <v>100.0</v>
      </c>
      <c r="N4665" s="9">
        <v>45056.0</v>
      </c>
    </row>
    <row r="4666">
      <c r="A4666" s="5">
        <v>4665.0</v>
      </c>
      <c r="B4666" s="5" t="s">
        <v>5244</v>
      </c>
      <c r="C4666" s="5" t="s">
        <v>21</v>
      </c>
      <c r="K4666" s="5">
        <v>10000.0</v>
      </c>
      <c r="N4666" s="9">
        <v>44548.0</v>
      </c>
    </row>
    <row r="4667">
      <c r="A4667" s="5">
        <v>4666.0</v>
      </c>
      <c r="B4667" s="5" t="s">
        <v>5245</v>
      </c>
      <c r="C4667" s="5" t="s">
        <v>21</v>
      </c>
      <c r="K4667" s="5">
        <v>500.0</v>
      </c>
      <c r="N4667" s="9">
        <v>44738.0</v>
      </c>
    </row>
    <row r="4668">
      <c r="A4668" s="5">
        <v>4667.0</v>
      </c>
      <c r="B4668" s="5" t="s">
        <v>5246</v>
      </c>
      <c r="C4668" s="5" t="s">
        <v>21</v>
      </c>
      <c r="K4668" s="5">
        <v>10.0</v>
      </c>
      <c r="N4668" s="9">
        <v>44617.0</v>
      </c>
    </row>
    <row r="4669">
      <c r="A4669" s="5">
        <v>4668.0</v>
      </c>
      <c r="B4669" s="5" t="s">
        <v>5247</v>
      </c>
      <c r="C4669" s="5" t="s">
        <v>21</v>
      </c>
      <c r="K4669" s="5">
        <v>1600.0</v>
      </c>
      <c r="N4669" s="9">
        <v>44332.0</v>
      </c>
    </row>
    <row r="4670">
      <c r="A4670" s="5">
        <v>4669.0</v>
      </c>
      <c r="B4670" s="5" t="s">
        <v>5248</v>
      </c>
      <c r="C4670" s="5" t="s">
        <v>21</v>
      </c>
      <c r="K4670" s="5">
        <v>400.0</v>
      </c>
      <c r="N4670" s="9">
        <v>45302.0</v>
      </c>
    </row>
    <row r="4671">
      <c r="A4671" s="5">
        <v>4670.0</v>
      </c>
      <c r="B4671" s="5" t="s">
        <v>5249</v>
      </c>
      <c r="C4671" s="5" t="s">
        <v>21</v>
      </c>
      <c r="K4671" s="5">
        <v>800.0</v>
      </c>
      <c r="N4671" s="9">
        <v>44595.0</v>
      </c>
    </row>
    <row r="4672">
      <c r="A4672" s="5">
        <v>4671.0</v>
      </c>
      <c r="B4672" s="5" t="s">
        <v>5250</v>
      </c>
      <c r="C4672" s="5" t="s">
        <v>21</v>
      </c>
      <c r="K4672" s="5">
        <v>80.0</v>
      </c>
      <c r="N4672" s="9">
        <v>44602.0</v>
      </c>
    </row>
    <row r="4673">
      <c r="A4673" s="5">
        <v>4672.0</v>
      </c>
      <c r="B4673" s="5" t="s">
        <v>5251</v>
      </c>
      <c r="C4673" s="5" t="s">
        <v>21</v>
      </c>
      <c r="K4673" s="5">
        <v>2600.0</v>
      </c>
      <c r="N4673" s="9">
        <v>44518.0</v>
      </c>
    </row>
    <row r="4674">
      <c r="A4674" s="5">
        <v>4673.0</v>
      </c>
      <c r="B4674" s="5" t="s">
        <v>5252</v>
      </c>
      <c r="C4674" s="5" t="s">
        <v>21</v>
      </c>
      <c r="K4674" s="5">
        <v>3700.0</v>
      </c>
      <c r="N4674" s="9">
        <v>44402.0</v>
      </c>
    </row>
    <row r="4675">
      <c r="A4675" s="5">
        <v>4674.0</v>
      </c>
      <c r="B4675" s="5" t="s">
        <v>5253</v>
      </c>
      <c r="C4675" s="5" t="s">
        <v>21</v>
      </c>
      <c r="K4675" s="5">
        <v>10.0</v>
      </c>
      <c r="N4675" s="9">
        <v>44873.0</v>
      </c>
    </row>
    <row r="4676">
      <c r="A4676" s="5">
        <v>4675.0</v>
      </c>
      <c r="B4676" s="5" t="s">
        <v>5254</v>
      </c>
      <c r="C4676" s="5" t="s">
        <v>21</v>
      </c>
      <c r="K4676" s="5">
        <v>200.0</v>
      </c>
      <c r="N4676" s="9">
        <v>44807.0</v>
      </c>
    </row>
    <row r="4677">
      <c r="A4677" s="5">
        <v>4676.0</v>
      </c>
      <c r="B4677" s="5" t="s">
        <v>5255</v>
      </c>
      <c r="C4677" s="5" t="s">
        <v>21</v>
      </c>
      <c r="K4677" s="5">
        <v>250.0</v>
      </c>
      <c r="N4677" s="9">
        <v>43051.0</v>
      </c>
    </row>
    <row r="4678">
      <c r="A4678" s="5">
        <v>4677.0</v>
      </c>
      <c r="B4678" s="5" t="s">
        <v>5256</v>
      </c>
      <c r="C4678" s="5" t="s">
        <v>21</v>
      </c>
      <c r="K4678" s="5">
        <v>450.0</v>
      </c>
      <c r="N4678" s="9">
        <v>44691.0</v>
      </c>
    </row>
    <row r="4679">
      <c r="A4679" s="5">
        <v>4678.0</v>
      </c>
      <c r="B4679" s="5" t="s">
        <v>5257</v>
      </c>
      <c r="C4679" s="5" t="s">
        <v>21</v>
      </c>
      <c r="K4679" s="5">
        <v>500.0</v>
      </c>
      <c r="N4679" s="9">
        <v>44662.0</v>
      </c>
    </row>
    <row r="4680">
      <c r="A4680" s="5">
        <v>4679.0</v>
      </c>
      <c r="B4680" s="5" t="s">
        <v>5258</v>
      </c>
      <c r="C4680" s="5" t="s">
        <v>21</v>
      </c>
      <c r="K4680" s="5">
        <v>450.0</v>
      </c>
      <c r="N4680" s="9">
        <v>45090.0</v>
      </c>
    </row>
    <row r="4681">
      <c r="A4681" s="5">
        <v>4680.0</v>
      </c>
      <c r="B4681" s="5" t="s">
        <v>5259</v>
      </c>
      <c r="C4681" s="5" t="s">
        <v>21</v>
      </c>
      <c r="K4681" s="5">
        <v>300.0</v>
      </c>
      <c r="N4681" s="9">
        <v>44883.0</v>
      </c>
    </row>
    <row r="4682">
      <c r="A4682" s="5">
        <v>4681.0</v>
      </c>
      <c r="B4682" s="5" t="s">
        <v>5260</v>
      </c>
      <c r="C4682" s="5" t="s">
        <v>21</v>
      </c>
      <c r="K4682" s="5">
        <v>900.0</v>
      </c>
      <c r="N4682" s="9">
        <v>43857.0</v>
      </c>
    </row>
    <row r="4683">
      <c r="A4683" s="5">
        <v>4682.0</v>
      </c>
      <c r="B4683" s="5" t="s">
        <v>5261</v>
      </c>
      <c r="C4683" s="5" t="s">
        <v>21</v>
      </c>
      <c r="K4683" s="5">
        <v>450.0</v>
      </c>
      <c r="N4683" s="9">
        <v>44756.0</v>
      </c>
    </row>
    <row r="4684">
      <c r="A4684" s="5">
        <v>4683.0</v>
      </c>
      <c r="B4684" s="5" t="s">
        <v>5262</v>
      </c>
      <c r="C4684" s="5" t="s">
        <v>21</v>
      </c>
      <c r="K4684" s="5">
        <v>600.0</v>
      </c>
      <c r="N4684" s="9">
        <v>44598.0</v>
      </c>
    </row>
    <row r="4685">
      <c r="A4685" s="5">
        <v>4684.0</v>
      </c>
      <c r="B4685" s="5" t="s">
        <v>5263</v>
      </c>
      <c r="C4685" s="5" t="s">
        <v>21</v>
      </c>
      <c r="K4685" s="5">
        <v>100.0</v>
      </c>
      <c r="N4685" s="9">
        <v>44078.0</v>
      </c>
    </row>
    <row r="4686">
      <c r="A4686" s="5">
        <v>4685.0</v>
      </c>
      <c r="B4686" s="5" t="s">
        <v>5264</v>
      </c>
      <c r="C4686" s="5" t="s">
        <v>21</v>
      </c>
      <c r="K4686" s="5">
        <v>40.0</v>
      </c>
      <c r="N4686" s="9">
        <v>45160.0</v>
      </c>
    </row>
    <row r="4687">
      <c r="A4687" s="5">
        <v>4686.0</v>
      </c>
      <c r="B4687" s="5" t="s">
        <v>5265</v>
      </c>
      <c r="C4687" s="5" t="s">
        <v>21</v>
      </c>
      <c r="K4687" s="5">
        <v>600.0</v>
      </c>
      <c r="N4687" s="9">
        <v>45625.0</v>
      </c>
    </row>
    <row r="4688">
      <c r="A4688" s="5">
        <v>4687.0</v>
      </c>
      <c r="B4688" s="5" t="s">
        <v>5266</v>
      </c>
      <c r="C4688" s="5" t="s">
        <v>21</v>
      </c>
      <c r="K4688" s="5">
        <v>150.0</v>
      </c>
      <c r="N4688" s="9">
        <v>44607.0</v>
      </c>
    </row>
    <row r="4689">
      <c r="A4689" s="5">
        <v>4688.0</v>
      </c>
      <c r="B4689" s="5" t="s">
        <v>5267</v>
      </c>
      <c r="C4689" s="5" t="s">
        <v>21</v>
      </c>
      <c r="K4689" s="5">
        <v>300.0</v>
      </c>
      <c r="N4689" s="9">
        <v>45086.0</v>
      </c>
    </row>
    <row r="4690">
      <c r="A4690" s="5">
        <v>4689.0</v>
      </c>
      <c r="B4690" s="5" t="s">
        <v>5268</v>
      </c>
      <c r="C4690" s="5" t="s">
        <v>21</v>
      </c>
      <c r="K4690" s="5">
        <v>450.0</v>
      </c>
      <c r="N4690" s="9">
        <v>45554.0</v>
      </c>
    </row>
    <row r="4691">
      <c r="A4691" s="5">
        <v>4690.0</v>
      </c>
      <c r="B4691" s="5" t="s">
        <v>5269</v>
      </c>
      <c r="C4691" s="5" t="s">
        <v>21</v>
      </c>
      <c r="K4691" s="5">
        <v>100.0</v>
      </c>
      <c r="N4691" s="9">
        <v>44803.0</v>
      </c>
    </row>
    <row r="4692">
      <c r="A4692" s="5">
        <v>4691.0</v>
      </c>
      <c r="B4692" s="5" t="s">
        <v>5270</v>
      </c>
      <c r="C4692" s="5" t="s">
        <v>21</v>
      </c>
      <c r="K4692" s="5">
        <v>2100.0</v>
      </c>
      <c r="N4692" s="9">
        <v>44594.0</v>
      </c>
    </row>
    <row r="4693">
      <c r="A4693" s="5">
        <v>4692.0</v>
      </c>
      <c r="B4693" s="5" t="s">
        <v>5271</v>
      </c>
      <c r="C4693" s="5" t="s">
        <v>21</v>
      </c>
      <c r="K4693" s="5">
        <v>80.0</v>
      </c>
      <c r="N4693" s="9">
        <v>44958.0</v>
      </c>
    </row>
    <row r="4694">
      <c r="A4694" s="5">
        <v>4693.0</v>
      </c>
      <c r="B4694" s="5" t="s">
        <v>160</v>
      </c>
      <c r="C4694" s="5" t="s">
        <v>21</v>
      </c>
      <c r="K4694" s="5">
        <v>350.0</v>
      </c>
      <c r="N4694" s="9">
        <v>44037.0</v>
      </c>
    </row>
    <row r="4695">
      <c r="A4695" s="5">
        <v>4694.0</v>
      </c>
      <c r="B4695" s="5" t="s">
        <v>5272</v>
      </c>
      <c r="C4695" s="5" t="s">
        <v>21</v>
      </c>
      <c r="K4695" s="5">
        <v>350.0</v>
      </c>
      <c r="N4695" s="9">
        <v>44626.0</v>
      </c>
    </row>
    <row r="4696">
      <c r="A4696" s="5">
        <v>4695.0</v>
      </c>
      <c r="B4696" s="5" t="s">
        <v>5273</v>
      </c>
      <c r="C4696" s="5" t="s">
        <v>21</v>
      </c>
      <c r="N4696" s="9">
        <v>44585.0</v>
      </c>
    </row>
    <row r="4697">
      <c r="A4697" s="5">
        <v>4696.0</v>
      </c>
      <c r="B4697" s="5" t="s">
        <v>5274</v>
      </c>
      <c r="C4697" s="5" t="s">
        <v>21</v>
      </c>
      <c r="N4697" s="9">
        <v>44433.0</v>
      </c>
    </row>
    <row r="4698">
      <c r="A4698" s="5">
        <v>4697.0</v>
      </c>
      <c r="B4698" s="5" t="s">
        <v>5275</v>
      </c>
      <c r="C4698" s="5" t="s">
        <v>21</v>
      </c>
      <c r="K4698" s="5">
        <v>100.0</v>
      </c>
      <c r="N4698" s="9">
        <v>44032.0</v>
      </c>
    </row>
    <row r="4699">
      <c r="A4699" s="5">
        <v>4698.0</v>
      </c>
      <c r="B4699" s="5" t="s">
        <v>5276</v>
      </c>
      <c r="C4699" s="5" t="s">
        <v>21</v>
      </c>
      <c r="K4699" s="5">
        <v>200.0</v>
      </c>
      <c r="N4699" s="9">
        <v>44973.0</v>
      </c>
    </row>
    <row r="4700">
      <c r="A4700" s="5">
        <v>4699.0</v>
      </c>
      <c r="B4700" s="5" t="s">
        <v>5277</v>
      </c>
      <c r="C4700" s="5" t="s">
        <v>21</v>
      </c>
      <c r="K4700" s="5">
        <v>1700.0</v>
      </c>
      <c r="N4700" s="9">
        <v>44532.0</v>
      </c>
    </row>
    <row r="4701">
      <c r="A4701" s="5">
        <v>4700.0</v>
      </c>
      <c r="B4701" s="5" t="s">
        <v>5278</v>
      </c>
      <c r="C4701" s="5" t="s">
        <v>21</v>
      </c>
      <c r="K4701" s="5">
        <v>1700.0</v>
      </c>
      <c r="N4701" s="9">
        <v>44419.0</v>
      </c>
    </row>
    <row r="4702">
      <c r="A4702" s="5">
        <v>4701.0</v>
      </c>
      <c r="B4702" s="5" t="s">
        <v>5279</v>
      </c>
      <c r="C4702" s="5" t="s">
        <v>21</v>
      </c>
      <c r="K4702" s="5">
        <v>150.0</v>
      </c>
      <c r="N4702" s="9">
        <v>42516.0</v>
      </c>
    </row>
    <row r="4703">
      <c r="A4703" s="5">
        <v>4702.0</v>
      </c>
      <c r="B4703" s="5" t="s">
        <v>5280</v>
      </c>
      <c r="C4703" s="5" t="s">
        <v>21</v>
      </c>
      <c r="K4703" s="5">
        <v>3500.0</v>
      </c>
      <c r="N4703" s="9">
        <v>44204.0</v>
      </c>
    </row>
    <row r="4704">
      <c r="A4704" s="5">
        <v>4703.0</v>
      </c>
      <c r="B4704" s="5" t="s">
        <v>5281</v>
      </c>
      <c r="C4704" s="5" t="s">
        <v>21</v>
      </c>
      <c r="K4704" s="5">
        <v>250.0</v>
      </c>
      <c r="N4704" s="9">
        <v>45489.0</v>
      </c>
    </row>
    <row r="4705">
      <c r="A4705" s="5">
        <v>4704.0</v>
      </c>
      <c r="B4705" s="5" t="s">
        <v>5282</v>
      </c>
      <c r="C4705" s="5" t="s">
        <v>21</v>
      </c>
      <c r="K4705" s="5">
        <v>900.0</v>
      </c>
      <c r="N4705" s="9">
        <v>43851.0</v>
      </c>
    </row>
    <row r="4706">
      <c r="A4706" s="5">
        <v>4705.0</v>
      </c>
      <c r="B4706" s="5" t="s">
        <v>5283</v>
      </c>
      <c r="C4706" s="5" t="s">
        <v>21</v>
      </c>
      <c r="K4706" s="5">
        <v>350.0</v>
      </c>
      <c r="N4706" s="9">
        <v>44708.0</v>
      </c>
    </row>
    <row r="4707">
      <c r="A4707" s="5">
        <v>4706.0</v>
      </c>
      <c r="B4707" s="5" t="s">
        <v>5284</v>
      </c>
      <c r="C4707" s="5" t="s">
        <v>21</v>
      </c>
      <c r="K4707" s="5">
        <v>300.0</v>
      </c>
      <c r="N4707" s="9">
        <v>44400.0</v>
      </c>
    </row>
    <row r="4708">
      <c r="A4708" s="5">
        <v>4707.0</v>
      </c>
      <c r="B4708" s="5" t="s">
        <v>5285</v>
      </c>
      <c r="C4708" s="5" t="s">
        <v>21</v>
      </c>
      <c r="K4708" s="5">
        <v>250.0</v>
      </c>
      <c r="N4708" s="9">
        <v>45074.0</v>
      </c>
    </row>
    <row r="4709">
      <c r="A4709" s="5">
        <v>4708.0</v>
      </c>
      <c r="B4709" s="5" t="s">
        <v>5286</v>
      </c>
      <c r="C4709" s="5" t="s">
        <v>21</v>
      </c>
      <c r="K4709" s="5">
        <v>450.0</v>
      </c>
      <c r="N4709" s="9">
        <v>44741.0</v>
      </c>
    </row>
    <row r="4710">
      <c r="A4710" s="5">
        <v>4709.0</v>
      </c>
      <c r="B4710" s="5" t="s">
        <v>5287</v>
      </c>
      <c r="C4710" s="5" t="s">
        <v>21</v>
      </c>
      <c r="K4710" s="5">
        <v>350.0</v>
      </c>
      <c r="N4710" s="9">
        <v>45783.0</v>
      </c>
    </row>
    <row r="4711">
      <c r="A4711" s="5">
        <v>4710.0</v>
      </c>
      <c r="B4711" s="5" t="s">
        <v>5288</v>
      </c>
      <c r="C4711" s="5" t="s">
        <v>21</v>
      </c>
      <c r="K4711" s="5">
        <v>250.0</v>
      </c>
      <c r="N4711" s="9">
        <v>44379.0</v>
      </c>
    </row>
    <row r="4712">
      <c r="A4712" s="5">
        <v>4711.0</v>
      </c>
      <c r="B4712" s="5" t="s">
        <v>5289</v>
      </c>
      <c r="C4712" s="5" t="s">
        <v>21</v>
      </c>
      <c r="K4712" s="5">
        <v>1500.0</v>
      </c>
      <c r="N4712" s="9">
        <v>44021.0</v>
      </c>
    </row>
    <row r="4713">
      <c r="A4713" s="5">
        <v>4712.0</v>
      </c>
      <c r="B4713" s="5" t="s">
        <v>5290</v>
      </c>
      <c r="C4713" s="5" t="s">
        <v>21</v>
      </c>
      <c r="K4713" s="5">
        <v>700.0</v>
      </c>
      <c r="N4713" s="9">
        <v>44815.0</v>
      </c>
    </row>
    <row r="4714">
      <c r="A4714" s="5">
        <v>4713.0</v>
      </c>
      <c r="B4714" s="5" t="s">
        <v>5291</v>
      </c>
      <c r="C4714" s="5" t="s">
        <v>21</v>
      </c>
      <c r="K4714" s="5">
        <v>200.0</v>
      </c>
      <c r="N4714" s="9">
        <v>45725.0</v>
      </c>
    </row>
    <row r="4715">
      <c r="A4715" s="5">
        <v>4714.0</v>
      </c>
      <c r="B4715" s="5" t="s">
        <v>5292</v>
      </c>
      <c r="C4715" s="5" t="s">
        <v>21</v>
      </c>
      <c r="K4715" s="5">
        <v>600.0</v>
      </c>
      <c r="N4715" s="9">
        <v>44528.0</v>
      </c>
    </row>
    <row r="4716">
      <c r="A4716" s="5">
        <v>4715.0</v>
      </c>
      <c r="B4716" s="5" t="s">
        <v>5293</v>
      </c>
      <c r="C4716" s="5" t="s">
        <v>21</v>
      </c>
      <c r="K4716" s="5">
        <v>10.0</v>
      </c>
      <c r="N4716" s="9">
        <v>45589.0</v>
      </c>
    </row>
    <row r="4717">
      <c r="A4717" s="5">
        <v>4716.0</v>
      </c>
      <c r="B4717" s="5" t="s">
        <v>5294</v>
      </c>
      <c r="C4717" s="5" t="s">
        <v>21</v>
      </c>
      <c r="K4717" s="5">
        <v>1400.0</v>
      </c>
      <c r="N4717" s="9">
        <v>44464.0</v>
      </c>
    </row>
    <row r="4718">
      <c r="A4718" s="5">
        <v>4717.0</v>
      </c>
      <c r="B4718" s="5" t="s">
        <v>5295</v>
      </c>
      <c r="C4718" s="5" t="s">
        <v>21</v>
      </c>
      <c r="K4718" s="5">
        <v>1700.0</v>
      </c>
      <c r="N4718" s="9">
        <v>44516.0</v>
      </c>
    </row>
    <row r="4719">
      <c r="A4719" s="5">
        <v>4718.0</v>
      </c>
      <c r="B4719" s="5" t="s">
        <v>5296</v>
      </c>
      <c r="C4719" s="5" t="s">
        <v>21</v>
      </c>
      <c r="N4719" s="9">
        <v>44529.0</v>
      </c>
    </row>
    <row r="4720">
      <c r="A4720" s="5">
        <v>4719.0</v>
      </c>
      <c r="B4720" s="5" t="s">
        <v>5297</v>
      </c>
      <c r="C4720" s="5" t="s">
        <v>21</v>
      </c>
      <c r="K4720" s="5">
        <v>300.0</v>
      </c>
      <c r="N4720" s="9">
        <v>43956.0</v>
      </c>
    </row>
    <row r="4721">
      <c r="A4721" s="5">
        <v>4720.0</v>
      </c>
      <c r="B4721" s="5" t="s">
        <v>5298</v>
      </c>
      <c r="C4721" s="5" t="s">
        <v>21</v>
      </c>
      <c r="K4721" s="5">
        <v>100.0</v>
      </c>
      <c r="N4721" s="9">
        <v>44719.0</v>
      </c>
    </row>
    <row r="4722">
      <c r="A4722" s="5">
        <v>4721.0</v>
      </c>
      <c r="B4722" s="5" t="s">
        <v>5299</v>
      </c>
      <c r="C4722" s="5" t="s">
        <v>21</v>
      </c>
      <c r="K4722" s="5">
        <v>40.0</v>
      </c>
      <c r="N4722" s="9">
        <v>44520.0</v>
      </c>
    </row>
    <row r="4723">
      <c r="A4723" s="5">
        <v>4722.0</v>
      </c>
      <c r="B4723" s="5" t="s">
        <v>5300</v>
      </c>
      <c r="C4723" s="5" t="s">
        <v>21</v>
      </c>
      <c r="K4723" s="5">
        <v>1700.0</v>
      </c>
      <c r="N4723" s="9">
        <v>45167.0</v>
      </c>
    </row>
    <row r="4724">
      <c r="A4724" s="5">
        <v>4723.0</v>
      </c>
      <c r="B4724" s="5" t="s">
        <v>5301</v>
      </c>
      <c r="C4724" s="5" t="s">
        <v>21</v>
      </c>
      <c r="K4724" s="5">
        <v>800.0</v>
      </c>
      <c r="N4724" s="9">
        <v>44132.0</v>
      </c>
    </row>
    <row r="4725">
      <c r="A4725" s="5">
        <v>4724.0</v>
      </c>
      <c r="B4725" s="5" t="s">
        <v>5302</v>
      </c>
      <c r="C4725" s="5" t="s">
        <v>21</v>
      </c>
      <c r="K4725" s="5">
        <v>700.0</v>
      </c>
      <c r="N4725" s="9">
        <v>43873.0</v>
      </c>
    </row>
    <row r="4726">
      <c r="A4726" s="5">
        <v>4725.0</v>
      </c>
      <c r="B4726" s="5" t="s">
        <v>5303</v>
      </c>
      <c r="C4726" s="5" t="s">
        <v>21</v>
      </c>
      <c r="K4726" s="5">
        <v>200.0</v>
      </c>
      <c r="N4726" s="9">
        <v>44093.0</v>
      </c>
    </row>
    <row r="4727">
      <c r="A4727" s="5">
        <v>4726.0</v>
      </c>
      <c r="B4727" s="5" t="s">
        <v>5304</v>
      </c>
      <c r="C4727" s="5" t="s">
        <v>21</v>
      </c>
      <c r="K4727" s="5">
        <v>60.0</v>
      </c>
      <c r="N4727" s="9">
        <v>45171.0</v>
      </c>
    </row>
    <row r="4728">
      <c r="A4728" s="5">
        <v>4727.0</v>
      </c>
      <c r="B4728" s="5" t="s">
        <v>5305</v>
      </c>
      <c r="C4728" s="5" t="s">
        <v>21</v>
      </c>
      <c r="K4728" s="5">
        <v>350.0</v>
      </c>
      <c r="N4728" s="9">
        <v>44652.0</v>
      </c>
    </row>
    <row r="4729">
      <c r="A4729" s="5">
        <v>4728.0</v>
      </c>
      <c r="B4729" s="5" t="s">
        <v>5306</v>
      </c>
      <c r="C4729" s="5" t="s">
        <v>21</v>
      </c>
      <c r="K4729" s="5">
        <v>3800.0</v>
      </c>
      <c r="N4729" s="9">
        <v>45537.0</v>
      </c>
    </row>
    <row r="4730">
      <c r="A4730" s="5">
        <v>4729.0</v>
      </c>
      <c r="B4730" s="5" t="s">
        <v>5307</v>
      </c>
      <c r="C4730" s="5" t="s">
        <v>21</v>
      </c>
      <c r="K4730" s="5">
        <v>10.0</v>
      </c>
      <c r="N4730" s="9">
        <v>43927.0</v>
      </c>
    </row>
    <row r="4731">
      <c r="A4731" s="5">
        <v>4730.0</v>
      </c>
      <c r="B4731" s="5" t="s">
        <v>5308</v>
      </c>
      <c r="C4731" s="5" t="s">
        <v>21</v>
      </c>
      <c r="K4731" s="5">
        <v>30.0</v>
      </c>
      <c r="N4731" s="9">
        <v>44862.0</v>
      </c>
    </row>
    <row r="4732">
      <c r="A4732" s="5">
        <v>4731.0</v>
      </c>
      <c r="B4732" s="5" t="s">
        <v>5309</v>
      </c>
      <c r="C4732" s="5" t="s">
        <v>21</v>
      </c>
      <c r="K4732" s="5">
        <v>450.0</v>
      </c>
      <c r="N4732" s="9">
        <v>44502.0</v>
      </c>
    </row>
    <row r="4733">
      <c r="A4733" s="5">
        <v>4732.0</v>
      </c>
      <c r="B4733" s="5" t="s">
        <v>5310</v>
      </c>
      <c r="C4733" s="5" t="s">
        <v>21</v>
      </c>
      <c r="K4733" s="5">
        <v>200.0</v>
      </c>
      <c r="N4733" s="9">
        <v>44411.0</v>
      </c>
    </row>
    <row r="4734">
      <c r="A4734" s="5">
        <v>4733.0</v>
      </c>
      <c r="B4734" s="5" t="s">
        <v>5311</v>
      </c>
      <c r="C4734" s="5" t="s">
        <v>21</v>
      </c>
      <c r="K4734" s="5">
        <v>40.0</v>
      </c>
      <c r="N4734" s="9">
        <v>44602.0</v>
      </c>
    </row>
    <row r="4735">
      <c r="A4735" s="5">
        <v>4734.0</v>
      </c>
      <c r="B4735" s="5" t="s">
        <v>5312</v>
      </c>
      <c r="C4735" s="5" t="s">
        <v>21</v>
      </c>
      <c r="K4735" s="5">
        <v>40.0</v>
      </c>
      <c r="N4735" s="9">
        <v>43845.0</v>
      </c>
    </row>
    <row r="4736">
      <c r="A4736" s="5">
        <v>4735.0</v>
      </c>
      <c r="B4736" s="5" t="s">
        <v>5313</v>
      </c>
      <c r="C4736" s="5" t="s">
        <v>21</v>
      </c>
      <c r="K4736" s="5">
        <v>1300.0</v>
      </c>
      <c r="N4736" s="9">
        <v>44978.0</v>
      </c>
    </row>
    <row r="4737">
      <c r="A4737" s="5">
        <v>4736.0</v>
      </c>
      <c r="B4737" s="5" t="s">
        <v>5314</v>
      </c>
      <c r="C4737" s="5" t="s">
        <v>21</v>
      </c>
      <c r="K4737" s="5">
        <v>700.0</v>
      </c>
      <c r="N4737" s="9">
        <v>44646.0</v>
      </c>
    </row>
    <row r="4738">
      <c r="A4738" s="5">
        <v>4737.0</v>
      </c>
      <c r="B4738" s="5" t="s">
        <v>5315</v>
      </c>
      <c r="C4738" s="5" t="s">
        <v>21</v>
      </c>
      <c r="K4738" s="5">
        <v>10.0</v>
      </c>
      <c r="N4738" s="9">
        <v>44439.0</v>
      </c>
    </row>
    <row r="4739">
      <c r="A4739" s="5">
        <v>4738.0</v>
      </c>
      <c r="B4739" s="5" t="s">
        <v>5316</v>
      </c>
      <c r="C4739" s="5" t="s">
        <v>21</v>
      </c>
      <c r="K4739" s="5">
        <v>700.0</v>
      </c>
      <c r="N4739" s="9">
        <v>45163.0</v>
      </c>
    </row>
    <row r="4740">
      <c r="A4740" s="5">
        <v>4739.0</v>
      </c>
      <c r="B4740" s="5" t="s">
        <v>5317</v>
      </c>
      <c r="C4740" s="5" t="s">
        <v>21</v>
      </c>
      <c r="K4740" s="5">
        <v>100.0</v>
      </c>
      <c r="N4740" s="9">
        <v>44610.0</v>
      </c>
    </row>
    <row r="4741">
      <c r="A4741" s="5">
        <v>4740.0</v>
      </c>
      <c r="B4741" s="5" t="s">
        <v>5318</v>
      </c>
      <c r="C4741" s="5" t="s">
        <v>21</v>
      </c>
      <c r="K4741" s="5">
        <v>500.0</v>
      </c>
      <c r="N4741" s="9">
        <v>44902.0</v>
      </c>
    </row>
    <row r="4742">
      <c r="A4742" s="5">
        <v>4741.0</v>
      </c>
      <c r="B4742" s="5" t="s">
        <v>5319</v>
      </c>
      <c r="C4742" s="5" t="s">
        <v>21</v>
      </c>
      <c r="K4742" s="5">
        <v>300.0</v>
      </c>
      <c r="N4742" s="9">
        <v>45765.0</v>
      </c>
    </row>
    <row r="4743">
      <c r="A4743" s="5">
        <v>4742.0</v>
      </c>
      <c r="B4743" s="5" t="s">
        <v>5320</v>
      </c>
      <c r="C4743" s="5" t="s">
        <v>21</v>
      </c>
      <c r="K4743" s="5">
        <v>30.0</v>
      </c>
      <c r="N4743" s="9">
        <v>45576.0</v>
      </c>
    </row>
    <row r="4744">
      <c r="A4744" s="5">
        <v>4743.0</v>
      </c>
      <c r="B4744" s="5" t="s">
        <v>5321</v>
      </c>
      <c r="C4744" s="5" t="s">
        <v>21</v>
      </c>
      <c r="K4744" s="5">
        <v>400.0</v>
      </c>
      <c r="N4744" s="9">
        <v>44147.0</v>
      </c>
    </row>
    <row r="4745">
      <c r="A4745" s="5">
        <v>4744.0</v>
      </c>
      <c r="B4745" s="5" t="s">
        <v>5322</v>
      </c>
      <c r="C4745" s="5" t="s">
        <v>21</v>
      </c>
      <c r="K4745" s="5">
        <v>700.0</v>
      </c>
      <c r="N4745" s="9">
        <v>44290.0</v>
      </c>
    </row>
    <row r="4746">
      <c r="A4746" s="5">
        <v>4745.0</v>
      </c>
      <c r="B4746" s="5" t="s">
        <v>5323</v>
      </c>
      <c r="C4746" s="5" t="s">
        <v>21</v>
      </c>
      <c r="K4746" s="5">
        <v>20.0</v>
      </c>
      <c r="N4746" s="9">
        <v>44709.0</v>
      </c>
    </row>
    <row r="4747">
      <c r="A4747" s="5">
        <v>4746.0</v>
      </c>
      <c r="B4747" s="5" t="s">
        <v>5324</v>
      </c>
      <c r="C4747" s="5" t="s">
        <v>21</v>
      </c>
      <c r="K4747" s="5">
        <v>500.0</v>
      </c>
      <c r="N4747" s="9">
        <v>44087.0</v>
      </c>
    </row>
    <row r="4748">
      <c r="A4748" s="5">
        <v>4747.0</v>
      </c>
      <c r="B4748" s="5" t="s">
        <v>5325</v>
      </c>
      <c r="C4748" s="5" t="s">
        <v>21</v>
      </c>
      <c r="K4748" s="5">
        <v>400.0</v>
      </c>
      <c r="N4748" s="9">
        <v>44728.0</v>
      </c>
    </row>
    <row r="4749">
      <c r="A4749" s="5">
        <v>4748.0</v>
      </c>
      <c r="B4749" s="5" t="s">
        <v>5326</v>
      </c>
      <c r="C4749" s="5" t="s">
        <v>21</v>
      </c>
      <c r="K4749" s="5">
        <v>1400.0</v>
      </c>
      <c r="N4749" s="9">
        <v>45222.0</v>
      </c>
    </row>
    <row r="4750">
      <c r="A4750" s="5">
        <v>4749.0</v>
      </c>
      <c r="B4750" s="5" t="s">
        <v>5327</v>
      </c>
      <c r="C4750" s="5" t="s">
        <v>21</v>
      </c>
      <c r="K4750" s="5">
        <v>250.0</v>
      </c>
      <c r="N4750" s="9">
        <v>44463.0</v>
      </c>
    </row>
    <row r="4751">
      <c r="A4751" s="5">
        <v>4750.0</v>
      </c>
      <c r="B4751" s="5" t="s">
        <v>5328</v>
      </c>
      <c r="C4751" s="5" t="s">
        <v>21</v>
      </c>
      <c r="K4751" s="5">
        <v>200.0</v>
      </c>
      <c r="N4751" s="9">
        <v>44726.0</v>
      </c>
    </row>
    <row r="4752">
      <c r="A4752" s="5">
        <v>4751.0</v>
      </c>
      <c r="B4752" s="5" t="s">
        <v>5329</v>
      </c>
      <c r="C4752" s="5" t="s">
        <v>21</v>
      </c>
      <c r="K4752" s="5">
        <v>350.0</v>
      </c>
      <c r="N4752" s="9">
        <v>45479.0</v>
      </c>
    </row>
    <row r="4753">
      <c r="A4753" s="5">
        <v>4752.0</v>
      </c>
      <c r="B4753" s="5" t="s">
        <v>5330</v>
      </c>
      <c r="C4753" s="5" t="s">
        <v>21</v>
      </c>
      <c r="K4753" s="5">
        <v>250.0</v>
      </c>
      <c r="N4753" s="9">
        <v>45344.0</v>
      </c>
    </row>
    <row r="4754">
      <c r="A4754" s="5">
        <v>4753.0</v>
      </c>
      <c r="B4754" s="5" t="s">
        <v>5331</v>
      </c>
      <c r="C4754" s="5" t="s">
        <v>21</v>
      </c>
      <c r="K4754" s="5">
        <v>150.0</v>
      </c>
      <c r="N4754" s="9">
        <v>44625.0</v>
      </c>
    </row>
    <row r="4755">
      <c r="A4755" s="5">
        <v>4754.0</v>
      </c>
      <c r="B4755" s="5" t="s">
        <v>5332</v>
      </c>
      <c r="C4755" s="5" t="s">
        <v>21</v>
      </c>
      <c r="K4755" s="5">
        <v>200.0</v>
      </c>
      <c r="N4755" s="9">
        <v>44569.0</v>
      </c>
    </row>
    <row r="4756">
      <c r="A4756" s="5">
        <v>4755.0</v>
      </c>
      <c r="B4756" s="5" t="s">
        <v>5333</v>
      </c>
      <c r="C4756" s="5" t="s">
        <v>21</v>
      </c>
      <c r="K4756" s="5">
        <v>500.0</v>
      </c>
      <c r="N4756" s="9">
        <v>44498.0</v>
      </c>
    </row>
    <row r="4757">
      <c r="A4757" s="5">
        <v>4756.0</v>
      </c>
      <c r="B4757" s="5" t="s">
        <v>5334</v>
      </c>
      <c r="C4757" s="5" t="s">
        <v>21</v>
      </c>
      <c r="K4757" s="5">
        <v>800.0</v>
      </c>
      <c r="N4757" s="9">
        <v>44649.0</v>
      </c>
    </row>
    <row r="4758">
      <c r="A4758" s="5">
        <v>4757.0</v>
      </c>
      <c r="B4758" s="5" t="s">
        <v>5335</v>
      </c>
      <c r="C4758" s="5" t="s">
        <v>21</v>
      </c>
      <c r="K4758" s="5">
        <v>1800.0</v>
      </c>
      <c r="N4758" s="9">
        <v>43867.0</v>
      </c>
    </row>
    <row r="4759">
      <c r="A4759" s="5">
        <v>4758.0</v>
      </c>
      <c r="B4759" s="5" t="s">
        <v>5336</v>
      </c>
      <c r="C4759" s="5" t="s">
        <v>21</v>
      </c>
      <c r="K4759" s="5">
        <v>600.0</v>
      </c>
      <c r="N4759" s="9">
        <v>45405.0</v>
      </c>
    </row>
    <row r="4760">
      <c r="A4760" s="5">
        <v>4759.0</v>
      </c>
      <c r="B4760" s="5" t="s">
        <v>5337</v>
      </c>
      <c r="C4760" s="5" t="s">
        <v>21</v>
      </c>
      <c r="K4760" s="5">
        <v>1600.0</v>
      </c>
      <c r="N4760" s="9">
        <v>44088.0</v>
      </c>
    </row>
    <row r="4761">
      <c r="A4761" s="5">
        <v>4760.0</v>
      </c>
      <c r="B4761" s="5" t="s">
        <v>5338</v>
      </c>
      <c r="C4761" s="5" t="s">
        <v>21</v>
      </c>
      <c r="K4761" s="5">
        <v>30.0</v>
      </c>
      <c r="N4761" s="9">
        <v>44861.0</v>
      </c>
    </row>
    <row r="4762">
      <c r="A4762" s="5">
        <v>4761.0</v>
      </c>
      <c r="B4762" s="5" t="s">
        <v>5339</v>
      </c>
      <c r="C4762" s="5" t="s">
        <v>21</v>
      </c>
      <c r="K4762" s="5">
        <v>1000.0</v>
      </c>
      <c r="N4762" s="9">
        <v>44400.0</v>
      </c>
    </row>
    <row r="4763">
      <c r="A4763" s="5">
        <v>4762.0</v>
      </c>
      <c r="B4763" s="5" t="s">
        <v>5340</v>
      </c>
      <c r="C4763" s="5" t="s">
        <v>21</v>
      </c>
      <c r="K4763" s="5">
        <v>40.0</v>
      </c>
      <c r="N4763" s="9">
        <v>44580.0</v>
      </c>
    </row>
    <row r="4764">
      <c r="A4764" s="5">
        <v>4763.0</v>
      </c>
      <c r="B4764" s="5" t="s">
        <v>5341</v>
      </c>
      <c r="C4764" s="5" t="s">
        <v>21</v>
      </c>
      <c r="K4764" s="5">
        <v>350.0</v>
      </c>
      <c r="N4764" s="9">
        <v>45247.0</v>
      </c>
    </row>
    <row r="4765">
      <c r="A4765" s="5">
        <v>4764.0</v>
      </c>
      <c r="B4765" s="5" t="s">
        <v>5342</v>
      </c>
      <c r="C4765" s="5" t="s">
        <v>21</v>
      </c>
      <c r="N4765" s="9">
        <v>44555.0</v>
      </c>
    </row>
    <row r="4766">
      <c r="A4766" s="5">
        <v>4765.0</v>
      </c>
      <c r="B4766" s="5" t="s">
        <v>5343</v>
      </c>
      <c r="C4766" s="5" t="s">
        <v>21</v>
      </c>
      <c r="K4766" s="5">
        <v>100.0</v>
      </c>
      <c r="N4766" s="9">
        <v>44580.0</v>
      </c>
    </row>
    <row r="4767">
      <c r="A4767" s="5">
        <v>4766.0</v>
      </c>
      <c r="B4767" s="5" t="s">
        <v>5344</v>
      </c>
      <c r="C4767" s="5" t="s">
        <v>21</v>
      </c>
      <c r="K4767" s="5">
        <v>150.0</v>
      </c>
      <c r="N4767" s="9">
        <v>44687.0</v>
      </c>
    </row>
    <row r="4768">
      <c r="A4768" s="5">
        <v>4767.0</v>
      </c>
      <c r="B4768" s="5" t="s">
        <v>5345</v>
      </c>
      <c r="C4768" s="5" t="s">
        <v>21</v>
      </c>
      <c r="K4768" s="5">
        <v>90.0</v>
      </c>
      <c r="N4768" s="9">
        <v>44531.0</v>
      </c>
    </row>
    <row r="4769">
      <c r="A4769" s="5">
        <v>4768.0</v>
      </c>
      <c r="B4769" s="5" t="s">
        <v>5346</v>
      </c>
      <c r="C4769" s="5" t="s">
        <v>21</v>
      </c>
      <c r="K4769" s="5">
        <v>200.0</v>
      </c>
      <c r="N4769" s="9">
        <v>44903.0</v>
      </c>
    </row>
    <row r="4770">
      <c r="A4770" s="5">
        <v>4769.0</v>
      </c>
      <c r="B4770" s="5" t="s">
        <v>163</v>
      </c>
      <c r="C4770" s="5" t="s">
        <v>21</v>
      </c>
      <c r="K4770" s="5">
        <v>100.0</v>
      </c>
      <c r="N4770" s="9">
        <v>44033.0</v>
      </c>
    </row>
    <row r="4771">
      <c r="A4771" s="5">
        <v>4770.0</v>
      </c>
      <c r="B4771" s="5" t="s">
        <v>5347</v>
      </c>
      <c r="C4771" s="5" t="s">
        <v>21</v>
      </c>
      <c r="K4771" s="5">
        <v>30.0</v>
      </c>
      <c r="N4771" s="9">
        <v>44661.0</v>
      </c>
    </row>
    <row r="4772">
      <c r="A4772" s="5">
        <v>4771.0</v>
      </c>
      <c r="B4772" s="5" t="s">
        <v>5348</v>
      </c>
      <c r="C4772" s="5" t="s">
        <v>21</v>
      </c>
      <c r="K4772" s="5">
        <v>250.0</v>
      </c>
      <c r="N4772" s="9">
        <v>44564.0</v>
      </c>
    </row>
    <row r="4773">
      <c r="A4773" s="5">
        <v>4772.0</v>
      </c>
      <c r="B4773" s="5" t="s">
        <v>5349</v>
      </c>
      <c r="C4773" s="5" t="s">
        <v>21</v>
      </c>
      <c r="K4773" s="5">
        <v>250.0</v>
      </c>
      <c r="N4773" s="9">
        <v>44510.0</v>
      </c>
    </row>
    <row r="4774">
      <c r="A4774" s="5">
        <v>4773.0</v>
      </c>
      <c r="B4774" s="5" t="s">
        <v>5350</v>
      </c>
      <c r="C4774" s="5" t="s">
        <v>21</v>
      </c>
      <c r="K4774" s="5">
        <v>1000.0</v>
      </c>
      <c r="N4774" s="9">
        <v>42516.0</v>
      </c>
    </row>
    <row r="4775">
      <c r="A4775" s="5">
        <v>4774.0</v>
      </c>
      <c r="B4775" s="5" t="s">
        <v>5351</v>
      </c>
      <c r="C4775" s="5" t="s">
        <v>21</v>
      </c>
      <c r="K4775" s="5">
        <v>600.0</v>
      </c>
      <c r="N4775" s="9">
        <v>45082.0</v>
      </c>
    </row>
    <row r="4776">
      <c r="A4776" s="5">
        <v>4775.0</v>
      </c>
      <c r="B4776" s="5" t="s">
        <v>5352</v>
      </c>
      <c r="C4776" s="5" t="s">
        <v>21</v>
      </c>
      <c r="K4776" s="5">
        <v>150.0</v>
      </c>
      <c r="N4776" s="9">
        <v>44606.0</v>
      </c>
    </row>
    <row r="4777">
      <c r="A4777" s="5">
        <v>4776.0</v>
      </c>
      <c r="B4777" s="5" t="s">
        <v>5353</v>
      </c>
      <c r="C4777" s="5" t="s">
        <v>21</v>
      </c>
      <c r="N4777" s="9">
        <v>44531.0</v>
      </c>
    </row>
    <row r="4778">
      <c r="A4778" s="5">
        <v>4777.0</v>
      </c>
      <c r="B4778" s="5" t="s">
        <v>5354</v>
      </c>
      <c r="C4778" s="5" t="s">
        <v>21</v>
      </c>
      <c r="K4778" s="5">
        <v>70.0</v>
      </c>
      <c r="N4778" s="9">
        <v>46042.0</v>
      </c>
    </row>
    <row r="4779">
      <c r="A4779" s="5">
        <v>4778.0</v>
      </c>
      <c r="B4779" s="5" t="s">
        <v>5355</v>
      </c>
      <c r="C4779" s="5" t="s">
        <v>21</v>
      </c>
      <c r="K4779" s="5">
        <v>350.0</v>
      </c>
      <c r="N4779" s="9">
        <v>44608.0</v>
      </c>
    </row>
    <row r="4780">
      <c r="A4780" s="5">
        <v>4779.0</v>
      </c>
      <c r="B4780" s="5" t="s">
        <v>5356</v>
      </c>
      <c r="C4780" s="5" t="s">
        <v>21</v>
      </c>
      <c r="K4780" s="5">
        <v>700.0</v>
      </c>
      <c r="N4780" s="9">
        <v>44156.0</v>
      </c>
    </row>
    <row r="4781">
      <c r="A4781" s="5">
        <v>4780.0</v>
      </c>
      <c r="B4781" s="5" t="s">
        <v>5357</v>
      </c>
      <c r="C4781" s="5" t="s">
        <v>21</v>
      </c>
      <c r="K4781" s="5">
        <v>1500.0</v>
      </c>
      <c r="N4781" s="9">
        <v>44602.0</v>
      </c>
    </row>
    <row r="4782">
      <c r="A4782" s="5">
        <v>4781.0</v>
      </c>
      <c r="B4782" s="5" t="s">
        <v>5358</v>
      </c>
      <c r="C4782" s="5" t="s">
        <v>21</v>
      </c>
      <c r="K4782" s="5">
        <v>450.0</v>
      </c>
      <c r="N4782" s="9">
        <v>44578.0</v>
      </c>
    </row>
    <row r="4783">
      <c r="A4783" s="5">
        <v>4782.0</v>
      </c>
      <c r="B4783" s="5" t="s">
        <v>5359</v>
      </c>
      <c r="C4783" s="5" t="s">
        <v>21</v>
      </c>
      <c r="K4783" s="5">
        <v>500.0</v>
      </c>
      <c r="N4783" s="9">
        <v>44518.0</v>
      </c>
    </row>
    <row r="4784">
      <c r="A4784" s="5">
        <v>4783.0</v>
      </c>
      <c r="B4784" s="5" t="s">
        <v>5360</v>
      </c>
      <c r="C4784" s="5" t="s">
        <v>21</v>
      </c>
      <c r="K4784" s="5">
        <v>350.0</v>
      </c>
      <c r="N4784" s="9">
        <v>45306.0</v>
      </c>
    </row>
    <row r="4785">
      <c r="A4785" s="5">
        <v>4784.0</v>
      </c>
      <c r="B4785" s="5" t="s">
        <v>5361</v>
      </c>
      <c r="C4785" s="5" t="s">
        <v>21</v>
      </c>
      <c r="K4785" s="5">
        <v>1500.0</v>
      </c>
      <c r="N4785" s="9">
        <v>44213.0</v>
      </c>
    </row>
    <row r="4786">
      <c r="A4786" s="5">
        <v>4785.0</v>
      </c>
      <c r="B4786" s="5" t="s">
        <v>5362</v>
      </c>
      <c r="C4786" s="5" t="s">
        <v>21</v>
      </c>
      <c r="K4786" s="5">
        <v>800.0</v>
      </c>
      <c r="N4786" s="9">
        <v>45076.0</v>
      </c>
    </row>
    <row r="4787">
      <c r="A4787" s="5">
        <v>4786.0</v>
      </c>
      <c r="B4787" s="5" t="s">
        <v>5363</v>
      </c>
      <c r="C4787" s="5" t="s">
        <v>21</v>
      </c>
      <c r="K4787" s="5">
        <v>400.0</v>
      </c>
      <c r="N4787" s="9">
        <v>44508.0</v>
      </c>
    </row>
    <row r="4788">
      <c r="A4788" s="5">
        <v>4787.0</v>
      </c>
      <c r="B4788" s="5" t="s">
        <v>5364</v>
      </c>
      <c r="C4788" s="5" t="s">
        <v>21</v>
      </c>
      <c r="K4788" s="5">
        <v>400.0</v>
      </c>
      <c r="N4788" s="9">
        <v>44601.0</v>
      </c>
    </row>
    <row r="4789">
      <c r="A4789" s="5">
        <v>4788.0</v>
      </c>
      <c r="B4789" s="5" t="s">
        <v>5365</v>
      </c>
      <c r="C4789" s="5" t="s">
        <v>21</v>
      </c>
      <c r="K4789" s="5">
        <v>1100.0</v>
      </c>
      <c r="N4789" s="9">
        <v>45741.0</v>
      </c>
    </row>
    <row r="4790">
      <c r="A4790" s="5">
        <v>4789.0</v>
      </c>
      <c r="B4790" s="5" t="s">
        <v>5366</v>
      </c>
      <c r="C4790" s="5" t="s">
        <v>21</v>
      </c>
      <c r="K4790" s="5">
        <v>300.0</v>
      </c>
      <c r="N4790" s="9">
        <v>44849.0</v>
      </c>
    </row>
    <row r="4791">
      <c r="A4791" s="5">
        <v>4790.0</v>
      </c>
      <c r="B4791" s="5" t="s">
        <v>5367</v>
      </c>
      <c r="C4791" s="5" t="s">
        <v>21</v>
      </c>
      <c r="K4791" s="5">
        <v>450.0</v>
      </c>
      <c r="N4791" s="9">
        <v>45729.0</v>
      </c>
    </row>
    <row r="4792">
      <c r="A4792" s="5">
        <v>4791.0</v>
      </c>
      <c r="B4792" s="5" t="s">
        <v>5368</v>
      </c>
      <c r="C4792" s="5" t="s">
        <v>21</v>
      </c>
      <c r="N4792" s="9">
        <v>44519.0</v>
      </c>
    </row>
    <row r="4793">
      <c r="A4793" s="5">
        <v>4792.0</v>
      </c>
      <c r="B4793" s="5" t="s">
        <v>5369</v>
      </c>
      <c r="C4793" s="5" t="s">
        <v>21</v>
      </c>
      <c r="K4793" s="5">
        <v>200.0</v>
      </c>
      <c r="N4793" s="9">
        <v>45287.0</v>
      </c>
    </row>
    <row r="4794">
      <c r="A4794" s="5">
        <v>4793.0</v>
      </c>
      <c r="B4794" s="5" t="s">
        <v>5370</v>
      </c>
      <c r="C4794" s="5" t="s">
        <v>21</v>
      </c>
      <c r="K4794" s="5">
        <v>450.0</v>
      </c>
      <c r="N4794" s="9">
        <v>45577.0</v>
      </c>
    </row>
    <row r="4795">
      <c r="A4795" s="5">
        <v>4794.0</v>
      </c>
      <c r="B4795" s="5" t="s">
        <v>5371</v>
      </c>
      <c r="C4795" s="5" t="s">
        <v>21</v>
      </c>
      <c r="K4795" s="5">
        <v>30.0</v>
      </c>
      <c r="N4795" s="9">
        <v>44982.0</v>
      </c>
    </row>
    <row r="4796">
      <c r="A4796" s="5">
        <v>4795.0</v>
      </c>
      <c r="B4796" s="5" t="s">
        <v>5372</v>
      </c>
      <c r="C4796" s="5" t="s">
        <v>21</v>
      </c>
      <c r="K4796" s="5">
        <v>20.0</v>
      </c>
      <c r="N4796" s="9">
        <v>44680.0</v>
      </c>
    </row>
    <row r="4797">
      <c r="A4797" s="5">
        <v>4796.0</v>
      </c>
      <c r="B4797" s="5" t="s">
        <v>5373</v>
      </c>
      <c r="C4797" s="5" t="s">
        <v>21</v>
      </c>
      <c r="K4797" s="5">
        <v>30.0</v>
      </c>
      <c r="N4797" s="9">
        <v>44638.0</v>
      </c>
    </row>
    <row r="4798">
      <c r="A4798" s="5">
        <v>4797.0</v>
      </c>
      <c r="B4798" s="5" t="s">
        <v>5374</v>
      </c>
      <c r="C4798" s="5" t="s">
        <v>21</v>
      </c>
      <c r="N4798" s="9">
        <v>45225.0</v>
      </c>
    </row>
    <row r="4799">
      <c r="A4799" s="5">
        <v>4798.0</v>
      </c>
      <c r="B4799" s="5" t="s">
        <v>5375</v>
      </c>
      <c r="C4799" s="5" t="s">
        <v>21</v>
      </c>
      <c r="K4799" s="5">
        <v>400.0</v>
      </c>
      <c r="N4799" s="9">
        <v>44523.0</v>
      </c>
    </row>
    <row r="4800">
      <c r="A4800" s="5">
        <v>4799.0</v>
      </c>
      <c r="B4800" s="5" t="s">
        <v>5376</v>
      </c>
      <c r="C4800" s="5" t="s">
        <v>21</v>
      </c>
      <c r="K4800" s="5">
        <v>600.0</v>
      </c>
      <c r="N4800" s="9">
        <v>44526.0</v>
      </c>
    </row>
    <row r="4801">
      <c r="A4801" s="5">
        <v>4800.0</v>
      </c>
      <c r="B4801" s="5" t="s">
        <v>5377</v>
      </c>
      <c r="C4801" s="5" t="s">
        <v>21</v>
      </c>
      <c r="K4801" s="5">
        <v>60.0</v>
      </c>
      <c r="N4801" s="9">
        <v>44973.0</v>
      </c>
    </row>
    <row r="4802">
      <c r="A4802" s="5">
        <v>4801.0</v>
      </c>
      <c r="B4802" s="5" t="s">
        <v>5378</v>
      </c>
      <c r="C4802" s="5" t="s">
        <v>21</v>
      </c>
      <c r="K4802" s="5">
        <v>400.0</v>
      </c>
      <c r="N4802" s="9">
        <v>45133.0</v>
      </c>
    </row>
    <row r="4803">
      <c r="A4803" s="5">
        <v>4802.0</v>
      </c>
      <c r="B4803" s="5" t="s">
        <v>5379</v>
      </c>
      <c r="C4803" s="5" t="s">
        <v>21</v>
      </c>
      <c r="K4803" s="5">
        <v>200.0</v>
      </c>
      <c r="N4803" s="9">
        <v>46125.0</v>
      </c>
    </row>
    <row r="4804">
      <c r="A4804" s="5">
        <v>4803.0</v>
      </c>
      <c r="B4804" s="5" t="s">
        <v>5380</v>
      </c>
      <c r="C4804" s="5" t="s">
        <v>21</v>
      </c>
      <c r="K4804" s="5">
        <v>150.0</v>
      </c>
      <c r="N4804" s="9">
        <v>45110.0</v>
      </c>
    </row>
    <row r="4805">
      <c r="A4805" s="5">
        <v>4804.0</v>
      </c>
      <c r="B4805" s="5" t="s">
        <v>5381</v>
      </c>
      <c r="C4805" s="5" t="s">
        <v>21</v>
      </c>
      <c r="K4805" s="5">
        <v>200.0</v>
      </c>
      <c r="N4805" s="9">
        <v>45281.0</v>
      </c>
    </row>
    <row r="4806">
      <c r="A4806" s="5">
        <v>4805.0</v>
      </c>
      <c r="B4806" s="5" t="s">
        <v>5382</v>
      </c>
      <c r="C4806" s="5" t="s">
        <v>21</v>
      </c>
      <c r="K4806" s="5">
        <v>200.0</v>
      </c>
      <c r="N4806" s="9">
        <v>44742.0</v>
      </c>
    </row>
    <row r="4807">
      <c r="A4807" s="5">
        <v>4806.0</v>
      </c>
      <c r="B4807" s="5" t="s">
        <v>5383</v>
      </c>
      <c r="C4807" s="5" t="s">
        <v>21</v>
      </c>
      <c r="K4807" s="5">
        <v>150.0</v>
      </c>
      <c r="N4807" s="9">
        <v>44527.0</v>
      </c>
    </row>
    <row r="4808">
      <c r="A4808" s="5">
        <v>4807.0</v>
      </c>
      <c r="B4808" s="5" t="s">
        <v>5384</v>
      </c>
      <c r="C4808" s="5" t="s">
        <v>21</v>
      </c>
      <c r="K4808" s="5">
        <v>60.0</v>
      </c>
      <c r="N4808" s="9">
        <v>44988.0</v>
      </c>
    </row>
    <row r="4809">
      <c r="A4809" s="5">
        <v>4808.0</v>
      </c>
      <c r="B4809" s="5" t="s">
        <v>208</v>
      </c>
      <c r="C4809" s="5" t="s">
        <v>21</v>
      </c>
      <c r="K4809" s="5">
        <v>3000.0</v>
      </c>
      <c r="N4809" s="9">
        <v>44468.0</v>
      </c>
    </row>
    <row r="4810">
      <c r="A4810" s="5">
        <v>4809.0</v>
      </c>
      <c r="B4810" s="5" t="s">
        <v>5385</v>
      </c>
      <c r="C4810" s="5" t="s">
        <v>21</v>
      </c>
      <c r="K4810" s="5">
        <v>10.0</v>
      </c>
      <c r="N4810" s="9">
        <v>44608.0</v>
      </c>
    </row>
    <row r="4811">
      <c r="A4811" s="5">
        <v>4810.0</v>
      </c>
      <c r="B4811" s="5" t="s">
        <v>5386</v>
      </c>
      <c r="C4811" s="5" t="s">
        <v>21</v>
      </c>
      <c r="K4811" s="5">
        <v>700.0</v>
      </c>
      <c r="N4811" s="9">
        <v>44057.0</v>
      </c>
    </row>
    <row r="4812">
      <c r="A4812" s="5">
        <v>4811.0</v>
      </c>
      <c r="B4812" s="5" t="s">
        <v>5387</v>
      </c>
      <c r="C4812" s="5" t="s">
        <v>21</v>
      </c>
      <c r="K4812" s="5">
        <v>800.0</v>
      </c>
      <c r="N4812" s="9">
        <v>44277.0</v>
      </c>
    </row>
    <row r="4813">
      <c r="A4813" s="5">
        <v>4812.0</v>
      </c>
      <c r="B4813" s="5" t="s">
        <v>5388</v>
      </c>
      <c r="C4813" s="5" t="s">
        <v>21</v>
      </c>
      <c r="K4813" s="5">
        <v>800.0</v>
      </c>
      <c r="N4813" s="9">
        <v>45439.0</v>
      </c>
    </row>
    <row r="4814">
      <c r="A4814" s="5">
        <v>4813.0</v>
      </c>
      <c r="B4814" s="5" t="s">
        <v>5389</v>
      </c>
      <c r="C4814" s="5" t="s">
        <v>21</v>
      </c>
      <c r="K4814" s="5">
        <v>300.0</v>
      </c>
      <c r="N4814" s="9">
        <v>45613.0</v>
      </c>
    </row>
    <row r="4815">
      <c r="A4815" s="5">
        <v>4814.0</v>
      </c>
      <c r="B4815" s="5" t="s">
        <v>5390</v>
      </c>
      <c r="C4815" s="5" t="s">
        <v>21</v>
      </c>
      <c r="K4815" s="5">
        <v>500.0</v>
      </c>
      <c r="N4815" s="9">
        <v>44075.0</v>
      </c>
    </row>
    <row r="4816">
      <c r="A4816" s="5">
        <v>4815.0</v>
      </c>
      <c r="B4816" s="5" t="s">
        <v>5391</v>
      </c>
      <c r="C4816" s="5" t="s">
        <v>21</v>
      </c>
      <c r="K4816" s="5">
        <v>250.0</v>
      </c>
      <c r="N4816" s="9">
        <v>45267.0</v>
      </c>
    </row>
    <row r="4817">
      <c r="A4817" s="5">
        <v>4816.0</v>
      </c>
      <c r="B4817" s="5" t="s">
        <v>5392</v>
      </c>
      <c r="C4817" s="5" t="s">
        <v>21</v>
      </c>
      <c r="K4817" s="5">
        <v>600.0</v>
      </c>
      <c r="N4817" s="9">
        <v>44959.0</v>
      </c>
    </row>
    <row r="4818">
      <c r="A4818" s="5">
        <v>4817.0</v>
      </c>
      <c r="B4818" s="5" t="s">
        <v>5393</v>
      </c>
      <c r="C4818" s="5" t="s">
        <v>21</v>
      </c>
      <c r="K4818" s="5">
        <v>100.0</v>
      </c>
      <c r="N4818" s="9">
        <v>44886.0</v>
      </c>
    </row>
    <row r="4819">
      <c r="A4819" s="5">
        <v>4818.0</v>
      </c>
      <c r="B4819" s="5" t="s">
        <v>5394</v>
      </c>
      <c r="C4819" s="5" t="s">
        <v>21</v>
      </c>
      <c r="K4819" s="5">
        <v>150.0</v>
      </c>
      <c r="N4819" s="9">
        <v>44399.0</v>
      </c>
    </row>
    <row r="4820">
      <c r="A4820" s="5">
        <v>4819.0</v>
      </c>
      <c r="B4820" s="5" t="s">
        <v>5395</v>
      </c>
      <c r="C4820" s="5" t="s">
        <v>21</v>
      </c>
      <c r="K4820" s="5">
        <v>300.0</v>
      </c>
      <c r="N4820" s="9">
        <v>44526.0</v>
      </c>
    </row>
    <row r="4821">
      <c r="A4821" s="5">
        <v>4820.0</v>
      </c>
      <c r="B4821" s="5" t="s">
        <v>165</v>
      </c>
      <c r="C4821" s="5" t="s">
        <v>21</v>
      </c>
      <c r="K4821" s="5">
        <v>150.0</v>
      </c>
      <c r="N4821" s="9">
        <v>44192.0</v>
      </c>
    </row>
    <row r="4822">
      <c r="A4822" s="5">
        <v>4821.0</v>
      </c>
      <c r="B4822" s="5" t="s">
        <v>5396</v>
      </c>
      <c r="C4822" s="5" t="s">
        <v>21</v>
      </c>
      <c r="K4822" s="5">
        <v>600.0</v>
      </c>
      <c r="N4822" s="9">
        <v>44662.0</v>
      </c>
    </row>
    <row r="4823">
      <c r="A4823" s="5">
        <v>4822.0</v>
      </c>
      <c r="B4823" s="5" t="s">
        <v>5397</v>
      </c>
      <c r="C4823" s="5" t="s">
        <v>21</v>
      </c>
      <c r="K4823" s="5">
        <v>100.0</v>
      </c>
      <c r="N4823" s="9">
        <v>44570.0</v>
      </c>
    </row>
    <row r="4824">
      <c r="A4824" s="5">
        <v>4823.0</v>
      </c>
      <c r="B4824" s="5" t="s">
        <v>5398</v>
      </c>
      <c r="C4824" s="5" t="s">
        <v>21</v>
      </c>
      <c r="K4824" s="5">
        <v>700.0</v>
      </c>
      <c r="N4824" s="9">
        <v>44656.0</v>
      </c>
    </row>
    <row r="4825">
      <c r="A4825" s="5">
        <v>4824.0</v>
      </c>
      <c r="B4825" s="5" t="s">
        <v>5399</v>
      </c>
      <c r="C4825" s="5" t="s">
        <v>21</v>
      </c>
      <c r="K4825" s="5">
        <v>900.0</v>
      </c>
      <c r="N4825" s="9">
        <v>44182.0</v>
      </c>
    </row>
    <row r="4826">
      <c r="A4826" s="5">
        <v>4825.0</v>
      </c>
      <c r="B4826" s="5" t="s">
        <v>5400</v>
      </c>
      <c r="C4826" s="5" t="s">
        <v>21</v>
      </c>
      <c r="K4826" s="5">
        <v>1500.0</v>
      </c>
      <c r="N4826" s="9">
        <v>44598.0</v>
      </c>
    </row>
    <row r="4827">
      <c r="A4827" s="5">
        <v>4826.0</v>
      </c>
      <c r="B4827" s="5" t="s">
        <v>5401</v>
      </c>
      <c r="C4827" s="5" t="s">
        <v>21</v>
      </c>
      <c r="K4827" s="5">
        <v>1500.0</v>
      </c>
      <c r="N4827" s="9">
        <v>44639.0</v>
      </c>
    </row>
    <row r="4828">
      <c r="A4828" s="5">
        <v>4827.0</v>
      </c>
      <c r="B4828" s="5" t="s">
        <v>5402</v>
      </c>
      <c r="C4828" s="5" t="s">
        <v>21</v>
      </c>
      <c r="K4828" s="5">
        <v>100.0</v>
      </c>
      <c r="N4828" s="9">
        <v>44543.0</v>
      </c>
    </row>
    <row r="4829">
      <c r="A4829" s="5">
        <v>4828.0</v>
      </c>
      <c r="B4829" s="5" t="s">
        <v>5403</v>
      </c>
      <c r="C4829" s="5" t="s">
        <v>21</v>
      </c>
      <c r="K4829" s="5">
        <v>3900.0</v>
      </c>
      <c r="N4829" s="9">
        <v>43880.0</v>
      </c>
    </row>
    <row r="4830">
      <c r="A4830" s="5">
        <v>4829.0</v>
      </c>
      <c r="B4830" s="5" t="s">
        <v>5404</v>
      </c>
      <c r="C4830" s="5" t="s">
        <v>21</v>
      </c>
      <c r="K4830" s="5">
        <v>300.0</v>
      </c>
      <c r="N4830" s="9">
        <v>44565.0</v>
      </c>
    </row>
    <row r="4831">
      <c r="A4831" s="5">
        <v>4830.0</v>
      </c>
      <c r="B4831" s="5" t="s">
        <v>5405</v>
      </c>
      <c r="C4831" s="5" t="s">
        <v>21</v>
      </c>
      <c r="K4831" s="5">
        <v>30.0</v>
      </c>
      <c r="N4831" s="9">
        <v>44671.0</v>
      </c>
    </row>
    <row r="4832">
      <c r="A4832" s="5">
        <v>4831.0</v>
      </c>
      <c r="B4832" s="5" t="s">
        <v>5406</v>
      </c>
      <c r="C4832" s="5" t="s">
        <v>21</v>
      </c>
      <c r="K4832" s="5">
        <v>800.0</v>
      </c>
      <c r="N4832" s="9">
        <v>44754.0</v>
      </c>
    </row>
    <row r="4833">
      <c r="A4833" s="5">
        <v>4832.0</v>
      </c>
      <c r="B4833" s="5" t="s">
        <v>5407</v>
      </c>
      <c r="C4833" s="5" t="s">
        <v>21</v>
      </c>
      <c r="K4833" s="5">
        <v>450.0</v>
      </c>
      <c r="N4833" s="9">
        <v>44306.0</v>
      </c>
    </row>
    <row r="4834">
      <c r="A4834" s="5">
        <v>4833.0</v>
      </c>
      <c r="B4834" s="5" t="s">
        <v>5408</v>
      </c>
      <c r="C4834" s="5" t="s">
        <v>21</v>
      </c>
      <c r="K4834" s="5">
        <v>250.0</v>
      </c>
      <c r="N4834" s="9">
        <v>44497.0</v>
      </c>
    </row>
    <row r="4835">
      <c r="A4835" s="5">
        <v>4834.0</v>
      </c>
      <c r="B4835" s="5" t="s">
        <v>5409</v>
      </c>
      <c r="C4835" s="5" t="s">
        <v>21</v>
      </c>
      <c r="K4835" s="5">
        <v>1600.0</v>
      </c>
      <c r="N4835" s="9">
        <v>44696.0</v>
      </c>
    </row>
    <row r="4836">
      <c r="A4836" s="5">
        <v>4835.0</v>
      </c>
      <c r="B4836" s="5" t="s">
        <v>5410</v>
      </c>
      <c r="C4836" s="5" t="s">
        <v>21</v>
      </c>
      <c r="K4836" s="5">
        <v>10.0</v>
      </c>
      <c r="N4836" s="9">
        <v>44225.0</v>
      </c>
    </row>
    <row r="4837">
      <c r="A4837" s="5">
        <v>4836.0</v>
      </c>
      <c r="B4837" s="5" t="s">
        <v>5411</v>
      </c>
      <c r="C4837" s="5" t="s">
        <v>21</v>
      </c>
      <c r="K4837" s="5">
        <v>400.0</v>
      </c>
      <c r="N4837" s="9">
        <v>45616.0</v>
      </c>
    </row>
    <row r="4838">
      <c r="A4838" s="5">
        <v>4837.0</v>
      </c>
      <c r="B4838" s="5" t="s">
        <v>5412</v>
      </c>
      <c r="C4838" s="5" t="s">
        <v>21</v>
      </c>
      <c r="K4838" s="5">
        <v>150.0</v>
      </c>
      <c r="N4838" s="9">
        <v>44540.0</v>
      </c>
    </row>
    <row r="4839">
      <c r="A4839" s="5">
        <v>4838.0</v>
      </c>
      <c r="B4839" s="5" t="s">
        <v>5413</v>
      </c>
      <c r="C4839" s="5" t="s">
        <v>21</v>
      </c>
      <c r="K4839" s="5">
        <v>400.0</v>
      </c>
      <c r="N4839" s="9">
        <v>44650.0</v>
      </c>
    </row>
    <row r="4840">
      <c r="A4840" s="5">
        <v>4839.0</v>
      </c>
      <c r="B4840" s="5" t="s">
        <v>5414</v>
      </c>
      <c r="C4840" s="5" t="s">
        <v>21</v>
      </c>
      <c r="K4840" s="5">
        <v>900.0</v>
      </c>
      <c r="N4840" s="9">
        <v>44531.0</v>
      </c>
    </row>
    <row r="4841">
      <c r="A4841" s="5">
        <v>4840.0</v>
      </c>
      <c r="B4841" s="5" t="s">
        <v>5415</v>
      </c>
      <c r="C4841" s="5" t="s">
        <v>21</v>
      </c>
      <c r="K4841" s="5">
        <v>300.0</v>
      </c>
      <c r="N4841" s="9">
        <v>43950.0</v>
      </c>
    </row>
    <row r="4842">
      <c r="A4842" s="5">
        <v>4841.0</v>
      </c>
      <c r="B4842" s="5" t="s">
        <v>5416</v>
      </c>
      <c r="C4842" s="5" t="s">
        <v>21</v>
      </c>
      <c r="K4842" s="5">
        <v>800.0</v>
      </c>
      <c r="N4842" s="9">
        <v>44626.0</v>
      </c>
    </row>
    <row r="4843">
      <c r="A4843" s="5">
        <v>4842.0</v>
      </c>
      <c r="B4843" s="5" t="s">
        <v>5417</v>
      </c>
      <c r="C4843" s="5" t="s">
        <v>21</v>
      </c>
      <c r="K4843" s="5">
        <v>1400.0</v>
      </c>
      <c r="N4843" s="9">
        <v>44608.0</v>
      </c>
    </row>
    <row r="4844">
      <c r="A4844" s="5">
        <v>4843.0</v>
      </c>
      <c r="B4844" s="5" t="s">
        <v>168</v>
      </c>
      <c r="C4844" s="5" t="s">
        <v>21</v>
      </c>
      <c r="K4844" s="5">
        <v>150.0</v>
      </c>
      <c r="N4844" s="9">
        <v>45630.0</v>
      </c>
    </row>
    <row r="4845">
      <c r="A4845" s="5">
        <v>4844.0</v>
      </c>
      <c r="B4845" s="5" t="s">
        <v>5418</v>
      </c>
      <c r="C4845" s="5" t="s">
        <v>21</v>
      </c>
      <c r="K4845" s="5">
        <v>30.0</v>
      </c>
      <c r="N4845" s="9">
        <v>44538.0</v>
      </c>
    </row>
    <row r="4846">
      <c r="A4846" s="5">
        <v>4845.0</v>
      </c>
      <c r="B4846" s="5" t="s">
        <v>5419</v>
      </c>
      <c r="C4846" s="5" t="s">
        <v>21</v>
      </c>
      <c r="K4846" s="5">
        <v>50.0</v>
      </c>
      <c r="N4846" s="9">
        <v>44599.0</v>
      </c>
    </row>
    <row r="4847">
      <c r="A4847" s="5">
        <v>4846.0</v>
      </c>
      <c r="B4847" s="5" t="s">
        <v>170</v>
      </c>
      <c r="C4847" s="5" t="s">
        <v>21</v>
      </c>
      <c r="K4847" s="5">
        <v>50.0</v>
      </c>
      <c r="N4847" s="9">
        <v>45625.0</v>
      </c>
    </row>
    <row r="4848">
      <c r="A4848" s="5">
        <v>4847.0</v>
      </c>
      <c r="B4848" s="5" t="s">
        <v>5420</v>
      </c>
      <c r="C4848" s="5" t="s">
        <v>21</v>
      </c>
      <c r="K4848" s="5">
        <v>2900.0</v>
      </c>
      <c r="N4848" s="9">
        <v>44409.0</v>
      </c>
    </row>
    <row r="4849">
      <c r="A4849" s="5">
        <v>4848.0</v>
      </c>
      <c r="B4849" s="5" t="s">
        <v>5421</v>
      </c>
      <c r="C4849" s="5" t="s">
        <v>21</v>
      </c>
      <c r="K4849" s="5">
        <v>300.0</v>
      </c>
      <c r="N4849" s="9">
        <v>44038.0</v>
      </c>
    </row>
    <row r="4850">
      <c r="A4850" s="5">
        <v>4849.0</v>
      </c>
      <c r="B4850" s="5" t="s">
        <v>5422</v>
      </c>
      <c r="C4850" s="5" t="s">
        <v>21</v>
      </c>
      <c r="K4850" s="5">
        <v>250.0</v>
      </c>
      <c r="N4850" s="9">
        <v>44601.0</v>
      </c>
    </row>
    <row r="4851">
      <c r="A4851" s="5">
        <v>4850.0</v>
      </c>
      <c r="B4851" s="5" t="s">
        <v>5423</v>
      </c>
      <c r="C4851" s="5" t="s">
        <v>21</v>
      </c>
      <c r="K4851" s="5">
        <v>2700.0</v>
      </c>
      <c r="N4851" s="9">
        <v>45716.0</v>
      </c>
    </row>
    <row r="4852">
      <c r="A4852" s="5">
        <v>4851.0</v>
      </c>
      <c r="B4852" s="5" t="s">
        <v>5424</v>
      </c>
      <c r="C4852" s="5" t="s">
        <v>21</v>
      </c>
      <c r="K4852" s="5">
        <v>2100.0</v>
      </c>
      <c r="N4852" s="9">
        <v>44270.0</v>
      </c>
    </row>
    <row r="4853">
      <c r="A4853" s="5">
        <v>4852.0</v>
      </c>
      <c r="B4853" s="5" t="s">
        <v>5425</v>
      </c>
      <c r="C4853" s="5" t="s">
        <v>21</v>
      </c>
      <c r="K4853" s="5">
        <v>40.0</v>
      </c>
      <c r="N4853" s="9">
        <v>44733.0</v>
      </c>
    </row>
    <row r="4854">
      <c r="A4854" s="5">
        <v>4853.0</v>
      </c>
      <c r="B4854" s="5" t="s">
        <v>5426</v>
      </c>
      <c r="C4854" s="5" t="s">
        <v>21</v>
      </c>
      <c r="K4854" s="5">
        <v>900.0</v>
      </c>
      <c r="N4854" s="9">
        <v>44874.0</v>
      </c>
    </row>
    <row r="4855">
      <c r="A4855" s="5">
        <v>4854.0</v>
      </c>
      <c r="B4855" s="5" t="s">
        <v>5427</v>
      </c>
      <c r="C4855" s="5" t="s">
        <v>21</v>
      </c>
      <c r="K4855" s="5">
        <v>500.0</v>
      </c>
      <c r="N4855" s="9">
        <v>44091.0</v>
      </c>
    </row>
    <row r="4856">
      <c r="A4856" s="5">
        <v>4855.0</v>
      </c>
      <c r="B4856" s="5" t="s">
        <v>5428</v>
      </c>
      <c r="C4856" s="5" t="s">
        <v>21</v>
      </c>
      <c r="K4856" s="5">
        <v>2800.0</v>
      </c>
      <c r="N4856" s="9">
        <v>44023.0</v>
      </c>
    </row>
    <row r="4857">
      <c r="A4857" s="5">
        <v>4856.0</v>
      </c>
      <c r="B4857" s="5" t="s">
        <v>5429</v>
      </c>
      <c r="C4857" s="5" t="s">
        <v>21</v>
      </c>
      <c r="K4857" s="5">
        <v>400.0</v>
      </c>
      <c r="N4857" s="9">
        <v>44659.0</v>
      </c>
    </row>
    <row r="4858">
      <c r="A4858" s="5">
        <v>4857.0</v>
      </c>
      <c r="B4858" s="5" t="s">
        <v>5430</v>
      </c>
      <c r="C4858" s="5" t="s">
        <v>21</v>
      </c>
      <c r="K4858" s="5">
        <v>400.0</v>
      </c>
      <c r="N4858" s="9">
        <v>44615.0</v>
      </c>
    </row>
    <row r="4859">
      <c r="A4859" s="5">
        <v>4858.0</v>
      </c>
      <c r="B4859" s="5" t="s">
        <v>5431</v>
      </c>
      <c r="C4859" s="5" t="s">
        <v>21</v>
      </c>
      <c r="K4859" s="5">
        <v>800.0</v>
      </c>
      <c r="N4859" s="9">
        <v>44997.0</v>
      </c>
    </row>
    <row r="4860">
      <c r="A4860" s="5">
        <v>4859.0</v>
      </c>
      <c r="B4860" s="5" t="s">
        <v>5432</v>
      </c>
      <c r="C4860" s="5" t="s">
        <v>21</v>
      </c>
      <c r="K4860" s="5">
        <v>250.0</v>
      </c>
      <c r="N4860" s="9">
        <v>45081.0</v>
      </c>
    </row>
    <row r="4861">
      <c r="A4861" s="5">
        <v>4860.0</v>
      </c>
      <c r="B4861" s="5" t="s">
        <v>5433</v>
      </c>
      <c r="C4861" s="5" t="s">
        <v>21</v>
      </c>
      <c r="K4861" s="5">
        <v>250.0</v>
      </c>
      <c r="N4861" s="9">
        <v>45077.0</v>
      </c>
    </row>
    <row r="4862">
      <c r="A4862" s="5">
        <v>4861.0</v>
      </c>
      <c r="B4862" s="5" t="s">
        <v>5434</v>
      </c>
      <c r="C4862" s="5" t="s">
        <v>21</v>
      </c>
      <c r="K4862" s="5">
        <v>150.0</v>
      </c>
      <c r="N4862" s="9">
        <v>44313.0</v>
      </c>
    </row>
    <row r="4863">
      <c r="A4863" s="5">
        <v>4862.0</v>
      </c>
      <c r="B4863" s="5" t="s">
        <v>5435</v>
      </c>
      <c r="C4863" s="5" t="s">
        <v>21</v>
      </c>
      <c r="K4863" s="5">
        <v>70.0</v>
      </c>
      <c r="N4863" s="9">
        <v>44581.0</v>
      </c>
    </row>
    <row r="4864">
      <c r="A4864" s="5">
        <v>4863.0</v>
      </c>
      <c r="B4864" s="5" t="s">
        <v>5436</v>
      </c>
      <c r="C4864" s="5" t="s">
        <v>21</v>
      </c>
      <c r="K4864" s="5">
        <v>7000.0</v>
      </c>
      <c r="N4864" s="9">
        <v>44367.0</v>
      </c>
    </row>
    <row r="4865">
      <c r="A4865" s="5">
        <v>4864.0</v>
      </c>
      <c r="B4865" s="5" t="s">
        <v>5437</v>
      </c>
      <c r="C4865" s="5" t="s">
        <v>21</v>
      </c>
      <c r="K4865" s="5">
        <v>450.0</v>
      </c>
      <c r="N4865" s="9">
        <v>44613.0</v>
      </c>
    </row>
    <row r="4866">
      <c r="A4866" s="5">
        <v>4865.0</v>
      </c>
      <c r="B4866" s="5" t="s">
        <v>5438</v>
      </c>
      <c r="C4866" s="5" t="s">
        <v>21</v>
      </c>
      <c r="K4866" s="5">
        <v>8300.0</v>
      </c>
      <c r="N4866" s="9">
        <v>43919.0</v>
      </c>
    </row>
    <row r="4867">
      <c r="A4867" s="5">
        <v>4866.0</v>
      </c>
      <c r="B4867" s="5" t="s">
        <v>5439</v>
      </c>
      <c r="C4867" s="5" t="s">
        <v>21</v>
      </c>
      <c r="K4867" s="5">
        <v>2400.0</v>
      </c>
      <c r="N4867" s="9">
        <v>44067.0</v>
      </c>
    </row>
    <row r="4868">
      <c r="A4868" s="5">
        <v>4867.0</v>
      </c>
      <c r="B4868" s="5" t="s">
        <v>5440</v>
      </c>
      <c r="C4868" s="5" t="s">
        <v>21</v>
      </c>
      <c r="K4868" s="5">
        <v>90.0</v>
      </c>
      <c r="N4868" s="9">
        <v>44164.0</v>
      </c>
    </row>
    <row r="4869">
      <c r="A4869" s="5">
        <v>4868.0</v>
      </c>
      <c r="B4869" s="5" t="s">
        <v>5441</v>
      </c>
      <c r="C4869" s="5" t="s">
        <v>21</v>
      </c>
      <c r="K4869" s="5">
        <v>250.0</v>
      </c>
      <c r="N4869" s="9">
        <v>44658.0</v>
      </c>
    </row>
    <row r="4870">
      <c r="A4870" s="5">
        <v>4869.0</v>
      </c>
      <c r="B4870" s="5" t="s">
        <v>5442</v>
      </c>
      <c r="C4870" s="5" t="s">
        <v>21</v>
      </c>
      <c r="K4870" s="5">
        <v>60.0</v>
      </c>
      <c r="N4870" s="9">
        <v>44580.0</v>
      </c>
    </row>
    <row r="4871">
      <c r="A4871" s="5">
        <v>4870.0</v>
      </c>
      <c r="B4871" s="5" t="s">
        <v>5443</v>
      </c>
      <c r="C4871" s="5" t="s">
        <v>21</v>
      </c>
      <c r="K4871" s="5">
        <v>350.0</v>
      </c>
      <c r="N4871" s="9">
        <v>44540.0</v>
      </c>
    </row>
    <row r="4872">
      <c r="A4872" s="5">
        <v>4871.0</v>
      </c>
      <c r="B4872" s="5" t="s">
        <v>5444</v>
      </c>
      <c r="C4872" s="5" t="s">
        <v>21</v>
      </c>
      <c r="K4872" s="5">
        <v>70.0</v>
      </c>
      <c r="N4872" s="9">
        <v>44309.0</v>
      </c>
    </row>
    <row r="4873">
      <c r="A4873" s="5">
        <v>4872.0</v>
      </c>
      <c r="B4873" s="5" t="s">
        <v>5445</v>
      </c>
      <c r="C4873" s="5" t="s">
        <v>21</v>
      </c>
      <c r="K4873" s="5">
        <v>1800.0</v>
      </c>
      <c r="N4873" s="9">
        <v>44283.0</v>
      </c>
    </row>
    <row r="4874">
      <c r="A4874" s="5">
        <v>4873.0</v>
      </c>
      <c r="B4874" s="5" t="s">
        <v>5446</v>
      </c>
      <c r="C4874" s="5" t="s">
        <v>21</v>
      </c>
      <c r="K4874" s="5">
        <v>3000.0</v>
      </c>
      <c r="N4874" s="9">
        <v>44354.0</v>
      </c>
    </row>
    <row r="4875">
      <c r="A4875" s="5">
        <v>4874.0</v>
      </c>
      <c r="B4875" s="5" t="s">
        <v>5447</v>
      </c>
      <c r="C4875" s="5" t="s">
        <v>21</v>
      </c>
      <c r="K4875" s="5">
        <v>70.0</v>
      </c>
      <c r="N4875" s="9">
        <v>44528.0</v>
      </c>
    </row>
    <row r="4876">
      <c r="A4876" s="5">
        <v>4875.0</v>
      </c>
      <c r="B4876" s="5" t="s">
        <v>5448</v>
      </c>
      <c r="C4876" s="5" t="s">
        <v>21</v>
      </c>
      <c r="K4876" s="5">
        <v>600.0</v>
      </c>
      <c r="N4876" s="9">
        <v>44635.0</v>
      </c>
    </row>
    <row r="4877">
      <c r="A4877" s="5">
        <v>4876.0</v>
      </c>
      <c r="B4877" s="5" t="s">
        <v>5449</v>
      </c>
      <c r="C4877" s="5" t="s">
        <v>21</v>
      </c>
      <c r="K4877" s="5">
        <v>400.0</v>
      </c>
      <c r="N4877" s="9">
        <v>43986.0</v>
      </c>
    </row>
    <row r="4878">
      <c r="A4878" s="5">
        <v>4877.0</v>
      </c>
      <c r="B4878" s="5" t="s">
        <v>173</v>
      </c>
      <c r="C4878" s="5" t="s">
        <v>21</v>
      </c>
      <c r="K4878" s="5">
        <v>600.0</v>
      </c>
      <c r="N4878" s="9">
        <v>44168.0</v>
      </c>
    </row>
    <row r="4879">
      <c r="A4879" s="5">
        <v>4878.0</v>
      </c>
      <c r="B4879" s="5" t="s">
        <v>5450</v>
      </c>
      <c r="C4879" s="5" t="s">
        <v>21</v>
      </c>
      <c r="K4879" s="5">
        <v>112000.0</v>
      </c>
      <c r="N4879" s="9">
        <v>46108.0</v>
      </c>
    </row>
    <row r="4880">
      <c r="A4880" s="5">
        <v>4879.0</v>
      </c>
      <c r="B4880" s="5" t="s">
        <v>5451</v>
      </c>
      <c r="C4880" s="5" t="s">
        <v>21</v>
      </c>
      <c r="K4880" s="5">
        <v>900.0</v>
      </c>
      <c r="N4880" s="9">
        <v>44523.0</v>
      </c>
    </row>
    <row r="4881">
      <c r="A4881" s="5">
        <v>4880.0</v>
      </c>
      <c r="B4881" s="5" t="s">
        <v>5452</v>
      </c>
      <c r="C4881" s="5" t="s">
        <v>21</v>
      </c>
      <c r="K4881" s="5">
        <v>300.0</v>
      </c>
      <c r="N4881" s="9">
        <v>44873.0</v>
      </c>
    </row>
    <row r="4882">
      <c r="A4882" s="5">
        <v>4881.0</v>
      </c>
      <c r="B4882" s="5" t="s">
        <v>5453</v>
      </c>
      <c r="C4882" s="5" t="s">
        <v>21</v>
      </c>
      <c r="K4882" s="5">
        <v>1900.0</v>
      </c>
      <c r="N4882" s="9">
        <v>44577.0</v>
      </c>
    </row>
    <row r="4883">
      <c r="A4883" s="5">
        <v>4882.0</v>
      </c>
      <c r="B4883" s="5" t="s">
        <v>5454</v>
      </c>
      <c r="C4883" s="5" t="s">
        <v>21</v>
      </c>
      <c r="K4883" s="5">
        <v>800.0</v>
      </c>
      <c r="N4883" s="9">
        <v>43880.0</v>
      </c>
    </row>
    <row r="4884">
      <c r="A4884" s="5">
        <v>4883.0</v>
      </c>
      <c r="B4884" s="5" t="s">
        <v>5455</v>
      </c>
      <c r="C4884" s="5" t="s">
        <v>21</v>
      </c>
      <c r="K4884" s="5">
        <v>20.0</v>
      </c>
      <c r="N4884" s="9">
        <v>44657.0</v>
      </c>
    </row>
    <row r="4885">
      <c r="A4885" s="5">
        <v>4884.0</v>
      </c>
      <c r="B4885" s="5" t="s">
        <v>5456</v>
      </c>
      <c r="C4885" s="5" t="s">
        <v>21</v>
      </c>
      <c r="K4885" s="5">
        <v>250.0</v>
      </c>
      <c r="N4885" s="9">
        <v>44598.0</v>
      </c>
    </row>
    <row r="4886">
      <c r="A4886" s="5">
        <v>4885.0</v>
      </c>
      <c r="B4886" s="5" t="s">
        <v>5457</v>
      </c>
      <c r="C4886" s="5" t="s">
        <v>21</v>
      </c>
      <c r="K4886" s="5">
        <v>350.0</v>
      </c>
      <c r="N4886" s="9">
        <v>44535.0</v>
      </c>
    </row>
    <row r="4887">
      <c r="A4887" s="5">
        <v>4886.0</v>
      </c>
      <c r="B4887" s="5" t="s">
        <v>5458</v>
      </c>
      <c r="C4887" s="5" t="s">
        <v>21</v>
      </c>
      <c r="K4887" s="5">
        <v>700.0</v>
      </c>
      <c r="N4887" s="9">
        <v>44569.0</v>
      </c>
    </row>
    <row r="4888">
      <c r="A4888" s="5">
        <v>4887.0</v>
      </c>
      <c r="B4888" s="5" t="s">
        <v>5459</v>
      </c>
      <c r="C4888" s="5" t="s">
        <v>21</v>
      </c>
      <c r="K4888" s="5">
        <v>700.0</v>
      </c>
      <c r="N4888" s="9">
        <v>43878.0</v>
      </c>
    </row>
    <row r="4889">
      <c r="A4889" s="5">
        <v>4888.0</v>
      </c>
      <c r="B4889" s="5" t="s">
        <v>5460</v>
      </c>
      <c r="C4889" s="5" t="s">
        <v>21</v>
      </c>
      <c r="K4889" s="5">
        <v>1400.0</v>
      </c>
      <c r="N4889" s="9">
        <v>44563.0</v>
      </c>
    </row>
    <row r="4890">
      <c r="A4890" s="5">
        <v>4889.0</v>
      </c>
      <c r="B4890" s="5" t="s">
        <v>5461</v>
      </c>
      <c r="C4890" s="5" t="s">
        <v>21</v>
      </c>
      <c r="K4890" s="5">
        <v>400.0</v>
      </c>
      <c r="N4890" s="9">
        <v>44605.0</v>
      </c>
    </row>
    <row r="4891">
      <c r="A4891" s="5">
        <v>4890.0</v>
      </c>
      <c r="B4891" s="5" t="s">
        <v>5462</v>
      </c>
      <c r="C4891" s="5" t="s">
        <v>21</v>
      </c>
      <c r="K4891" s="5">
        <v>700.0</v>
      </c>
      <c r="N4891" s="9">
        <v>44709.0</v>
      </c>
    </row>
    <row r="4892">
      <c r="A4892" s="5">
        <v>4891.0</v>
      </c>
      <c r="B4892" s="5" t="s">
        <v>5463</v>
      </c>
      <c r="C4892" s="5" t="s">
        <v>21</v>
      </c>
      <c r="K4892" s="5">
        <v>200.0</v>
      </c>
      <c r="N4892" s="9">
        <v>45132.0</v>
      </c>
    </row>
    <row r="4893">
      <c r="A4893" s="5">
        <v>4892.0</v>
      </c>
      <c r="B4893" s="5" t="s">
        <v>5464</v>
      </c>
      <c r="C4893" s="5" t="s">
        <v>21</v>
      </c>
      <c r="K4893" s="5">
        <v>60.0</v>
      </c>
      <c r="N4893" s="9">
        <v>44604.0</v>
      </c>
    </row>
    <row r="4894">
      <c r="A4894" s="5">
        <v>4893.0</v>
      </c>
      <c r="B4894" s="5" t="s">
        <v>5465</v>
      </c>
      <c r="C4894" s="5" t="s">
        <v>21</v>
      </c>
      <c r="K4894" s="5">
        <v>250.0</v>
      </c>
      <c r="N4894" s="9">
        <v>44416.0</v>
      </c>
    </row>
    <row r="4895">
      <c r="A4895" s="5">
        <v>4894.0</v>
      </c>
      <c r="B4895" s="5" t="s">
        <v>5466</v>
      </c>
      <c r="C4895" s="5" t="s">
        <v>21</v>
      </c>
      <c r="K4895" s="5">
        <v>10.0</v>
      </c>
      <c r="N4895" s="9">
        <v>44791.0</v>
      </c>
    </row>
    <row r="4896">
      <c r="A4896" s="5">
        <v>4895.0</v>
      </c>
      <c r="B4896" s="5" t="s">
        <v>5467</v>
      </c>
      <c r="C4896" s="5" t="s">
        <v>21</v>
      </c>
      <c r="K4896" s="5">
        <v>700.0</v>
      </c>
      <c r="N4896" s="9">
        <v>44538.0</v>
      </c>
    </row>
    <row r="4897">
      <c r="A4897" s="5">
        <v>4896.0</v>
      </c>
      <c r="B4897" s="5" t="s">
        <v>5468</v>
      </c>
      <c r="C4897" s="5" t="s">
        <v>21</v>
      </c>
      <c r="K4897" s="5">
        <v>800.0</v>
      </c>
      <c r="N4897" s="9">
        <v>44210.0</v>
      </c>
    </row>
    <row r="4898">
      <c r="A4898" s="5">
        <v>4897.0</v>
      </c>
      <c r="B4898" s="5" t="s">
        <v>5469</v>
      </c>
      <c r="C4898" s="5" t="s">
        <v>21</v>
      </c>
      <c r="K4898" s="5">
        <v>3000.0</v>
      </c>
      <c r="N4898" s="9">
        <v>44532.0</v>
      </c>
    </row>
    <row r="4899">
      <c r="A4899" s="5">
        <v>4898.0</v>
      </c>
      <c r="B4899" s="5" t="s">
        <v>5470</v>
      </c>
      <c r="C4899" s="5" t="s">
        <v>21</v>
      </c>
      <c r="K4899" s="5">
        <v>150.0</v>
      </c>
      <c r="N4899" s="9">
        <v>44279.0</v>
      </c>
    </row>
    <row r="4900">
      <c r="A4900" s="5">
        <v>4899.0</v>
      </c>
      <c r="B4900" s="5" t="s">
        <v>5471</v>
      </c>
      <c r="C4900" s="5" t="s">
        <v>21</v>
      </c>
      <c r="K4900" s="5">
        <v>1700.0</v>
      </c>
      <c r="N4900" s="9">
        <v>44197.0</v>
      </c>
    </row>
    <row r="4901">
      <c r="A4901" s="5">
        <v>4900.0</v>
      </c>
      <c r="B4901" s="5" t="s">
        <v>5472</v>
      </c>
      <c r="C4901" s="5" t="s">
        <v>21</v>
      </c>
      <c r="K4901" s="5">
        <v>80.0</v>
      </c>
      <c r="N4901" s="9">
        <v>44983.0</v>
      </c>
    </row>
    <row r="4902">
      <c r="A4902" s="5">
        <v>4901.0</v>
      </c>
      <c r="B4902" s="5" t="s">
        <v>5473</v>
      </c>
      <c r="C4902" s="5" t="s">
        <v>21</v>
      </c>
      <c r="K4902" s="5">
        <v>2300.0</v>
      </c>
      <c r="N4902" s="9">
        <v>43948.0</v>
      </c>
    </row>
    <row r="4903">
      <c r="A4903" s="5">
        <v>4902.0</v>
      </c>
      <c r="B4903" s="5" t="s">
        <v>5474</v>
      </c>
      <c r="C4903" s="5" t="s">
        <v>21</v>
      </c>
      <c r="N4903" s="9">
        <v>44798.0</v>
      </c>
    </row>
    <row r="4904">
      <c r="A4904" s="5">
        <v>4903.0</v>
      </c>
      <c r="B4904" s="5" t="s">
        <v>5475</v>
      </c>
      <c r="C4904" s="5" t="s">
        <v>21</v>
      </c>
      <c r="K4904" s="5">
        <v>4900.0</v>
      </c>
      <c r="N4904" s="9">
        <v>43881.0</v>
      </c>
    </row>
    <row r="4905">
      <c r="A4905" s="5">
        <v>4904.0</v>
      </c>
      <c r="B4905" s="5" t="s">
        <v>5476</v>
      </c>
      <c r="C4905" s="5" t="s">
        <v>21</v>
      </c>
      <c r="K4905" s="5">
        <v>350.0</v>
      </c>
      <c r="N4905" s="9">
        <v>45537.0</v>
      </c>
    </row>
    <row r="4906">
      <c r="A4906" s="5">
        <v>4905.0</v>
      </c>
      <c r="B4906" s="5" t="s">
        <v>210</v>
      </c>
      <c r="C4906" s="5" t="s">
        <v>21</v>
      </c>
      <c r="K4906" s="5">
        <v>11000.0</v>
      </c>
      <c r="N4906" s="9">
        <v>44026.0</v>
      </c>
    </row>
    <row r="4907">
      <c r="A4907" s="5">
        <v>4906.0</v>
      </c>
      <c r="B4907" s="5" t="s">
        <v>5477</v>
      </c>
      <c r="C4907" s="5" t="s">
        <v>21</v>
      </c>
      <c r="K4907" s="5">
        <v>150.0</v>
      </c>
      <c r="N4907" s="9">
        <v>44698.0</v>
      </c>
    </row>
    <row r="4908">
      <c r="A4908" s="5">
        <v>4907.0</v>
      </c>
      <c r="B4908" s="5" t="s">
        <v>5478</v>
      </c>
      <c r="C4908" s="5" t="s">
        <v>21</v>
      </c>
      <c r="K4908" s="5">
        <v>450.0</v>
      </c>
      <c r="N4908" s="9">
        <v>45560.0</v>
      </c>
    </row>
    <row r="4909">
      <c r="A4909" s="5">
        <v>4908.0</v>
      </c>
      <c r="B4909" s="5" t="s">
        <v>5479</v>
      </c>
      <c r="C4909" s="5" t="s">
        <v>21</v>
      </c>
      <c r="K4909" s="5">
        <v>600.0</v>
      </c>
      <c r="N4909" s="9">
        <v>44221.0</v>
      </c>
    </row>
    <row r="4910">
      <c r="A4910" s="5">
        <v>4909.0</v>
      </c>
      <c r="B4910" s="5" t="s">
        <v>5480</v>
      </c>
      <c r="C4910" s="5" t="s">
        <v>21</v>
      </c>
      <c r="K4910" s="5">
        <v>20.0</v>
      </c>
      <c r="N4910" s="9">
        <v>44623.0</v>
      </c>
    </row>
    <row r="4911">
      <c r="A4911" s="5">
        <v>4910.0</v>
      </c>
      <c r="B4911" s="5" t="s">
        <v>5481</v>
      </c>
      <c r="C4911" s="5" t="s">
        <v>21</v>
      </c>
      <c r="K4911" s="5">
        <v>141000.0</v>
      </c>
      <c r="N4911" s="9">
        <v>46097.0</v>
      </c>
    </row>
    <row r="4912">
      <c r="A4912" s="5">
        <v>4911.0</v>
      </c>
      <c r="B4912" s="5" t="s">
        <v>5482</v>
      </c>
      <c r="C4912" s="5" t="s">
        <v>21</v>
      </c>
      <c r="N4912" s="9">
        <v>42604.0</v>
      </c>
      <c r="O4912" s="5" t="s">
        <v>893</v>
      </c>
      <c r="P4912" s="5" t="s">
        <v>26</v>
      </c>
      <c r="S4912" s="5" t="s">
        <v>29</v>
      </c>
    </row>
    <row r="4913">
      <c r="A4913" s="5">
        <v>4912.0</v>
      </c>
      <c r="B4913" s="5" t="s">
        <v>5483</v>
      </c>
      <c r="C4913" s="5" t="s">
        <v>21</v>
      </c>
      <c r="K4913" s="5">
        <v>350.0</v>
      </c>
      <c r="N4913" s="9">
        <v>44249.0</v>
      </c>
    </row>
    <row r="4914">
      <c r="A4914" s="5">
        <v>4913.0</v>
      </c>
      <c r="B4914" s="5" t="s">
        <v>5484</v>
      </c>
      <c r="C4914" s="5" t="s">
        <v>21</v>
      </c>
      <c r="K4914" s="5">
        <v>20.0</v>
      </c>
      <c r="N4914" s="9">
        <v>44553.0</v>
      </c>
    </row>
    <row r="4915">
      <c r="A4915" s="5">
        <v>4914.0</v>
      </c>
      <c r="B4915" s="5" t="s">
        <v>5485</v>
      </c>
      <c r="C4915" s="5" t="s">
        <v>21</v>
      </c>
      <c r="K4915" s="5">
        <v>700.0</v>
      </c>
      <c r="N4915" s="9">
        <v>44540.0</v>
      </c>
    </row>
    <row r="4916">
      <c r="A4916" s="5">
        <v>4915.0</v>
      </c>
      <c r="B4916" s="5" t="s">
        <v>5486</v>
      </c>
      <c r="C4916" s="5" t="s">
        <v>21</v>
      </c>
      <c r="K4916" s="5">
        <v>500.0</v>
      </c>
      <c r="N4916" s="9">
        <v>44940.0</v>
      </c>
    </row>
    <row r="4917">
      <c r="A4917" s="5">
        <v>4916.0</v>
      </c>
      <c r="B4917" s="5" t="s">
        <v>5487</v>
      </c>
      <c r="C4917" s="5" t="s">
        <v>21</v>
      </c>
      <c r="K4917" s="5">
        <v>300.0</v>
      </c>
      <c r="N4917" s="9">
        <v>45611.0</v>
      </c>
    </row>
    <row r="4918">
      <c r="A4918" s="5">
        <v>4917.0</v>
      </c>
      <c r="B4918" s="5" t="s">
        <v>5488</v>
      </c>
      <c r="C4918" s="5" t="s">
        <v>21</v>
      </c>
      <c r="K4918" s="5">
        <v>250.0</v>
      </c>
      <c r="N4918" s="9">
        <v>45399.0</v>
      </c>
    </row>
    <row r="4919">
      <c r="A4919" s="5">
        <v>4918.0</v>
      </c>
      <c r="B4919" s="5" t="s">
        <v>5489</v>
      </c>
      <c r="C4919" s="5" t="s">
        <v>21</v>
      </c>
      <c r="K4919" s="5">
        <v>2200.0</v>
      </c>
      <c r="N4919" s="9">
        <v>44461.0</v>
      </c>
    </row>
    <row r="4920">
      <c r="A4920" s="5">
        <v>4919.0</v>
      </c>
      <c r="B4920" s="5" t="s">
        <v>5490</v>
      </c>
      <c r="C4920" s="5" t="s">
        <v>21</v>
      </c>
      <c r="K4920" s="5">
        <v>250.0</v>
      </c>
      <c r="N4920" s="9">
        <v>44084.0</v>
      </c>
    </row>
    <row r="4921">
      <c r="A4921" s="5">
        <v>4920.0</v>
      </c>
      <c r="B4921" s="5" t="s">
        <v>5491</v>
      </c>
      <c r="C4921" s="5" t="s">
        <v>21</v>
      </c>
      <c r="K4921" s="5">
        <v>400.0</v>
      </c>
      <c r="N4921" s="9">
        <v>44612.0</v>
      </c>
    </row>
    <row r="4922">
      <c r="A4922" s="5">
        <v>4921.0</v>
      </c>
      <c r="B4922" s="5" t="s">
        <v>5492</v>
      </c>
      <c r="C4922" s="5" t="s">
        <v>21</v>
      </c>
      <c r="N4922" s="9">
        <v>44519.0</v>
      </c>
    </row>
    <row r="4923">
      <c r="A4923" s="5">
        <v>4922.0</v>
      </c>
      <c r="B4923" s="5" t="s">
        <v>176</v>
      </c>
      <c r="C4923" s="5" t="s">
        <v>21</v>
      </c>
      <c r="K4923" s="5">
        <v>70.0</v>
      </c>
      <c r="N4923" s="9">
        <v>44529.0</v>
      </c>
    </row>
    <row r="4924">
      <c r="A4924" s="5">
        <v>4923.0</v>
      </c>
      <c r="B4924" s="5" t="s">
        <v>5493</v>
      </c>
      <c r="C4924" s="5" t="s">
        <v>21</v>
      </c>
      <c r="K4924" s="5">
        <v>250.0</v>
      </c>
      <c r="N4924" s="9">
        <v>44561.0</v>
      </c>
    </row>
    <row r="4925">
      <c r="A4925" s="5">
        <v>4924.0</v>
      </c>
      <c r="B4925" s="5" t="s">
        <v>5494</v>
      </c>
      <c r="C4925" s="5" t="s">
        <v>21</v>
      </c>
      <c r="K4925" s="5">
        <v>7500.0</v>
      </c>
      <c r="N4925" s="9">
        <v>43932.0</v>
      </c>
    </row>
    <row r="4926">
      <c r="A4926" s="5">
        <v>4925.0</v>
      </c>
      <c r="B4926" s="5" t="s">
        <v>5495</v>
      </c>
      <c r="C4926" s="5" t="s">
        <v>21</v>
      </c>
      <c r="K4926" s="5">
        <v>200.0</v>
      </c>
      <c r="N4926" s="9">
        <v>44419.0</v>
      </c>
    </row>
    <row r="4927">
      <c r="A4927" s="5">
        <v>4926.0</v>
      </c>
      <c r="B4927" s="5" t="s">
        <v>5496</v>
      </c>
      <c r="C4927" s="5" t="s">
        <v>21</v>
      </c>
      <c r="N4927" s="9">
        <v>44716.0</v>
      </c>
    </row>
    <row r="4928">
      <c r="A4928" s="5">
        <v>4927.0</v>
      </c>
      <c r="B4928" s="5" t="s">
        <v>5497</v>
      </c>
      <c r="C4928" s="5" t="s">
        <v>21</v>
      </c>
      <c r="K4928" s="5">
        <v>300.0</v>
      </c>
      <c r="N4928" s="9">
        <v>44325.0</v>
      </c>
    </row>
    <row r="4929">
      <c r="A4929" s="5">
        <v>4928.0</v>
      </c>
      <c r="B4929" s="5" t="s">
        <v>5498</v>
      </c>
      <c r="C4929" s="5" t="s">
        <v>21</v>
      </c>
      <c r="N4929" s="9">
        <v>44463.0</v>
      </c>
    </row>
    <row r="4930">
      <c r="A4930" s="5">
        <v>4929.0</v>
      </c>
      <c r="B4930" s="5" t="s">
        <v>5499</v>
      </c>
      <c r="C4930" s="5" t="s">
        <v>21</v>
      </c>
      <c r="K4930" s="5">
        <v>300.0</v>
      </c>
      <c r="N4930" s="9">
        <v>45078.0</v>
      </c>
    </row>
    <row r="4931">
      <c r="A4931" s="5">
        <v>4930.0</v>
      </c>
      <c r="B4931" s="5" t="s">
        <v>5500</v>
      </c>
      <c r="C4931" s="5" t="s">
        <v>21</v>
      </c>
      <c r="K4931" s="5">
        <v>350.0</v>
      </c>
      <c r="N4931" s="9">
        <v>44247.0</v>
      </c>
    </row>
    <row r="4932">
      <c r="A4932" s="5">
        <v>4931.0</v>
      </c>
      <c r="B4932" s="5" t="s">
        <v>5501</v>
      </c>
      <c r="C4932" s="5" t="s">
        <v>21</v>
      </c>
      <c r="K4932" s="5">
        <v>250.0</v>
      </c>
      <c r="N4932" s="9">
        <v>45471.0</v>
      </c>
    </row>
    <row r="4933">
      <c r="A4933" s="5">
        <v>4932.0</v>
      </c>
      <c r="B4933" s="5" t="s">
        <v>5502</v>
      </c>
      <c r="C4933" s="5" t="s">
        <v>21</v>
      </c>
      <c r="K4933" s="5">
        <v>300.0</v>
      </c>
      <c r="N4933" s="9">
        <v>44572.0</v>
      </c>
    </row>
    <row r="4934">
      <c r="A4934" s="5">
        <v>4933.0</v>
      </c>
      <c r="B4934" s="5" t="s">
        <v>5503</v>
      </c>
      <c r="C4934" s="5" t="s">
        <v>21</v>
      </c>
      <c r="K4934" s="5">
        <v>200.0</v>
      </c>
      <c r="N4934" s="9">
        <v>44598.0</v>
      </c>
    </row>
    <row r="4935">
      <c r="A4935" s="5">
        <v>4934.0</v>
      </c>
      <c r="B4935" s="5" t="s">
        <v>5504</v>
      </c>
      <c r="C4935" s="5" t="s">
        <v>21</v>
      </c>
      <c r="K4935" s="5">
        <v>600.0</v>
      </c>
      <c r="N4935" s="9">
        <v>44528.0</v>
      </c>
    </row>
    <row r="4936">
      <c r="A4936" s="5">
        <v>4935.0</v>
      </c>
      <c r="B4936" s="5" t="s">
        <v>5505</v>
      </c>
      <c r="C4936" s="5" t="s">
        <v>21</v>
      </c>
      <c r="K4936" s="5">
        <v>350.0</v>
      </c>
      <c r="N4936" s="9">
        <v>44582.0</v>
      </c>
    </row>
    <row r="4937">
      <c r="A4937" s="5">
        <v>4936.0</v>
      </c>
      <c r="B4937" s="5" t="s">
        <v>5506</v>
      </c>
      <c r="C4937" s="5" t="s">
        <v>21</v>
      </c>
      <c r="N4937" s="9">
        <v>44528.0</v>
      </c>
    </row>
    <row r="4938">
      <c r="A4938" s="5">
        <v>4937.0</v>
      </c>
      <c r="B4938" s="5" t="s">
        <v>5507</v>
      </c>
      <c r="C4938" s="5" t="s">
        <v>21</v>
      </c>
      <c r="K4938" s="5">
        <v>40.0</v>
      </c>
      <c r="N4938" s="9">
        <v>45271.0</v>
      </c>
    </row>
    <row r="4939">
      <c r="A4939" s="5">
        <v>4938.0</v>
      </c>
      <c r="B4939" s="5" t="s">
        <v>5508</v>
      </c>
      <c r="C4939" s="5" t="s">
        <v>21</v>
      </c>
      <c r="K4939" s="5">
        <v>200.0</v>
      </c>
      <c r="N4939" s="9">
        <v>45658.0</v>
      </c>
    </row>
    <row r="4940">
      <c r="A4940" s="5">
        <v>4939.0</v>
      </c>
      <c r="B4940" s="5" t="s">
        <v>5509</v>
      </c>
      <c r="C4940" s="5" t="s">
        <v>21</v>
      </c>
      <c r="K4940" s="5">
        <v>50.0</v>
      </c>
      <c r="N4940" s="9">
        <v>44551.0</v>
      </c>
    </row>
    <row r="4941">
      <c r="A4941" s="5">
        <v>4940.0</v>
      </c>
      <c r="B4941" s="5" t="s">
        <v>5510</v>
      </c>
      <c r="C4941" s="5" t="s">
        <v>21</v>
      </c>
      <c r="K4941" s="5">
        <v>450.0</v>
      </c>
      <c r="N4941" s="9">
        <v>44530.0</v>
      </c>
    </row>
    <row r="4942">
      <c r="A4942" s="5">
        <v>4941.0</v>
      </c>
      <c r="B4942" s="5" t="s">
        <v>5511</v>
      </c>
      <c r="C4942" s="5" t="s">
        <v>21</v>
      </c>
      <c r="K4942" s="5">
        <v>350.0</v>
      </c>
      <c r="N4942" s="9">
        <v>44657.0</v>
      </c>
    </row>
    <row r="4943">
      <c r="A4943" s="5">
        <v>4942.0</v>
      </c>
      <c r="B4943" s="5" t="s">
        <v>5512</v>
      </c>
      <c r="C4943" s="5" t="s">
        <v>21</v>
      </c>
      <c r="K4943" s="5">
        <v>350.0</v>
      </c>
      <c r="N4943" s="9">
        <v>43926.0</v>
      </c>
    </row>
    <row r="4944">
      <c r="A4944" s="5">
        <v>4943.0</v>
      </c>
      <c r="B4944" s="5" t="s">
        <v>5513</v>
      </c>
      <c r="C4944" s="5" t="s">
        <v>21</v>
      </c>
      <c r="K4944" s="5">
        <v>1200.0</v>
      </c>
      <c r="N4944" s="9">
        <v>44616.0</v>
      </c>
    </row>
    <row r="4945">
      <c r="A4945" s="5">
        <v>4944.0</v>
      </c>
      <c r="B4945" s="5" t="s">
        <v>5514</v>
      </c>
      <c r="C4945" s="5" t="s">
        <v>21</v>
      </c>
      <c r="K4945" s="5">
        <v>1300.0</v>
      </c>
      <c r="N4945" s="9">
        <v>45560.0</v>
      </c>
    </row>
    <row r="4946">
      <c r="A4946" s="5">
        <v>4945.0</v>
      </c>
      <c r="B4946" s="5" t="s">
        <v>5515</v>
      </c>
      <c r="C4946" s="5" t="s">
        <v>21</v>
      </c>
      <c r="K4946" s="5">
        <v>1900.0</v>
      </c>
      <c r="N4946" s="9">
        <v>44528.0</v>
      </c>
    </row>
    <row r="4947">
      <c r="A4947" s="5">
        <v>4946.0</v>
      </c>
      <c r="B4947" s="5" t="s">
        <v>5516</v>
      </c>
      <c r="C4947" s="5" t="s">
        <v>21</v>
      </c>
      <c r="K4947" s="5">
        <v>2500.0</v>
      </c>
      <c r="N4947" s="9">
        <v>44525.0</v>
      </c>
    </row>
    <row r="4948">
      <c r="A4948" s="5">
        <v>4947.0</v>
      </c>
      <c r="B4948" s="5" t="s">
        <v>5517</v>
      </c>
      <c r="C4948" s="5" t="s">
        <v>21</v>
      </c>
      <c r="K4948" s="5">
        <v>300.0</v>
      </c>
      <c r="N4948" s="9">
        <v>44918.0</v>
      </c>
    </row>
    <row r="4949">
      <c r="A4949" s="5">
        <v>4948.0</v>
      </c>
      <c r="B4949" s="5" t="s">
        <v>5518</v>
      </c>
      <c r="C4949" s="5" t="s">
        <v>21</v>
      </c>
      <c r="K4949" s="5">
        <v>60.0</v>
      </c>
      <c r="N4949" s="9">
        <v>44187.0</v>
      </c>
    </row>
    <row r="4950">
      <c r="A4950" s="5">
        <v>4949.0</v>
      </c>
      <c r="B4950" s="5" t="s">
        <v>5519</v>
      </c>
      <c r="C4950" s="5" t="s">
        <v>21</v>
      </c>
      <c r="K4950" s="5">
        <v>300.0</v>
      </c>
      <c r="N4950" s="9">
        <v>44569.0</v>
      </c>
    </row>
    <row r="4951">
      <c r="A4951" s="5">
        <v>4950.0</v>
      </c>
      <c r="B4951" s="5" t="s">
        <v>5520</v>
      </c>
      <c r="C4951" s="5" t="s">
        <v>21</v>
      </c>
      <c r="K4951" s="5">
        <v>700.0</v>
      </c>
      <c r="N4951" s="9">
        <v>44757.0</v>
      </c>
    </row>
    <row r="4952">
      <c r="A4952" s="5">
        <v>4951.0</v>
      </c>
      <c r="B4952" s="5" t="s">
        <v>5521</v>
      </c>
      <c r="C4952" s="5" t="s">
        <v>21</v>
      </c>
      <c r="K4952" s="5">
        <v>500.0</v>
      </c>
      <c r="N4952" s="9">
        <v>45579.0</v>
      </c>
    </row>
    <row r="4953">
      <c r="A4953" s="5">
        <v>4952.0</v>
      </c>
      <c r="B4953" s="5" t="s">
        <v>5522</v>
      </c>
      <c r="C4953" s="5" t="s">
        <v>21</v>
      </c>
      <c r="K4953" s="5">
        <v>200.0</v>
      </c>
      <c r="N4953" s="9">
        <v>45075.0</v>
      </c>
    </row>
    <row r="4954">
      <c r="A4954" s="5">
        <v>4953.0</v>
      </c>
      <c r="B4954" s="5" t="s">
        <v>5523</v>
      </c>
      <c r="C4954" s="5" t="s">
        <v>21</v>
      </c>
      <c r="K4954" s="5">
        <v>900.0</v>
      </c>
      <c r="N4954" s="9">
        <v>44477.0</v>
      </c>
    </row>
    <row r="4955">
      <c r="A4955" s="5">
        <v>4954.0</v>
      </c>
      <c r="B4955" s="5" t="s">
        <v>5524</v>
      </c>
      <c r="C4955" s="5" t="s">
        <v>21</v>
      </c>
      <c r="K4955" s="5">
        <v>200.0</v>
      </c>
      <c r="N4955" s="9">
        <v>45546.0</v>
      </c>
    </row>
    <row r="4956">
      <c r="A4956" s="5">
        <v>4955.0</v>
      </c>
      <c r="B4956" s="5" t="s">
        <v>5525</v>
      </c>
      <c r="C4956" s="5" t="s">
        <v>21</v>
      </c>
      <c r="K4956" s="5">
        <v>90.0</v>
      </c>
      <c r="N4956" s="9">
        <v>43905.0</v>
      </c>
    </row>
    <row r="4957">
      <c r="A4957" s="5">
        <v>4956.0</v>
      </c>
      <c r="B4957" s="5" t="s">
        <v>5526</v>
      </c>
      <c r="C4957" s="5" t="s">
        <v>21</v>
      </c>
      <c r="K4957" s="5">
        <v>100.0</v>
      </c>
      <c r="N4957" s="9">
        <v>44707.0</v>
      </c>
    </row>
    <row r="4958">
      <c r="A4958" s="5">
        <v>4957.0</v>
      </c>
      <c r="B4958" s="5" t="s">
        <v>5527</v>
      </c>
      <c r="C4958" s="5" t="s">
        <v>21</v>
      </c>
      <c r="K4958" s="5">
        <v>700.0</v>
      </c>
      <c r="N4958" s="9">
        <v>44531.0</v>
      </c>
    </row>
    <row r="4959">
      <c r="A4959" s="5">
        <v>4958.0</v>
      </c>
      <c r="B4959" s="5" t="s">
        <v>5528</v>
      </c>
      <c r="C4959" s="5" t="s">
        <v>21</v>
      </c>
      <c r="K4959" s="5">
        <v>600.0</v>
      </c>
      <c r="N4959" s="9">
        <v>45094.0</v>
      </c>
    </row>
    <row r="4960">
      <c r="A4960" s="5">
        <v>4959.0</v>
      </c>
      <c r="B4960" s="5" t="s">
        <v>5529</v>
      </c>
      <c r="C4960" s="5" t="s">
        <v>21</v>
      </c>
      <c r="K4960" s="5">
        <v>40.0</v>
      </c>
      <c r="N4960" s="9">
        <v>44575.0</v>
      </c>
    </row>
    <row r="4961">
      <c r="A4961" s="5">
        <v>4960.0</v>
      </c>
      <c r="B4961" s="5" t="s">
        <v>5530</v>
      </c>
      <c r="C4961" s="5" t="s">
        <v>21</v>
      </c>
      <c r="K4961" s="5">
        <v>20.0</v>
      </c>
      <c r="N4961" s="9">
        <v>45170.0</v>
      </c>
    </row>
    <row r="4962">
      <c r="A4962" s="5">
        <v>4961.0</v>
      </c>
      <c r="B4962" s="5" t="s">
        <v>5531</v>
      </c>
      <c r="C4962" s="5" t="s">
        <v>21</v>
      </c>
      <c r="N4962" s="9">
        <v>44619.0</v>
      </c>
    </row>
    <row r="4963">
      <c r="A4963" s="5">
        <v>4962.0</v>
      </c>
      <c r="B4963" s="5" t="s">
        <v>5532</v>
      </c>
      <c r="C4963" s="5" t="s">
        <v>21</v>
      </c>
      <c r="K4963" s="5">
        <v>700.0</v>
      </c>
      <c r="N4963" s="9">
        <v>44226.0</v>
      </c>
    </row>
    <row r="4964">
      <c r="A4964" s="5">
        <v>4963.0</v>
      </c>
      <c r="B4964" s="5" t="s">
        <v>5533</v>
      </c>
      <c r="C4964" s="5" t="s">
        <v>21</v>
      </c>
      <c r="K4964" s="5">
        <v>200.0</v>
      </c>
      <c r="N4964" s="9">
        <v>44375.0</v>
      </c>
    </row>
    <row r="4965">
      <c r="A4965" s="5">
        <v>4964.0</v>
      </c>
      <c r="B4965" s="5" t="s">
        <v>5534</v>
      </c>
      <c r="C4965" s="5" t="s">
        <v>21</v>
      </c>
      <c r="K4965" s="5">
        <v>500.0</v>
      </c>
      <c r="N4965" s="9">
        <v>44409.0</v>
      </c>
    </row>
    <row r="4966">
      <c r="A4966" s="5">
        <v>4965.0</v>
      </c>
      <c r="B4966" s="5" t="s">
        <v>5535</v>
      </c>
      <c r="C4966" s="5" t="s">
        <v>21</v>
      </c>
      <c r="K4966" s="5">
        <v>400.0</v>
      </c>
      <c r="N4966" s="9">
        <v>44734.0</v>
      </c>
    </row>
    <row r="4967">
      <c r="A4967" s="5">
        <v>4966.0</v>
      </c>
      <c r="B4967" s="5" t="s">
        <v>5536</v>
      </c>
      <c r="C4967" s="5" t="s">
        <v>21</v>
      </c>
      <c r="K4967" s="5">
        <v>300.0</v>
      </c>
      <c r="N4967" s="9">
        <v>44529.0</v>
      </c>
    </row>
    <row r="4968">
      <c r="A4968" s="5">
        <v>4967.0</v>
      </c>
      <c r="B4968" s="5" t="s">
        <v>5537</v>
      </c>
      <c r="C4968" s="5" t="s">
        <v>21</v>
      </c>
      <c r="K4968" s="5">
        <v>600.0</v>
      </c>
      <c r="N4968" s="9">
        <v>44589.0</v>
      </c>
    </row>
    <row r="4969">
      <c r="A4969" s="5">
        <v>4968.0</v>
      </c>
      <c r="B4969" s="5" t="s">
        <v>5538</v>
      </c>
      <c r="C4969" s="5" t="s">
        <v>21</v>
      </c>
      <c r="K4969" s="5">
        <v>700.0</v>
      </c>
      <c r="N4969" s="9">
        <v>44758.0</v>
      </c>
    </row>
    <row r="4970">
      <c r="A4970" s="5">
        <v>4969.0</v>
      </c>
      <c r="B4970" s="5" t="s">
        <v>5539</v>
      </c>
      <c r="C4970" s="5" t="s">
        <v>21</v>
      </c>
      <c r="K4970" s="5">
        <v>80.0</v>
      </c>
      <c r="N4970" s="9">
        <v>45808.0</v>
      </c>
    </row>
    <row r="4971">
      <c r="A4971" s="5">
        <v>4970.0</v>
      </c>
      <c r="B4971" s="5" t="s">
        <v>5540</v>
      </c>
      <c r="C4971" s="5" t="s">
        <v>21</v>
      </c>
      <c r="K4971" s="5">
        <v>1100.0</v>
      </c>
      <c r="N4971" s="9">
        <v>44223.0</v>
      </c>
    </row>
    <row r="4972">
      <c r="A4972" s="5">
        <v>4971.0</v>
      </c>
      <c r="B4972" s="5" t="s">
        <v>5541</v>
      </c>
      <c r="C4972" s="5" t="s">
        <v>21</v>
      </c>
      <c r="K4972" s="5">
        <v>700.0</v>
      </c>
      <c r="N4972" s="9">
        <v>44547.0</v>
      </c>
    </row>
    <row r="4973">
      <c r="A4973" s="5">
        <v>4972.0</v>
      </c>
      <c r="B4973" s="5" t="s">
        <v>5542</v>
      </c>
      <c r="C4973" s="5" t="s">
        <v>21</v>
      </c>
      <c r="K4973" s="5">
        <v>60.0</v>
      </c>
      <c r="N4973" s="9">
        <v>44562.0</v>
      </c>
    </row>
    <row r="4974">
      <c r="A4974" s="5">
        <v>4973.0</v>
      </c>
      <c r="B4974" s="5" t="s">
        <v>5543</v>
      </c>
      <c r="C4974" s="5" t="s">
        <v>21</v>
      </c>
      <c r="K4974" s="5">
        <v>900.0</v>
      </c>
      <c r="N4974" s="9">
        <v>44527.0</v>
      </c>
    </row>
    <row r="4975">
      <c r="A4975" s="5">
        <v>4974.0</v>
      </c>
      <c r="B4975" s="5" t="s">
        <v>5544</v>
      </c>
      <c r="C4975" s="5" t="s">
        <v>21</v>
      </c>
      <c r="K4975" s="5">
        <v>200.0</v>
      </c>
      <c r="N4975" s="9">
        <v>45083.0</v>
      </c>
    </row>
    <row r="4976">
      <c r="A4976" s="5">
        <v>4975.0</v>
      </c>
      <c r="B4976" s="5" t="s">
        <v>5545</v>
      </c>
      <c r="C4976" s="5" t="s">
        <v>21</v>
      </c>
      <c r="K4976" s="5">
        <v>300.0</v>
      </c>
      <c r="N4976" s="9">
        <v>45147.0</v>
      </c>
    </row>
    <row r="4977">
      <c r="A4977" s="5">
        <v>4976.0</v>
      </c>
      <c r="B4977" s="5" t="s">
        <v>5546</v>
      </c>
      <c r="C4977" s="5" t="s">
        <v>21</v>
      </c>
      <c r="K4977" s="5">
        <v>10.0</v>
      </c>
      <c r="N4977" s="9">
        <v>45068.0</v>
      </c>
    </row>
    <row r="4978">
      <c r="A4978" s="5">
        <v>4977.0</v>
      </c>
      <c r="B4978" s="5" t="s">
        <v>5547</v>
      </c>
      <c r="C4978" s="5" t="s">
        <v>21</v>
      </c>
      <c r="K4978" s="5">
        <v>700.0</v>
      </c>
      <c r="N4978" s="9">
        <v>44319.0</v>
      </c>
    </row>
    <row r="4979">
      <c r="A4979" s="5">
        <v>4978.0</v>
      </c>
      <c r="B4979" s="5" t="s">
        <v>5548</v>
      </c>
      <c r="C4979" s="5" t="s">
        <v>21</v>
      </c>
      <c r="K4979" s="5">
        <v>350.0</v>
      </c>
      <c r="N4979" s="9">
        <v>45780.0</v>
      </c>
    </row>
    <row r="4980">
      <c r="A4980" s="5">
        <v>4979.0</v>
      </c>
      <c r="B4980" s="5" t="s">
        <v>5549</v>
      </c>
      <c r="C4980" s="5" t="s">
        <v>21</v>
      </c>
      <c r="K4980" s="5">
        <v>300.0</v>
      </c>
      <c r="N4980" s="9">
        <v>44985.0</v>
      </c>
    </row>
    <row r="4981">
      <c r="A4981" s="5">
        <v>4980.0</v>
      </c>
      <c r="B4981" s="5" t="s">
        <v>5550</v>
      </c>
      <c r="C4981" s="5" t="s">
        <v>21</v>
      </c>
      <c r="K4981" s="5">
        <v>900.0</v>
      </c>
      <c r="N4981" s="9">
        <v>44534.0</v>
      </c>
    </row>
    <row r="4982">
      <c r="A4982" s="5">
        <v>4981.0</v>
      </c>
      <c r="B4982" s="5" t="s">
        <v>5551</v>
      </c>
      <c r="C4982" s="5" t="s">
        <v>21</v>
      </c>
      <c r="K4982" s="5">
        <v>900.0</v>
      </c>
      <c r="N4982" s="9">
        <v>44343.0</v>
      </c>
    </row>
    <row r="4983">
      <c r="A4983" s="5">
        <v>4982.0</v>
      </c>
      <c r="B4983" s="5" t="s">
        <v>5552</v>
      </c>
      <c r="C4983" s="5" t="s">
        <v>21</v>
      </c>
      <c r="K4983" s="5">
        <v>450.0</v>
      </c>
      <c r="N4983" s="9">
        <v>44901.0</v>
      </c>
    </row>
    <row r="4984">
      <c r="A4984" s="5">
        <v>4983.0</v>
      </c>
      <c r="B4984" s="5" t="s">
        <v>5553</v>
      </c>
      <c r="C4984" s="5" t="s">
        <v>21</v>
      </c>
      <c r="K4984" s="5">
        <v>100.0</v>
      </c>
      <c r="N4984" s="9">
        <v>45320.0</v>
      </c>
    </row>
    <row r="4985">
      <c r="A4985" s="5">
        <v>4984.0</v>
      </c>
      <c r="B4985" s="5" t="s">
        <v>5554</v>
      </c>
      <c r="C4985" s="5" t="s">
        <v>21</v>
      </c>
      <c r="K4985" s="5">
        <v>80.0</v>
      </c>
      <c r="N4985" s="9">
        <v>44779.0</v>
      </c>
    </row>
    <row r="4986">
      <c r="A4986" s="5">
        <v>4985.0</v>
      </c>
      <c r="B4986" s="5" t="s">
        <v>5555</v>
      </c>
      <c r="C4986" s="5" t="s">
        <v>21</v>
      </c>
      <c r="K4986" s="5">
        <v>80.0</v>
      </c>
      <c r="N4986" s="9">
        <v>44717.0</v>
      </c>
    </row>
    <row r="4987">
      <c r="A4987" s="5">
        <v>4986.0</v>
      </c>
      <c r="B4987" s="5" t="s">
        <v>5556</v>
      </c>
      <c r="C4987" s="5" t="s">
        <v>21</v>
      </c>
      <c r="K4987" s="5">
        <v>250.0</v>
      </c>
      <c r="N4987" s="9">
        <v>44330.0</v>
      </c>
    </row>
    <row r="4988">
      <c r="A4988" s="5">
        <v>4987.0</v>
      </c>
      <c r="B4988" s="5" t="s">
        <v>5557</v>
      </c>
      <c r="C4988" s="5" t="s">
        <v>21</v>
      </c>
      <c r="K4988" s="5">
        <v>5700.0</v>
      </c>
      <c r="N4988" s="9">
        <v>44262.0</v>
      </c>
    </row>
    <row r="4989">
      <c r="A4989" s="5">
        <v>4988.0</v>
      </c>
      <c r="B4989" s="5" t="s">
        <v>5558</v>
      </c>
      <c r="C4989" s="5" t="s">
        <v>21</v>
      </c>
      <c r="K4989" s="5">
        <v>1200.0</v>
      </c>
      <c r="N4989" s="9">
        <v>44609.0</v>
      </c>
    </row>
    <row r="4990">
      <c r="A4990" s="5">
        <v>4989.0</v>
      </c>
      <c r="B4990" s="5" t="s">
        <v>5559</v>
      </c>
      <c r="C4990" s="5" t="s">
        <v>21</v>
      </c>
      <c r="K4990" s="5">
        <v>2100.0</v>
      </c>
      <c r="N4990" s="9">
        <v>44571.0</v>
      </c>
    </row>
    <row r="4991">
      <c r="A4991" s="5">
        <v>4990.0</v>
      </c>
      <c r="B4991" s="5" t="s">
        <v>5560</v>
      </c>
      <c r="C4991" s="5" t="s">
        <v>21</v>
      </c>
      <c r="K4991" s="5">
        <v>1800.0</v>
      </c>
      <c r="N4991" s="9">
        <v>44539.0</v>
      </c>
    </row>
    <row r="4992">
      <c r="A4992" s="5">
        <v>4991.0</v>
      </c>
      <c r="B4992" s="5" t="s">
        <v>5561</v>
      </c>
      <c r="C4992" s="5" t="s">
        <v>21</v>
      </c>
      <c r="K4992" s="5">
        <v>60.0</v>
      </c>
      <c r="N4992" s="9">
        <v>45182.0</v>
      </c>
    </row>
    <row r="4993">
      <c r="A4993" s="5">
        <v>4992.0</v>
      </c>
      <c r="B4993" s="5" t="s">
        <v>5562</v>
      </c>
      <c r="C4993" s="5" t="s">
        <v>21</v>
      </c>
      <c r="K4993" s="5">
        <v>8000.0</v>
      </c>
      <c r="N4993" s="9">
        <v>43880.0</v>
      </c>
    </row>
    <row r="4994">
      <c r="A4994" s="5">
        <v>4993.0</v>
      </c>
      <c r="B4994" s="5" t="s">
        <v>5563</v>
      </c>
      <c r="C4994" s="5" t="s">
        <v>21</v>
      </c>
      <c r="K4994" s="5">
        <v>150.0</v>
      </c>
      <c r="N4994" s="9">
        <v>45093.0</v>
      </c>
    </row>
    <row r="4995">
      <c r="A4995" s="5">
        <v>4994.0</v>
      </c>
      <c r="B4995" s="5" t="s">
        <v>5564</v>
      </c>
      <c r="C4995" s="5" t="s">
        <v>21</v>
      </c>
      <c r="K4995" s="5">
        <v>2700.0</v>
      </c>
      <c r="N4995" s="9">
        <v>42328.0</v>
      </c>
    </row>
    <row r="4996">
      <c r="A4996" s="5">
        <v>4995.0</v>
      </c>
      <c r="B4996" s="5" t="s">
        <v>5565</v>
      </c>
      <c r="C4996" s="5" t="s">
        <v>21</v>
      </c>
      <c r="K4996" s="5">
        <v>6800.0</v>
      </c>
      <c r="N4996" s="9">
        <v>42432.0</v>
      </c>
    </row>
    <row r="4997">
      <c r="A4997" s="5">
        <v>4996.0</v>
      </c>
      <c r="B4997" s="5" t="s">
        <v>5566</v>
      </c>
      <c r="C4997" s="5" t="s">
        <v>21</v>
      </c>
      <c r="K4997" s="5">
        <v>2400.0</v>
      </c>
      <c r="N4997" s="9">
        <v>44522.0</v>
      </c>
    </row>
    <row r="4998">
      <c r="A4998" s="5">
        <v>4997.0</v>
      </c>
      <c r="B4998" s="5" t="s">
        <v>5567</v>
      </c>
      <c r="C4998" s="5" t="s">
        <v>21</v>
      </c>
      <c r="K4998" s="5">
        <v>150.0</v>
      </c>
      <c r="N4998" s="9">
        <v>44531.0</v>
      </c>
    </row>
    <row r="4999">
      <c r="A4999" s="5">
        <v>4998.0</v>
      </c>
      <c r="B4999" s="5" t="s">
        <v>5568</v>
      </c>
      <c r="C4999" s="5" t="s">
        <v>21</v>
      </c>
      <c r="K4999" s="5">
        <v>40.0</v>
      </c>
      <c r="N4999" s="9">
        <v>44320.0</v>
      </c>
    </row>
    <row r="5000">
      <c r="A5000" s="5">
        <v>4999.0</v>
      </c>
      <c r="B5000" s="5" t="s">
        <v>5569</v>
      </c>
      <c r="C5000" s="5" t="s">
        <v>21</v>
      </c>
      <c r="K5000" s="5">
        <v>1200.0</v>
      </c>
      <c r="N5000" s="9">
        <v>44518.0</v>
      </c>
    </row>
    <row r="5001">
      <c r="A5001" s="5">
        <v>5000.0</v>
      </c>
      <c r="B5001" s="5" t="s">
        <v>5570</v>
      </c>
      <c r="C5001" s="5" t="s">
        <v>21</v>
      </c>
      <c r="K5001" s="5">
        <v>300.0</v>
      </c>
      <c r="N5001" s="9">
        <v>45213.0</v>
      </c>
    </row>
    <row r="5002">
      <c r="A5002" s="5">
        <v>5001.0</v>
      </c>
      <c r="B5002" s="5" t="s">
        <v>5571</v>
      </c>
      <c r="C5002" s="5" t="s">
        <v>21</v>
      </c>
      <c r="K5002" s="5">
        <v>900.0</v>
      </c>
      <c r="N5002" s="9">
        <v>43912.0</v>
      </c>
    </row>
    <row r="5003">
      <c r="A5003" s="5">
        <v>5002.0</v>
      </c>
      <c r="B5003" s="5" t="s">
        <v>5572</v>
      </c>
      <c r="C5003" s="5" t="s">
        <v>21</v>
      </c>
      <c r="K5003" s="5">
        <v>150.0</v>
      </c>
      <c r="N5003" s="9">
        <v>44403.0</v>
      </c>
    </row>
    <row r="5004">
      <c r="A5004" s="5">
        <v>5003.0</v>
      </c>
      <c r="B5004" s="5" t="s">
        <v>5573</v>
      </c>
      <c r="C5004" s="5" t="s">
        <v>21</v>
      </c>
      <c r="K5004" s="5">
        <v>1400.0</v>
      </c>
      <c r="N5004" s="9">
        <v>44376.0</v>
      </c>
    </row>
    <row r="5005">
      <c r="A5005" s="5">
        <v>5004.0</v>
      </c>
      <c r="B5005" s="5" t="s">
        <v>5574</v>
      </c>
      <c r="C5005" s="5" t="s">
        <v>21</v>
      </c>
      <c r="K5005" s="5">
        <v>700.0</v>
      </c>
      <c r="N5005" s="9">
        <v>45545.0</v>
      </c>
    </row>
    <row r="5006">
      <c r="A5006" s="5">
        <v>5005.0</v>
      </c>
      <c r="B5006" s="5" t="s">
        <v>5575</v>
      </c>
      <c r="C5006" s="5" t="s">
        <v>21</v>
      </c>
      <c r="K5006" s="5">
        <v>450.0</v>
      </c>
      <c r="N5006" s="9">
        <v>45435.0</v>
      </c>
    </row>
    <row r="5007">
      <c r="A5007" s="5">
        <v>5006.0</v>
      </c>
      <c r="B5007" s="5" t="s">
        <v>5576</v>
      </c>
      <c r="C5007" s="5" t="s">
        <v>21</v>
      </c>
      <c r="K5007" s="5">
        <v>1300.0</v>
      </c>
      <c r="N5007" s="9">
        <v>44942.0</v>
      </c>
    </row>
    <row r="5008">
      <c r="A5008" s="5">
        <v>5007.0</v>
      </c>
      <c r="B5008" s="5" t="s">
        <v>5577</v>
      </c>
      <c r="C5008" s="5" t="s">
        <v>21</v>
      </c>
      <c r="K5008" s="5">
        <v>10.0</v>
      </c>
      <c r="N5008" s="9">
        <v>43906.0</v>
      </c>
    </row>
    <row r="5009">
      <c r="A5009" s="5">
        <v>5008.0</v>
      </c>
      <c r="B5009" s="5" t="s">
        <v>5578</v>
      </c>
      <c r="C5009" s="5" t="s">
        <v>21</v>
      </c>
      <c r="K5009" s="5">
        <v>400.0</v>
      </c>
      <c r="N5009" s="9">
        <v>45442.0</v>
      </c>
    </row>
    <row r="5010">
      <c r="A5010" s="5">
        <v>5009.0</v>
      </c>
      <c r="B5010" s="5" t="s">
        <v>5579</v>
      </c>
      <c r="C5010" s="5" t="s">
        <v>21</v>
      </c>
      <c r="N5010" s="9">
        <v>44557.0</v>
      </c>
    </row>
    <row r="5011">
      <c r="A5011" s="5">
        <v>5010.0</v>
      </c>
      <c r="B5011" s="5" t="s">
        <v>5580</v>
      </c>
      <c r="C5011" s="5" t="s">
        <v>21</v>
      </c>
      <c r="K5011" s="5">
        <v>300.0</v>
      </c>
      <c r="N5011" s="9">
        <v>44571.0</v>
      </c>
    </row>
    <row r="5012">
      <c r="A5012" s="5">
        <v>5011.0</v>
      </c>
      <c r="B5012" s="5" t="s">
        <v>5581</v>
      </c>
      <c r="C5012" s="5" t="s">
        <v>21</v>
      </c>
      <c r="K5012" s="5">
        <v>600.0</v>
      </c>
      <c r="N5012" s="9">
        <v>44645.0</v>
      </c>
    </row>
    <row r="5013">
      <c r="A5013" s="5">
        <v>5012.0</v>
      </c>
      <c r="B5013" s="5" t="s">
        <v>5582</v>
      </c>
      <c r="C5013" s="5" t="s">
        <v>21</v>
      </c>
      <c r="K5013" s="5">
        <v>1500.0</v>
      </c>
      <c r="N5013" s="9">
        <v>44072.0</v>
      </c>
    </row>
    <row r="5014">
      <c r="A5014" s="5">
        <v>5013.0</v>
      </c>
      <c r="B5014" s="5" t="s">
        <v>179</v>
      </c>
      <c r="C5014" s="5" t="s">
        <v>21</v>
      </c>
      <c r="K5014" s="5">
        <v>10.0</v>
      </c>
      <c r="N5014" s="9">
        <v>44538.0</v>
      </c>
    </row>
    <row r="5015">
      <c r="A5015" s="5">
        <v>5014.0</v>
      </c>
      <c r="B5015" s="5" t="s">
        <v>5583</v>
      </c>
      <c r="C5015" s="5" t="s">
        <v>21</v>
      </c>
      <c r="K5015" s="5">
        <v>20.0</v>
      </c>
      <c r="N5015" s="9">
        <v>45675.0</v>
      </c>
    </row>
    <row r="5016">
      <c r="A5016" s="5">
        <v>5015.0</v>
      </c>
      <c r="B5016" s="5" t="s">
        <v>5584</v>
      </c>
      <c r="C5016" s="5" t="s">
        <v>21</v>
      </c>
      <c r="K5016" s="5">
        <v>900.0</v>
      </c>
      <c r="N5016" s="9">
        <v>44565.0</v>
      </c>
    </row>
    <row r="5017">
      <c r="A5017" s="5">
        <v>5016.0</v>
      </c>
      <c r="B5017" s="5" t="s">
        <v>5585</v>
      </c>
      <c r="C5017" s="5" t="s">
        <v>21</v>
      </c>
      <c r="K5017" s="5">
        <v>20.0</v>
      </c>
      <c r="N5017" s="9">
        <v>44747.0</v>
      </c>
    </row>
    <row r="5018">
      <c r="A5018" s="5">
        <v>5017.0</v>
      </c>
      <c r="B5018" s="5" t="s">
        <v>5586</v>
      </c>
      <c r="C5018" s="5" t="s">
        <v>21</v>
      </c>
      <c r="K5018" s="5">
        <v>350.0</v>
      </c>
      <c r="N5018" s="9">
        <v>44480.0</v>
      </c>
    </row>
    <row r="5019">
      <c r="A5019" s="5">
        <v>5018.0</v>
      </c>
      <c r="B5019" s="5" t="s">
        <v>5587</v>
      </c>
      <c r="C5019" s="5" t="s">
        <v>21</v>
      </c>
      <c r="K5019" s="5">
        <v>600.0</v>
      </c>
      <c r="N5019" s="9">
        <v>44574.0</v>
      </c>
    </row>
    <row r="5020">
      <c r="A5020" s="5">
        <v>5019.0</v>
      </c>
      <c r="B5020" s="5" t="s">
        <v>5588</v>
      </c>
      <c r="C5020" s="5" t="s">
        <v>21</v>
      </c>
      <c r="K5020" s="5">
        <v>50.0</v>
      </c>
      <c r="N5020" s="9">
        <v>44234.0</v>
      </c>
    </row>
    <row r="5021">
      <c r="A5021" s="5">
        <v>5020.0</v>
      </c>
      <c r="B5021" s="5" t="s">
        <v>5589</v>
      </c>
      <c r="C5021" s="5" t="s">
        <v>21</v>
      </c>
      <c r="K5021" s="5">
        <v>600.0</v>
      </c>
      <c r="N5021" s="9">
        <v>44685.0</v>
      </c>
    </row>
    <row r="5022">
      <c r="A5022" s="5">
        <v>5021.0</v>
      </c>
      <c r="B5022" s="5" t="s">
        <v>5590</v>
      </c>
      <c r="C5022" s="5" t="s">
        <v>21</v>
      </c>
      <c r="K5022" s="5">
        <v>60.0</v>
      </c>
      <c r="N5022" s="9">
        <v>45471.0</v>
      </c>
    </row>
    <row r="5023">
      <c r="A5023" s="5">
        <v>5022.0</v>
      </c>
      <c r="B5023" s="5" t="s">
        <v>5591</v>
      </c>
      <c r="C5023" s="5" t="s">
        <v>21</v>
      </c>
      <c r="K5023" s="5">
        <v>400.0</v>
      </c>
      <c r="N5023" s="9">
        <v>44592.0</v>
      </c>
    </row>
    <row r="5024">
      <c r="A5024" s="5">
        <v>5023.0</v>
      </c>
      <c r="B5024" s="5" t="s">
        <v>5592</v>
      </c>
      <c r="C5024" s="5" t="s">
        <v>21</v>
      </c>
      <c r="K5024" s="5">
        <v>300.0</v>
      </c>
      <c r="N5024" s="9">
        <v>44550.0</v>
      </c>
    </row>
    <row r="5025">
      <c r="A5025" s="5">
        <v>5024.0</v>
      </c>
      <c r="B5025" s="5" t="s">
        <v>5593</v>
      </c>
      <c r="C5025" s="5" t="s">
        <v>21</v>
      </c>
      <c r="K5025" s="5">
        <v>150.0</v>
      </c>
      <c r="N5025" s="9">
        <v>44542.0</v>
      </c>
    </row>
    <row r="5026">
      <c r="A5026" s="5">
        <v>5025.0</v>
      </c>
      <c r="B5026" s="5" t="s">
        <v>5594</v>
      </c>
      <c r="C5026" s="5" t="s">
        <v>21</v>
      </c>
      <c r="K5026" s="5">
        <v>40.0</v>
      </c>
      <c r="N5026" s="9">
        <v>44038.0</v>
      </c>
    </row>
    <row r="5027">
      <c r="A5027" s="5">
        <v>5026.0</v>
      </c>
      <c r="B5027" s="5" t="s">
        <v>5595</v>
      </c>
      <c r="C5027" s="5" t="s">
        <v>21</v>
      </c>
      <c r="K5027" s="5">
        <v>300.0</v>
      </c>
      <c r="N5027" s="9">
        <v>43894.0</v>
      </c>
    </row>
    <row r="5028">
      <c r="A5028" s="5">
        <v>5027.0</v>
      </c>
      <c r="B5028" s="5" t="s">
        <v>5596</v>
      </c>
      <c r="C5028" s="5" t="s">
        <v>21</v>
      </c>
      <c r="K5028" s="5">
        <v>150.0</v>
      </c>
      <c r="N5028" s="9">
        <v>44576.0</v>
      </c>
    </row>
    <row r="5029">
      <c r="A5029" s="5">
        <v>5028.0</v>
      </c>
      <c r="B5029" s="5" t="s">
        <v>5597</v>
      </c>
      <c r="C5029" s="5" t="s">
        <v>21</v>
      </c>
      <c r="K5029" s="5">
        <v>1400.0</v>
      </c>
      <c r="N5029" s="9">
        <v>45085.0</v>
      </c>
    </row>
    <row r="5030">
      <c r="A5030" s="5">
        <v>5029.0</v>
      </c>
      <c r="B5030" s="5" t="s">
        <v>5598</v>
      </c>
      <c r="C5030" s="5" t="s">
        <v>21</v>
      </c>
      <c r="K5030" s="5">
        <v>200.0</v>
      </c>
      <c r="N5030" s="9">
        <v>44530.0</v>
      </c>
    </row>
    <row r="5031">
      <c r="A5031" s="5">
        <v>5030.0</v>
      </c>
      <c r="B5031" s="5" t="s">
        <v>5599</v>
      </c>
      <c r="C5031" s="5" t="s">
        <v>21</v>
      </c>
      <c r="K5031" s="5">
        <v>2800.0</v>
      </c>
      <c r="N5031" s="9">
        <v>44464.0</v>
      </c>
    </row>
    <row r="5032">
      <c r="A5032" s="5">
        <v>5031.0</v>
      </c>
      <c r="B5032" s="5" t="s">
        <v>5600</v>
      </c>
      <c r="C5032" s="5" t="s">
        <v>21</v>
      </c>
      <c r="K5032" s="5">
        <v>250.0</v>
      </c>
      <c r="N5032" s="9">
        <v>45267.0</v>
      </c>
    </row>
    <row r="5033">
      <c r="A5033" s="5">
        <v>5032.0</v>
      </c>
      <c r="B5033" s="5" t="s">
        <v>5601</v>
      </c>
      <c r="C5033" s="5" t="s">
        <v>21</v>
      </c>
      <c r="K5033" s="5">
        <v>250.0</v>
      </c>
      <c r="N5033" s="9">
        <v>44886.0</v>
      </c>
    </row>
    <row r="5034">
      <c r="A5034" s="5">
        <v>5033.0</v>
      </c>
      <c r="B5034" s="5" t="s">
        <v>5602</v>
      </c>
      <c r="C5034" s="5" t="s">
        <v>21</v>
      </c>
      <c r="K5034" s="5">
        <v>600.0</v>
      </c>
      <c r="N5034" s="9">
        <v>44736.0</v>
      </c>
    </row>
    <row r="5035">
      <c r="A5035" s="5">
        <v>5034.0</v>
      </c>
      <c r="B5035" s="5" t="s">
        <v>5603</v>
      </c>
      <c r="C5035" s="5" t="s">
        <v>21</v>
      </c>
      <c r="K5035" s="5">
        <v>200.0</v>
      </c>
      <c r="N5035" s="9">
        <v>45128.0</v>
      </c>
    </row>
    <row r="5036">
      <c r="A5036" s="5">
        <v>5035.0</v>
      </c>
      <c r="B5036" s="5" t="s">
        <v>5604</v>
      </c>
      <c r="C5036" s="5" t="s">
        <v>21</v>
      </c>
      <c r="K5036" s="5">
        <v>200.0</v>
      </c>
      <c r="N5036" s="9">
        <v>45719.0</v>
      </c>
    </row>
    <row r="5037">
      <c r="A5037" s="5">
        <v>5036.0</v>
      </c>
      <c r="B5037" s="5" t="s">
        <v>5605</v>
      </c>
      <c r="C5037" s="5" t="s">
        <v>21</v>
      </c>
      <c r="K5037" s="5">
        <v>10.0</v>
      </c>
      <c r="N5037" s="9">
        <v>44545.0</v>
      </c>
    </row>
    <row r="5038">
      <c r="A5038" s="5">
        <v>5037.0</v>
      </c>
      <c r="B5038" s="5" t="s">
        <v>5606</v>
      </c>
      <c r="C5038" s="5" t="s">
        <v>21</v>
      </c>
      <c r="K5038" s="5">
        <v>2500.0</v>
      </c>
      <c r="N5038" s="9">
        <v>43914.0</v>
      </c>
    </row>
    <row r="5039">
      <c r="A5039" s="5">
        <v>5038.0</v>
      </c>
      <c r="B5039" s="5" t="s">
        <v>5607</v>
      </c>
      <c r="C5039" s="5" t="s">
        <v>21</v>
      </c>
      <c r="K5039" s="5">
        <v>10.0</v>
      </c>
      <c r="N5039" s="9">
        <v>45008.0</v>
      </c>
    </row>
    <row r="5040">
      <c r="A5040" s="5">
        <v>5039.0</v>
      </c>
      <c r="B5040" s="5" t="s">
        <v>5608</v>
      </c>
      <c r="C5040" s="5" t="s">
        <v>21</v>
      </c>
      <c r="K5040" s="5">
        <v>1700.0</v>
      </c>
      <c r="N5040" s="9">
        <v>44053.0</v>
      </c>
    </row>
    <row r="5041">
      <c r="A5041" s="5">
        <v>5040.0</v>
      </c>
      <c r="B5041" s="5" t="s">
        <v>5609</v>
      </c>
      <c r="C5041" s="5" t="s">
        <v>21</v>
      </c>
      <c r="K5041" s="5">
        <v>350.0</v>
      </c>
      <c r="N5041" s="9">
        <v>43942.0</v>
      </c>
    </row>
    <row r="5042">
      <c r="A5042" s="5">
        <v>5041.0</v>
      </c>
      <c r="B5042" s="5" t="s">
        <v>5610</v>
      </c>
      <c r="C5042" s="5" t="s">
        <v>21</v>
      </c>
      <c r="K5042" s="5">
        <v>2000.0</v>
      </c>
      <c r="N5042" s="9">
        <v>44288.0</v>
      </c>
    </row>
    <row r="5043">
      <c r="A5043" s="5">
        <v>5042.0</v>
      </c>
      <c r="B5043" s="5" t="s">
        <v>5611</v>
      </c>
      <c r="C5043" s="5" t="s">
        <v>21</v>
      </c>
      <c r="N5043" s="9">
        <v>44534.0</v>
      </c>
    </row>
    <row r="5044">
      <c r="A5044" s="5">
        <v>5043.0</v>
      </c>
      <c r="B5044" s="5" t="s">
        <v>5612</v>
      </c>
      <c r="C5044" s="5" t="s">
        <v>21</v>
      </c>
      <c r="K5044" s="5">
        <v>2900.0</v>
      </c>
      <c r="N5044" s="9">
        <v>43953.0</v>
      </c>
    </row>
    <row r="5045">
      <c r="A5045" s="5">
        <v>5044.0</v>
      </c>
      <c r="B5045" s="5" t="s">
        <v>5613</v>
      </c>
      <c r="C5045" s="5" t="s">
        <v>21</v>
      </c>
      <c r="K5045" s="5">
        <v>30.0</v>
      </c>
      <c r="N5045" s="9">
        <v>45058.0</v>
      </c>
    </row>
    <row r="5046">
      <c r="A5046" s="5">
        <v>5045.0</v>
      </c>
      <c r="B5046" s="5" t="s">
        <v>5614</v>
      </c>
      <c r="C5046" s="5" t="s">
        <v>21</v>
      </c>
      <c r="K5046" s="5">
        <v>700.0</v>
      </c>
      <c r="N5046" s="9">
        <v>44593.0</v>
      </c>
    </row>
    <row r="5047">
      <c r="A5047" s="5">
        <v>5046.0</v>
      </c>
      <c r="B5047" s="5" t="s">
        <v>5615</v>
      </c>
      <c r="C5047" s="5" t="s">
        <v>21</v>
      </c>
      <c r="K5047" s="5">
        <v>400.0</v>
      </c>
      <c r="N5047" s="9">
        <v>44627.0</v>
      </c>
    </row>
    <row r="5048">
      <c r="A5048" s="5">
        <v>5047.0</v>
      </c>
      <c r="B5048" s="5" t="s">
        <v>5616</v>
      </c>
      <c r="C5048" s="5" t="s">
        <v>21</v>
      </c>
      <c r="K5048" s="5">
        <v>1500.0</v>
      </c>
      <c r="N5048" s="9">
        <v>43999.0</v>
      </c>
    </row>
    <row r="5049">
      <c r="A5049" s="5">
        <v>5048.0</v>
      </c>
      <c r="B5049" s="5" t="s">
        <v>5617</v>
      </c>
      <c r="C5049" s="5" t="s">
        <v>21</v>
      </c>
      <c r="K5049" s="5">
        <v>90.0</v>
      </c>
      <c r="N5049" s="9">
        <v>45088.0</v>
      </c>
    </row>
    <row r="5050">
      <c r="A5050" s="5">
        <v>5049.0</v>
      </c>
      <c r="B5050" s="5" t="s">
        <v>5618</v>
      </c>
      <c r="C5050" s="5" t="s">
        <v>21</v>
      </c>
      <c r="K5050" s="5">
        <v>200.0</v>
      </c>
      <c r="N5050" s="9">
        <v>44214.0</v>
      </c>
    </row>
    <row r="5051">
      <c r="A5051" s="5">
        <v>5050.0</v>
      </c>
      <c r="B5051" s="5" t="s">
        <v>5619</v>
      </c>
      <c r="C5051" s="5" t="s">
        <v>21</v>
      </c>
      <c r="K5051" s="5">
        <v>200.0</v>
      </c>
      <c r="N5051" s="9">
        <v>45067.0</v>
      </c>
    </row>
    <row r="5052">
      <c r="A5052" s="5">
        <v>5051.0</v>
      </c>
      <c r="B5052" s="5" t="s">
        <v>5620</v>
      </c>
      <c r="C5052" s="5" t="s">
        <v>21</v>
      </c>
      <c r="K5052" s="5">
        <v>400.0</v>
      </c>
      <c r="N5052" s="9">
        <v>44587.0</v>
      </c>
    </row>
    <row r="5053">
      <c r="A5053" s="5">
        <v>5052.0</v>
      </c>
      <c r="B5053" s="5" t="s">
        <v>5621</v>
      </c>
      <c r="C5053" s="5" t="s">
        <v>21</v>
      </c>
      <c r="K5053" s="5">
        <v>300.0</v>
      </c>
      <c r="N5053" s="9">
        <v>44413.0</v>
      </c>
    </row>
    <row r="5054">
      <c r="A5054" s="5">
        <v>5053.0</v>
      </c>
      <c r="B5054" s="5" t="s">
        <v>5622</v>
      </c>
      <c r="C5054" s="5" t="s">
        <v>21</v>
      </c>
      <c r="K5054" s="5">
        <v>100.0</v>
      </c>
      <c r="N5054" s="9">
        <v>44253.0</v>
      </c>
    </row>
    <row r="5055">
      <c r="A5055" s="5">
        <v>5054.0</v>
      </c>
      <c r="B5055" s="5" t="s">
        <v>5623</v>
      </c>
      <c r="C5055" s="5" t="s">
        <v>21</v>
      </c>
      <c r="K5055" s="5">
        <v>100.0</v>
      </c>
      <c r="N5055" s="9">
        <v>44833.0</v>
      </c>
    </row>
    <row r="5056">
      <c r="A5056" s="5">
        <v>5055.0</v>
      </c>
      <c r="B5056" s="5" t="s">
        <v>5624</v>
      </c>
      <c r="C5056" s="5" t="s">
        <v>21</v>
      </c>
      <c r="K5056" s="5">
        <v>1200.0</v>
      </c>
      <c r="N5056" s="9">
        <v>43995.0</v>
      </c>
    </row>
    <row r="5057">
      <c r="A5057" s="5">
        <v>5056.0</v>
      </c>
      <c r="B5057" s="5" t="s">
        <v>5625</v>
      </c>
      <c r="C5057" s="5" t="s">
        <v>21</v>
      </c>
      <c r="K5057" s="5">
        <v>700.0</v>
      </c>
      <c r="N5057" s="9">
        <v>44530.0</v>
      </c>
    </row>
    <row r="5058">
      <c r="A5058" s="5">
        <v>5057.0</v>
      </c>
      <c r="B5058" s="5" t="s">
        <v>5626</v>
      </c>
      <c r="C5058" s="5" t="s">
        <v>21</v>
      </c>
      <c r="K5058" s="5">
        <v>250.0</v>
      </c>
      <c r="N5058" s="9">
        <v>44915.0</v>
      </c>
    </row>
    <row r="5059">
      <c r="A5059" s="5">
        <v>5058.0</v>
      </c>
      <c r="B5059" s="5" t="s">
        <v>5627</v>
      </c>
      <c r="C5059" s="5" t="s">
        <v>21</v>
      </c>
      <c r="K5059" s="5">
        <v>70.0</v>
      </c>
      <c r="N5059" s="9">
        <v>44443.0</v>
      </c>
    </row>
    <row r="5060">
      <c r="A5060" s="5">
        <v>5059.0</v>
      </c>
      <c r="B5060" s="5" t="s">
        <v>5628</v>
      </c>
      <c r="C5060" s="5" t="s">
        <v>21</v>
      </c>
      <c r="K5060" s="5">
        <v>300.0</v>
      </c>
      <c r="N5060" s="9">
        <v>44237.0</v>
      </c>
    </row>
    <row r="5061">
      <c r="A5061" s="5">
        <v>5060.0</v>
      </c>
      <c r="B5061" s="5" t="s">
        <v>5629</v>
      </c>
      <c r="C5061" s="5" t="s">
        <v>21</v>
      </c>
      <c r="K5061" s="5">
        <v>70.0</v>
      </c>
      <c r="N5061" s="9">
        <v>44553.0</v>
      </c>
    </row>
    <row r="5062">
      <c r="A5062" s="5">
        <v>5061.0</v>
      </c>
      <c r="B5062" s="5" t="s">
        <v>5630</v>
      </c>
      <c r="C5062" s="5" t="s">
        <v>21</v>
      </c>
      <c r="K5062" s="5">
        <v>500.0</v>
      </c>
      <c r="N5062" s="9">
        <v>44610.0</v>
      </c>
    </row>
    <row r="5063">
      <c r="A5063" s="5">
        <v>5062.0</v>
      </c>
      <c r="B5063" s="5" t="s">
        <v>5631</v>
      </c>
      <c r="C5063" s="5" t="s">
        <v>21</v>
      </c>
      <c r="K5063" s="5">
        <v>200.0</v>
      </c>
      <c r="N5063" s="9">
        <v>44880.0</v>
      </c>
    </row>
    <row r="5064">
      <c r="A5064" s="5">
        <v>5063.0</v>
      </c>
      <c r="B5064" s="5" t="s">
        <v>5632</v>
      </c>
      <c r="C5064" s="5" t="s">
        <v>21</v>
      </c>
      <c r="K5064" s="5">
        <v>600.0</v>
      </c>
      <c r="N5064" s="9">
        <v>44981.0</v>
      </c>
    </row>
    <row r="5065">
      <c r="A5065" s="5">
        <v>5064.0</v>
      </c>
      <c r="B5065" s="5" t="s">
        <v>5633</v>
      </c>
      <c r="C5065" s="5" t="s">
        <v>21</v>
      </c>
      <c r="K5065" s="5">
        <v>2700.0</v>
      </c>
      <c r="N5065" s="9">
        <v>44186.0</v>
      </c>
    </row>
    <row r="5066">
      <c r="A5066" s="5">
        <v>5065.0</v>
      </c>
      <c r="B5066" s="5" t="s">
        <v>5634</v>
      </c>
      <c r="C5066" s="5" t="s">
        <v>21</v>
      </c>
      <c r="K5066" s="5">
        <v>200.0</v>
      </c>
      <c r="N5066" s="9">
        <v>44952.0</v>
      </c>
    </row>
    <row r="5067">
      <c r="A5067" s="5">
        <v>5066.0</v>
      </c>
      <c r="B5067" s="5" t="s">
        <v>5635</v>
      </c>
      <c r="C5067" s="5" t="s">
        <v>21</v>
      </c>
      <c r="K5067" s="5">
        <v>350.0</v>
      </c>
      <c r="N5067" s="9">
        <v>44983.0</v>
      </c>
    </row>
    <row r="5068">
      <c r="A5068" s="5">
        <v>5067.0</v>
      </c>
      <c r="B5068" s="5" t="s">
        <v>5636</v>
      </c>
      <c r="C5068" s="5" t="s">
        <v>21</v>
      </c>
      <c r="K5068" s="5">
        <v>90.0</v>
      </c>
      <c r="N5068" s="9">
        <v>45252.0</v>
      </c>
    </row>
    <row r="5069">
      <c r="A5069" s="5">
        <v>5068.0</v>
      </c>
      <c r="B5069" s="5" t="s">
        <v>5637</v>
      </c>
      <c r="C5069" s="5" t="s">
        <v>21</v>
      </c>
      <c r="K5069" s="5">
        <v>200.0</v>
      </c>
      <c r="N5069" s="9">
        <v>44689.0</v>
      </c>
    </row>
    <row r="5070">
      <c r="A5070" s="5">
        <v>5069.0</v>
      </c>
      <c r="B5070" s="5" t="s">
        <v>5638</v>
      </c>
      <c r="C5070" s="5" t="s">
        <v>21</v>
      </c>
      <c r="K5070" s="5">
        <v>1600.0</v>
      </c>
      <c r="N5070" s="9">
        <v>45535.0</v>
      </c>
    </row>
    <row r="5071">
      <c r="A5071" s="5">
        <v>5070.0</v>
      </c>
      <c r="B5071" s="5" t="s">
        <v>5639</v>
      </c>
      <c r="C5071" s="5" t="s">
        <v>21</v>
      </c>
      <c r="K5071" s="5">
        <v>450.0</v>
      </c>
      <c r="N5071" s="9">
        <v>44794.0</v>
      </c>
    </row>
    <row r="5072">
      <c r="A5072" s="5">
        <v>5071.0</v>
      </c>
      <c r="B5072" s="5" t="s">
        <v>5640</v>
      </c>
      <c r="C5072" s="5" t="s">
        <v>21</v>
      </c>
      <c r="K5072" s="5">
        <v>350.0</v>
      </c>
      <c r="N5072" s="9">
        <v>45241.0</v>
      </c>
    </row>
    <row r="5073">
      <c r="A5073" s="5">
        <v>5072.0</v>
      </c>
      <c r="B5073" s="5" t="s">
        <v>5641</v>
      </c>
      <c r="C5073" s="5" t="s">
        <v>21</v>
      </c>
      <c r="K5073" s="5">
        <v>20.0</v>
      </c>
      <c r="N5073" s="9">
        <v>44028.0</v>
      </c>
    </row>
    <row r="5074">
      <c r="A5074" s="5">
        <v>5073.0</v>
      </c>
      <c r="B5074" s="5" t="s">
        <v>5642</v>
      </c>
      <c r="C5074" s="5" t="s">
        <v>21</v>
      </c>
      <c r="K5074" s="5">
        <v>10.0</v>
      </c>
      <c r="N5074" s="9">
        <v>45218.0</v>
      </c>
    </row>
    <row r="5075">
      <c r="A5075" s="5">
        <v>5074.0</v>
      </c>
      <c r="B5075" s="5" t="s">
        <v>5643</v>
      </c>
      <c r="C5075" s="5" t="s">
        <v>21</v>
      </c>
      <c r="K5075" s="5">
        <v>70.0</v>
      </c>
      <c r="N5075" s="9">
        <v>45403.0</v>
      </c>
    </row>
    <row r="5076">
      <c r="A5076" s="5">
        <v>5075.0</v>
      </c>
      <c r="B5076" s="5" t="s">
        <v>5644</v>
      </c>
      <c r="C5076" s="5" t="s">
        <v>21</v>
      </c>
      <c r="K5076" s="5">
        <v>150.0</v>
      </c>
      <c r="N5076" s="9">
        <v>45564.0</v>
      </c>
    </row>
    <row r="5077">
      <c r="A5077" s="5">
        <v>5076.0</v>
      </c>
      <c r="B5077" s="5" t="s">
        <v>5645</v>
      </c>
      <c r="C5077" s="5" t="s">
        <v>21</v>
      </c>
      <c r="K5077" s="5">
        <v>600.0</v>
      </c>
      <c r="N5077" s="9">
        <v>44524.0</v>
      </c>
    </row>
    <row r="5078">
      <c r="A5078" s="5">
        <v>5077.0</v>
      </c>
      <c r="B5078" s="5" t="s">
        <v>5646</v>
      </c>
      <c r="C5078" s="5" t="s">
        <v>21</v>
      </c>
      <c r="K5078" s="5">
        <v>90.0</v>
      </c>
      <c r="N5078" s="9">
        <v>44976.0</v>
      </c>
    </row>
    <row r="5079">
      <c r="A5079" s="5">
        <v>5078.0</v>
      </c>
      <c r="B5079" s="5" t="s">
        <v>5647</v>
      </c>
      <c r="C5079" s="5" t="s">
        <v>21</v>
      </c>
      <c r="K5079" s="5">
        <v>1800.0</v>
      </c>
      <c r="N5079" s="9">
        <v>44568.0</v>
      </c>
    </row>
    <row r="5080">
      <c r="A5080" s="5">
        <v>5079.0</v>
      </c>
      <c r="B5080" s="5" t="s">
        <v>5648</v>
      </c>
      <c r="C5080" s="5" t="s">
        <v>21</v>
      </c>
      <c r="K5080" s="5">
        <v>250.0</v>
      </c>
      <c r="N5080" s="9">
        <v>44546.0</v>
      </c>
    </row>
    <row r="5081">
      <c r="A5081" s="5">
        <v>5080.0</v>
      </c>
      <c r="B5081" s="5" t="s">
        <v>5649</v>
      </c>
      <c r="C5081" s="5" t="s">
        <v>21</v>
      </c>
      <c r="K5081" s="5">
        <v>10.0</v>
      </c>
      <c r="N5081" s="9">
        <v>44166.0</v>
      </c>
    </row>
    <row r="5082">
      <c r="A5082" s="5">
        <v>5081.0</v>
      </c>
      <c r="B5082" s="5" t="s">
        <v>5650</v>
      </c>
      <c r="C5082" s="5" t="s">
        <v>21</v>
      </c>
      <c r="K5082" s="5">
        <v>350.0</v>
      </c>
      <c r="N5082" s="9">
        <v>44500.0</v>
      </c>
    </row>
    <row r="5083">
      <c r="A5083" s="5">
        <v>5082.0</v>
      </c>
      <c r="B5083" s="5" t="s">
        <v>5651</v>
      </c>
      <c r="C5083" s="5" t="s">
        <v>21</v>
      </c>
      <c r="K5083" s="5">
        <v>1300.0</v>
      </c>
      <c r="N5083" s="9">
        <v>44262.0</v>
      </c>
    </row>
    <row r="5084">
      <c r="A5084" s="5">
        <v>5083.0</v>
      </c>
      <c r="B5084" s="5" t="s">
        <v>5652</v>
      </c>
      <c r="C5084" s="5" t="s">
        <v>21</v>
      </c>
      <c r="K5084" s="5">
        <v>450.0</v>
      </c>
      <c r="N5084" s="9">
        <v>44906.0</v>
      </c>
    </row>
    <row r="5085">
      <c r="A5085" s="5">
        <v>5084.0</v>
      </c>
      <c r="B5085" s="5" t="s">
        <v>5653</v>
      </c>
      <c r="C5085" s="5" t="s">
        <v>21</v>
      </c>
      <c r="K5085" s="5">
        <v>450.0</v>
      </c>
      <c r="N5085" s="9">
        <v>44609.0</v>
      </c>
    </row>
    <row r="5086">
      <c r="A5086" s="5">
        <v>5085.0</v>
      </c>
      <c r="B5086" s="5" t="s">
        <v>5654</v>
      </c>
      <c r="C5086" s="5" t="s">
        <v>21</v>
      </c>
      <c r="K5086" s="5">
        <v>350.0</v>
      </c>
      <c r="N5086" s="9">
        <v>44612.0</v>
      </c>
    </row>
    <row r="5087">
      <c r="A5087" s="5">
        <v>5086.0</v>
      </c>
      <c r="B5087" s="5" t="s">
        <v>5655</v>
      </c>
      <c r="C5087" s="5" t="s">
        <v>21</v>
      </c>
      <c r="K5087" s="5">
        <v>400.0</v>
      </c>
      <c r="N5087" s="9">
        <v>44579.0</v>
      </c>
    </row>
    <row r="5088">
      <c r="A5088" s="5">
        <v>5087.0</v>
      </c>
      <c r="B5088" s="5" t="s">
        <v>5656</v>
      </c>
      <c r="C5088" s="5" t="s">
        <v>21</v>
      </c>
      <c r="K5088" s="5">
        <v>80.0</v>
      </c>
      <c r="N5088" s="9">
        <v>44709.0</v>
      </c>
    </row>
    <row r="5089">
      <c r="A5089" s="5">
        <v>5088.0</v>
      </c>
      <c r="B5089" s="5" t="s">
        <v>5657</v>
      </c>
      <c r="C5089" s="5" t="s">
        <v>21</v>
      </c>
      <c r="K5089" s="5">
        <v>400.0</v>
      </c>
      <c r="N5089" s="9">
        <v>45021.0</v>
      </c>
    </row>
    <row r="5090">
      <c r="A5090" s="5">
        <v>5089.0</v>
      </c>
      <c r="B5090" s="5" t="s">
        <v>5658</v>
      </c>
      <c r="C5090" s="5" t="s">
        <v>21</v>
      </c>
      <c r="K5090" s="5">
        <v>450.0</v>
      </c>
      <c r="N5090" s="9">
        <v>44357.0</v>
      </c>
    </row>
    <row r="5091">
      <c r="A5091" s="5">
        <v>5090.0</v>
      </c>
      <c r="B5091" s="5" t="s">
        <v>5659</v>
      </c>
      <c r="C5091" s="5" t="s">
        <v>21</v>
      </c>
      <c r="K5091" s="5">
        <v>80.0</v>
      </c>
      <c r="N5091" s="9">
        <v>45846.0</v>
      </c>
    </row>
    <row r="5092">
      <c r="A5092" s="5">
        <v>5091.0</v>
      </c>
      <c r="B5092" s="5" t="s">
        <v>5660</v>
      </c>
      <c r="C5092" s="5" t="s">
        <v>21</v>
      </c>
      <c r="K5092" s="5">
        <v>9300.0</v>
      </c>
      <c r="N5092" s="9">
        <v>43840.0</v>
      </c>
    </row>
    <row r="5093">
      <c r="A5093" s="5">
        <v>5092.0</v>
      </c>
      <c r="B5093" s="5" t="s">
        <v>5661</v>
      </c>
      <c r="C5093" s="5" t="s">
        <v>21</v>
      </c>
      <c r="K5093" s="5">
        <v>150.0</v>
      </c>
      <c r="N5093" s="9">
        <v>43919.0</v>
      </c>
    </row>
    <row r="5094">
      <c r="A5094" s="5">
        <v>5093.0</v>
      </c>
      <c r="B5094" s="5" t="s">
        <v>5662</v>
      </c>
      <c r="C5094" s="5" t="s">
        <v>21</v>
      </c>
      <c r="K5094" s="5">
        <v>600.0</v>
      </c>
      <c r="N5094" s="9">
        <v>45220.0</v>
      </c>
    </row>
    <row r="5095">
      <c r="A5095" s="5">
        <v>5094.0</v>
      </c>
      <c r="B5095" s="5" t="s">
        <v>5663</v>
      </c>
      <c r="C5095" s="5" t="s">
        <v>21</v>
      </c>
      <c r="K5095" s="5">
        <v>80.0</v>
      </c>
      <c r="N5095" s="9">
        <v>44882.0</v>
      </c>
    </row>
    <row r="5096">
      <c r="A5096" s="5">
        <v>5095.0</v>
      </c>
      <c r="B5096" s="5" t="s">
        <v>5664</v>
      </c>
      <c r="C5096" s="5" t="s">
        <v>21</v>
      </c>
      <c r="K5096" s="5">
        <v>400.0</v>
      </c>
      <c r="N5096" s="9">
        <v>44769.0</v>
      </c>
    </row>
    <row r="5097">
      <c r="A5097" s="5">
        <v>5096.0</v>
      </c>
      <c r="B5097" s="5" t="s">
        <v>5665</v>
      </c>
      <c r="C5097" s="5" t="s">
        <v>21</v>
      </c>
      <c r="K5097" s="5">
        <v>100.0</v>
      </c>
      <c r="N5097" s="9">
        <v>44529.0</v>
      </c>
    </row>
    <row r="5098">
      <c r="A5098" s="5">
        <v>5097.0</v>
      </c>
      <c r="B5098" s="5" t="s">
        <v>5666</v>
      </c>
      <c r="C5098" s="5" t="s">
        <v>21</v>
      </c>
      <c r="K5098" s="5">
        <v>250.0</v>
      </c>
      <c r="N5098" s="9">
        <v>44214.0</v>
      </c>
    </row>
    <row r="5099">
      <c r="A5099" s="5">
        <v>5098.0</v>
      </c>
      <c r="B5099" s="5" t="s">
        <v>5667</v>
      </c>
      <c r="C5099" s="5" t="s">
        <v>21</v>
      </c>
      <c r="K5099" s="5">
        <v>400.0</v>
      </c>
      <c r="N5099" s="9">
        <v>44836.0</v>
      </c>
    </row>
    <row r="5100">
      <c r="A5100" s="5">
        <v>5099.0</v>
      </c>
      <c r="B5100" s="5" t="s">
        <v>5668</v>
      </c>
      <c r="C5100" s="5" t="s">
        <v>21</v>
      </c>
      <c r="N5100" s="9">
        <v>44378.0</v>
      </c>
    </row>
    <row r="5101">
      <c r="A5101" s="5">
        <v>5100.0</v>
      </c>
      <c r="B5101" s="5" t="s">
        <v>5669</v>
      </c>
      <c r="C5101" s="5" t="s">
        <v>21</v>
      </c>
      <c r="N5101" s="9">
        <v>44520.0</v>
      </c>
    </row>
    <row r="5102">
      <c r="A5102" s="5">
        <v>5101.0</v>
      </c>
      <c r="B5102" s="5" t="s">
        <v>5670</v>
      </c>
      <c r="C5102" s="5" t="s">
        <v>21</v>
      </c>
      <c r="K5102" s="5">
        <v>800.0</v>
      </c>
      <c r="N5102" s="9">
        <v>45267.0</v>
      </c>
    </row>
    <row r="5103">
      <c r="A5103" s="5">
        <v>5102.0</v>
      </c>
      <c r="B5103" s="5" t="s">
        <v>5671</v>
      </c>
      <c r="C5103" s="5" t="s">
        <v>21</v>
      </c>
      <c r="K5103" s="5">
        <v>350.0</v>
      </c>
      <c r="N5103" s="9">
        <v>44504.0</v>
      </c>
    </row>
    <row r="5104">
      <c r="A5104" s="5">
        <v>5103.0</v>
      </c>
      <c r="B5104" s="5" t="s">
        <v>5672</v>
      </c>
      <c r="C5104" s="5" t="s">
        <v>21</v>
      </c>
      <c r="K5104" s="5">
        <v>800.0</v>
      </c>
      <c r="N5104" s="9">
        <v>44529.0</v>
      </c>
    </row>
    <row r="5105">
      <c r="A5105" s="5">
        <v>5104.0</v>
      </c>
      <c r="B5105" s="5" t="s">
        <v>5673</v>
      </c>
      <c r="C5105" s="5" t="s">
        <v>21</v>
      </c>
      <c r="K5105" s="5">
        <v>10.0</v>
      </c>
      <c r="N5105" s="9">
        <v>43999.0</v>
      </c>
    </row>
    <row r="5106">
      <c r="A5106" s="5">
        <v>5105.0</v>
      </c>
      <c r="B5106" s="5" t="s">
        <v>5674</v>
      </c>
      <c r="C5106" s="5" t="s">
        <v>21</v>
      </c>
      <c r="K5106" s="5">
        <v>1400.0</v>
      </c>
      <c r="N5106" s="9">
        <v>44080.0</v>
      </c>
    </row>
    <row r="5107">
      <c r="A5107" s="5">
        <v>5106.0</v>
      </c>
      <c r="B5107" s="5" t="s">
        <v>5675</v>
      </c>
      <c r="C5107" s="5" t="s">
        <v>21</v>
      </c>
      <c r="K5107" s="5">
        <v>350.0</v>
      </c>
      <c r="N5107" s="9">
        <v>44577.0</v>
      </c>
    </row>
    <row r="5108">
      <c r="A5108" s="5">
        <v>5107.0</v>
      </c>
      <c r="B5108" s="5" t="s">
        <v>5676</v>
      </c>
      <c r="C5108" s="5" t="s">
        <v>21</v>
      </c>
      <c r="K5108" s="5">
        <v>800.0</v>
      </c>
      <c r="N5108" s="9">
        <v>45075.0</v>
      </c>
    </row>
    <row r="5109">
      <c r="A5109" s="5">
        <v>5108.0</v>
      </c>
      <c r="B5109" s="5" t="s">
        <v>5677</v>
      </c>
      <c r="C5109" s="5" t="s">
        <v>21</v>
      </c>
      <c r="K5109" s="5">
        <v>200.0</v>
      </c>
      <c r="N5109" s="9">
        <v>45284.0</v>
      </c>
    </row>
    <row r="5110">
      <c r="A5110" s="5">
        <v>5109.0</v>
      </c>
      <c r="B5110" s="5" t="s">
        <v>5678</v>
      </c>
      <c r="C5110" s="5" t="s">
        <v>21</v>
      </c>
      <c r="K5110" s="5">
        <v>600.0</v>
      </c>
      <c r="N5110" s="9">
        <v>44041.0</v>
      </c>
    </row>
    <row r="5111">
      <c r="A5111" s="5">
        <v>5110.0</v>
      </c>
      <c r="B5111" s="5" t="s">
        <v>5679</v>
      </c>
      <c r="C5111" s="5" t="s">
        <v>21</v>
      </c>
      <c r="K5111" s="5">
        <v>250.0</v>
      </c>
      <c r="N5111" s="9">
        <v>44162.0</v>
      </c>
    </row>
    <row r="5112">
      <c r="A5112" s="5">
        <v>5111.0</v>
      </c>
      <c r="B5112" s="5" t="s">
        <v>5680</v>
      </c>
      <c r="C5112" s="5" t="s">
        <v>21</v>
      </c>
      <c r="K5112" s="5">
        <v>350.0</v>
      </c>
      <c r="N5112" s="9">
        <v>44508.0</v>
      </c>
    </row>
    <row r="5113">
      <c r="A5113" s="5">
        <v>5112.0</v>
      </c>
      <c r="B5113" s="5" t="s">
        <v>5681</v>
      </c>
      <c r="C5113" s="5" t="s">
        <v>21</v>
      </c>
      <c r="K5113" s="5">
        <v>3000.0</v>
      </c>
      <c r="N5113" s="9">
        <v>44720.0</v>
      </c>
    </row>
    <row r="5114">
      <c r="A5114" s="5">
        <v>5113.0</v>
      </c>
      <c r="B5114" s="5" t="s">
        <v>5682</v>
      </c>
      <c r="C5114" s="5" t="s">
        <v>21</v>
      </c>
      <c r="K5114" s="5">
        <v>250.0</v>
      </c>
      <c r="N5114" s="9">
        <v>44562.0</v>
      </c>
    </row>
    <row r="5115">
      <c r="A5115" s="5">
        <v>5114.0</v>
      </c>
      <c r="B5115" s="5" t="s">
        <v>5683</v>
      </c>
      <c r="C5115" s="5" t="s">
        <v>21</v>
      </c>
      <c r="K5115" s="5">
        <v>1500.0</v>
      </c>
      <c r="N5115" s="9">
        <v>44690.0</v>
      </c>
    </row>
    <row r="5116">
      <c r="A5116" s="5">
        <v>5115.0</v>
      </c>
      <c r="B5116" s="5" t="s">
        <v>5684</v>
      </c>
      <c r="C5116" s="5" t="s">
        <v>21</v>
      </c>
      <c r="K5116" s="5">
        <v>200.0</v>
      </c>
      <c r="N5116" s="9">
        <v>44285.0</v>
      </c>
    </row>
    <row r="5117">
      <c r="A5117" s="5">
        <v>5116.0</v>
      </c>
      <c r="B5117" s="5" t="s">
        <v>5685</v>
      </c>
      <c r="C5117" s="5" t="s">
        <v>21</v>
      </c>
      <c r="K5117" s="5">
        <v>70.0</v>
      </c>
      <c r="N5117" s="9">
        <v>43872.0</v>
      </c>
    </row>
    <row r="5118">
      <c r="A5118" s="5">
        <v>5117.0</v>
      </c>
      <c r="B5118" s="5" t="s">
        <v>5686</v>
      </c>
      <c r="C5118" s="5" t="s">
        <v>21</v>
      </c>
      <c r="K5118" s="5">
        <v>150.0</v>
      </c>
      <c r="N5118" s="9">
        <v>44420.0</v>
      </c>
    </row>
    <row r="5119">
      <c r="A5119" s="5">
        <v>5118.0</v>
      </c>
      <c r="B5119" s="5" t="s">
        <v>5687</v>
      </c>
      <c r="C5119" s="5" t="s">
        <v>21</v>
      </c>
      <c r="K5119" s="5">
        <v>400.0</v>
      </c>
      <c r="N5119" s="9">
        <v>44537.0</v>
      </c>
    </row>
    <row r="5120">
      <c r="A5120" s="5">
        <v>5119.0</v>
      </c>
      <c r="B5120" s="5" t="s">
        <v>5688</v>
      </c>
      <c r="C5120" s="5" t="s">
        <v>21</v>
      </c>
      <c r="K5120" s="5">
        <v>80.0</v>
      </c>
      <c r="N5120" s="9">
        <v>45088.0</v>
      </c>
    </row>
    <row r="5121">
      <c r="A5121" s="5">
        <v>5120.0</v>
      </c>
      <c r="B5121" s="5" t="s">
        <v>5689</v>
      </c>
      <c r="C5121" s="5" t="s">
        <v>21</v>
      </c>
      <c r="K5121" s="5">
        <v>150.0</v>
      </c>
      <c r="N5121" s="9">
        <v>44850.0</v>
      </c>
    </row>
    <row r="5122">
      <c r="A5122" s="5">
        <v>5121.0</v>
      </c>
      <c r="B5122" s="5" t="s">
        <v>5690</v>
      </c>
      <c r="C5122" s="5" t="s">
        <v>21</v>
      </c>
      <c r="K5122" s="5">
        <v>250.0</v>
      </c>
      <c r="N5122" s="9">
        <v>44982.0</v>
      </c>
    </row>
    <row r="5123">
      <c r="A5123" s="5">
        <v>5122.0</v>
      </c>
      <c r="B5123" s="5" t="s">
        <v>5691</v>
      </c>
      <c r="C5123" s="5" t="s">
        <v>21</v>
      </c>
      <c r="K5123" s="5">
        <v>200.0</v>
      </c>
      <c r="N5123" s="9">
        <v>45589.0</v>
      </c>
    </row>
    <row r="5124">
      <c r="A5124" s="5">
        <v>5123.0</v>
      </c>
      <c r="B5124" s="5" t="s">
        <v>5692</v>
      </c>
      <c r="C5124" s="5" t="s">
        <v>21</v>
      </c>
      <c r="K5124" s="5">
        <v>1300.0</v>
      </c>
      <c r="N5124" s="9">
        <v>43944.0</v>
      </c>
    </row>
    <row r="5125">
      <c r="A5125" s="5">
        <v>5124.0</v>
      </c>
      <c r="B5125" s="5" t="s">
        <v>5693</v>
      </c>
      <c r="C5125" s="5" t="s">
        <v>21</v>
      </c>
      <c r="K5125" s="5">
        <v>1300.0</v>
      </c>
      <c r="N5125" s="9">
        <v>43928.0</v>
      </c>
    </row>
    <row r="5126">
      <c r="A5126" s="5">
        <v>5125.0</v>
      </c>
      <c r="B5126" s="5" t="s">
        <v>5694</v>
      </c>
      <c r="C5126" s="5" t="s">
        <v>21</v>
      </c>
      <c r="K5126" s="5">
        <v>600.0</v>
      </c>
      <c r="N5126" s="9">
        <v>44574.0</v>
      </c>
    </row>
    <row r="5127">
      <c r="A5127" s="5">
        <v>5126.0</v>
      </c>
      <c r="B5127" s="5" t="s">
        <v>5695</v>
      </c>
      <c r="C5127" s="5" t="s">
        <v>21</v>
      </c>
      <c r="K5127" s="5">
        <v>600.0</v>
      </c>
      <c r="N5127" s="9">
        <v>45308.0</v>
      </c>
    </row>
    <row r="5128">
      <c r="A5128" s="5">
        <v>5127.0</v>
      </c>
      <c r="B5128" s="5" t="s">
        <v>5696</v>
      </c>
      <c r="C5128" s="5" t="s">
        <v>21</v>
      </c>
      <c r="K5128" s="5">
        <v>250.0</v>
      </c>
      <c r="N5128" s="9">
        <v>45029.0</v>
      </c>
    </row>
    <row r="5129">
      <c r="A5129" s="5">
        <v>5128.0</v>
      </c>
      <c r="B5129" s="5" t="s">
        <v>5697</v>
      </c>
      <c r="C5129" s="5" t="s">
        <v>21</v>
      </c>
      <c r="K5129" s="5">
        <v>200.0</v>
      </c>
      <c r="N5129" s="9">
        <v>44324.0</v>
      </c>
    </row>
    <row r="5130">
      <c r="A5130" s="5">
        <v>5129.0</v>
      </c>
      <c r="B5130" s="5" t="s">
        <v>5698</v>
      </c>
      <c r="C5130" s="5" t="s">
        <v>21</v>
      </c>
      <c r="K5130" s="5">
        <v>2000.0</v>
      </c>
      <c r="N5130" s="9">
        <v>44534.0</v>
      </c>
    </row>
    <row r="5131">
      <c r="A5131" s="5">
        <v>5130.0</v>
      </c>
      <c r="B5131" s="5" t="s">
        <v>5699</v>
      </c>
      <c r="C5131" s="5" t="s">
        <v>21</v>
      </c>
      <c r="K5131" s="5">
        <v>200.0</v>
      </c>
      <c r="N5131" s="9">
        <v>45493.0</v>
      </c>
    </row>
    <row r="5132">
      <c r="A5132" s="5">
        <v>5131.0</v>
      </c>
      <c r="B5132" s="5" t="s">
        <v>5700</v>
      </c>
      <c r="C5132" s="5" t="s">
        <v>21</v>
      </c>
      <c r="K5132" s="5">
        <v>150.0</v>
      </c>
      <c r="N5132" s="9">
        <v>45476.0</v>
      </c>
    </row>
    <row r="5133">
      <c r="A5133" s="5">
        <v>5132.0</v>
      </c>
      <c r="B5133" s="5" t="s">
        <v>5701</v>
      </c>
      <c r="C5133" s="5" t="s">
        <v>21</v>
      </c>
      <c r="K5133" s="5">
        <v>40.0</v>
      </c>
      <c r="N5133" s="9">
        <v>45115.0</v>
      </c>
    </row>
    <row r="5134">
      <c r="A5134" s="5">
        <v>5133.0</v>
      </c>
      <c r="B5134" s="5" t="s">
        <v>5702</v>
      </c>
      <c r="C5134" s="5" t="s">
        <v>21</v>
      </c>
      <c r="N5134" s="9">
        <v>44396.0</v>
      </c>
    </row>
    <row r="5135">
      <c r="A5135" s="5">
        <v>5134.0</v>
      </c>
      <c r="B5135" s="5" t="s">
        <v>5703</v>
      </c>
      <c r="C5135" s="5" t="s">
        <v>21</v>
      </c>
      <c r="K5135" s="5">
        <v>900.0</v>
      </c>
      <c r="N5135" s="9">
        <v>45419.0</v>
      </c>
    </row>
    <row r="5136">
      <c r="A5136" s="5">
        <v>5135.0</v>
      </c>
      <c r="B5136" s="5" t="s">
        <v>5704</v>
      </c>
      <c r="C5136" s="5" t="s">
        <v>21</v>
      </c>
      <c r="K5136" s="5">
        <v>350.0</v>
      </c>
      <c r="N5136" s="9">
        <v>44170.0</v>
      </c>
    </row>
    <row r="5137">
      <c r="A5137" s="5">
        <v>5136.0</v>
      </c>
      <c r="B5137" s="5" t="s">
        <v>5705</v>
      </c>
      <c r="C5137" s="5" t="s">
        <v>21</v>
      </c>
      <c r="K5137" s="5">
        <v>150.0</v>
      </c>
      <c r="N5137" s="9">
        <v>44708.0</v>
      </c>
    </row>
    <row r="5138">
      <c r="A5138" s="5">
        <v>5137.0</v>
      </c>
      <c r="B5138" s="5" t="s">
        <v>5706</v>
      </c>
      <c r="C5138" s="5" t="s">
        <v>21</v>
      </c>
      <c r="K5138" s="5">
        <v>50.0</v>
      </c>
      <c r="N5138" s="9">
        <v>44659.0</v>
      </c>
    </row>
    <row r="5139">
      <c r="A5139" s="5">
        <v>5138.0</v>
      </c>
      <c r="B5139" s="5" t="s">
        <v>5707</v>
      </c>
      <c r="C5139" s="5" t="s">
        <v>21</v>
      </c>
      <c r="K5139" s="5">
        <v>2100.0</v>
      </c>
      <c r="N5139" s="9">
        <v>45145.0</v>
      </c>
    </row>
    <row r="5140">
      <c r="A5140" s="5">
        <v>5139.0</v>
      </c>
      <c r="B5140" s="5" t="s">
        <v>5708</v>
      </c>
      <c r="C5140" s="5" t="s">
        <v>21</v>
      </c>
      <c r="K5140" s="5">
        <v>250.0</v>
      </c>
      <c r="N5140" s="9">
        <v>44589.0</v>
      </c>
    </row>
    <row r="5141">
      <c r="A5141" s="5">
        <v>5140.0</v>
      </c>
      <c r="B5141" s="5" t="s">
        <v>5709</v>
      </c>
      <c r="C5141" s="5" t="s">
        <v>21</v>
      </c>
      <c r="K5141" s="5">
        <v>100.0</v>
      </c>
      <c r="N5141" s="9">
        <v>44567.0</v>
      </c>
    </row>
    <row r="5142">
      <c r="A5142" s="5">
        <v>5141.0</v>
      </c>
      <c r="B5142" s="5" t="s">
        <v>5710</v>
      </c>
      <c r="C5142" s="5" t="s">
        <v>21</v>
      </c>
      <c r="N5142" s="9">
        <v>44598.0</v>
      </c>
    </row>
    <row r="5143">
      <c r="A5143" s="5">
        <v>5142.0</v>
      </c>
      <c r="B5143" s="5" t="s">
        <v>5711</v>
      </c>
      <c r="C5143" s="5" t="s">
        <v>21</v>
      </c>
      <c r="K5143" s="5">
        <v>1300.0</v>
      </c>
      <c r="N5143" s="9">
        <v>44399.0</v>
      </c>
    </row>
    <row r="5144">
      <c r="A5144" s="5">
        <v>5143.0</v>
      </c>
      <c r="B5144" s="5" t="s">
        <v>5712</v>
      </c>
      <c r="C5144" s="5" t="s">
        <v>21</v>
      </c>
      <c r="K5144" s="5">
        <v>70.0</v>
      </c>
      <c r="N5144" s="9">
        <v>44982.0</v>
      </c>
    </row>
    <row r="5145">
      <c r="A5145" s="5">
        <v>5144.0</v>
      </c>
      <c r="B5145" s="5" t="s">
        <v>5713</v>
      </c>
      <c r="C5145" s="5" t="s">
        <v>21</v>
      </c>
      <c r="K5145" s="5">
        <v>500.0</v>
      </c>
      <c r="N5145" s="9">
        <v>44580.0</v>
      </c>
    </row>
    <row r="5146">
      <c r="A5146" s="5">
        <v>5145.0</v>
      </c>
      <c r="B5146" s="5" t="s">
        <v>5714</v>
      </c>
      <c r="C5146" s="5" t="s">
        <v>21</v>
      </c>
      <c r="K5146" s="5">
        <v>1200.0</v>
      </c>
      <c r="N5146" s="9">
        <v>44552.0</v>
      </c>
    </row>
    <row r="5147">
      <c r="A5147" s="5">
        <v>5146.0</v>
      </c>
      <c r="B5147" s="5" t="s">
        <v>5715</v>
      </c>
      <c r="C5147" s="5" t="s">
        <v>21</v>
      </c>
      <c r="K5147" s="5">
        <v>1300.0</v>
      </c>
      <c r="N5147" s="9">
        <v>45737.0</v>
      </c>
    </row>
    <row r="5148">
      <c r="A5148" s="5">
        <v>5147.0</v>
      </c>
      <c r="B5148" s="5" t="s">
        <v>5716</v>
      </c>
      <c r="C5148" s="5" t="s">
        <v>21</v>
      </c>
      <c r="K5148" s="5">
        <v>1900.0</v>
      </c>
      <c r="N5148" s="9">
        <v>44541.0</v>
      </c>
    </row>
    <row r="5149">
      <c r="A5149" s="5">
        <v>5148.0</v>
      </c>
      <c r="B5149" s="5" t="s">
        <v>5717</v>
      </c>
      <c r="C5149" s="5" t="s">
        <v>21</v>
      </c>
      <c r="N5149" s="9">
        <v>44356.0</v>
      </c>
    </row>
    <row r="5150">
      <c r="A5150" s="5">
        <v>5149.0</v>
      </c>
      <c r="B5150" s="5" t="s">
        <v>5718</v>
      </c>
      <c r="C5150" s="5" t="s">
        <v>21</v>
      </c>
      <c r="K5150" s="5">
        <v>350.0</v>
      </c>
      <c r="N5150" s="9">
        <v>44537.0</v>
      </c>
    </row>
    <row r="5151">
      <c r="A5151" s="5">
        <v>5150.0</v>
      </c>
      <c r="B5151" s="5" t="s">
        <v>5719</v>
      </c>
      <c r="C5151" s="5" t="s">
        <v>21</v>
      </c>
      <c r="K5151" s="5">
        <v>150.0</v>
      </c>
      <c r="N5151" s="9">
        <v>44858.0</v>
      </c>
    </row>
    <row r="5152">
      <c r="A5152" s="5">
        <v>5151.0</v>
      </c>
      <c r="B5152" s="5" t="s">
        <v>5720</v>
      </c>
      <c r="C5152" s="5" t="s">
        <v>21</v>
      </c>
      <c r="K5152" s="5">
        <v>40.0</v>
      </c>
      <c r="N5152" s="9">
        <v>44161.0</v>
      </c>
    </row>
    <row r="5153">
      <c r="A5153" s="5">
        <v>5152.0</v>
      </c>
      <c r="B5153" s="5" t="s">
        <v>5721</v>
      </c>
      <c r="C5153" s="5" t="s">
        <v>21</v>
      </c>
      <c r="K5153" s="5">
        <v>400.0</v>
      </c>
      <c r="N5153" s="9">
        <v>44654.0</v>
      </c>
    </row>
    <row r="5154">
      <c r="A5154" s="5">
        <v>5153.0</v>
      </c>
      <c r="B5154" s="5" t="s">
        <v>5722</v>
      </c>
      <c r="C5154" s="5" t="s">
        <v>21</v>
      </c>
      <c r="K5154" s="5">
        <v>500.0</v>
      </c>
      <c r="N5154" s="9">
        <v>44489.0</v>
      </c>
    </row>
    <row r="5155">
      <c r="A5155" s="5">
        <v>5154.0</v>
      </c>
      <c r="B5155" s="5" t="s">
        <v>5723</v>
      </c>
      <c r="C5155" s="5" t="s">
        <v>21</v>
      </c>
      <c r="K5155" s="5">
        <v>1500.0</v>
      </c>
      <c r="N5155" s="9">
        <v>45605.0</v>
      </c>
    </row>
    <row r="5156">
      <c r="A5156" s="5">
        <v>5155.0</v>
      </c>
      <c r="B5156" s="5" t="s">
        <v>5724</v>
      </c>
      <c r="C5156" s="5" t="s">
        <v>21</v>
      </c>
      <c r="K5156" s="5">
        <v>250.0</v>
      </c>
      <c r="N5156" s="9">
        <v>45104.0</v>
      </c>
    </row>
    <row r="5157">
      <c r="A5157" s="5">
        <v>5156.0</v>
      </c>
      <c r="B5157" s="5" t="s">
        <v>5725</v>
      </c>
      <c r="C5157" s="5" t="s">
        <v>21</v>
      </c>
      <c r="K5157" s="5">
        <v>2000.0</v>
      </c>
      <c r="N5157" s="9">
        <v>43853.0</v>
      </c>
    </row>
    <row r="5158">
      <c r="A5158" s="5">
        <v>5157.0</v>
      </c>
      <c r="B5158" s="5" t="s">
        <v>5726</v>
      </c>
      <c r="C5158" s="5" t="s">
        <v>21</v>
      </c>
      <c r="K5158" s="5">
        <v>600.0</v>
      </c>
      <c r="N5158" s="9">
        <v>44567.0</v>
      </c>
    </row>
    <row r="5159">
      <c r="A5159" s="5">
        <v>5158.0</v>
      </c>
      <c r="B5159" s="5" t="s">
        <v>5727</v>
      </c>
      <c r="C5159" s="5" t="s">
        <v>21</v>
      </c>
      <c r="K5159" s="5">
        <v>250.0</v>
      </c>
      <c r="N5159" s="9">
        <v>44640.0</v>
      </c>
    </row>
    <row r="5160">
      <c r="A5160" s="5">
        <v>5159.0</v>
      </c>
      <c r="B5160" s="5" t="s">
        <v>5728</v>
      </c>
      <c r="C5160" s="5" t="s">
        <v>21</v>
      </c>
      <c r="K5160" s="5">
        <v>150.0</v>
      </c>
      <c r="N5160" s="9">
        <v>43880.0</v>
      </c>
    </row>
    <row r="5161">
      <c r="A5161" s="5">
        <v>5160.0</v>
      </c>
      <c r="B5161" s="5" t="s">
        <v>5729</v>
      </c>
      <c r="C5161" s="5" t="s">
        <v>21</v>
      </c>
      <c r="K5161" s="5">
        <v>1200.0</v>
      </c>
      <c r="N5161" s="9">
        <v>44709.0</v>
      </c>
    </row>
    <row r="5162">
      <c r="A5162" s="5">
        <v>5161.0</v>
      </c>
      <c r="B5162" s="5" t="s">
        <v>5730</v>
      </c>
      <c r="C5162" s="5" t="s">
        <v>21</v>
      </c>
      <c r="K5162" s="5">
        <v>250.0</v>
      </c>
      <c r="N5162" s="9">
        <v>44580.0</v>
      </c>
    </row>
    <row r="5163">
      <c r="A5163" s="5">
        <v>5162.0</v>
      </c>
      <c r="B5163" s="5" t="s">
        <v>181</v>
      </c>
      <c r="C5163" s="5" t="s">
        <v>21</v>
      </c>
      <c r="K5163" s="5">
        <v>3000.0</v>
      </c>
      <c r="N5163" s="9">
        <v>43996.0</v>
      </c>
    </row>
    <row r="5164">
      <c r="A5164" s="5">
        <v>5163.0</v>
      </c>
      <c r="B5164" s="5" t="s">
        <v>5731</v>
      </c>
      <c r="C5164" s="5" t="s">
        <v>21</v>
      </c>
      <c r="K5164" s="5">
        <v>450.0</v>
      </c>
      <c r="N5164" s="9">
        <v>44088.0</v>
      </c>
    </row>
    <row r="5165">
      <c r="A5165" s="5">
        <v>5164.0</v>
      </c>
      <c r="B5165" s="5" t="s">
        <v>5732</v>
      </c>
      <c r="C5165" s="5" t="s">
        <v>21</v>
      </c>
      <c r="K5165" s="5">
        <v>100.0</v>
      </c>
      <c r="N5165" s="9">
        <v>45367.0</v>
      </c>
    </row>
    <row r="5166">
      <c r="A5166" s="5">
        <v>5165.0</v>
      </c>
      <c r="B5166" s="5" t="s">
        <v>5733</v>
      </c>
      <c r="C5166" s="5" t="s">
        <v>21</v>
      </c>
      <c r="K5166" s="5">
        <v>150.0</v>
      </c>
      <c r="N5166" s="9">
        <v>44666.0</v>
      </c>
    </row>
    <row r="5167">
      <c r="A5167" s="5">
        <v>5166.0</v>
      </c>
      <c r="B5167" s="5" t="s">
        <v>5734</v>
      </c>
      <c r="C5167" s="5" t="s">
        <v>21</v>
      </c>
      <c r="K5167" s="5">
        <v>150.0</v>
      </c>
      <c r="N5167" s="9">
        <v>44366.0</v>
      </c>
    </row>
    <row r="5168">
      <c r="A5168" s="5">
        <v>5167.0</v>
      </c>
      <c r="B5168" s="5" t="s">
        <v>5735</v>
      </c>
      <c r="C5168" s="5" t="s">
        <v>21</v>
      </c>
      <c r="K5168" s="5">
        <v>400.0</v>
      </c>
      <c r="N5168" s="9">
        <v>43862.0</v>
      </c>
    </row>
    <row r="5169">
      <c r="A5169" s="5">
        <v>5168.0</v>
      </c>
      <c r="B5169" s="5" t="s">
        <v>5736</v>
      </c>
      <c r="C5169" s="5" t="s">
        <v>21</v>
      </c>
      <c r="K5169" s="5">
        <v>150.0</v>
      </c>
      <c r="N5169" s="9">
        <v>44722.0</v>
      </c>
    </row>
    <row r="5170">
      <c r="A5170" s="5">
        <v>5169.0</v>
      </c>
      <c r="B5170" s="5" t="s">
        <v>5737</v>
      </c>
      <c r="C5170" s="5" t="s">
        <v>21</v>
      </c>
      <c r="K5170" s="5">
        <v>200.0</v>
      </c>
      <c r="N5170" s="9">
        <v>44879.0</v>
      </c>
    </row>
    <row r="5171">
      <c r="A5171" s="5">
        <v>5170.0</v>
      </c>
      <c r="B5171" s="5" t="s">
        <v>5738</v>
      </c>
      <c r="C5171" s="5" t="s">
        <v>21</v>
      </c>
      <c r="K5171" s="5">
        <v>250.0</v>
      </c>
      <c r="N5171" s="9">
        <v>44534.0</v>
      </c>
    </row>
    <row r="5172">
      <c r="A5172" s="5">
        <v>5171.0</v>
      </c>
      <c r="B5172" s="5" t="s">
        <v>5739</v>
      </c>
      <c r="C5172" s="5" t="s">
        <v>21</v>
      </c>
      <c r="K5172" s="5">
        <v>200.0</v>
      </c>
      <c r="N5172" s="9">
        <v>44567.0</v>
      </c>
    </row>
    <row r="5173">
      <c r="A5173" s="5">
        <v>5172.0</v>
      </c>
      <c r="B5173" s="5" t="s">
        <v>5740</v>
      </c>
      <c r="C5173" s="5" t="s">
        <v>21</v>
      </c>
      <c r="K5173" s="5">
        <v>90.0</v>
      </c>
      <c r="N5173" s="9">
        <v>44939.0</v>
      </c>
    </row>
    <row r="5174">
      <c r="A5174" s="5">
        <v>5173.0</v>
      </c>
      <c r="B5174" s="5" t="s">
        <v>5741</v>
      </c>
      <c r="C5174" s="5" t="s">
        <v>21</v>
      </c>
      <c r="K5174" s="5">
        <v>250.0</v>
      </c>
      <c r="N5174" s="9">
        <v>43883.0</v>
      </c>
    </row>
    <row r="5175">
      <c r="A5175" s="5">
        <v>5174.0</v>
      </c>
      <c r="B5175" s="5" t="s">
        <v>5742</v>
      </c>
      <c r="C5175" s="5" t="s">
        <v>21</v>
      </c>
      <c r="K5175" s="5">
        <v>60.0</v>
      </c>
      <c r="N5175" s="9">
        <v>44554.0</v>
      </c>
    </row>
    <row r="5176">
      <c r="A5176" s="5">
        <v>5175.0</v>
      </c>
      <c r="B5176" s="5" t="s">
        <v>5743</v>
      </c>
      <c r="C5176" s="5" t="s">
        <v>21</v>
      </c>
      <c r="N5176" s="9">
        <v>44727.0</v>
      </c>
    </row>
    <row r="5177">
      <c r="A5177" s="5">
        <v>5176.0</v>
      </c>
      <c r="B5177" s="5" t="s">
        <v>5744</v>
      </c>
      <c r="C5177" s="5" t="s">
        <v>21</v>
      </c>
      <c r="K5177" s="5">
        <v>150.0</v>
      </c>
      <c r="N5177" s="9">
        <v>44407.0</v>
      </c>
    </row>
    <row r="5178">
      <c r="A5178" s="5">
        <v>5177.0</v>
      </c>
      <c r="B5178" s="5" t="s">
        <v>5745</v>
      </c>
      <c r="C5178" s="5" t="s">
        <v>21</v>
      </c>
      <c r="N5178" s="9">
        <v>44563.0</v>
      </c>
    </row>
    <row r="5179">
      <c r="A5179" s="5">
        <v>5178.0</v>
      </c>
      <c r="B5179" s="5" t="s">
        <v>5746</v>
      </c>
      <c r="C5179" s="5" t="s">
        <v>21</v>
      </c>
      <c r="K5179" s="5">
        <v>700.0</v>
      </c>
      <c r="N5179" s="9">
        <v>44985.0</v>
      </c>
    </row>
    <row r="5180">
      <c r="A5180" s="5">
        <v>5179.0</v>
      </c>
      <c r="B5180" s="5" t="s">
        <v>5747</v>
      </c>
      <c r="C5180" s="5" t="s">
        <v>21</v>
      </c>
      <c r="K5180" s="5">
        <v>50.0</v>
      </c>
      <c r="N5180" s="9">
        <v>45279.0</v>
      </c>
    </row>
    <row r="5181">
      <c r="A5181" s="5">
        <v>5180.0</v>
      </c>
      <c r="B5181" s="5" t="s">
        <v>5748</v>
      </c>
      <c r="C5181" s="5" t="s">
        <v>21</v>
      </c>
      <c r="K5181" s="5">
        <v>2800.0</v>
      </c>
      <c r="N5181" s="9">
        <v>43900.0</v>
      </c>
    </row>
    <row r="5182">
      <c r="A5182" s="5">
        <v>5181.0</v>
      </c>
      <c r="B5182" s="5" t="s">
        <v>5749</v>
      </c>
      <c r="C5182" s="5" t="s">
        <v>21</v>
      </c>
      <c r="K5182" s="5">
        <v>400.0</v>
      </c>
      <c r="N5182" s="9">
        <v>44331.0</v>
      </c>
    </row>
    <row r="5183">
      <c r="A5183" s="5">
        <v>5182.0</v>
      </c>
      <c r="B5183" s="5" t="s">
        <v>5750</v>
      </c>
      <c r="C5183" s="5" t="s">
        <v>21</v>
      </c>
      <c r="K5183" s="5">
        <v>1300.0</v>
      </c>
      <c r="N5183" s="9">
        <v>44227.0</v>
      </c>
    </row>
    <row r="5184">
      <c r="A5184" s="5">
        <v>5183.0</v>
      </c>
      <c r="B5184" s="5" t="s">
        <v>5751</v>
      </c>
      <c r="C5184" s="5" t="s">
        <v>21</v>
      </c>
      <c r="K5184" s="5">
        <v>350.0</v>
      </c>
      <c r="N5184" s="9">
        <v>43998.0</v>
      </c>
    </row>
    <row r="5185">
      <c r="A5185" s="5">
        <v>5184.0</v>
      </c>
      <c r="B5185" s="5" t="s">
        <v>5752</v>
      </c>
      <c r="C5185" s="5" t="s">
        <v>21</v>
      </c>
      <c r="K5185" s="5">
        <v>800.0</v>
      </c>
      <c r="N5185" s="9">
        <v>44580.0</v>
      </c>
    </row>
    <row r="5186">
      <c r="A5186" s="5">
        <v>5185.0</v>
      </c>
      <c r="B5186" s="5" t="s">
        <v>5753</v>
      </c>
      <c r="C5186" s="5" t="s">
        <v>21</v>
      </c>
      <c r="K5186" s="5">
        <v>300.0</v>
      </c>
      <c r="N5186" s="9">
        <v>43918.0</v>
      </c>
    </row>
    <row r="5187">
      <c r="A5187" s="5">
        <v>5186.0</v>
      </c>
      <c r="B5187" s="5" t="s">
        <v>5754</v>
      </c>
      <c r="C5187" s="5" t="s">
        <v>21</v>
      </c>
      <c r="K5187" s="5">
        <v>90.0</v>
      </c>
      <c r="N5187" s="9">
        <v>44592.0</v>
      </c>
    </row>
    <row r="5188">
      <c r="A5188" s="5">
        <v>5187.0</v>
      </c>
      <c r="B5188" s="5" t="s">
        <v>5755</v>
      </c>
      <c r="C5188" s="5" t="s">
        <v>21</v>
      </c>
      <c r="K5188" s="5">
        <v>200.0</v>
      </c>
      <c r="N5188" s="9">
        <v>44942.0</v>
      </c>
    </row>
    <row r="5189">
      <c r="A5189" s="5">
        <v>5188.0</v>
      </c>
      <c r="B5189" s="5" t="s">
        <v>5756</v>
      </c>
      <c r="C5189" s="5" t="s">
        <v>21</v>
      </c>
      <c r="K5189" s="5">
        <v>600.0</v>
      </c>
      <c r="N5189" s="9">
        <v>43845.0</v>
      </c>
    </row>
    <row r="5190">
      <c r="A5190" s="5">
        <v>5189.0</v>
      </c>
      <c r="B5190" s="5" t="s">
        <v>5757</v>
      </c>
      <c r="C5190" s="5" t="s">
        <v>21</v>
      </c>
      <c r="K5190" s="5">
        <v>800.0</v>
      </c>
      <c r="N5190" s="9">
        <v>44566.0</v>
      </c>
    </row>
    <row r="5191">
      <c r="A5191" s="5">
        <v>5190.0</v>
      </c>
      <c r="B5191" s="5" t="s">
        <v>5758</v>
      </c>
      <c r="C5191" s="5" t="s">
        <v>21</v>
      </c>
      <c r="K5191" s="5">
        <v>1100.0</v>
      </c>
      <c r="N5191" s="9">
        <v>44568.0</v>
      </c>
    </row>
    <row r="5192">
      <c r="A5192" s="5">
        <v>5191.0</v>
      </c>
      <c r="B5192" s="5" t="s">
        <v>5759</v>
      </c>
      <c r="C5192" s="5" t="s">
        <v>21</v>
      </c>
      <c r="K5192" s="5">
        <v>450.0</v>
      </c>
      <c r="N5192" s="9">
        <v>44611.0</v>
      </c>
    </row>
    <row r="5193">
      <c r="A5193" s="5">
        <v>5192.0</v>
      </c>
      <c r="B5193" s="5" t="s">
        <v>5760</v>
      </c>
      <c r="C5193" s="5" t="s">
        <v>21</v>
      </c>
      <c r="K5193" s="5">
        <v>2100.0</v>
      </c>
      <c r="N5193" s="9">
        <v>43857.0</v>
      </c>
    </row>
    <row r="5194">
      <c r="A5194" s="5">
        <v>5193.0</v>
      </c>
      <c r="B5194" s="5" t="s">
        <v>5761</v>
      </c>
      <c r="C5194" s="5" t="s">
        <v>21</v>
      </c>
      <c r="K5194" s="5">
        <v>3600.0</v>
      </c>
      <c r="N5194" s="9">
        <v>44223.0</v>
      </c>
    </row>
    <row r="5195">
      <c r="A5195" s="5">
        <v>5194.0</v>
      </c>
      <c r="B5195" s="5" t="s">
        <v>5762</v>
      </c>
      <c r="C5195" s="5" t="s">
        <v>21</v>
      </c>
      <c r="K5195" s="5">
        <v>200.0</v>
      </c>
      <c r="N5195" s="9">
        <v>44670.0</v>
      </c>
    </row>
    <row r="5196">
      <c r="A5196" s="5">
        <v>5195.0</v>
      </c>
      <c r="B5196" s="5" t="s">
        <v>5763</v>
      </c>
      <c r="C5196" s="5" t="s">
        <v>21</v>
      </c>
      <c r="K5196" s="5">
        <v>1200.0</v>
      </c>
      <c r="N5196" s="9">
        <v>44535.0</v>
      </c>
    </row>
    <row r="5197">
      <c r="A5197" s="5">
        <v>5196.0</v>
      </c>
      <c r="B5197" s="5" t="s">
        <v>5764</v>
      </c>
      <c r="C5197" s="5" t="s">
        <v>21</v>
      </c>
      <c r="K5197" s="5">
        <v>700.0</v>
      </c>
      <c r="N5197" s="9">
        <v>44659.0</v>
      </c>
    </row>
    <row r="5198">
      <c r="A5198" s="5">
        <v>5197.0</v>
      </c>
      <c r="B5198" s="5" t="s">
        <v>5765</v>
      </c>
      <c r="C5198" s="5" t="s">
        <v>21</v>
      </c>
      <c r="K5198" s="5">
        <v>400.0</v>
      </c>
      <c r="N5198" s="9">
        <v>44905.0</v>
      </c>
    </row>
    <row r="5199">
      <c r="A5199" s="5">
        <v>5198.0</v>
      </c>
      <c r="B5199" s="5" t="s">
        <v>5766</v>
      </c>
      <c r="C5199" s="5" t="s">
        <v>21</v>
      </c>
      <c r="K5199" s="5">
        <v>900.0</v>
      </c>
      <c r="N5199" s="9">
        <v>44321.0</v>
      </c>
    </row>
    <row r="5200">
      <c r="A5200" s="5">
        <v>5199.0</v>
      </c>
      <c r="B5200" s="5" t="s">
        <v>5767</v>
      </c>
      <c r="C5200" s="5" t="s">
        <v>21</v>
      </c>
      <c r="K5200" s="5">
        <v>250.0</v>
      </c>
      <c r="N5200" s="9">
        <v>44599.0</v>
      </c>
    </row>
    <row r="5201">
      <c r="A5201" s="5">
        <v>5200.0</v>
      </c>
      <c r="B5201" s="5" t="s">
        <v>5768</v>
      </c>
      <c r="C5201" s="5" t="s">
        <v>21</v>
      </c>
      <c r="K5201" s="5">
        <v>500.0</v>
      </c>
      <c r="N5201" s="9">
        <v>43869.0</v>
      </c>
    </row>
    <row r="5202">
      <c r="A5202" s="5">
        <v>5201.0</v>
      </c>
      <c r="B5202" s="5" t="s">
        <v>5769</v>
      </c>
      <c r="C5202" s="5" t="s">
        <v>21</v>
      </c>
      <c r="K5202" s="5">
        <v>150.0</v>
      </c>
      <c r="N5202" s="9">
        <v>44728.0</v>
      </c>
    </row>
    <row r="5203">
      <c r="A5203" s="5">
        <v>5202.0</v>
      </c>
      <c r="B5203" s="5" t="s">
        <v>5770</v>
      </c>
      <c r="C5203" s="5" t="s">
        <v>21</v>
      </c>
      <c r="K5203" s="5">
        <v>150.0</v>
      </c>
      <c r="N5203" s="9">
        <v>44047.0</v>
      </c>
    </row>
    <row r="5204">
      <c r="A5204" s="5">
        <v>5203.0</v>
      </c>
      <c r="B5204" s="5" t="s">
        <v>5771</v>
      </c>
      <c r="C5204" s="5" t="s">
        <v>21</v>
      </c>
      <c r="K5204" s="5">
        <v>700.0</v>
      </c>
      <c r="N5204" s="9">
        <v>45625.0</v>
      </c>
    </row>
    <row r="5205">
      <c r="A5205" s="5">
        <v>5204.0</v>
      </c>
      <c r="B5205" s="5" t="s">
        <v>5772</v>
      </c>
      <c r="C5205" s="5" t="s">
        <v>21</v>
      </c>
      <c r="K5205" s="5">
        <v>250.0</v>
      </c>
      <c r="N5205" s="9">
        <v>44564.0</v>
      </c>
    </row>
    <row r="5206">
      <c r="A5206" s="5">
        <v>5205.0</v>
      </c>
      <c r="B5206" s="5" t="s">
        <v>5773</v>
      </c>
      <c r="C5206" s="5" t="s">
        <v>21</v>
      </c>
      <c r="K5206" s="5">
        <v>100.0</v>
      </c>
      <c r="N5206" s="9">
        <v>44250.0</v>
      </c>
    </row>
    <row r="5207">
      <c r="A5207" s="5">
        <v>5206.0</v>
      </c>
      <c r="B5207" s="5" t="s">
        <v>5774</v>
      </c>
      <c r="C5207" s="5" t="s">
        <v>21</v>
      </c>
      <c r="K5207" s="5">
        <v>300.0</v>
      </c>
      <c r="N5207" s="9">
        <v>44554.0</v>
      </c>
    </row>
    <row r="5208">
      <c r="A5208" s="5">
        <v>5207.0</v>
      </c>
      <c r="B5208" s="5" t="s">
        <v>5775</v>
      </c>
      <c r="C5208" s="5" t="s">
        <v>21</v>
      </c>
      <c r="K5208" s="5">
        <v>500.0</v>
      </c>
      <c r="N5208" s="9">
        <v>44542.0</v>
      </c>
    </row>
    <row r="5209">
      <c r="A5209" s="5">
        <v>5208.0</v>
      </c>
      <c r="B5209" s="5" t="s">
        <v>5776</v>
      </c>
      <c r="C5209" s="5" t="s">
        <v>21</v>
      </c>
      <c r="K5209" s="5">
        <v>1100.0</v>
      </c>
      <c r="N5209" s="9">
        <v>44548.0</v>
      </c>
    </row>
    <row r="5210">
      <c r="A5210" s="5">
        <v>5209.0</v>
      </c>
      <c r="B5210" s="5" t="s">
        <v>5777</v>
      </c>
      <c r="C5210" s="5" t="s">
        <v>21</v>
      </c>
      <c r="K5210" s="5">
        <v>450.0</v>
      </c>
      <c r="N5210" s="9">
        <v>44550.0</v>
      </c>
    </row>
    <row r="5211">
      <c r="A5211" s="5">
        <v>5210.0</v>
      </c>
      <c r="B5211" s="5" t="s">
        <v>5778</v>
      </c>
      <c r="C5211" s="5" t="s">
        <v>21</v>
      </c>
      <c r="K5211" s="5">
        <v>70.0</v>
      </c>
      <c r="N5211" s="9">
        <v>44568.0</v>
      </c>
    </row>
    <row r="5212">
      <c r="A5212" s="5">
        <v>5211.0</v>
      </c>
      <c r="B5212" s="5" t="s">
        <v>5779</v>
      </c>
      <c r="C5212" s="5" t="s">
        <v>21</v>
      </c>
      <c r="K5212" s="5">
        <v>1100.0</v>
      </c>
      <c r="N5212" s="9">
        <v>43875.0</v>
      </c>
    </row>
    <row r="5213">
      <c r="A5213" s="5">
        <v>5212.0</v>
      </c>
      <c r="B5213" s="5" t="s">
        <v>5780</v>
      </c>
      <c r="C5213" s="5" t="s">
        <v>21</v>
      </c>
      <c r="K5213" s="5">
        <v>2700.0</v>
      </c>
      <c r="N5213" s="9">
        <v>44116.0</v>
      </c>
    </row>
    <row r="5214">
      <c r="A5214" s="5">
        <v>5213.0</v>
      </c>
      <c r="B5214" s="5" t="s">
        <v>5781</v>
      </c>
      <c r="C5214" s="5" t="s">
        <v>21</v>
      </c>
      <c r="K5214" s="5">
        <v>400.0</v>
      </c>
      <c r="N5214" s="9">
        <v>44559.0</v>
      </c>
    </row>
    <row r="5215">
      <c r="A5215" s="5">
        <v>5214.0</v>
      </c>
      <c r="B5215" s="5" t="s">
        <v>5782</v>
      </c>
      <c r="C5215" s="5" t="s">
        <v>21</v>
      </c>
      <c r="K5215" s="5">
        <v>30.0</v>
      </c>
      <c r="N5215" s="9">
        <v>45205.0</v>
      </c>
    </row>
    <row r="5216">
      <c r="A5216" s="5">
        <v>5215.0</v>
      </c>
      <c r="B5216" s="5" t="s">
        <v>5783</v>
      </c>
      <c r="C5216" s="5" t="s">
        <v>21</v>
      </c>
      <c r="K5216" s="5">
        <v>40.0</v>
      </c>
      <c r="N5216" s="9">
        <v>45271.0</v>
      </c>
    </row>
    <row r="5217">
      <c r="A5217" s="5">
        <v>5216.0</v>
      </c>
      <c r="B5217" s="5" t="s">
        <v>5784</v>
      </c>
      <c r="C5217" s="5" t="s">
        <v>21</v>
      </c>
      <c r="K5217" s="5">
        <v>100.0</v>
      </c>
      <c r="N5217" s="9">
        <v>45331.0</v>
      </c>
    </row>
    <row r="5218">
      <c r="A5218" s="5">
        <v>5217.0</v>
      </c>
      <c r="B5218" s="5" t="s">
        <v>5785</v>
      </c>
      <c r="C5218" s="5" t="s">
        <v>21</v>
      </c>
      <c r="K5218" s="5">
        <v>350.0</v>
      </c>
      <c r="N5218" s="9">
        <v>44623.0</v>
      </c>
    </row>
    <row r="5219">
      <c r="A5219" s="5">
        <v>5218.0</v>
      </c>
      <c r="B5219" s="5" t="s">
        <v>5786</v>
      </c>
      <c r="C5219" s="5" t="s">
        <v>21</v>
      </c>
      <c r="K5219" s="5">
        <v>2000.0</v>
      </c>
      <c r="N5219" s="9">
        <v>44574.0</v>
      </c>
    </row>
    <row r="5220">
      <c r="A5220" s="5">
        <v>5219.0</v>
      </c>
      <c r="B5220" s="5" t="s">
        <v>5787</v>
      </c>
      <c r="C5220" s="5" t="s">
        <v>21</v>
      </c>
      <c r="K5220" s="5">
        <v>400.0</v>
      </c>
      <c r="N5220" s="9">
        <v>44787.0</v>
      </c>
    </row>
    <row r="5221">
      <c r="A5221" s="5">
        <v>5220.0</v>
      </c>
      <c r="B5221" s="5" t="s">
        <v>5788</v>
      </c>
      <c r="C5221" s="5" t="s">
        <v>21</v>
      </c>
      <c r="K5221" s="5">
        <v>350.0</v>
      </c>
      <c r="N5221" s="9">
        <v>45102.0</v>
      </c>
    </row>
    <row r="5222">
      <c r="A5222" s="5">
        <v>5221.0</v>
      </c>
      <c r="B5222" s="5" t="s">
        <v>5789</v>
      </c>
      <c r="C5222" s="5" t="s">
        <v>21</v>
      </c>
      <c r="K5222" s="5">
        <v>400.0</v>
      </c>
      <c r="N5222" s="9">
        <v>44174.0</v>
      </c>
    </row>
    <row r="5223">
      <c r="A5223" s="5">
        <v>5222.0</v>
      </c>
      <c r="B5223" s="5" t="s">
        <v>5790</v>
      </c>
      <c r="C5223" s="5" t="s">
        <v>21</v>
      </c>
      <c r="K5223" s="5">
        <v>150.0</v>
      </c>
      <c r="N5223" s="9">
        <v>44543.0</v>
      </c>
    </row>
    <row r="5224">
      <c r="A5224" s="5">
        <v>5223.0</v>
      </c>
      <c r="B5224" s="5" t="s">
        <v>5791</v>
      </c>
      <c r="C5224" s="5" t="s">
        <v>21</v>
      </c>
      <c r="K5224" s="5">
        <v>10.0</v>
      </c>
      <c r="N5224" s="9">
        <v>44564.0</v>
      </c>
    </row>
    <row r="5225">
      <c r="A5225" s="5">
        <v>5224.0</v>
      </c>
      <c r="B5225" s="5" t="s">
        <v>5792</v>
      </c>
      <c r="C5225" s="5" t="s">
        <v>21</v>
      </c>
      <c r="K5225" s="5">
        <v>600.0</v>
      </c>
      <c r="N5225" s="9">
        <v>44591.0</v>
      </c>
    </row>
    <row r="5226">
      <c r="A5226" s="5">
        <v>5225.0</v>
      </c>
      <c r="B5226" s="5" t="s">
        <v>5793</v>
      </c>
      <c r="C5226" s="5" t="s">
        <v>21</v>
      </c>
      <c r="K5226" s="5">
        <v>1800.0</v>
      </c>
      <c r="N5226" s="9">
        <v>45323.0</v>
      </c>
    </row>
    <row r="5227">
      <c r="A5227" s="5">
        <v>5226.0</v>
      </c>
      <c r="B5227" s="5" t="s">
        <v>5794</v>
      </c>
      <c r="C5227" s="5" t="s">
        <v>21</v>
      </c>
      <c r="K5227" s="5">
        <v>350.0</v>
      </c>
      <c r="N5227" s="9">
        <v>44407.0</v>
      </c>
    </row>
    <row r="5228">
      <c r="A5228" s="5">
        <v>5227.0</v>
      </c>
      <c r="B5228" s="5" t="s">
        <v>5795</v>
      </c>
      <c r="C5228" s="5" t="s">
        <v>21</v>
      </c>
      <c r="K5228" s="5">
        <v>500.0</v>
      </c>
      <c r="N5228" s="9">
        <v>44564.0</v>
      </c>
    </row>
    <row r="5229">
      <c r="A5229" s="5">
        <v>5228.0</v>
      </c>
      <c r="B5229" s="5" t="s">
        <v>5796</v>
      </c>
      <c r="C5229" s="5" t="s">
        <v>21</v>
      </c>
      <c r="K5229" s="5">
        <v>1900.0</v>
      </c>
      <c r="N5229" s="9">
        <v>44621.0</v>
      </c>
    </row>
    <row r="5230">
      <c r="A5230" s="5">
        <v>5229.0</v>
      </c>
      <c r="B5230" s="5" t="s">
        <v>5797</v>
      </c>
      <c r="C5230" s="5" t="s">
        <v>21</v>
      </c>
      <c r="K5230" s="5">
        <v>150.0</v>
      </c>
      <c r="N5230" s="9">
        <v>45629.0</v>
      </c>
    </row>
    <row r="5231">
      <c r="A5231" s="5">
        <v>5230.0</v>
      </c>
      <c r="B5231" s="5" t="s">
        <v>5798</v>
      </c>
      <c r="C5231" s="5" t="s">
        <v>21</v>
      </c>
      <c r="K5231" s="5">
        <v>2400.0</v>
      </c>
      <c r="N5231" s="9">
        <v>44107.0</v>
      </c>
    </row>
    <row r="5232">
      <c r="A5232" s="5">
        <v>5231.0</v>
      </c>
      <c r="B5232" s="5" t="s">
        <v>5799</v>
      </c>
      <c r="C5232" s="5" t="s">
        <v>21</v>
      </c>
      <c r="K5232" s="5">
        <v>150.0</v>
      </c>
      <c r="N5232" s="9">
        <v>44704.0</v>
      </c>
    </row>
    <row r="5233">
      <c r="A5233" s="5">
        <v>5232.0</v>
      </c>
      <c r="B5233" s="5" t="s">
        <v>5800</v>
      </c>
      <c r="C5233" s="5" t="s">
        <v>21</v>
      </c>
      <c r="K5233" s="5">
        <v>30.0</v>
      </c>
      <c r="N5233" s="9">
        <v>44533.0</v>
      </c>
    </row>
    <row r="5234">
      <c r="A5234" s="5">
        <v>5233.0</v>
      </c>
      <c r="B5234" s="5" t="s">
        <v>5801</v>
      </c>
      <c r="C5234" s="5" t="s">
        <v>21</v>
      </c>
      <c r="K5234" s="5">
        <v>1100.0</v>
      </c>
      <c r="N5234" s="9">
        <v>44753.0</v>
      </c>
    </row>
    <row r="5235">
      <c r="A5235" s="5">
        <v>5234.0</v>
      </c>
      <c r="B5235" s="5" t="s">
        <v>5802</v>
      </c>
      <c r="C5235" s="5" t="s">
        <v>21</v>
      </c>
      <c r="K5235" s="5">
        <v>200.0</v>
      </c>
      <c r="N5235" s="9">
        <v>44597.0</v>
      </c>
    </row>
    <row r="5236">
      <c r="A5236" s="5">
        <v>5235.0</v>
      </c>
      <c r="B5236" s="5" t="s">
        <v>215</v>
      </c>
      <c r="C5236" s="5" t="s">
        <v>21</v>
      </c>
      <c r="K5236" s="5">
        <v>1500.0</v>
      </c>
      <c r="N5236" s="9">
        <v>44323.0</v>
      </c>
    </row>
    <row r="5237">
      <c r="A5237" s="5">
        <v>5236.0</v>
      </c>
      <c r="B5237" s="5" t="s">
        <v>5803</v>
      </c>
      <c r="C5237" s="5" t="s">
        <v>21</v>
      </c>
      <c r="K5237" s="5">
        <v>224000.0</v>
      </c>
      <c r="N5237" s="9">
        <v>46087.0</v>
      </c>
    </row>
    <row r="5238">
      <c r="A5238" s="5">
        <v>5237.0</v>
      </c>
      <c r="B5238" s="5" t="s">
        <v>5804</v>
      </c>
      <c r="C5238" s="5" t="s">
        <v>21</v>
      </c>
      <c r="K5238" s="5">
        <v>60.0</v>
      </c>
      <c r="N5238" s="9">
        <v>44623.0</v>
      </c>
    </row>
    <row r="5239">
      <c r="A5239" s="5">
        <v>5238.0</v>
      </c>
      <c r="B5239" s="5" t="s">
        <v>5805</v>
      </c>
      <c r="C5239" s="5" t="s">
        <v>21</v>
      </c>
      <c r="K5239" s="5">
        <v>100.0</v>
      </c>
      <c r="N5239" s="9">
        <v>45547.0</v>
      </c>
    </row>
    <row r="5240">
      <c r="A5240" s="5">
        <v>5239.0</v>
      </c>
      <c r="B5240" s="5" t="s">
        <v>5806</v>
      </c>
      <c r="C5240" s="5" t="s">
        <v>21</v>
      </c>
      <c r="K5240" s="5">
        <v>300.0</v>
      </c>
      <c r="N5240" s="9">
        <v>45231.0</v>
      </c>
    </row>
    <row r="5241">
      <c r="A5241" s="5">
        <v>5240.0</v>
      </c>
      <c r="B5241" s="5" t="s">
        <v>5807</v>
      </c>
      <c r="C5241" s="5" t="s">
        <v>21</v>
      </c>
      <c r="K5241" s="5">
        <v>50.0</v>
      </c>
      <c r="N5241" s="9">
        <v>44296.0</v>
      </c>
    </row>
    <row r="5242">
      <c r="A5242" s="5">
        <v>5241.0</v>
      </c>
      <c r="B5242" s="5" t="s">
        <v>5808</v>
      </c>
      <c r="C5242" s="5" t="s">
        <v>21</v>
      </c>
      <c r="K5242" s="5">
        <v>40.0</v>
      </c>
      <c r="N5242" s="9">
        <v>45090.0</v>
      </c>
    </row>
    <row r="5243">
      <c r="A5243" s="5">
        <v>5242.0</v>
      </c>
      <c r="B5243" s="5" t="s">
        <v>5809</v>
      </c>
      <c r="C5243" s="5" t="s">
        <v>21</v>
      </c>
      <c r="K5243" s="5">
        <v>350.0</v>
      </c>
      <c r="N5243" s="9">
        <v>44719.0</v>
      </c>
    </row>
    <row r="5244">
      <c r="A5244" s="5">
        <v>5243.0</v>
      </c>
      <c r="B5244" s="5" t="s">
        <v>5810</v>
      </c>
      <c r="C5244" s="5" t="s">
        <v>21</v>
      </c>
      <c r="K5244" s="5">
        <v>450.0</v>
      </c>
      <c r="N5244" s="9">
        <v>44537.0</v>
      </c>
    </row>
    <row r="5245">
      <c r="A5245" s="5">
        <v>5244.0</v>
      </c>
      <c r="B5245" s="5" t="s">
        <v>5811</v>
      </c>
      <c r="C5245" s="5" t="s">
        <v>21</v>
      </c>
      <c r="K5245" s="5">
        <v>500.0</v>
      </c>
      <c r="N5245" s="9">
        <v>44035.0</v>
      </c>
    </row>
    <row r="5246">
      <c r="A5246" s="5">
        <v>5245.0</v>
      </c>
      <c r="B5246" s="5" t="s">
        <v>5812</v>
      </c>
      <c r="C5246" s="5" t="s">
        <v>21</v>
      </c>
      <c r="K5246" s="5">
        <v>40.0</v>
      </c>
      <c r="N5246" s="9">
        <v>45846.0</v>
      </c>
    </row>
    <row r="5247">
      <c r="A5247" s="5">
        <v>5246.0</v>
      </c>
      <c r="B5247" s="5" t="s">
        <v>5813</v>
      </c>
      <c r="C5247" s="5" t="s">
        <v>21</v>
      </c>
      <c r="K5247" s="5">
        <v>300.0</v>
      </c>
      <c r="N5247" s="9">
        <v>42968.0</v>
      </c>
    </row>
    <row r="5248">
      <c r="A5248" s="5">
        <v>5247.0</v>
      </c>
      <c r="B5248" s="5" t="s">
        <v>5814</v>
      </c>
      <c r="C5248" s="5" t="s">
        <v>21</v>
      </c>
      <c r="K5248" s="5">
        <v>100.0</v>
      </c>
      <c r="N5248" s="9">
        <v>44015.0</v>
      </c>
    </row>
    <row r="5249">
      <c r="A5249" s="5">
        <v>5248.0</v>
      </c>
      <c r="B5249" s="5" t="s">
        <v>5815</v>
      </c>
      <c r="C5249" s="5" t="s">
        <v>21</v>
      </c>
      <c r="K5249" s="5">
        <v>4400.0</v>
      </c>
      <c r="N5249" s="9">
        <v>45174.0</v>
      </c>
    </row>
    <row r="5250">
      <c r="A5250" s="5">
        <v>5249.0</v>
      </c>
      <c r="B5250" s="5" t="s">
        <v>5816</v>
      </c>
      <c r="C5250" s="5" t="s">
        <v>21</v>
      </c>
      <c r="K5250" s="5">
        <v>100.0</v>
      </c>
      <c r="N5250" s="9">
        <v>45572.0</v>
      </c>
    </row>
    <row r="5251">
      <c r="A5251" s="5">
        <v>5250.0</v>
      </c>
      <c r="B5251" s="5" t="s">
        <v>5817</v>
      </c>
      <c r="C5251" s="5" t="s">
        <v>21</v>
      </c>
      <c r="K5251" s="5">
        <v>90.0</v>
      </c>
      <c r="N5251" s="9">
        <v>44632.0</v>
      </c>
    </row>
    <row r="5252">
      <c r="A5252" s="5">
        <v>5251.0</v>
      </c>
      <c r="B5252" s="5" t="s">
        <v>5818</v>
      </c>
      <c r="C5252" s="5" t="s">
        <v>21</v>
      </c>
      <c r="K5252" s="5">
        <v>3700.0</v>
      </c>
      <c r="N5252" s="9">
        <v>43843.0</v>
      </c>
    </row>
    <row r="5253">
      <c r="A5253" s="5">
        <v>5252.0</v>
      </c>
      <c r="B5253" s="5" t="s">
        <v>5819</v>
      </c>
      <c r="C5253" s="5" t="s">
        <v>21</v>
      </c>
      <c r="K5253" s="5">
        <v>150.0</v>
      </c>
      <c r="N5253" s="9">
        <v>45173.0</v>
      </c>
    </row>
    <row r="5254">
      <c r="A5254" s="5">
        <v>5253.0</v>
      </c>
      <c r="B5254" s="5" t="s">
        <v>5820</v>
      </c>
      <c r="C5254" s="5" t="s">
        <v>21</v>
      </c>
      <c r="K5254" s="5">
        <v>80.0</v>
      </c>
      <c r="N5254" s="9">
        <v>44567.0</v>
      </c>
    </row>
    <row r="5255">
      <c r="A5255" s="5">
        <v>5254.0</v>
      </c>
      <c r="B5255" s="5" t="s">
        <v>5821</v>
      </c>
      <c r="C5255" s="5" t="s">
        <v>21</v>
      </c>
      <c r="K5255" s="5">
        <v>700.0</v>
      </c>
      <c r="N5255" s="9">
        <v>44096.0</v>
      </c>
    </row>
    <row r="5256">
      <c r="A5256" s="5">
        <v>5255.0</v>
      </c>
      <c r="B5256" s="5" t="s">
        <v>5822</v>
      </c>
      <c r="C5256" s="5" t="s">
        <v>21</v>
      </c>
      <c r="K5256" s="5">
        <v>60.0</v>
      </c>
      <c r="N5256" s="9">
        <v>44594.0</v>
      </c>
    </row>
    <row r="5257">
      <c r="A5257" s="5">
        <v>5256.0</v>
      </c>
      <c r="B5257" s="5" t="s">
        <v>5823</v>
      </c>
      <c r="C5257" s="5" t="s">
        <v>21</v>
      </c>
      <c r="K5257" s="5">
        <v>10.0</v>
      </c>
      <c r="N5257" s="9">
        <v>44754.0</v>
      </c>
    </row>
    <row r="5258">
      <c r="A5258" s="5">
        <v>5257.0</v>
      </c>
      <c r="B5258" s="5" t="s">
        <v>5824</v>
      </c>
      <c r="C5258" s="5" t="s">
        <v>21</v>
      </c>
      <c r="K5258" s="5">
        <v>60.0</v>
      </c>
      <c r="N5258" s="9">
        <v>45417.0</v>
      </c>
    </row>
    <row r="5259">
      <c r="A5259" s="5">
        <v>5258.0</v>
      </c>
      <c r="B5259" s="5" t="s">
        <v>5825</v>
      </c>
      <c r="C5259" s="5" t="s">
        <v>21</v>
      </c>
      <c r="K5259" s="5">
        <v>90.0</v>
      </c>
      <c r="N5259" s="9">
        <v>44570.0</v>
      </c>
    </row>
    <row r="5260">
      <c r="A5260" s="5">
        <v>5259.0</v>
      </c>
      <c r="B5260" s="5" t="s">
        <v>5826</v>
      </c>
      <c r="C5260" s="5" t="s">
        <v>21</v>
      </c>
      <c r="N5260" s="9">
        <v>44529.0</v>
      </c>
    </row>
    <row r="5261">
      <c r="A5261" s="5">
        <v>5260.0</v>
      </c>
      <c r="B5261" s="5" t="s">
        <v>5827</v>
      </c>
      <c r="C5261" s="5" t="s">
        <v>21</v>
      </c>
      <c r="N5261" s="9">
        <v>44642.0</v>
      </c>
    </row>
    <row r="5262">
      <c r="A5262" s="5">
        <v>5261.0</v>
      </c>
      <c r="B5262" s="5" t="s">
        <v>5828</v>
      </c>
      <c r="C5262" s="5" t="s">
        <v>21</v>
      </c>
      <c r="K5262" s="5">
        <v>60.0</v>
      </c>
      <c r="N5262" s="9">
        <v>44531.0</v>
      </c>
    </row>
    <row r="5263">
      <c r="A5263" s="5">
        <v>5262.0</v>
      </c>
      <c r="B5263" s="5" t="s">
        <v>5829</v>
      </c>
      <c r="C5263" s="5" t="s">
        <v>21</v>
      </c>
      <c r="K5263" s="5">
        <v>1000.0</v>
      </c>
      <c r="N5263" s="9">
        <v>44375.0</v>
      </c>
    </row>
    <row r="5264">
      <c r="A5264" s="5">
        <v>5263.0</v>
      </c>
      <c r="B5264" s="5" t="s">
        <v>5830</v>
      </c>
      <c r="C5264" s="5" t="s">
        <v>21</v>
      </c>
      <c r="K5264" s="5">
        <v>40.0</v>
      </c>
      <c r="N5264" s="9">
        <v>44257.0</v>
      </c>
    </row>
    <row r="5265">
      <c r="A5265" s="5">
        <v>5264.0</v>
      </c>
      <c r="B5265" s="5" t="s">
        <v>5831</v>
      </c>
      <c r="C5265" s="5" t="s">
        <v>21</v>
      </c>
      <c r="K5265" s="5">
        <v>100.0</v>
      </c>
      <c r="N5265" s="9">
        <v>44485.0</v>
      </c>
    </row>
    <row r="5266">
      <c r="A5266" s="5">
        <v>5265.0</v>
      </c>
      <c r="B5266" s="5" t="s">
        <v>5832</v>
      </c>
      <c r="C5266" s="5" t="s">
        <v>21</v>
      </c>
      <c r="K5266" s="5">
        <v>1900.0</v>
      </c>
      <c r="N5266" s="9">
        <v>45720.0</v>
      </c>
    </row>
    <row r="5267">
      <c r="A5267" s="5">
        <v>5266.0</v>
      </c>
      <c r="B5267" s="5" t="s">
        <v>5833</v>
      </c>
      <c r="C5267" s="5" t="s">
        <v>21</v>
      </c>
      <c r="K5267" s="5">
        <v>50.0</v>
      </c>
      <c r="N5267" s="9">
        <v>45082.0</v>
      </c>
    </row>
    <row r="5268">
      <c r="A5268" s="5">
        <v>5267.0</v>
      </c>
      <c r="B5268" s="5" t="s">
        <v>5834</v>
      </c>
      <c r="C5268" s="5" t="s">
        <v>21</v>
      </c>
      <c r="K5268" s="5">
        <v>100.0</v>
      </c>
      <c r="N5268" s="9">
        <v>45137.0</v>
      </c>
    </row>
    <row r="5269">
      <c r="A5269" s="5">
        <v>5268.0</v>
      </c>
      <c r="B5269" s="5" t="s">
        <v>5835</v>
      </c>
      <c r="C5269" s="5" t="s">
        <v>21</v>
      </c>
      <c r="K5269" s="5">
        <v>80.0</v>
      </c>
      <c r="N5269" s="9">
        <v>44749.0</v>
      </c>
    </row>
    <row r="5270">
      <c r="A5270" s="5">
        <v>5269.0</v>
      </c>
      <c r="B5270" s="5" t="s">
        <v>5836</v>
      </c>
      <c r="C5270" s="5" t="s">
        <v>21</v>
      </c>
      <c r="K5270" s="5">
        <v>600.0</v>
      </c>
      <c r="N5270" s="9">
        <v>44540.0</v>
      </c>
    </row>
    <row r="5271">
      <c r="A5271" s="5">
        <v>5270.0</v>
      </c>
      <c r="B5271" s="5" t="s">
        <v>5837</v>
      </c>
      <c r="C5271" s="5" t="s">
        <v>21</v>
      </c>
      <c r="K5271" s="5">
        <v>300.0</v>
      </c>
      <c r="N5271" s="9">
        <v>44542.0</v>
      </c>
    </row>
    <row r="5272">
      <c r="A5272" s="5">
        <v>5271.0</v>
      </c>
      <c r="B5272" s="5" t="s">
        <v>5838</v>
      </c>
      <c r="C5272" s="5" t="s">
        <v>21</v>
      </c>
      <c r="K5272" s="5">
        <v>700.0</v>
      </c>
      <c r="N5272" s="9">
        <v>44391.0</v>
      </c>
    </row>
    <row r="5273">
      <c r="A5273" s="5">
        <v>5272.0</v>
      </c>
      <c r="B5273" s="5" t="s">
        <v>5839</v>
      </c>
      <c r="C5273" s="5" t="s">
        <v>21</v>
      </c>
      <c r="K5273" s="5">
        <v>14000.0</v>
      </c>
      <c r="N5273" s="9">
        <v>46120.0</v>
      </c>
    </row>
    <row r="5274">
      <c r="A5274" s="5">
        <v>5273.0</v>
      </c>
      <c r="B5274" s="5" t="s">
        <v>5840</v>
      </c>
      <c r="C5274" s="5" t="s">
        <v>21</v>
      </c>
      <c r="K5274" s="5">
        <v>200.0</v>
      </c>
      <c r="N5274" s="9">
        <v>44578.0</v>
      </c>
    </row>
    <row r="5275">
      <c r="A5275" s="5">
        <v>5274.0</v>
      </c>
      <c r="B5275" s="5" t="s">
        <v>5841</v>
      </c>
      <c r="C5275" s="5" t="s">
        <v>21</v>
      </c>
      <c r="K5275" s="5">
        <v>500.0</v>
      </c>
      <c r="N5275" s="9">
        <v>44191.0</v>
      </c>
    </row>
    <row r="5276">
      <c r="A5276" s="5">
        <v>5275.0</v>
      </c>
      <c r="B5276" s="5" t="s">
        <v>5842</v>
      </c>
      <c r="C5276" s="5" t="s">
        <v>21</v>
      </c>
      <c r="K5276" s="5">
        <v>1000.0</v>
      </c>
      <c r="N5276" s="9">
        <v>44527.0</v>
      </c>
    </row>
    <row r="5277">
      <c r="A5277" s="5">
        <v>5276.0</v>
      </c>
      <c r="B5277" s="5" t="s">
        <v>5843</v>
      </c>
      <c r="C5277" s="5" t="s">
        <v>21</v>
      </c>
      <c r="K5277" s="5">
        <v>450.0</v>
      </c>
      <c r="N5277" s="9">
        <v>44635.0</v>
      </c>
    </row>
    <row r="5278">
      <c r="A5278" s="5">
        <v>5277.0</v>
      </c>
      <c r="B5278" s="5" t="s">
        <v>5844</v>
      </c>
      <c r="C5278" s="5" t="s">
        <v>21</v>
      </c>
      <c r="K5278" s="5">
        <v>300.0</v>
      </c>
      <c r="N5278" s="9">
        <v>44773.0</v>
      </c>
    </row>
    <row r="5279">
      <c r="A5279" s="5">
        <v>5278.0</v>
      </c>
      <c r="B5279" s="5" t="s">
        <v>5845</v>
      </c>
      <c r="C5279" s="5" t="s">
        <v>21</v>
      </c>
      <c r="N5279" s="9">
        <v>43964.0</v>
      </c>
    </row>
    <row r="5280">
      <c r="A5280" s="5">
        <v>5279.0</v>
      </c>
      <c r="B5280" s="5" t="s">
        <v>5846</v>
      </c>
      <c r="C5280" s="5" t="s">
        <v>21</v>
      </c>
      <c r="K5280" s="5">
        <v>250.0</v>
      </c>
      <c r="N5280" s="9">
        <v>44564.0</v>
      </c>
    </row>
    <row r="5281">
      <c r="A5281" s="5">
        <v>5280.0</v>
      </c>
      <c r="B5281" s="5" t="s">
        <v>5847</v>
      </c>
      <c r="C5281" s="5" t="s">
        <v>21</v>
      </c>
      <c r="K5281" s="5">
        <v>100.0</v>
      </c>
      <c r="N5281" s="9">
        <v>44385.0</v>
      </c>
    </row>
    <row r="5282">
      <c r="A5282" s="5">
        <v>5281.0</v>
      </c>
      <c r="B5282" s="5" t="s">
        <v>183</v>
      </c>
      <c r="C5282" s="5" t="s">
        <v>21</v>
      </c>
      <c r="K5282" s="5">
        <v>90.0</v>
      </c>
      <c r="N5282" s="9">
        <v>44533.0</v>
      </c>
    </row>
    <row r="5283">
      <c r="A5283" s="5">
        <v>5282.0</v>
      </c>
      <c r="B5283" s="5" t="s">
        <v>5848</v>
      </c>
      <c r="C5283" s="5" t="s">
        <v>21</v>
      </c>
      <c r="K5283" s="5">
        <v>1600.0</v>
      </c>
      <c r="N5283" s="9">
        <v>44622.0</v>
      </c>
    </row>
    <row r="5284">
      <c r="A5284" s="5">
        <v>5283.0</v>
      </c>
      <c r="B5284" s="5" t="s">
        <v>5849</v>
      </c>
      <c r="C5284" s="5" t="s">
        <v>21</v>
      </c>
      <c r="K5284" s="5">
        <v>40.0</v>
      </c>
      <c r="N5284" s="9">
        <v>44562.0</v>
      </c>
    </row>
    <row r="5285">
      <c r="A5285" s="5">
        <v>5284.0</v>
      </c>
      <c r="B5285" s="5" t="s">
        <v>5850</v>
      </c>
      <c r="C5285" s="5" t="s">
        <v>21</v>
      </c>
      <c r="K5285" s="5">
        <v>200.0</v>
      </c>
      <c r="N5285" s="9">
        <v>44735.0</v>
      </c>
    </row>
    <row r="5286">
      <c r="A5286" s="5">
        <v>5285.0</v>
      </c>
      <c r="B5286" s="5" t="s">
        <v>5851</v>
      </c>
      <c r="C5286" s="5" t="s">
        <v>21</v>
      </c>
      <c r="K5286" s="5">
        <v>250.0</v>
      </c>
      <c r="N5286" s="9">
        <v>44537.0</v>
      </c>
    </row>
    <row r="5287">
      <c r="A5287" s="5">
        <v>5286.0</v>
      </c>
      <c r="B5287" s="5" t="s">
        <v>5852</v>
      </c>
      <c r="C5287" s="5" t="s">
        <v>21</v>
      </c>
      <c r="K5287" s="5">
        <v>300.0</v>
      </c>
      <c r="N5287" s="9">
        <v>44999.0</v>
      </c>
    </row>
    <row r="5288">
      <c r="A5288" s="5">
        <v>5287.0</v>
      </c>
      <c r="B5288" s="5" t="s">
        <v>5853</v>
      </c>
      <c r="C5288" s="5" t="s">
        <v>21</v>
      </c>
      <c r="K5288" s="5">
        <v>1600.0</v>
      </c>
      <c r="N5288" s="9">
        <v>44663.0</v>
      </c>
    </row>
    <row r="5289">
      <c r="A5289" s="5">
        <v>5288.0</v>
      </c>
      <c r="B5289" s="5" t="s">
        <v>5854</v>
      </c>
      <c r="C5289" s="5" t="s">
        <v>21</v>
      </c>
      <c r="K5289" s="5">
        <v>250.0</v>
      </c>
      <c r="N5289" s="9">
        <v>45085.0</v>
      </c>
    </row>
    <row r="5290">
      <c r="A5290" s="5">
        <v>5289.0</v>
      </c>
      <c r="B5290" s="5" t="s">
        <v>5855</v>
      </c>
      <c r="C5290" s="5" t="s">
        <v>21</v>
      </c>
      <c r="K5290" s="5">
        <v>1500.0</v>
      </c>
      <c r="N5290" s="9">
        <v>44250.0</v>
      </c>
    </row>
    <row r="5291">
      <c r="A5291" s="5">
        <v>5290.0</v>
      </c>
      <c r="B5291" s="5" t="s">
        <v>5856</v>
      </c>
      <c r="C5291" s="5" t="s">
        <v>21</v>
      </c>
      <c r="K5291" s="5">
        <v>150.0</v>
      </c>
      <c r="N5291" s="9">
        <v>43888.0</v>
      </c>
    </row>
    <row r="5292">
      <c r="A5292" s="5">
        <v>5291.0</v>
      </c>
      <c r="B5292" s="5" t="s">
        <v>5857</v>
      </c>
      <c r="C5292" s="5" t="s">
        <v>21</v>
      </c>
      <c r="K5292" s="5">
        <v>17000.0</v>
      </c>
      <c r="N5292" s="9">
        <v>46085.0</v>
      </c>
    </row>
    <row r="5293">
      <c r="A5293" s="5">
        <v>5292.0</v>
      </c>
      <c r="B5293" s="5" t="s">
        <v>5858</v>
      </c>
      <c r="C5293" s="5" t="s">
        <v>21</v>
      </c>
      <c r="K5293" s="5">
        <v>250.0</v>
      </c>
      <c r="N5293" s="9">
        <v>44584.0</v>
      </c>
    </row>
    <row r="5294">
      <c r="A5294" s="5">
        <v>5293.0</v>
      </c>
      <c r="B5294" s="5" t="s">
        <v>5859</v>
      </c>
      <c r="C5294" s="5" t="s">
        <v>21</v>
      </c>
      <c r="K5294" s="5">
        <v>30.0</v>
      </c>
      <c r="N5294" s="9">
        <v>44814.0</v>
      </c>
    </row>
    <row r="5295">
      <c r="A5295" s="5">
        <v>5294.0</v>
      </c>
      <c r="B5295" s="5" t="s">
        <v>5860</v>
      </c>
      <c r="C5295" s="5" t="s">
        <v>21</v>
      </c>
      <c r="K5295" s="5">
        <v>600.0</v>
      </c>
      <c r="N5295" s="9">
        <v>44595.0</v>
      </c>
    </row>
    <row r="5296">
      <c r="A5296" s="5">
        <v>5295.0</v>
      </c>
      <c r="B5296" s="5" t="s">
        <v>5861</v>
      </c>
      <c r="C5296" s="5" t="s">
        <v>21</v>
      </c>
      <c r="K5296" s="5">
        <v>250.0</v>
      </c>
      <c r="N5296" s="9">
        <v>44731.0</v>
      </c>
    </row>
    <row r="5297">
      <c r="A5297" s="5">
        <v>5296.0</v>
      </c>
      <c r="B5297" s="5" t="s">
        <v>5862</v>
      </c>
      <c r="C5297" s="5" t="s">
        <v>21</v>
      </c>
      <c r="K5297" s="5">
        <v>250.0</v>
      </c>
      <c r="N5297" s="9">
        <v>45190.0</v>
      </c>
    </row>
    <row r="5298">
      <c r="A5298" s="5">
        <v>5297.0</v>
      </c>
      <c r="B5298" s="5" t="s">
        <v>5863</v>
      </c>
      <c r="C5298" s="5" t="s">
        <v>21</v>
      </c>
      <c r="K5298" s="5">
        <v>300.0</v>
      </c>
      <c r="N5298" s="9">
        <v>45046.0</v>
      </c>
    </row>
    <row r="5299">
      <c r="A5299" s="5">
        <v>5298.0</v>
      </c>
      <c r="B5299" s="5" t="s">
        <v>5864</v>
      </c>
      <c r="C5299" s="5" t="s">
        <v>21</v>
      </c>
      <c r="K5299" s="5">
        <v>250.0</v>
      </c>
      <c r="N5299" s="9">
        <v>44768.0</v>
      </c>
    </row>
    <row r="5300">
      <c r="A5300" s="5">
        <v>5299.0</v>
      </c>
      <c r="B5300" s="5" t="s">
        <v>5865</v>
      </c>
      <c r="C5300" s="5" t="s">
        <v>21</v>
      </c>
      <c r="K5300" s="5">
        <v>200.0</v>
      </c>
      <c r="N5300" s="9">
        <v>44564.0</v>
      </c>
    </row>
    <row r="5301">
      <c r="A5301" s="5">
        <v>5300.0</v>
      </c>
      <c r="B5301" s="5" t="s">
        <v>5866</v>
      </c>
      <c r="C5301" s="5" t="s">
        <v>21</v>
      </c>
      <c r="K5301" s="5">
        <v>300.0</v>
      </c>
      <c r="N5301" s="9">
        <v>45440.0</v>
      </c>
    </row>
    <row r="5302">
      <c r="A5302" s="5">
        <v>5301.0</v>
      </c>
      <c r="B5302" s="5" t="s">
        <v>5867</v>
      </c>
      <c r="C5302" s="5" t="s">
        <v>21</v>
      </c>
      <c r="K5302" s="5">
        <v>350.0</v>
      </c>
      <c r="N5302" s="9">
        <v>44552.0</v>
      </c>
    </row>
    <row r="5303">
      <c r="A5303" s="5">
        <v>5302.0</v>
      </c>
      <c r="B5303" s="5" t="s">
        <v>5868</v>
      </c>
      <c r="C5303" s="5" t="s">
        <v>21</v>
      </c>
      <c r="K5303" s="5">
        <v>450.0</v>
      </c>
      <c r="N5303" s="9">
        <v>44579.0</v>
      </c>
    </row>
    <row r="5304">
      <c r="A5304" s="5">
        <v>5303.0</v>
      </c>
      <c r="B5304" s="5" t="s">
        <v>5869</v>
      </c>
      <c r="C5304" s="5" t="s">
        <v>21</v>
      </c>
      <c r="K5304" s="5">
        <v>1200.0</v>
      </c>
      <c r="N5304" s="9">
        <v>44706.0</v>
      </c>
    </row>
    <row r="5305">
      <c r="A5305" s="5">
        <v>5304.0</v>
      </c>
      <c r="B5305" s="5" t="s">
        <v>5870</v>
      </c>
      <c r="C5305" s="5" t="s">
        <v>21</v>
      </c>
      <c r="K5305" s="5">
        <v>90.0</v>
      </c>
      <c r="N5305" s="9">
        <v>44532.0</v>
      </c>
    </row>
    <row r="5306">
      <c r="A5306" s="5">
        <v>5305.0</v>
      </c>
      <c r="B5306" s="5" t="s">
        <v>5871</v>
      </c>
      <c r="C5306" s="5" t="s">
        <v>21</v>
      </c>
      <c r="K5306" s="5">
        <v>800.0</v>
      </c>
      <c r="N5306" s="9">
        <v>44233.0</v>
      </c>
    </row>
    <row r="5307">
      <c r="A5307" s="5">
        <v>5306.0</v>
      </c>
      <c r="B5307" s="5" t="s">
        <v>5872</v>
      </c>
      <c r="C5307" s="5" t="s">
        <v>21</v>
      </c>
      <c r="K5307" s="5">
        <v>350.0</v>
      </c>
      <c r="N5307" s="9">
        <v>45505.0</v>
      </c>
    </row>
    <row r="5308">
      <c r="A5308" s="5">
        <v>5307.0</v>
      </c>
      <c r="B5308" s="5" t="s">
        <v>5873</v>
      </c>
      <c r="C5308" s="5" t="s">
        <v>21</v>
      </c>
      <c r="K5308" s="5">
        <v>250.0</v>
      </c>
      <c r="N5308" s="9">
        <v>44516.0</v>
      </c>
    </row>
    <row r="5309">
      <c r="A5309" s="5">
        <v>5308.0</v>
      </c>
      <c r="B5309" s="5" t="s">
        <v>5874</v>
      </c>
      <c r="C5309" s="5" t="s">
        <v>21</v>
      </c>
      <c r="K5309" s="5">
        <v>700.0</v>
      </c>
      <c r="N5309" s="9">
        <v>44586.0</v>
      </c>
    </row>
    <row r="5310">
      <c r="A5310" s="5">
        <v>5309.0</v>
      </c>
      <c r="B5310" s="5" t="s">
        <v>5875</v>
      </c>
      <c r="C5310" s="5" t="s">
        <v>21</v>
      </c>
      <c r="K5310" s="5">
        <v>200.0</v>
      </c>
      <c r="N5310" s="9">
        <v>44412.0</v>
      </c>
    </row>
    <row r="5311">
      <c r="A5311" s="5">
        <v>5310.0</v>
      </c>
      <c r="B5311" s="5" t="s">
        <v>5876</v>
      </c>
      <c r="C5311" s="5" t="s">
        <v>21</v>
      </c>
      <c r="K5311" s="5">
        <v>1100.0</v>
      </c>
      <c r="N5311" s="9">
        <v>43972.0</v>
      </c>
    </row>
    <row r="5312">
      <c r="A5312" s="5">
        <v>5311.0</v>
      </c>
      <c r="B5312" s="5" t="s">
        <v>5877</v>
      </c>
      <c r="C5312" s="5" t="s">
        <v>21</v>
      </c>
      <c r="K5312" s="5">
        <v>100.0</v>
      </c>
      <c r="N5312" s="9">
        <v>44901.0</v>
      </c>
    </row>
    <row r="5313">
      <c r="A5313" s="5">
        <v>5312.0</v>
      </c>
      <c r="B5313" s="5" t="s">
        <v>5878</v>
      </c>
      <c r="C5313" s="5" t="s">
        <v>21</v>
      </c>
      <c r="K5313" s="5">
        <v>600.0</v>
      </c>
      <c r="N5313" s="9">
        <v>44492.0</v>
      </c>
    </row>
    <row r="5314">
      <c r="A5314" s="5">
        <v>5313.0</v>
      </c>
      <c r="B5314" s="5" t="s">
        <v>5879</v>
      </c>
      <c r="C5314" s="5" t="s">
        <v>21</v>
      </c>
      <c r="K5314" s="5">
        <v>250.0</v>
      </c>
      <c r="N5314" s="9">
        <v>45432.0</v>
      </c>
    </row>
    <row r="5315">
      <c r="A5315" s="5">
        <v>5314.0</v>
      </c>
      <c r="B5315" s="5" t="s">
        <v>5880</v>
      </c>
      <c r="C5315" s="5" t="s">
        <v>21</v>
      </c>
      <c r="K5315" s="5">
        <v>350.0</v>
      </c>
      <c r="N5315" s="9">
        <v>44597.0</v>
      </c>
    </row>
    <row r="5316">
      <c r="A5316" s="5">
        <v>5315.0</v>
      </c>
      <c r="B5316" s="5" t="s">
        <v>185</v>
      </c>
      <c r="C5316" s="5" t="s">
        <v>21</v>
      </c>
      <c r="K5316" s="5">
        <v>250.0</v>
      </c>
      <c r="N5316" s="9">
        <v>44397.0</v>
      </c>
    </row>
    <row r="5317">
      <c r="A5317" s="5">
        <v>5316.0</v>
      </c>
      <c r="B5317" s="5" t="s">
        <v>5881</v>
      </c>
      <c r="C5317" s="5" t="s">
        <v>21</v>
      </c>
      <c r="K5317" s="5">
        <v>40.0</v>
      </c>
      <c r="N5317" s="9">
        <v>44602.0</v>
      </c>
    </row>
    <row r="5318">
      <c r="A5318" s="5">
        <v>5317.0</v>
      </c>
      <c r="B5318" s="5" t="s">
        <v>5882</v>
      </c>
      <c r="C5318" s="5" t="s">
        <v>21</v>
      </c>
      <c r="K5318" s="5">
        <v>200.0</v>
      </c>
      <c r="N5318" s="9">
        <v>44844.0</v>
      </c>
    </row>
    <row r="5319">
      <c r="A5319" s="5">
        <v>5318.0</v>
      </c>
      <c r="B5319" s="5" t="s">
        <v>5883</v>
      </c>
      <c r="C5319" s="5" t="s">
        <v>21</v>
      </c>
      <c r="K5319" s="5">
        <v>150.0</v>
      </c>
      <c r="N5319" s="9">
        <v>44141.0</v>
      </c>
    </row>
    <row r="5320">
      <c r="A5320" s="5">
        <v>5319.0</v>
      </c>
      <c r="B5320" s="5" t="s">
        <v>5884</v>
      </c>
      <c r="C5320" s="5" t="s">
        <v>21</v>
      </c>
      <c r="K5320" s="5">
        <v>500.0</v>
      </c>
      <c r="N5320" s="9">
        <v>45068.0</v>
      </c>
    </row>
    <row r="5321">
      <c r="A5321" s="5">
        <v>5320.0</v>
      </c>
      <c r="B5321" s="5" t="s">
        <v>5885</v>
      </c>
      <c r="C5321" s="5" t="s">
        <v>21</v>
      </c>
      <c r="K5321" s="5">
        <v>600.0</v>
      </c>
      <c r="N5321" s="9">
        <v>44335.0</v>
      </c>
    </row>
    <row r="5322">
      <c r="A5322" s="5">
        <v>5321.0</v>
      </c>
      <c r="B5322" s="5" t="s">
        <v>5886</v>
      </c>
      <c r="C5322" s="5" t="s">
        <v>21</v>
      </c>
      <c r="K5322" s="5">
        <v>350.0</v>
      </c>
      <c r="N5322" s="9">
        <v>44719.0</v>
      </c>
    </row>
    <row r="5323">
      <c r="A5323" s="5">
        <v>5322.0</v>
      </c>
      <c r="B5323" s="5" t="s">
        <v>5887</v>
      </c>
      <c r="C5323" s="5" t="s">
        <v>21</v>
      </c>
      <c r="K5323" s="5">
        <v>300.0</v>
      </c>
      <c r="N5323" s="9">
        <v>45178.0</v>
      </c>
    </row>
    <row r="5324">
      <c r="A5324" s="5">
        <v>5323.0</v>
      </c>
      <c r="B5324" s="5" t="s">
        <v>5888</v>
      </c>
      <c r="C5324" s="5" t="s">
        <v>21</v>
      </c>
      <c r="K5324" s="5">
        <v>60.0</v>
      </c>
      <c r="N5324" s="9">
        <v>45127.0</v>
      </c>
    </row>
    <row r="5325">
      <c r="A5325" s="5">
        <v>5324.0</v>
      </c>
      <c r="B5325" s="5" t="s">
        <v>5889</v>
      </c>
      <c r="C5325" s="5" t="s">
        <v>21</v>
      </c>
      <c r="K5325" s="5">
        <v>10.0</v>
      </c>
      <c r="N5325" s="9">
        <v>44608.0</v>
      </c>
    </row>
    <row r="5326">
      <c r="A5326" s="5">
        <v>5325.0</v>
      </c>
      <c r="B5326" s="5" t="s">
        <v>5890</v>
      </c>
      <c r="C5326" s="5" t="s">
        <v>21</v>
      </c>
      <c r="K5326" s="5">
        <v>600.0</v>
      </c>
      <c r="N5326" s="9">
        <v>44598.0</v>
      </c>
    </row>
    <row r="5327">
      <c r="A5327" s="5">
        <v>5326.0</v>
      </c>
      <c r="B5327" s="5" t="s">
        <v>5891</v>
      </c>
      <c r="C5327" s="5" t="s">
        <v>21</v>
      </c>
      <c r="K5327" s="5">
        <v>150.0</v>
      </c>
      <c r="N5327" s="9">
        <v>44410.0</v>
      </c>
    </row>
    <row r="5328">
      <c r="A5328" s="5">
        <v>5327.0</v>
      </c>
      <c r="B5328" s="5" t="s">
        <v>5892</v>
      </c>
      <c r="C5328" s="5" t="s">
        <v>21</v>
      </c>
      <c r="K5328" s="5">
        <v>450.0</v>
      </c>
      <c r="N5328" s="9">
        <v>44415.0</v>
      </c>
    </row>
    <row r="5329">
      <c r="A5329" s="5">
        <v>5328.0</v>
      </c>
      <c r="B5329" s="5" t="s">
        <v>5893</v>
      </c>
      <c r="C5329" s="5" t="s">
        <v>21</v>
      </c>
      <c r="K5329" s="5">
        <v>500.0</v>
      </c>
      <c r="N5329" s="9">
        <v>45348.0</v>
      </c>
    </row>
    <row r="5330">
      <c r="A5330" s="5">
        <v>5329.0</v>
      </c>
      <c r="B5330" s="5" t="s">
        <v>5894</v>
      </c>
      <c r="C5330" s="5" t="s">
        <v>21</v>
      </c>
      <c r="K5330" s="5">
        <v>1400.0</v>
      </c>
      <c r="N5330" s="9">
        <v>44663.0</v>
      </c>
    </row>
    <row r="5331">
      <c r="A5331" s="5">
        <v>5330.0</v>
      </c>
      <c r="B5331" s="5" t="s">
        <v>5895</v>
      </c>
      <c r="C5331" s="5" t="s">
        <v>21</v>
      </c>
      <c r="K5331" s="5">
        <v>200.0</v>
      </c>
      <c r="N5331" s="9">
        <v>44538.0</v>
      </c>
    </row>
    <row r="5332">
      <c r="A5332" s="5">
        <v>5331.0</v>
      </c>
      <c r="B5332" s="5" t="s">
        <v>219</v>
      </c>
      <c r="C5332" s="5" t="s">
        <v>21</v>
      </c>
      <c r="K5332" s="5">
        <v>3200.0</v>
      </c>
      <c r="N5332" s="9">
        <v>44499.0</v>
      </c>
    </row>
    <row r="5333">
      <c r="A5333" s="5">
        <v>5332.0</v>
      </c>
      <c r="B5333" s="5" t="s">
        <v>5896</v>
      </c>
      <c r="C5333" s="5" t="s">
        <v>21</v>
      </c>
      <c r="K5333" s="5">
        <v>600.0</v>
      </c>
      <c r="N5333" s="9">
        <v>44925.0</v>
      </c>
    </row>
    <row r="5334">
      <c r="A5334" s="5">
        <v>5333.0</v>
      </c>
      <c r="B5334" s="5" t="s">
        <v>5897</v>
      </c>
      <c r="C5334" s="5" t="s">
        <v>21</v>
      </c>
      <c r="K5334" s="5">
        <v>300.0</v>
      </c>
      <c r="N5334" s="9">
        <v>45098.0</v>
      </c>
    </row>
    <row r="5335">
      <c r="A5335" s="5">
        <v>5334.0</v>
      </c>
      <c r="B5335" s="5" t="s">
        <v>5898</v>
      </c>
      <c r="C5335" s="5" t="s">
        <v>21</v>
      </c>
      <c r="K5335" s="5">
        <v>150.0</v>
      </c>
      <c r="N5335" s="9">
        <v>44571.0</v>
      </c>
    </row>
    <row r="5336">
      <c r="A5336" s="5">
        <v>5335.0</v>
      </c>
      <c r="B5336" s="5" t="s">
        <v>5899</v>
      </c>
      <c r="C5336" s="5" t="s">
        <v>21</v>
      </c>
      <c r="K5336" s="5">
        <v>100.0</v>
      </c>
      <c r="N5336" s="9">
        <v>44584.0</v>
      </c>
    </row>
    <row r="5337">
      <c r="A5337" s="5">
        <v>5336.0</v>
      </c>
      <c r="B5337" s="5" t="s">
        <v>5900</v>
      </c>
      <c r="C5337" s="5" t="s">
        <v>21</v>
      </c>
      <c r="K5337" s="5">
        <v>10.0</v>
      </c>
      <c r="N5337" s="9">
        <v>44560.0</v>
      </c>
    </row>
    <row r="5338">
      <c r="A5338" s="5">
        <v>5337.0</v>
      </c>
      <c r="B5338" s="5" t="s">
        <v>5901</v>
      </c>
      <c r="C5338" s="5" t="s">
        <v>21</v>
      </c>
      <c r="K5338" s="5">
        <v>900.0</v>
      </c>
      <c r="N5338" s="9">
        <v>44426.0</v>
      </c>
    </row>
    <row r="5339">
      <c r="A5339" s="5">
        <v>5338.0</v>
      </c>
      <c r="B5339" s="5" t="s">
        <v>5902</v>
      </c>
      <c r="C5339" s="5" t="s">
        <v>21</v>
      </c>
      <c r="K5339" s="5">
        <v>600.0</v>
      </c>
      <c r="N5339" s="9">
        <v>44588.0</v>
      </c>
    </row>
    <row r="5340">
      <c r="A5340" s="5">
        <v>5339.0</v>
      </c>
      <c r="B5340" s="5" t="s">
        <v>5903</v>
      </c>
      <c r="C5340" s="5" t="s">
        <v>21</v>
      </c>
      <c r="N5340" s="9">
        <v>44886.0</v>
      </c>
    </row>
    <row r="5341">
      <c r="A5341" s="5">
        <v>5340.0</v>
      </c>
      <c r="B5341" s="5" t="s">
        <v>5904</v>
      </c>
      <c r="C5341" s="5" t="s">
        <v>21</v>
      </c>
      <c r="K5341" s="5">
        <v>1900.0</v>
      </c>
      <c r="N5341" s="9">
        <v>44565.0</v>
      </c>
    </row>
    <row r="5342">
      <c r="A5342" s="5">
        <v>5341.0</v>
      </c>
      <c r="B5342" s="5" t="s">
        <v>5905</v>
      </c>
      <c r="C5342" s="5" t="s">
        <v>21</v>
      </c>
      <c r="K5342" s="5">
        <v>400.0</v>
      </c>
      <c r="N5342" s="9">
        <v>44602.0</v>
      </c>
    </row>
    <row r="5343">
      <c r="A5343" s="5">
        <v>5342.0</v>
      </c>
      <c r="B5343" s="5" t="s">
        <v>5906</v>
      </c>
      <c r="C5343" s="5" t="s">
        <v>21</v>
      </c>
      <c r="K5343" s="5">
        <v>300.0</v>
      </c>
      <c r="N5343" s="9">
        <v>44581.0</v>
      </c>
    </row>
    <row r="5344">
      <c r="A5344" s="5">
        <v>5343.0</v>
      </c>
      <c r="B5344" s="5" t="s">
        <v>188</v>
      </c>
      <c r="C5344" s="5" t="s">
        <v>21</v>
      </c>
      <c r="K5344" s="5">
        <v>500.0</v>
      </c>
      <c r="N5344" s="9">
        <v>43961.0</v>
      </c>
    </row>
    <row r="5345">
      <c r="A5345" s="5">
        <v>5344.0</v>
      </c>
      <c r="B5345" s="5" t="s">
        <v>5907</v>
      </c>
      <c r="C5345" s="5" t="s">
        <v>21</v>
      </c>
      <c r="K5345" s="5">
        <v>3900.0</v>
      </c>
      <c r="N5345" s="9">
        <v>45588.0</v>
      </c>
    </row>
    <row r="5346">
      <c r="A5346" s="5">
        <v>5345.0</v>
      </c>
      <c r="B5346" s="5" t="s">
        <v>5908</v>
      </c>
      <c r="C5346" s="5" t="s">
        <v>21</v>
      </c>
      <c r="K5346" s="5">
        <v>5500.0</v>
      </c>
      <c r="N5346" s="9">
        <v>44360.0</v>
      </c>
    </row>
    <row r="5347">
      <c r="A5347" s="5">
        <v>5346.0</v>
      </c>
      <c r="B5347" s="5" t="s">
        <v>5909</v>
      </c>
      <c r="C5347" s="5" t="s">
        <v>21</v>
      </c>
      <c r="K5347" s="5">
        <v>700.0</v>
      </c>
      <c r="N5347" s="9">
        <v>44864.0</v>
      </c>
    </row>
    <row r="5348">
      <c r="A5348" s="5">
        <v>5347.0</v>
      </c>
      <c r="B5348" s="5" t="s">
        <v>5910</v>
      </c>
      <c r="C5348" s="5" t="s">
        <v>21</v>
      </c>
      <c r="K5348" s="5">
        <v>800.0</v>
      </c>
      <c r="N5348" s="9">
        <v>45695.0</v>
      </c>
    </row>
    <row r="5349">
      <c r="A5349" s="5">
        <v>5348.0</v>
      </c>
      <c r="B5349" s="5" t="s">
        <v>5911</v>
      </c>
      <c r="C5349" s="5" t="s">
        <v>21</v>
      </c>
      <c r="K5349" s="5">
        <v>400.0</v>
      </c>
      <c r="N5349" s="9">
        <v>45448.0</v>
      </c>
    </row>
    <row r="5350">
      <c r="A5350" s="5">
        <v>5349.0</v>
      </c>
      <c r="B5350" s="5" t="s">
        <v>5912</v>
      </c>
      <c r="C5350" s="5" t="s">
        <v>21</v>
      </c>
      <c r="K5350" s="5">
        <v>300.0</v>
      </c>
      <c r="N5350" s="9">
        <v>44592.0</v>
      </c>
    </row>
    <row r="5351">
      <c r="A5351" s="5">
        <v>5350.0</v>
      </c>
      <c r="B5351" s="5" t="s">
        <v>5913</v>
      </c>
      <c r="C5351" s="5" t="s">
        <v>21</v>
      </c>
      <c r="N5351" s="9">
        <v>44384.0</v>
      </c>
    </row>
    <row r="5352">
      <c r="A5352" s="5">
        <v>5351.0</v>
      </c>
      <c r="B5352" s="5" t="s">
        <v>5914</v>
      </c>
      <c r="C5352" s="5" t="s">
        <v>21</v>
      </c>
      <c r="K5352" s="5">
        <v>200.0</v>
      </c>
      <c r="N5352" s="9">
        <v>45112.0</v>
      </c>
    </row>
    <row r="5353">
      <c r="A5353" s="5">
        <v>5352.0</v>
      </c>
      <c r="B5353" s="5" t="s">
        <v>5915</v>
      </c>
      <c r="C5353" s="5" t="s">
        <v>21</v>
      </c>
      <c r="K5353" s="5">
        <v>100.0</v>
      </c>
      <c r="N5353" s="9">
        <v>45564.0</v>
      </c>
    </row>
    <row r="5354">
      <c r="A5354" s="5">
        <v>5353.0</v>
      </c>
      <c r="B5354" s="5" t="s">
        <v>5916</v>
      </c>
      <c r="C5354" s="5" t="s">
        <v>21</v>
      </c>
      <c r="K5354" s="5">
        <v>150.0</v>
      </c>
      <c r="N5354" s="9">
        <v>44357.0</v>
      </c>
    </row>
    <row r="5355">
      <c r="A5355" s="5">
        <v>5354.0</v>
      </c>
      <c r="B5355" s="5" t="s">
        <v>5917</v>
      </c>
      <c r="C5355" s="5" t="s">
        <v>21</v>
      </c>
      <c r="K5355" s="5">
        <v>200.0</v>
      </c>
      <c r="N5355" s="9">
        <v>44176.0</v>
      </c>
    </row>
    <row r="5356">
      <c r="A5356" s="5">
        <v>5355.0</v>
      </c>
      <c r="B5356" s="5" t="s">
        <v>5918</v>
      </c>
      <c r="C5356" s="5" t="s">
        <v>21</v>
      </c>
      <c r="K5356" s="5">
        <v>450.0</v>
      </c>
      <c r="N5356" s="9">
        <v>44985.0</v>
      </c>
    </row>
    <row r="5357">
      <c r="A5357" s="5">
        <v>5356.0</v>
      </c>
      <c r="B5357" s="5" t="s">
        <v>5919</v>
      </c>
      <c r="C5357" s="5" t="s">
        <v>21</v>
      </c>
      <c r="K5357" s="5">
        <v>2400.0</v>
      </c>
      <c r="N5357" s="9">
        <v>44965.0</v>
      </c>
    </row>
    <row r="5358">
      <c r="A5358" s="5">
        <v>5357.0</v>
      </c>
      <c r="B5358" s="5" t="s">
        <v>5920</v>
      </c>
      <c r="C5358" s="5" t="s">
        <v>21</v>
      </c>
      <c r="K5358" s="5">
        <v>21000.0</v>
      </c>
      <c r="N5358" s="9">
        <v>43944.0</v>
      </c>
    </row>
    <row r="5359">
      <c r="A5359" s="5">
        <v>5358.0</v>
      </c>
      <c r="B5359" s="5" t="s">
        <v>5921</v>
      </c>
      <c r="C5359" s="5" t="s">
        <v>21</v>
      </c>
      <c r="K5359" s="5">
        <v>90.0</v>
      </c>
      <c r="N5359" s="9">
        <v>44388.0</v>
      </c>
    </row>
    <row r="5360">
      <c r="A5360" s="5">
        <v>5359.0</v>
      </c>
      <c r="B5360" s="5" t="s">
        <v>5922</v>
      </c>
      <c r="C5360" s="5" t="s">
        <v>21</v>
      </c>
      <c r="K5360" s="5">
        <v>200.0</v>
      </c>
      <c r="N5360" s="9">
        <v>45521.0</v>
      </c>
    </row>
    <row r="5361">
      <c r="A5361" s="5">
        <v>5360.0</v>
      </c>
      <c r="B5361" s="5" t="s">
        <v>5923</v>
      </c>
      <c r="C5361" s="5" t="s">
        <v>21</v>
      </c>
      <c r="K5361" s="5">
        <v>2000.0</v>
      </c>
      <c r="N5361" s="9">
        <v>44527.0</v>
      </c>
    </row>
    <row r="5362">
      <c r="A5362" s="5">
        <v>5361.0</v>
      </c>
      <c r="B5362" s="5" t="s">
        <v>5924</v>
      </c>
      <c r="C5362" s="5" t="s">
        <v>21</v>
      </c>
      <c r="K5362" s="5">
        <v>1400.0</v>
      </c>
      <c r="N5362" s="9">
        <v>45602.0</v>
      </c>
    </row>
    <row r="5363">
      <c r="A5363" s="5">
        <v>5362.0</v>
      </c>
      <c r="B5363" s="5" t="s">
        <v>5925</v>
      </c>
      <c r="C5363" s="5" t="s">
        <v>21</v>
      </c>
      <c r="K5363" s="5">
        <v>50.0</v>
      </c>
      <c r="N5363" s="9">
        <v>44537.0</v>
      </c>
    </row>
    <row r="5364">
      <c r="A5364" s="5">
        <v>5363.0</v>
      </c>
      <c r="B5364" s="5" t="s">
        <v>5926</v>
      </c>
      <c r="C5364" s="5" t="s">
        <v>21</v>
      </c>
      <c r="K5364" s="5">
        <v>450.0</v>
      </c>
      <c r="N5364" s="9">
        <v>44685.0</v>
      </c>
    </row>
    <row r="5365">
      <c r="A5365" s="5">
        <v>5364.0</v>
      </c>
      <c r="B5365" s="5" t="s">
        <v>5927</v>
      </c>
      <c r="C5365" s="5" t="s">
        <v>21</v>
      </c>
      <c r="K5365" s="5">
        <v>10.0</v>
      </c>
      <c r="N5365" s="9">
        <v>44161.0</v>
      </c>
    </row>
    <row r="5366">
      <c r="A5366" s="5">
        <v>5365.0</v>
      </c>
      <c r="B5366" s="5" t="s">
        <v>5928</v>
      </c>
      <c r="C5366" s="5" t="s">
        <v>21</v>
      </c>
      <c r="K5366" s="5">
        <v>200.0</v>
      </c>
      <c r="N5366" s="9">
        <v>44140.0</v>
      </c>
    </row>
    <row r="5367">
      <c r="A5367" s="5">
        <v>5366.0</v>
      </c>
      <c r="B5367" s="5" t="s">
        <v>5929</v>
      </c>
      <c r="C5367" s="5" t="s">
        <v>21</v>
      </c>
      <c r="K5367" s="5">
        <v>700.0</v>
      </c>
      <c r="N5367" s="9">
        <v>44561.0</v>
      </c>
    </row>
    <row r="5368">
      <c r="A5368" s="5">
        <v>5367.0</v>
      </c>
      <c r="B5368" s="5" t="s">
        <v>5930</v>
      </c>
      <c r="C5368" s="5" t="s">
        <v>21</v>
      </c>
      <c r="K5368" s="5">
        <v>300.0</v>
      </c>
      <c r="N5368" s="9">
        <v>45030.0</v>
      </c>
    </row>
    <row r="5369">
      <c r="A5369" s="5">
        <v>5368.0</v>
      </c>
      <c r="B5369" s="5" t="s">
        <v>5931</v>
      </c>
      <c r="C5369" s="5" t="s">
        <v>21</v>
      </c>
      <c r="N5369" s="9">
        <v>44408.0</v>
      </c>
    </row>
    <row r="5370">
      <c r="A5370" s="5">
        <v>5369.0</v>
      </c>
      <c r="B5370" s="5" t="s">
        <v>5932</v>
      </c>
      <c r="C5370" s="5" t="s">
        <v>21</v>
      </c>
      <c r="K5370" s="5">
        <v>20.0</v>
      </c>
      <c r="N5370" s="9">
        <v>44530.0</v>
      </c>
    </row>
    <row r="5371">
      <c r="A5371" s="5">
        <v>5370.0</v>
      </c>
      <c r="B5371" s="5" t="s">
        <v>5933</v>
      </c>
      <c r="C5371" s="5" t="s">
        <v>21</v>
      </c>
      <c r="K5371" s="5">
        <v>5800.0</v>
      </c>
      <c r="N5371" s="9">
        <v>43862.0</v>
      </c>
    </row>
    <row r="5372">
      <c r="A5372" s="5">
        <v>5371.0</v>
      </c>
      <c r="B5372" s="5" t="s">
        <v>5934</v>
      </c>
      <c r="C5372" s="5" t="s">
        <v>21</v>
      </c>
      <c r="K5372" s="5">
        <v>400.0</v>
      </c>
      <c r="N5372" s="9">
        <v>44546.0</v>
      </c>
    </row>
    <row r="5373">
      <c r="A5373" s="5">
        <v>5372.0</v>
      </c>
      <c r="B5373" s="5" t="s">
        <v>5935</v>
      </c>
      <c r="C5373" s="5" t="s">
        <v>21</v>
      </c>
      <c r="K5373" s="5">
        <v>100.0</v>
      </c>
      <c r="N5373" s="9">
        <v>44783.0</v>
      </c>
    </row>
    <row r="5374">
      <c r="A5374" s="5">
        <v>5373.0</v>
      </c>
      <c r="B5374" s="5" t="s">
        <v>5936</v>
      </c>
      <c r="C5374" s="5" t="s">
        <v>21</v>
      </c>
      <c r="K5374" s="5">
        <v>150.0</v>
      </c>
      <c r="N5374" s="9">
        <v>44948.0</v>
      </c>
    </row>
    <row r="5375">
      <c r="A5375" s="5">
        <v>5374.0</v>
      </c>
      <c r="B5375" s="5" t="s">
        <v>5937</v>
      </c>
      <c r="C5375" s="5" t="s">
        <v>21</v>
      </c>
      <c r="K5375" s="5">
        <v>350.0</v>
      </c>
      <c r="N5375" s="9">
        <v>44047.0</v>
      </c>
    </row>
    <row r="5376">
      <c r="A5376" s="5">
        <v>5375.0</v>
      </c>
      <c r="B5376" s="5" t="s">
        <v>5938</v>
      </c>
      <c r="C5376" s="5" t="s">
        <v>21</v>
      </c>
      <c r="K5376" s="5">
        <v>500.0</v>
      </c>
      <c r="N5376" s="9">
        <v>44416.0</v>
      </c>
    </row>
    <row r="5377">
      <c r="A5377" s="5">
        <v>5376.0</v>
      </c>
      <c r="B5377" s="5" t="s">
        <v>5939</v>
      </c>
      <c r="C5377" s="5" t="s">
        <v>21</v>
      </c>
      <c r="K5377" s="5">
        <v>200.0</v>
      </c>
      <c r="N5377" s="9">
        <v>44550.0</v>
      </c>
    </row>
    <row r="5378">
      <c r="A5378" s="5">
        <v>5377.0</v>
      </c>
      <c r="B5378" s="5" t="s">
        <v>5940</v>
      </c>
      <c r="C5378" s="5" t="s">
        <v>21</v>
      </c>
      <c r="K5378" s="5">
        <v>150.0</v>
      </c>
      <c r="N5378" s="9">
        <v>44227.0</v>
      </c>
    </row>
    <row r="5379">
      <c r="A5379" s="5">
        <v>5378.0</v>
      </c>
      <c r="B5379" s="5" t="s">
        <v>5941</v>
      </c>
      <c r="C5379" s="5" t="s">
        <v>21</v>
      </c>
      <c r="K5379" s="5">
        <v>40.0</v>
      </c>
      <c r="N5379" s="9">
        <v>44979.0</v>
      </c>
    </row>
    <row r="5380">
      <c r="A5380" s="5">
        <v>5379.0</v>
      </c>
      <c r="B5380" s="5" t="s">
        <v>5942</v>
      </c>
      <c r="C5380" s="5" t="s">
        <v>21</v>
      </c>
      <c r="K5380" s="5">
        <v>80.0</v>
      </c>
      <c r="N5380" s="9">
        <v>44541.0</v>
      </c>
    </row>
    <row r="5381">
      <c r="A5381" s="5">
        <v>5380.0</v>
      </c>
      <c r="B5381" s="5" t="s">
        <v>5943</v>
      </c>
      <c r="C5381" s="5" t="s">
        <v>21</v>
      </c>
      <c r="K5381" s="5">
        <v>1600.0</v>
      </c>
      <c r="N5381" s="9">
        <v>44532.0</v>
      </c>
    </row>
    <row r="5382">
      <c r="A5382" s="5">
        <v>5381.0</v>
      </c>
      <c r="B5382" s="5" t="s">
        <v>5944</v>
      </c>
      <c r="C5382" s="5" t="s">
        <v>21</v>
      </c>
      <c r="N5382" s="9">
        <v>44541.0</v>
      </c>
    </row>
    <row r="5383">
      <c r="A5383" s="5">
        <v>5382.0</v>
      </c>
      <c r="B5383" s="5" t="s">
        <v>5945</v>
      </c>
      <c r="C5383" s="5" t="s">
        <v>21</v>
      </c>
      <c r="K5383" s="5">
        <v>450.0</v>
      </c>
      <c r="N5383" s="9">
        <v>44037.0</v>
      </c>
    </row>
    <row r="5384">
      <c r="A5384" s="5">
        <v>5383.0</v>
      </c>
      <c r="B5384" s="5" t="s">
        <v>5946</v>
      </c>
      <c r="C5384" s="5" t="s">
        <v>21</v>
      </c>
      <c r="K5384" s="5">
        <v>100.0</v>
      </c>
      <c r="N5384" s="9">
        <v>44985.0</v>
      </c>
    </row>
    <row r="5385">
      <c r="A5385" s="5">
        <v>5384.0</v>
      </c>
      <c r="B5385" s="5" t="s">
        <v>5947</v>
      </c>
      <c r="C5385" s="5" t="s">
        <v>21</v>
      </c>
      <c r="K5385" s="5">
        <v>150.0</v>
      </c>
      <c r="N5385" s="9">
        <v>44985.0</v>
      </c>
    </row>
    <row r="5386">
      <c r="A5386" s="5">
        <v>5385.0</v>
      </c>
      <c r="B5386" s="5" t="s">
        <v>5948</v>
      </c>
      <c r="C5386" s="5" t="s">
        <v>21</v>
      </c>
      <c r="K5386" s="5">
        <v>2100.0</v>
      </c>
      <c r="N5386" s="9">
        <v>45312.0</v>
      </c>
    </row>
    <row r="5387">
      <c r="A5387" s="5">
        <v>5386.0</v>
      </c>
      <c r="B5387" s="5" t="s">
        <v>5949</v>
      </c>
      <c r="C5387" s="5" t="s">
        <v>21</v>
      </c>
      <c r="K5387" s="5">
        <v>500.0</v>
      </c>
      <c r="N5387" s="9">
        <v>44535.0</v>
      </c>
    </row>
    <row r="5388">
      <c r="A5388" s="5">
        <v>5387.0</v>
      </c>
      <c r="B5388" s="5" t="s">
        <v>5950</v>
      </c>
      <c r="C5388" s="5" t="s">
        <v>21</v>
      </c>
      <c r="K5388" s="5">
        <v>100.0</v>
      </c>
      <c r="N5388" s="9">
        <v>44179.0</v>
      </c>
    </row>
    <row r="5389">
      <c r="A5389" s="5">
        <v>5388.0</v>
      </c>
      <c r="B5389" s="5" t="s">
        <v>5951</v>
      </c>
      <c r="C5389" s="5" t="s">
        <v>21</v>
      </c>
      <c r="K5389" s="5">
        <v>200.0</v>
      </c>
      <c r="N5389" s="9">
        <v>44707.0</v>
      </c>
    </row>
    <row r="5390">
      <c r="A5390" s="5">
        <v>5389.0</v>
      </c>
      <c r="B5390" s="5" t="s">
        <v>5952</v>
      </c>
      <c r="C5390" s="5" t="s">
        <v>21</v>
      </c>
      <c r="K5390" s="5">
        <v>69000.0</v>
      </c>
      <c r="N5390" s="9">
        <v>43873.0</v>
      </c>
    </row>
    <row r="5391">
      <c r="A5391" s="5">
        <v>5390.0</v>
      </c>
      <c r="B5391" s="5" t="s">
        <v>5953</v>
      </c>
      <c r="C5391" s="5" t="s">
        <v>21</v>
      </c>
      <c r="K5391" s="5">
        <v>150.0</v>
      </c>
      <c r="N5391" s="9">
        <v>44765.0</v>
      </c>
    </row>
    <row r="5392">
      <c r="A5392" s="5">
        <v>5391.0</v>
      </c>
      <c r="B5392" s="5" t="s">
        <v>5954</v>
      </c>
      <c r="C5392" s="5" t="s">
        <v>21</v>
      </c>
      <c r="K5392" s="5">
        <v>450.0</v>
      </c>
      <c r="N5392" s="9">
        <v>44323.0</v>
      </c>
    </row>
    <row r="5393">
      <c r="A5393" s="5">
        <v>5392.0</v>
      </c>
      <c r="B5393" s="5" t="s">
        <v>5955</v>
      </c>
      <c r="C5393" s="5" t="s">
        <v>21</v>
      </c>
      <c r="K5393" s="5">
        <v>600.0</v>
      </c>
      <c r="N5393" s="9">
        <v>45141.0</v>
      </c>
    </row>
    <row r="5394">
      <c r="A5394" s="5">
        <v>5393.0</v>
      </c>
      <c r="B5394" s="5" t="s">
        <v>5956</v>
      </c>
      <c r="C5394" s="5" t="s">
        <v>21</v>
      </c>
      <c r="K5394" s="5">
        <v>500.0</v>
      </c>
      <c r="N5394" s="9">
        <v>44565.0</v>
      </c>
    </row>
    <row r="5395">
      <c r="A5395" s="5">
        <v>5394.0</v>
      </c>
      <c r="B5395" s="5" t="s">
        <v>5957</v>
      </c>
      <c r="C5395" s="5" t="s">
        <v>21</v>
      </c>
      <c r="K5395" s="5">
        <v>30.0</v>
      </c>
      <c r="N5395" s="9">
        <v>44518.0</v>
      </c>
    </row>
    <row r="5396">
      <c r="A5396" s="5">
        <v>5395.0</v>
      </c>
      <c r="B5396" s="5" t="s">
        <v>5958</v>
      </c>
      <c r="C5396" s="5" t="s">
        <v>21</v>
      </c>
      <c r="K5396" s="5">
        <v>80.0</v>
      </c>
      <c r="N5396" s="9">
        <v>44653.0</v>
      </c>
    </row>
    <row r="5397">
      <c r="A5397" s="5">
        <v>5396.0</v>
      </c>
      <c r="B5397" s="5" t="s">
        <v>5959</v>
      </c>
      <c r="C5397" s="5" t="s">
        <v>21</v>
      </c>
      <c r="K5397" s="5">
        <v>800.0</v>
      </c>
      <c r="N5397" s="9">
        <v>44621.0</v>
      </c>
    </row>
    <row r="5398">
      <c r="A5398" s="5">
        <v>5397.0</v>
      </c>
      <c r="B5398" s="5" t="s">
        <v>5960</v>
      </c>
      <c r="C5398" s="5" t="s">
        <v>21</v>
      </c>
      <c r="K5398" s="5">
        <v>600.0</v>
      </c>
      <c r="N5398" s="9">
        <v>44532.0</v>
      </c>
    </row>
    <row r="5399">
      <c r="A5399" s="5">
        <v>5398.0</v>
      </c>
      <c r="B5399" s="5" t="s">
        <v>5961</v>
      </c>
      <c r="C5399" s="5" t="s">
        <v>21</v>
      </c>
      <c r="K5399" s="5">
        <v>250.0</v>
      </c>
      <c r="N5399" s="9">
        <v>45513.0</v>
      </c>
    </row>
    <row r="5400">
      <c r="A5400" s="5">
        <v>5399.0</v>
      </c>
      <c r="B5400" s="5" t="s">
        <v>5962</v>
      </c>
      <c r="C5400" s="5" t="s">
        <v>21</v>
      </c>
      <c r="K5400" s="5">
        <v>3100.0</v>
      </c>
      <c r="N5400" s="9">
        <v>43857.0</v>
      </c>
    </row>
    <row r="5401">
      <c r="A5401" s="5">
        <v>5400.0</v>
      </c>
      <c r="B5401" s="5" t="s">
        <v>5963</v>
      </c>
      <c r="C5401" s="5" t="s">
        <v>21</v>
      </c>
      <c r="K5401" s="5">
        <v>100.0</v>
      </c>
      <c r="N5401" s="9">
        <v>44364.0</v>
      </c>
    </row>
    <row r="5402">
      <c r="A5402" s="5">
        <v>5401.0</v>
      </c>
      <c r="B5402" s="5" t="s">
        <v>5964</v>
      </c>
      <c r="C5402" s="5" t="s">
        <v>21</v>
      </c>
      <c r="K5402" s="5">
        <v>1800.0</v>
      </c>
      <c r="N5402" s="9">
        <v>44572.0</v>
      </c>
    </row>
    <row r="5403">
      <c r="A5403" s="5">
        <v>5402.0</v>
      </c>
      <c r="B5403" s="5" t="s">
        <v>5965</v>
      </c>
      <c r="C5403" s="5" t="s">
        <v>21</v>
      </c>
      <c r="K5403" s="5">
        <v>2200.0</v>
      </c>
      <c r="N5403" s="9">
        <v>44428.0</v>
      </c>
    </row>
    <row r="5404">
      <c r="A5404" s="5">
        <v>5403.0</v>
      </c>
      <c r="B5404" s="5" t="s">
        <v>5966</v>
      </c>
      <c r="C5404" s="5" t="s">
        <v>21</v>
      </c>
      <c r="K5404" s="5">
        <v>300.0</v>
      </c>
      <c r="N5404" s="9">
        <v>44716.0</v>
      </c>
    </row>
    <row r="5405">
      <c r="A5405" s="5">
        <v>5404.0</v>
      </c>
      <c r="B5405" s="5" t="s">
        <v>5967</v>
      </c>
      <c r="C5405" s="5" t="s">
        <v>21</v>
      </c>
      <c r="K5405" s="5">
        <v>60.0</v>
      </c>
      <c r="N5405" s="9">
        <v>45028.0</v>
      </c>
    </row>
    <row r="5406">
      <c r="A5406" s="5">
        <v>5405.0</v>
      </c>
      <c r="B5406" s="5" t="s">
        <v>5968</v>
      </c>
      <c r="C5406" s="5" t="s">
        <v>21</v>
      </c>
      <c r="K5406" s="5">
        <v>1400.0</v>
      </c>
      <c r="N5406" s="9">
        <v>44573.0</v>
      </c>
    </row>
    <row r="5407">
      <c r="A5407" s="5">
        <v>5406.0</v>
      </c>
      <c r="B5407" s="5" t="s">
        <v>5969</v>
      </c>
      <c r="C5407" s="5" t="s">
        <v>21</v>
      </c>
      <c r="K5407" s="5">
        <v>600.0</v>
      </c>
      <c r="N5407" s="9">
        <v>44549.0</v>
      </c>
    </row>
    <row r="5408">
      <c r="A5408" s="5">
        <v>5407.0</v>
      </c>
      <c r="B5408" s="5" t="s">
        <v>5970</v>
      </c>
      <c r="C5408" s="5" t="s">
        <v>21</v>
      </c>
      <c r="K5408" s="5">
        <v>17000.0</v>
      </c>
      <c r="N5408" s="9">
        <v>43861.0</v>
      </c>
    </row>
    <row r="5409">
      <c r="A5409" s="5">
        <v>5408.0</v>
      </c>
      <c r="B5409" s="5" t="s">
        <v>5971</v>
      </c>
      <c r="C5409" s="5" t="s">
        <v>21</v>
      </c>
      <c r="K5409" s="5">
        <v>800.0</v>
      </c>
      <c r="N5409" s="9">
        <v>45283.0</v>
      </c>
    </row>
    <row r="5410">
      <c r="A5410" s="5">
        <v>5409.0</v>
      </c>
      <c r="B5410" s="5" t="s">
        <v>5972</v>
      </c>
      <c r="C5410" s="5" t="s">
        <v>21</v>
      </c>
      <c r="K5410" s="5">
        <v>200.0</v>
      </c>
      <c r="N5410" s="9">
        <v>45314.0</v>
      </c>
    </row>
    <row r="5411">
      <c r="A5411" s="5">
        <v>5410.0</v>
      </c>
      <c r="B5411" s="5" t="s">
        <v>5973</v>
      </c>
      <c r="C5411" s="5" t="s">
        <v>21</v>
      </c>
      <c r="K5411" s="5">
        <v>1600.0</v>
      </c>
      <c r="N5411" s="9">
        <v>44083.0</v>
      </c>
    </row>
    <row r="5412">
      <c r="A5412" s="5">
        <v>5411.0</v>
      </c>
      <c r="B5412" s="5" t="s">
        <v>5974</v>
      </c>
      <c r="C5412" s="5" t="s">
        <v>21</v>
      </c>
      <c r="K5412" s="5">
        <v>400.0</v>
      </c>
      <c r="N5412" s="9">
        <v>44528.0</v>
      </c>
    </row>
    <row r="5413">
      <c r="A5413" s="5">
        <v>5412.0</v>
      </c>
      <c r="B5413" s="5" t="s">
        <v>5975</v>
      </c>
      <c r="C5413" s="5" t="s">
        <v>21</v>
      </c>
      <c r="K5413" s="5">
        <v>250.0</v>
      </c>
      <c r="N5413" s="9">
        <v>44763.0</v>
      </c>
    </row>
    <row r="5414">
      <c r="A5414" s="5">
        <v>5413.0</v>
      </c>
      <c r="B5414" s="5" t="s">
        <v>5976</v>
      </c>
      <c r="C5414" s="5" t="s">
        <v>21</v>
      </c>
      <c r="K5414" s="5">
        <v>700.0</v>
      </c>
      <c r="N5414" s="9">
        <v>44812.0</v>
      </c>
    </row>
    <row r="5415">
      <c r="A5415" s="5">
        <v>5414.0</v>
      </c>
      <c r="B5415" s="5" t="s">
        <v>5977</v>
      </c>
      <c r="C5415" s="5" t="s">
        <v>21</v>
      </c>
      <c r="K5415" s="5">
        <v>150.0</v>
      </c>
      <c r="N5415" s="9">
        <v>44193.0</v>
      </c>
    </row>
    <row r="5416">
      <c r="A5416" s="5">
        <v>5415.0</v>
      </c>
      <c r="B5416" s="5" t="s">
        <v>5978</v>
      </c>
      <c r="C5416" s="5" t="s">
        <v>21</v>
      </c>
      <c r="K5416" s="5">
        <v>3300.0</v>
      </c>
      <c r="N5416" s="9">
        <v>43937.0</v>
      </c>
    </row>
    <row r="5417">
      <c r="A5417" s="5">
        <v>5416.0</v>
      </c>
      <c r="B5417" s="5" t="s">
        <v>5979</v>
      </c>
      <c r="C5417" s="5" t="s">
        <v>21</v>
      </c>
      <c r="K5417" s="5">
        <v>800.0</v>
      </c>
      <c r="N5417" s="9">
        <v>44127.0</v>
      </c>
    </row>
    <row r="5418">
      <c r="A5418" s="5">
        <v>5417.0</v>
      </c>
      <c r="B5418" s="5" t="s">
        <v>5980</v>
      </c>
      <c r="C5418" s="5" t="s">
        <v>21</v>
      </c>
      <c r="N5418" s="9">
        <v>44953.0</v>
      </c>
    </row>
    <row r="5419">
      <c r="A5419" s="5">
        <v>5418.0</v>
      </c>
      <c r="B5419" s="5" t="s">
        <v>5981</v>
      </c>
      <c r="C5419" s="5" t="s">
        <v>21</v>
      </c>
      <c r="N5419" s="9">
        <v>44528.0</v>
      </c>
    </row>
    <row r="5420">
      <c r="A5420" s="5">
        <v>5419.0</v>
      </c>
      <c r="B5420" s="5" t="s">
        <v>5982</v>
      </c>
      <c r="C5420" s="5" t="s">
        <v>21</v>
      </c>
      <c r="K5420" s="5">
        <v>600.0</v>
      </c>
      <c r="N5420" s="9">
        <v>44033.0</v>
      </c>
    </row>
    <row r="5421">
      <c r="A5421" s="5">
        <v>5420.0</v>
      </c>
      <c r="B5421" s="5" t="s">
        <v>5983</v>
      </c>
      <c r="C5421" s="5" t="s">
        <v>21</v>
      </c>
      <c r="K5421" s="5">
        <v>300.0</v>
      </c>
      <c r="N5421" s="9">
        <v>44531.0</v>
      </c>
    </row>
    <row r="5422">
      <c r="A5422" s="5">
        <v>5421.0</v>
      </c>
      <c r="B5422" s="5" t="s">
        <v>5984</v>
      </c>
      <c r="C5422" s="5" t="s">
        <v>21</v>
      </c>
      <c r="N5422" s="9">
        <v>44846.0</v>
      </c>
    </row>
    <row r="5423">
      <c r="A5423" s="5">
        <v>5422.0</v>
      </c>
      <c r="B5423" s="5" t="s">
        <v>5985</v>
      </c>
      <c r="C5423" s="5" t="s">
        <v>21</v>
      </c>
      <c r="K5423" s="5">
        <v>40.0</v>
      </c>
      <c r="N5423" s="9">
        <v>44207.0</v>
      </c>
    </row>
    <row r="5424">
      <c r="A5424" s="5">
        <v>5423.0</v>
      </c>
      <c r="B5424" s="5" t="s">
        <v>5986</v>
      </c>
      <c r="C5424" s="5" t="s">
        <v>21</v>
      </c>
      <c r="K5424" s="5">
        <v>3700.0</v>
      </c>
      <c r="N5424" s="9">
        <v>44041.0</v>
      </c>
    </row>
    <row r="5425">
      <c r="A5425" s="5">
        <v>5424.0</v>
      </c>
      <c r="B5425" s="5" t="s">
        <v>5987</v>
      </c>
      <c r="C5425" s="5" t="s">
        <v>21</v>
      </c>
      <c r="N5425" s="9">
        <v>44518.0</v>
      </c>
    </row>
    <row r="5426">
      <c r="A5426" s="5">
        <v>5425.0</v>
      </c>
      <c r="B5426" s="5" t="s">
        <v>5988</v>
      </c>
      <c r="C5426" s="5" t="s">
        <v>21</v>
      </c>
      <c r="K5426" s="5">
        <v>400.0</v>
      </c>
      <c r="N5426" s="9">
        <v>44360.0</v>
      </c>
    </row>
    <row r="5427">
      <c r="A5427" s="5">
        <v>5426.0</v>
      </c>
      <c r="B5427" s="5" t="s">
        <v>5989</v>
      </c>
      <c r="C5427" s="5" t="s">
        <v>21</v>
      </c>
      <c r="K5427" s="5">
        <v>250.0</v>
      </c>
      <c r="N5427" s="9">
        <v>45489.0</v>
      </c>
    </row>
    <row r="5428">
      <c r="A5428" s="5">
        <v>5427.0</v>
      </c>
      <c r="B5428" s="5" t="s">
        <v>5990</v>
      </c>
      <c r="C5428" s="5" t="s">
        <v>21</v>
      </c>
      <c r="K5428" s="5">
        <v>8800.0</v>
      </c>
      <c r="N5428" s="9">
        <v>44324.0</v>
      </c>
    </row>
    <row r="5429">
      <c r="A5429" s="5">
        <v>5428.0</v>
      </c>
      <c r="B5429" s="5" t="s">
        <v>5991</v>
      </c>
      <c r="C5429" s="5" t="s">
        <v>21</v>
      </c>
      <c r="K5429" s="5">
        <v>200.0</v>
      </c>
      <c r="N5429" s="9">
        <v>45137.0</v>
      </c>
    </row>
    <row r="5430">
      <c r="A5430" s="5">
        <v>5429.0</v>
      </c>
      <c r="B5430" s="5" t="s">
        <v>5992</v>
      </c>
      <c r="C5430" s="5" t="s">
        <v>21</v>
      </c>
      <c r="N5430" s="9">
        <v>44191.0</v>
      </c>
    </row>
    <row r="5431">
      <c r="A5431" s="5">
        <v>5430.0</v>
      </c>
      <c r="B5431" s="5" t="s">
        <v>5993</v>
      </c>
      <c r="C5431" s="5" t="s">
        <v>21</v>
      </c>
      <c r="K5431" s="5">
        <v>80.0</v>
      </c>
      <c r="N5431" s="9">
        <v>44252.0</v>
      </c>
    </row>
    <row r="5432">
      <c r="A5432" s="5">
        <v>5431.0</v>
      </c>
      <c r="B5432" s="5" t="s">
        <v>5994</v>
      </c>
      <c r="C5432" s="5" t="s">
        <v>21</v>
      </c>
      <c r="K5432" s="5">
        <v>80.0</v>
      </c>
      <c r="N5432" s="9">
        <v>44554.0</v>
      </c>
    </row>
    <row r="5433">
      <c r="A5433" s="5">
        <v>5432.0</v>
      </c>
      <c r="B5433" s="5" t="s">
        <v>5995</v>
      </c>
      <c r="C5433" s="5" t="s">
        <v>21</v>
      </c>
      <c r="K5433" s="5">
        <v>800.0</v>
      </c>
      <c r="N5433" s="9">
        <v>44874.0</v>
      </c>
    </row>
    <row r="5434">
      <c r="A5434" s="5">
        <v>5433.0</v>
      </c>
      <c r="B5434" s="5" t="s">
        <v>5996</v>
      </c>
      <c r="C5434" s="5" t="s">
        <v>21</v>
      </c>
      <c r="K5434" s="5">
        <v>100.0</v>
      </c>
      <c r="N5434" s="9">
        <v>44286.0</v>
      </c>
    </row>
    <row r="5435">
      <c r="A5435" s="5">
        <v>5434.0</v>
      </c>
      <c r="B5435" s="5" t="s">
        <v>5997</v>
      </c>
      <c r="C5435" s="5" t="s">
        <v>21</v>
      </c>
      <c r="K5435" s="5">
        <v>300.0</v>
      </c>
      <c r="N5435" s="9">
        <v>45537.0</v>
      </c>
    </row>
    <row r="5436">
      <c r="A5436" s="5">
        <v>5435.0</v>
      </c>
      <c r="B5436" s="5" t="s">
        <v>5998</v>
      </c>
      <c r="C5436" s="5" t="s">
        <v>21</v>
      </c>
      <c r="K5436" s="5">
        <v>800.0</v>
      </c>
      <c r="N5436" s="9">
        <v>44988.0</v>
      </c>
    </row>
    <row r="5437">
      <c r="A5437" s="5">
        <v>5436.0</v>
      </c>
      <c r="B5437" s="5" t="s">
        <v>5999</v>
      </c>
      <c r="C5437" s="5" t="s">
        <v>21</v>
      </c>
      <c r="K5437" s="5">
        <v>80.0</v>
      </c>
      <c r="N5437" s="9">
        <v>43885.0</v>
      </c>
    </row>
    <row r="5438">
      <c r="A5438" s="5">
        <v>5437.0</v>
      </c>
      <c r="B5438" s="5" t="s">
        <v>6000</v>
      </c>
      <c r="C5438" s="5" t="s">
        <v>21</v>
      </c>
      <c r="K5438" s="5">
        <v>400.0</v>
      </c>
      <c r="N5438" s="9">
        <v>44618.0</v>
      </c>
    </row>
    <row r="5439">
      <c r="A5439" s="5">
        <v>5438.0</v>
      </c>
      <c r="B5439" s="5" t="s">
        <v>6001</v>
      </c>
      <c r="C5439" s="5" t="s">
        <v>21</v>
      </c>
      <c r="K5439" s="5">
        <v>350.0</v>
      </c>
      <c r="N5439" s="9">
        <v>44064.0</v>
      </c>
    </row>
    <row r="5440">
      <c r="A5440" s="5">
        <v>5439.0</v>
      </c>
      <c r="B5440" s="5" t="s">
        <v>6002</v>
      </c>
      <c r="C5440" s="5" t="s">
        <v>21</v>
      </c>
      <c r="K5440" s="5">
        <v>900.0</v>
      </c>
      <c r="N5440" s="9">
        <v>45115.0</v>
      </c>
    </row>
    <row r="5441">
      <c r="A5441" s="5">
        <v>5440.0</v>
      </c>
      <c r="B5441" s="5" t="s">
        <v>6003</v>
      </c>
      <c r="C5441" s="5" t="s">
        <v>21</v>
      </c>
      <c r="K5441" s="5">
        <v>150.0</v>
      </c>
      <c r="N5441" s="9">
        <v>44839.0</v>
      </c>
    </row>
    <row r="5442">
      <c r="A5442" s="5">
        <v>5441.0</v>
      </c>
      <c r="B5442" s="5" t="s">
        <v>190</v>
      </c>
      <c r="C5442" s="5" t="s">
        <v>21</v>
      </c>
      <c r="K5442" s="5">
        <v>50.0</v>
      </c>
      <c r="N5442" s="9">
        <v>44813.0</v>
      </c>
    </row>
    <row r="5443">
      <c r="A5443" s="5">
        <v>5442.0</v>
      </c>
      <c r="B5443" s="5" t="s">
        <v>6004</v>
      </c>
      <c r="C5443" s="5" t="s">
        <v>21</v>
      </c>
      <c r="K5443" s="5">
        <v>500.0</v>
      </c>
      <c r="N5443" s="9">
        <v>45245.0</v>
      </c>
    </row>
    <row r="5444">
      <c r="A5444" s="5">
        <v>5443.0</v>
      </c>
      <c r="B5444" s="5" t="s">
        <v>6005</v>
      </c>
      <c r="C5444" s="5" t="s">
        <v>21</v>
      </c>
      <c r="K5444" s="5">
        <v>400.0</v>
      </c>
      <c r="N5444" s="9">
        <v>44400.0</v>
      </c>
    </row>
    <row r="5445">
      <c r="A5445" s="5">
        <v>5444.0</v>
      </c>
      <c r="B5445" s="5" t="s">
        <v>6006</v>
      </c>
      <c r="C5445" s="5" t="s">
        <v>21</v>
      </c>
      <c r="K5445" s="5">
        <v>200.0</v>
      </c>
      <c r="N5445" s="9">
        <v>44829.0</v>
      </c>
    </row>
    <row r="5446">
      <c r="A5446" s="5">
        <v>5445.0</v>
      </c>
      <c r="B5446" s="5" t="s">
        <v>222</v>
      </c>
      <c r="C5446" s="5" t="s">
        <v>21</v>
      </c>
      <c r="K5446" s="5">
        <v>4300.0</v>
      </c>
      <c r="N5446" s="9">
        <v>44231.0</v>
      </c>
    </row>
    <row r="5447">
      <c r="A5447" s="5">
        <v>5446.0</v>
      </c>
      <c r="B5447" s="5" t="s">
        <v>6007</v>
      </c>
      <c r="C5447" s="5" t="s">
        <v>21</v>
      </c>
      <c r="K5447" s="5">
        <v>600.0</v>
      </c>
      <c r="N5447" s="9">
        <v>44502.0</v>
      </c>
    </row>
    <row r="5448">
      <c r="A5448" s="5">
        <v>5447.0</v>
      </c>
      <c r="B5448" s="5" t="s">
        <v>6008</v>
      </c>
      <c r="C5448" s="5" t="s">
        <v>21</v>
      </c>
      <c r="K5448" s="5">
        <v>500.0</v>
      </c>
      <c r="N5448" s="9">
        <v>44532.0</v>
      </c>
    </row>
    <row r="5449">
      <c r="A5449" s="5">
        <v>5448.0</v>
      </c>
      <c r="B5449" s="5" t="s">
        <v>6009</v>
      </c>
      <c r="C5449" s="5" t="s">
        <v>21</v>
      </c>
      <c r="K5449" s="5">
        <v>1100.0</v>
      </c>
      <c r="N5449" s="9">
        <v>43966.0</v>
      </c>
    </row>
    <row r="5450">
      <c r="A5450" s="5">
        <v>5449.0</v>
      </c>
      <c r="B5450" s="5" t="s">
        <v>6010</v>
      </c>
      <c r="C5450" s="5" t="s">
        <v>21</v>
      </c>
      <c r="K5450" s="5">
        <v>600.0</v>
      </c>
      <c r="N5450" s="9">
        <v>43876.0</v>
      </c>
    </row>
    <row r="5451">
      <c r="A5451" s="5">
        <v>5450.0</v>
      </c>
      <c r="B5451" s="5" t="s">
        <v>6011</v>
      </c>
      <c r="C5451" s="5" t="s">
        <v>21</v>
      </c>
      <c r="K5451" s="5">
        <v>300.0</v>
      </c>
      <c r="N5451" s="9">
        <v>44289.0</v>
      </c>
    </row>
    <row r="5452">
      <c r="A5452" s="5">
        <v>5451.0</v>
      </c>
      <c r="B5452" s="5" t="s">
        <v>6012</v>
      </c>
      <c r="C5452" s="5" t="s">
        <v>21</v>
      </c>
      <c r="K5452" s="5">
        <v>1000.0</v>
      </c>
      <c r="N5452" s="9">
        <v>43913.0</v>
      </c>
    </row>
    <row r="5453">
      <c r="A5453" s="5">
        <v>5452.0</v>
      </c>
      <c r="B5453" s="5" t="s">
        <v>6013</v>
      </c>
      <c r="C5453" s="5" t="s">
        <v>21</v>
      </c>
      <c r="K5453" s="5">
        <v>40.0</v>
      </c>
      <c r="N5453" s="9">
        <v>44547.0</v>
      </c>
    </row>
    <row r="5454">
      <c r="A5454" s="5">
        <v>5453.0</v>
      </c>
      <c r="B5454" s="5" t="s">
        <v>6014</v>
      </c>
      <c r="C5454" s="5" t="s">
        <v>21</v>
      </c>
      <c r="K5454" s="5">
        <v>1200.0</v>
      </c>
      <c r="N5454" s="9">
        <v>44286.0</v>
      </c>
    </row>
    <row r="5455">
      <c r="A5455" s="5">
        <v>5454.0</v>
      </c>
      <c r="B5455" s="5" t="s">
        <v>6015</v>
      </c>
      <c r="C5455" s="5" t="s">
        <v>21</v>
      </c>
      <c r="K5455" s="5">
        <v>150.0</v>
      </c>
      <c r="N5455" s="9">
        <v>45191.0</v>
      </c>
    </row>
    <row r="5456">
      <c r="A5456" s="5">
        <v>5455.0</v>
      </c>
      <c r="B5456" s="5" t="s">
        <v>6016</v>
      </c>
      <c r="C5456" s="5" t="s">
        <v>21</v>
      </c>
      <c r="K5456" s="5">
        <v>200.0</v>
      </c>
      <c r="N5456" s="9">
        <v>44861.0</v>
      </c>
    </row>
    <row r="5457">
      <c r="A5457" s="5">
        <v>5456.0</v>
      </c>
      <c r="B5457" s="5" t="s">
        <v>6017</v>
      </c>
      <c r="C5457" s="5" t="s">
        <v>21</v>
      </c>
      <c r="K5457" s="5">
        <v>300.0</v>
      </c>
      <c r="N5457" s="9">
        <v>44365.0</v>
      </c>
    </row>
    <row r="5458">
      <c r="A5458" s="5">
        <v>5457.0</v>
      </c>
      <c r="B5458" s="5" t="s">
        <v>6018</v>
      </c>
      <c r="C5458" s="5" t="s">
        <v>21</v>
      </c>
      <c r="K5458" s="5">
        <v>900.0</v>
      </c>
      <c r="N5458" s="9">
        <v>45565.0</v>
      </c>
    </row>
    <row r="5459">
      <c r="A5459" s="5">
        <v>5458.0</v>
      </c>
      <c r="B5459" s="5" t="s">
        <v>6019</v>
      </c>
      <c r="C5459" s="5" t="s">
        <v>21</v>
      </c>
      <c r="K5459" s="5">
        <v>70.0</v>
      </c>
      <c r="N5459" s="9">
        <v>44602.0</v>
      </c>
    </row>
    <row r="5460">
      <c r="A5460" s="5">
        <v>5459.0</v>
      </c>
      <c r="B5460" s="5" t="s">
        <v>6020</v>
      </c>
      <c r="C5460" s="5" t="s">
        <v>21</v>
      </c>
      <c r="K5460" s="5">
        <v>8400.0</v>
      </c>
      <c r="N5460" s="9">
        <v>43844.0</v>
      </c>
    </row>
    <row r="5461">
      <c r="A5461" s="5">
        <v>5460.0</v>
      </c>
      <c r="B5461" s="5" t="s">
        <v>6021</v>
      </c>
      <c r="C5461" s="5" t="s">
        <v>21</v>
      </c>
      <c r="N5461" s="9">
        <v>44593.0</v>
      </c>
    </row>
    <row r="5462">
      <c r="A5462" s="5">
        <v>5461.0</v>
      </c>
      <c r="B5462" s="5" t="s">
        <v>6022</v>
      </c>
      <c r="C5462" s="5" t="s">
        <v>21</v>
      </c>
      <c r="K5462" s="5">
        <v>600.0</v>
      </c>
      <c r="N5462" s="9">
        <v>44722.0</v>
      </c>
    </row>
    <row r="5463">
      <c r="A5463" s="5">
        <v>5462.0</v>
      </c>
      <c r="B5463" s="5" t="s">
        <v>6023</v>
      </c>
      <c r="C5463" s="5" t="s">
        <v>21</v>
      </c>
      <c r="K5463" s="5">
        <v>90.0</v>
      </c>
      <c r="N5463" s="9">
        <v>44726.0</v>
      </c>
    </row>
    <row r="5464">
      <c r="A5464" s="5">
        <v>5463.0</v>
      </c>
      <c r="B5464" s="5" t="s">
        <v>6024</v>
      </c>
      <c r="C5464" s="5" t="s">
        <v>21</v>
      </c>
      <c r="K5464" s="5">
        <v>600.0</v>
      </c>
      <c r="N5464" s="9">
        <v>44085.0</v>
      </c>
    </row>
    <row r="5465">
      <c r="A5465" s="5">
        <v>5464.0</v>
      </c>
      <c r="B5465" s="5" t="s">
        <v>6025</v>
      </c>
      <c r="C5465" s="5" t="s">
        <v>21</v>
      </c>
      <c r="K5465" s="5">
        <v>100.0</v>
      </c>
      <c r="N5465" s="9">
        <v>44705.0</v>
      </c>
    </row>
    <row r="5466">
      <c r="A5466" s="5">
        <v>5465.0</v>
      </c>
      <c r="B5466" s="5" t="s">
        <v>6026</v>
      </c>
      <c r="C5466" s="5" t="s">
        <v>21</v>
      </c>
      <c r="K5466" s="5">
        <v>400.0</v>
      </c>
      <c r="N5466" s="9">
        <v>44528.0</v>
      </c>
    </row>
    <row r="5467">
      <c r="A5467" s="5">
        <v>5466.0</v>
      </c>
      <c r="B5467" s="5" t="s">
        <v>6027</v>
      </c>
      <c r="C5467" s="5" t="s">
        <v>21</v>
      </c>
      <c r="K5467" s="5">
        <v>3600.0</v>
      </c>
      <c r="N5467" s="9">
        <v>44201.0</v>
      </c>
    </row>
    <row r="5468">
      <c r="A5468" s="5">
        <v>5467.0</v>
      </c>
      <c r="B5468" s="5" t="s">
        <v>6028</v>
      </c>
      <c r="C5468" s="5" t="s">
        <v>21</v>
      </c>
      <c r="K5468" s="5">
        <v>50.0</v>
      </c>
      <c r="N5468" s="9">
        <v>44685.0</v>
      </c>
    </row>
    <row r="5469">
      <c r="A5469" s="5">
        <v>5468.0</v>
      </c>
      <c r="B5469" s="5" t="s">
        <v>6029</v>
      </c>
      <c r="C5469" s="5" t="s">
        <v>21</v>
      </c>
      <c r="K5469" s="5">
        <v>70.0</v>
      </c>
      <c r="N5469" s="9">
        <v>44766.0</v>
      </c>
    </row>
    <row r="5470">
      <c r="A5470" s="5">
        <v>5469.0</v>
      </c>
      <c r="B5470" s="5" t="s">
        <v>6030</v>
      </c>
      <c r="C5470" s="5" t="s">
        <v>21</v>
      </c>
      <c r="K5470" s="5">
        <v>200.0</v>
      </c>
      <c r="N5470" s="9">
        <v>45413.0</v>
      </c>
    </row>
    <row r="5471">
      <c r="A5471" s="5">
        <v>5470.0</v>
      </c>
      <c r="B5471" s="5" t="s">
        <v>6031</v>
      </c>
      <c r="C5471" s="5" t="s">
        <v>21</v>
      </c>
      <c r="K5471" s="5">
        <v>100.0</v>
      </c>
      <c r="N5471" s="9">
        <v>44786.0</v>
      </c>
    </row>
    <row r="5472">
      <c r="A5472" s="5">
        <v>5471.0</v>
      </c>
      <c r="B5472" s="5" t="s">
        <v>192</v>
      </c>
      <c r="C5472" s="5" t="s">
        <v>21</v>
      </c>
      <c r="K5472" s="5">
        <v>200.0</v>
      </c>
      <c r="N5472" s="9">
        <v>44234.0</v>
      </c>
    </row>
    <row r="5473">
      <c r="A5473" s="5">
        <v>5472.0</v>
      </c>
      <c r="B5473" s="5" t="s">
        <v>6032</v>
      </c>
      <c r="C5473" s="5" t="s">
        <v>21</v>
      </c>
      <c r="K5473" s="5">
        <v>100.0</v>
      </c>
      <c r="N5473" s="9">
        <v>44676.0</v>
      </c>
    </row>
    <row r="5474">
      <c r="A5474" s="5">
        <v>5473.0</v>
      </c>
      <c r="B5474" s="5" t="s">
        <v>6033</v>
      </c>
      <c r="C5474" s="5" t="s">
        <v>21</v>
      </c>
      <c r="K5474" s="5">
        <v>600.0</v>
      </c>
      <c r="N5474" s="9">
        <v>44498.0</v>
      </c>
    </row>
    <row r="5475">
      <c r="A5475" s="5">
        <v>5474.0</v>
      </c>
      <c r="B5475" s="5" t="s">
        <v>6034</v>
      </c>
      <c r="C5475" s="5" t="s">
        <v>21</v>
      </c>
      <c r="K5475" s="5">
        <v>800.0</v>
      </c>
      <c r="N5475" s="9">
        <v>44614.0</v>
      </c>
    </row>
    <row r="5476">
      <c r="A5476" s="5">
        <v>5475.0</v>
      </c>
      <c r="B5476" s="5" t="s">
        <v>6035</v>
      </c>
      <c r="C5476" s="5" t="s">
        <v>21</v>
      </c>
      <c r="K5476" s="5">
        <v>1500.0</v>
      </c>
      <c r="N5476" s="9">
        <v>44031.0</v>
      </c>
    </row>
    <row r="5477">
      <c r="A5477" s="5">
        <v>5476.0</v>
      </c>
      <c r="B5477" s="5" t="s">
        <v>6036</v>
      </c>
      <c r="C5477" s="5" t="s">
        <v>21</v>
      </c>
      <c r="K5477" s="5">
        <v>450.0</v>
      </c>
      <c r="N5477" s="9">
        <v>44745.0</v>
      </c>
    </row>
    <row r="5478">
      <c r="A5478" s="5">
        <v>5477.0</v>
      </c>
      <c r="B5478" s="5" t="s">
        <v>6037</v>
      </c>
      <c r="C5478" s="5" t="s">
        <v>21</v>
      </c>
      <c r="K5478" s="5">
        <v>20.0</v>
      </c>
      <c r="N5478" s="9">
        <v>44646.0</v>
      </c>
    </row>
    <row r="5479">
      <c r="A5479" s="5">
        <v>5478.0</v>
      </c>
      <c r="B5479" s="5" t="s">
        <v>6038</v>
      </c>
      <c r="C5479" s="5" t="s">
        <v>21</v>
      </c>
      <c r="K5479" s="5">
        <v>10.0</v>
      </c>
      <c r="N5479" s="9">
        <v>44847.0</v>
      </c>
    </row>
    <row r="5480">
      <c r="A5480" s="5">
        <v>5479.0</v>
      </c>
      <c r="B5480" s="5" t="s">
        <v>6039</v>
      </c>
      <c r="C5480" s="5" t="s">
        <v>21</v>
      </c>
      <c r="K5480" s="5">
        <v>1300.0</v>
      </c>
      <c r="N5480" s="9">
        <v>44545.0</v>
      </c>
    </row>
    <row r="5481">
      <c r="A5481" s="5">
        <v>5480.0</v>
      </c>
      <c r="B5481" s="5" t="s">
        <v>6040</v>
      </c>
      <c r="C5481" s="5" t="s">
        <v>21</v>
      </c>
      <c r="K5481" s="5">
        <v>2700.0</v>
      </c>
      <c r="N5481" s="9">
        <v>43932.0</v>
      </c>
    </row>
    <row r="5482">
      <c r="A5482" s="5">
        <v>5481.0</v>
      </c>
      <c r="B5482" s="5" t="s">
        <v>6041</v>
      </c>
      <c r="C5482" s="5" t="s">
        <v>21</v>
      </c>
      <c r="K5482" s="5">
        <v>50.0</v>
      </c>
      <c r="N5482" s="9">
        <v>45113.0</v>
      </c>
    </row>
    <row r="5483">
      <c r="A5483" s="5">
        <v>5482.0</v>
      </c>
      <c r="B5483" s="5" t="s">
        <v>6042</v>
      </c>
      <c r="C5483" s="5" t="s">
        <v>21</v>
      </c>
      <c r="K5483" s="5">
        <v>250.0</v>
      </c>
      <c r="N5483" s="9">
        <v>44999.0</v>
      </c>
    </row>
    <row r="5484">
      <c r="A5484" s="5">
        <v>5483.0</v>
      </c>
      <c r="B5484" s="5" t="s">
        <v>224</v>
      </c>
      <c r="C5484" s="5" t="s">
        <v>21</v>
      </c>
      <c r="K5484" s="5">
        <v>4100.0</v>
      </c>
      <c r="N5484" s="9">
        <v>44724.0</v>
      </c>
    </row>
    <row r="5485">
      <c r="A5485" s="5">
        <v>5484.0</v>
      </c>
      <c r="B5485" s="5" t="s">
        <v>6043</v>
      </c>
      <c r="C5485" s="5" t="s">
        <v>21</v>
      </c>
      <c r="K5485" s="5">
        <v>350.0</v>
      </c>
      <c r="N5485" s="9">
        <v>44536.0</v>
      </c>
    </row>
    <row r="5486">
      <c r="A5486" s="5">
        <v>5485.0</v>
      </c>
      <c r="B5486" s="5" t="s">
        <v>6044</v>
      </c>
      <c r="C5486" s="5" t="s">
        <v>21</v>
      </c>
      <c r="K5486" s="5">
        <v>200.0</v>
      </c>
      <c r="N5486" s="9">
        <v>44197.0</v>
      </c>
    </row>
    <row r="5487">
      <c r="A5487" s="5">
        <v>5486.0</v>
      </c>
      <c r="B5487" s="5" t="s">
        <v>6045</v>
      </c>
      <c r="C5487" s="5" t="s">
        <v>21</v>
      </c>
      <c r="K5487" s="5">
        <v>400.0</v>
      </c>
      <c r="N5487" s="9">
        <v>44544.0</v>
      </c>
    </row>
    <row r="5488">
      <c r="A5488" s="5">
        <v>5487.0</v>
      </c>
      <c r="B5488" s="5" t="s">
        <v>6046</v>
      </c>
      <c r="C5488" s="5" t="s">
        <v>21</v>
      </c>
      <c r="K5488" s="5">
        <v>1000.0</v>
      </c>
      <c r="N5488" s="9">
        <v>44110.0</v>
      </c>
    </row>
    <row r="5489">
      <c r="A5489" s="5">
        <v>5488.0</v>
      </c>
      <c r="B5489" s="5" t="s">
        <v>6047</v>
      </c>
      <c r="C5489" s="5" t="s">
        <v>21</v>
      </c>
      <c r="K5489" s="5">
        <v>100.0</v>
      </c>
      <c r="N5489" s="9">
        <v>44928.0</v>
      </c>
    </row>
    <row r="5490">
      <c r="A5490" s="5">
        <v>5489.0</v>
      </c>
      <c r="B5490" s="5" t="s">
        <v>6048</v>
      </c>
      <c r="C5490" s="5" t="s">
        <v>21</v>
      </c>
      <c r="K5490" s="5">
        <v>30.0</v>
      </c>
      <c r="N5490" s="9">
        <v>44633.0</v>
      </c>
    </row>
    <row r="5491">
      <c r="A5491" s="5">
        <v>5490.0</v>
      </c>
      <c r="B5491" s="5" t="s">
        <v>6049</v>
      </c>
      <c r="C5491" s="5" t="s">
        <v>21</v>
      </c>
      <c r="K5491" s="5">
        <v>40.0</v>
      </c>
      <c r="N5491" s="9">
        <v>44126.0</v>
      </c>
    </row>
    <row r="5492">
      <c r="A5492" s="5">
        <v>5491.0</v>
      </c>
      <c r="B5492" s="5" t="s">
        <v>6050</v>
      </c>
      <c r="C5492" s="5" t="s">
        <v>21</v>
      </c>
      <c r="K5492" s="5">
        <v>300.0</v>
      </c>
      <c r="N5492" s="9">
        <v>44600.0</v>
      </c>
    </row>
    <row r="5493">
      <c r="A5493" s="5">
        <v>5492.0</v>
      </c>
      <c r="B5493" s="5" t="s">
        <v>6051</v>
      </c>
      <c r="C5493" s="5" t="s">
        <v>21</v>
      </c>
      <c r="K5493" s="5">
        <v>350.0</v>
      </c>
      <c r="N5493" s="9">
        <v>45426.0</v>
      </c>
    </row>
    <row r="5494">
      <c r="A5494" s="5">
        <v>5493.0</v>
      </c>
      <c r="B5494" s="5" t="s">
        <v>6052</v>
      </c>
      <c r="C5494" s="5" t="s">
        <v>21</v>
      </c>
      <c r="K5494" s="5">
        <v>250.0</v>
      </c>
      <c r="N5494" s="9">
        <v>44630.0</v>
      </c>
    </row>
    <row r="5495">
      <c r="A5495" s="5">
        <v>5494.0</v>
      </c>
      <c r="B5495" s="5" t="s">
        <v>6053</v>
      </c>
      <c r="C5495" s="5" t="s">
        <v>21</v>
      </c>
      <c r="K5495" s="5">
        <v>500.0</v>
      </c>
      <c r="N5495" s="9">
        <v>43992.0</v>
      </c>
    </row>
    <row r="5496">
      <c r="A5496" s="5">
        <v>5495.0</v>
      </c>
      <c r="B5496" s="5" t="s">
        <v>6054</v>
      </c>
      <c r="C5496" s="5" t="s">
        <v>21</v>
      </c>
      <c r="K5496" s="5">
        <v>1300.0</v>
      </c>
      <c r="N5496" s="9">
        <v>44207.0</v>
      </c>
    </row>
    <row r="5497">
      <c r="A5497" s="5">
        <v>5496.0</v>
      </c>
      <c r="B5497" s="5" t="s">
        <v>6055</v>
      </c>
      <c r="C5497" s="5" t="s">
        <v>21</v>
      </c>
      <c r="K5497" s="5">
        <v>30.0</v>
      </c>
      <c r="N5497" s="9">
        <v>44457.0</v>
      </c>
    </row>
    <row r="5498">
      <c r="A5498" s="5">
        <v>5497.0</v>
      </c>
      <c r="B5498" s="5" t="s">
        <v>6056</v>
      </c>
      <c r="C5498" s="5" t="s">
        <v>21</v>
      </c>
      <c r="K5498" s="5">
        <v>400.0</v>
      </c>
      <c r="N5498" s="9">
        <v>44637.0</v>
      </c>
    </row>
    <row r="5499">
      <c r="A5499" s="5">
        <v>5498.0</v>
      </c>
      <c r="B5499" s="5" t="s">
        <v>6057</v>
      </c>
      <c r="C5499" s="5" t="s">
        <v>21</v>
      </c>
      <c r="K5499" s="5">
        <v>500.0</v>
      </c>
      <c r="N5499" s="9">
        <v>44984.0</v>
      </c>
    </row>
    <row r="5500">
      <c r="A5500" s="5">
        <v>5499.0</v>
      </c>
      <c r="B5500" s="5" t="s">
        <v>6058</v>
      </c>
      <c r="C5500" s="5" t="s">
        <v>21</v>
      </c>
      <c r="K5500" s="5">
        <v>300.0</v>
      </c>
      <c r="N5500" s="9">
        <v>44598.0</v>
      </c>
    </row>
    <row r="5501">
      <c r="A5501" s="5">
        <v>5500.0</v>
      </c>
      <c r="B5501" s="5" t="s">
        <v>6059</v>
      </c>
      <c r="C5501" s="5" t="s">
        <v>21</v>
      </c>
      <c r="N5501" s="9">
        <v>44518.0</v>
      </c>
    </row>
    <row r="5502">
      <c r="A5502" s="5">
        <v>5501.0</v>
      </c>
      <c r="B5502" s="5" t="s">
        <v>6060</v>
      </c>
      <c r="C5502" s="5" t="s">
        <v>21</v>
      </c>
      <c r="K5502" s="5">
        <v>800.0</v>
      </c>
      <c r="N5502" s="9">
        <v>44329.0</v>
      </c>
    </row>
    <row r="5503">
      <c r="A5503" s="5">
        <v>5502.0</v>
      </c>
      <c r="B5503" s="5" t="s">
        <v>6061</v>
      </c>
      <c r="C5503" s="5" t="s">
        <v>21</v>
      </c>
      <c r="K5503" s="5">
        <v>1300.0</v>
      </c>
      <c r="N5503" s="9">
        <v>43928.0</v>
      </c>
    </row>
    <row r="5504">
      <c r="A5504" s="5">
        <v>5503.0</v>
      </c>
      <c r="B5504" s="5" t="s">
        <v>6062</v>
      </c>
      <c r="C5504" s="5" t="s">
        <v>21</v>
      </c>
      <c r="K5504" s="5">
        <v>50.0</v>
      </c>
      <c r="N5504" s="9">
        <v>44519.0</v>
      </c>
    </row>
    <row r="5505">
      <c r="A5505" s="5">
        <v>5504.0</v>
      </c>
      <c r="B5505" s="5" t="s">
        <v>6063</v>
      </c>
      <c r="C5505" s="5" t="s">
        <v>21</v>
      </c>
      <c r="K5505" s="5">
        <v>200.0</v>
      </c>
      <c r="N5505" s="9">
        <v>44576.0</v>
      </c>
    </row>
    <row r="5506">
      <c r="A5506" s="5">
        <v>5505.0</v>
      </c>
      <c r="B5506" s="5" t="s">
        <v>6064</v>
      </c>
      <c r="C5506" s="5" t="s">
        <v>21</v>
      </c>
      <c r="K5506" s="5">
        <v>700.0</v>
      </c>
      <c r="N5506" s="9">
        <v>44539.0</v>
      </c>
    </row>
    <row r="5507">
      <c r="A5507" s="5">
        <v>5506.0</v>
      </c>
      <c r="B5507" s="5" t="s">
        <v>6065</v>
      </c>
      <c r="C5507" s="5" t="s">
        <v>21</v>
      </c>
      <c r="K5507" s="5">
        <v>350.0</v>
      </c>
      <c r="N5507" s="9">
        <v>44481.0</v>
      </c>
    </row>
    <row r="5508">
      <c r="A5508" s="5">
        <v>5507.0</v>
      </c>
      <c r="B5508" s="5" t="s">
        <v>6066</v>
      </c>
      <c r="C5508" s="5" t="s">
        <v>21</v>
      </c>
      <c r="K5508" s="5">
        <v>1000.0</v>
      </c>
      <c r="N5508" s="9">
        <v>44358.0</v>
      </c>
    </row>
    <row r="5509">
      <c r="A5509" s="5">
        <v>5508.0</v>
      </c>
      <c r="B5509" s="5" t="s">
        <v>6067</v>
      </c>
      <c r="C5509" s="5" t="s">
        <v>21</v>
      </c>
      <c r="K5509" s="5">
        <v>250.0</v>
      </c>
      <c r="N5509" s="9">
        <v>44622.0</v>
      </c>
    </row>
    <row r="5510">
      <c r="A5510" s="5">
        <v>5509.0</v>
      </c>
      <c r="B5510" s="5" t="s">
        <v>6068</v>
      </c>
      <c r="C5510" s="5" t="s">
        <v>21</v>
      </c>
      <c r="K5510" s="5">
        <v>150.0</v>
      </c>
      <c r="N5510" s="9">
        <v>44841.0</v>
      </c>
    </row>
    <row r="5511">
      <c r="A5511" s="5">
        <v>5510.0</v>
      </c>
      <c r="B5511" s="5" t="s">
        <v>6069</v>
      </c>
      <c r="C5511" s="5" t="s">
        <v>21</v>
      </c>
      <c r="K5511" s="5">
        <v>600.0</v>
      </c>
      <c r="N5511" s="9">
        <v>44659.0</v>
      </c>
    </row>
    <row r="5512">
      <c r="A5512" s="5">
        <v>5511.0</v>
      </c>
      <c r="B5512" s="5" t="s">
        <v>6070</v>
      </c>
      <c r="C5512" s="5" t="s">
        <v>21</v>
      </c>
      <c r="K5512" s="5">
        <v>100.0</v>
      </c>
      <c r="N5512" s="9">
        <v>44614.0</v>
      </c>
    </row>
    <row r="5513">
      <c r="A5513" s="5">
        <v>5512.0</v>
      </c>
      <c r="B5513" s="5" t="s">
        <v>6071</v>
      </c>
      <c r="C5513" s="5" t="s">
        <v>21</v>
      </c>
      <c r="K5513" s="5">
        <v>200.0</v>
      </c>
      <c r="N5513" s="9">
        <v>44535.0</v>
      </c>
    </row>
    <row r="5514">
      <c r="A5514" s="5">
        <v>5513.0</v>
      </c>
      <c r="B5514" s="5" t="s">
        <v>6072</v>
      </c>
      <c r="C5514" s="5" t="s">
        <v>21</v>
      </c>
      <c r="K5514" s="5">
        <v>100.0</v>
      </c>
      <c r="N5514" s="9">
        <v>44527.0</v>
      </c>
    </row>
    <row r="5515">
      <c r="A5515" s="5">
        <v>5514.0</v>
      </c>
      <c r="B5515" s="5" t="s">
        <v>6073</v>
      </c>
      <c r="C5515" s="5" t="s">
        <v>21</v>
      </c>
      <c r="K5515" s="5">
        <v>30.0</v>
      </c>
      <c r="N5515" s="9">
        <v>44550.0</v>
      </c>
    </row>
    <row r="5516">
      <c r="A5516" s="5">
        <v>5515.0</v>
      </c>
      <c r="B5516" s="5" t="s">
        <v>6074</v>
      </c>
      <c r="C5516" s="5" t="s">
        <v>21</v>
      </c>
      <c r="K5516" s="5">
        <v>2100.0</v>
      </c>
      <c r="N5516" s="9">
        <v>44102.0</v>
      </c>
    </row>
    <row r="5517">
      <c r="A5517" s="5">
        <v>5516.0</v>
      </c>
      <c r="B5517" s="5" t="s">
        <v>6075</v>
      </c>
      <c r="C5517" s="5" t="s">
        <v>21</v>
      </c>
      <c r="K5517" s="5">
        <v>800.0</v>
      </c>
      <c r="N5517" s="9">
        <v>45477.0</v>
      </c>
    </row>
    <row r="5518">
      <c r="A5518" s="5">
        <v>5517.0</v>
      </c>
      <c r="B5518" s="5" t="s">
        <v>6076</v>
      </c>
      <c r="C5518" s="5" t="s">
        <v>21</v>
      </c>
      <c r="K5518" s="5">
        <v>900.0</v>
      </c>
      <c r="N5518" s="9">
        <v>44581.0</v>
      </c>
    </row>
    <row r="5519">
      <c r="A5519" s="5">
        <v>5518.0</v>
      </c>
      <c r="B5519" s="5" t="s">
        <v>6077</v>
      </c>
      <c r="C5519" s="5" t="s">
        <v>21</v>
      </c>
      <c r="K5519" s="5">
        <v>250.0</v>
      </c>
      <c r="N5519" s="9">
        <v>43845.0</v>
      </c>
    </row>
    <row r="5520">
      <c r="A5520" s="5">
        <v>5519.0</v>
      </c>
      <c r="B5520" s="5" t="s">
        <v>6078</v>
      </c>
      <c r="C5520" s="5" t="s">
        <v>21</v>
      </c>
      <c r="K5520" s="5">
        <v>150.0</v>
      </c>
      <c r="N5520" s="9">
        <v>44701.0</v>
      </c>
    </row>
    <row r="5521">
      <c r="A5521" s="5">
        <v>5520.0</v>
      </c>
      <c r="B5521" s="5" t="s">
        <v>6079</v>
      </c>
      <c r="C5521" s="5" t="s">
        <v>21</v>
      </c>
      <c r="K5521" s="5">
        <v>1600.0</v>
      </c>
      <c r="N5521" s="9">
        <v>44556.0</v>
      </c>
    </row>
    <row r="5522">
      <c r="A5522" s="5">
        <v>5521.0</v>
      </c>
      <c r="B5522" s="5" t="s">
        <v>6080</v>
      </c>
      <c r="C5522" s="5" t="s">
        <v>21</v>
      </c>
      <c r="K5522" s="5">
        <v>800.0</v>
      </c>
      <c r="N5522" s="9">
        <v>44574.0</v>
      </c>
    </row>
    <row r="5523">
      <c r="A5523" s="5">
        <v>5522.0</v>
      </c>
      <c r="B5523" s="5" t="s">
        <v>6081</v>
      </c>
      <c r="C5523" s="5" t="s">
        <v>21</v>
      </c>
      <c r="K5523" s="5">
        <v>150.0</v>
      </c>
      <c r="N5523" s="9">
        <v>44518.0</v>
      </c>
    </row>
    <row r="5524">
      <c r="A5524" s="5">
        <v>5523.0</v>
      </c>
      <c r="B5524" s="5" t="s">
        <v>6082</v>
      </c>
      <c r="C5524" s="5" t="s">
        <v>21</v>
      </c>
      <c r="K5524" s="5">
        <v>200.0</v>
      </c>
      <c r="N5524" s="9">
        <v>44030.0</v>
      </c>
    </row>
    <row r="5525">
      <c r="A5525" s="5">
        <v>5524.0</v>
      </c>
      <c r="B5525" s="5" t="s">
        <v>6083</v>
      </c>
      <c r="C5525" s="5" t="s">
        <v>21</v>
      </c>
      <c r="K5525" s="5">
        <v>200.0</v>
      </c>
      <c r="N5525" s="9">
        <v>44553.0</v>
      </c>
    </row>
    <row r="5526">
      <c r="A5526" s="5">
        <v>5525.0</v>
      </c>
      <c r="B5526" s="5" t="s">
        <v>6084</v>
      </c>
      <c r="C5526" s="5" t="s">
        <v>21</v>
      </c>
      <c r="K5526" s="5">
        <v>70.0</v>
      </c>
      <c r="N5526" s="9">
        <v>44882.0</v>
      </c>
    </row>
    <row r="5527">
      <c r="A5527" s="5">
        <v>5526.0</v>
      </c>
      <c r="B5527" s="5" t="s">
        <v>195</v>
      </c>
      <c r="C5527" s="5" t="s">
        <v>21</v>
      </c>
      <c r="K5527" s="5">
        <v>600.0</v>
      </c>
      <c r="N5527" s="9">
        <v>44283.0</v>
      </c>
    </row>
    <row r="5528">
      <c r="A5528" s="5">
        <v>5527.0</v>
      </c>
      <c r="B5528" s="5" t="s">
        <v>6085</v>
      </c>
      <c r="C5528" s="5" t="s">
        <v>21</v>
      </c>
      <c r="K5528" s="5">
        <v>200.0</v>
      </c>
      <c r="N5528" s="9">
        <v>44537.0</v>
      </c>
    </row>
    <row r="5529">
      <c r="A5529" s="5">
        <v>5528.0</v>
      </c>
      <c r="B5529" s="5" t="s">
        <v>6086</v>
      </c>
      <c r="C5529" s="5" t="s">
        <v>21</v>
      </c>
      <c r="K5529" s="5">
        <v>250.0</v>
      </c>
      <c r="N5529" s="9">
        <v>44516.0</v>
      </c>
    </row>
    <row r="5530">
      <c r="A5530" s="5">
        <v>5529.0</v>
      </c>
      <c r="B5530" s="5" t="s">
        <v>6087</v>
      </c>
      <c r="C5530" s="5" t="s">
        <v>21</v>
      </c>
      <c r="K5530" s="5">
        <v>30.0</v>
      </c>
      <c r="N5530" s="9">
        <v>45070.0</v>
      </c>
    </row>
    <row r="5531">
      <c r="A5531" s="5">
        <v>5530.0</v>
      </c>
      <c r="B5531" s="5" t="s">
        <v>6088</v>
      </c>
      <c r="C5531" s="5" t="s">
        <v>21</v>
      </c>
      <c r="K5531" s="5">
        <v>900.0</v>
      </c>
      <c r="N5531" s="9">
        <v>44652.0</v>
      </c>
    </row>
    <row r="5532">
      <c r="A5532" s="5">
        <v>5531.0</v>
      </c>
      <c r="B5532" s="5" t="s">
        <v>6089</v>
      </c>
      <c r="C5532" s="5" t="s">
        <v>21</v>
      </c>
      <c r="K5532" s="5">
        <v>9600.0</v>
      </c>
      <c r="N5532" s="9">
        <v>45612.0</v>
      </c>
    </row>
    <row r="5533">
      <c r="A5533" s="5">
        <v>5532.0</v>
      </c>
      <c r="B5533" s="5" t="s">
        <v>6090</v>
      </c>
      <c r="C5533" s="5" t="s">
        <v>21</v>
      </c>
      <c r="K5533" s="5">
        <v>700.0</v>
      </c>
      <c r="N5533" s="9">
        <v>45380.0</v>
      </c>
    </row>
    <row r="5534">
      <c r="A5534" s="5">
        <v>5533.0</v>
      </c>
      <c r="B5534" s="5" t="s">
        <v>6091</v>
      </c>
      <c r="C5534" s="5" t="s">
        <v>21</v>
      </c>
      <c r="K5534" s="5">
        <v>1800.0</v>
      </c>
      <c r="N5534" s="9">
        <v>44317.0</v>
      </c>
    </row>
    <row r="5535">
      <c r="A5535" s="5">
        <v>5534.0</v>
      </c>
      <c r="B5535" s="5" t="s">
        <v>6092</v>
      </c>
      <c r="C5535" s="5" t="s">
        <v>21</v>
      </c>
      <c r="K5535" s="5">
        <v>700.0</v>
      </c>
      <c r="N5535" s="9">
        <v>44346.0</v>
      </c>
    </row>
    <row r="5536">
      <c r="A5536" s="5">
        <v>5535.0</v>
      </c>
      <c r="B5536" s="5" t="s">
        <v>6093</v>
      </c>
      <c r="C5536" s="5" t="s">
        <v>21</v>
      </c>
      <c r="K5536" s="5">
        <v>60.0</v>
      </c>
      <c r="N5536" s="9">
        <v>44724.0</v>
      </c>
    </row>
    <row r="5537">
      <c r="A5537" s="5">
        <v>5536.0</v>
      </c>
      <c r="B5537" s="5" t="s">
        <v>6094</v>
      </c>
      <c r="C5537" s="5" t="s">
        <v>21</v>
      </c>
      <c r="K5537" s="5">
        <v>400.0</v>
      </c>
      <c r="N5537" s="9">
        <v>45164.0</v>
      </c>
    </row>
    <row r="5538">
      <c r="A5538" s="5">
        <v>5537.0</v>
      </c>
      <c r="B5538" s="5" t="s">
        <v>6095</v>
      </c>
      <c r="C5538" s="5" t="s">
        <v>21</v>
      </c>
      <c r="K5538" s="5">
        <v>400.0</v>
      </c>
      <c r="N5538" s="9">
        <v>44019.0</v>
      </c>
    </row>
    <row r="5539">
      <c r="A5539" s="5">
        <v>5538.0</v>
      </c>
      <c r="B5539" s="5" t="s">
        <v>6096</v>
      </c>
      <c r="C5539" s="5" t="s">
        <v>21</v>
      </c>
      <c r="K5539" s="5">
        <v>1900.0</v>
      </c>
      <c r="N5539" s="9">
        <v>44213.0</v>
      </c>
    </row>
    <row r="5540">
      <c r="A5540" s="5">
        <v>5539.0</v>
      </c>
      <c r="B5540" s="5" t="s">
        <v>6097</v>
      </c>
      <c r="C5540" s="5" t="s">
        <v>21</v>
      </c>
      <c r="K5540" s="5">
        <v>150.0</v>
      </c>
      <c r="N5540" s="9">
        <v>44846.0</v>
      </c>
    </row>
    <row r="5541">
      <c r="A5541" s="5">
        <v>5540.0</v>
      </c>
      <c r="B5541" s="5" t="s">
        <v>6098</v>
      </c>
      <c r="C5541" s="5" t="s">
        <v>21</v>
      </c>
      <c r="K5541" s="5">
        <v>10.0</v>
      </c>
      <c r="N5541" s="9">
        <v>44597.0</v>
      </c>
    </row>
    <row r="5542">
      <c r="A5542" s="5">
        <v>5541.0</v>
      </c>
      <c r="B5542" s="5" t="s">
        <v>6099</v>
      </c>
      <c r="C5542" s="5" t="s">
        <v>21</v>
      </c>
      <c r="K5542" s="5">
        <v>150.0</v>
      </c>
      <c r="N5542" s="9">
        <v>45219.0</v>
      </c>
    </row>
    <row r="5543">
      <c r="A5543" s="5">
        <v>5542.0</v>
      </c>
      <c r="B5543" s="5" t="s">
        <v>6100</v>
      </c>
      <c r="C5543" s="5" t="s">
        <v>21</v>
      </c>
      <c r="N5543" s="9">
        <v>44518.0</v>
      </c>
    </row>
    <row r="5544">
      <c r="A5544" s="5">
        <v>5543.0</v>
      </c>
      <c r="B5544" s="5" t="s">
        <v>6101</v>
      </c>
      <c r="C5544" s="5" t="s">
        <v>21</v>
      </c>
      <c r="K5544" s="5">
        <v>700.0</v>
      </c>
      <c r="N5544" s="9">
        <v>44066.0</v>
      </c>
    </row>
    <row r="5545">
      <c r="A5545" s="5">
        <v>5544.0</v>
      </c>
      <c r="B5545" s="5" t="s">
        <v>6102</v>
      </c>
      <c r="C5545" s="5" t="s">
        <v>21</v>
      </c>
      <c r="N5545" s="9">
        <v>44241.0</v>
      </c>
    </row>
    <row r="5546">
      <c r="A5546" s="5">
        <v>5545.0</v>
      </c>
      <c r="B5546" s="5" t="s">
        <v>6103</v>
      </c>
      <c r="C5546" s="5" t="s">
        <v>21</v>
      </c>
      <c r="K5546" s="5">
        <v>150.0</v>
      </c>
      <c r="N5546" s="9">
        <v>44599.0</v>
      </c>
    </row>
    <row r="5547">
      <c r="A5547" s="5">
        <v>5546.0</v>
      </c>
      <c r="B5547" s="5" t="s">
        <v>6104</v>
      </c>
      <c r="C5547" s="5" t="s">
        <v>21</v>
      </c>
      <c r="K5547" s="5">
        <v>350.0</v>
      </c>
      <c r="N5547" s="9">
        <v>44547.0</v>
      </c>
    </row>
    <row r="5548">
      <c r="A5548" s="5">
        <v>5547.0</v>
      </c>
      <c r="B5548" s="5" t="s">
        <v>6105</v>
      </c>
      <c r="C5548" s="5" t="s">
        <v>21</v>
      </c>
      <c r="K5548" s="5">
        <v>1000.0</v>
      </c>
      <c r="N5548" s="9">
        <v>44320.0</v>
      </c>
    </row>
    <row r="5549">
      <c r="A5549" s="5">
        <v>5548.0</v>
      </c>
      <c r="B5549" s="5" t="s">
        <v>6106</v>
      </c>
      <c r="C5549" s="5" t="s">
        <v>21</v>
      </c>
      <c r="K5549" s="5">
        <v>350.0</v>
      </c>
      <c r="N5549" s="9">
        <v>44602.0</v>
      </c>
    </row>
    <row r="5550">
      <c r="A5550" s="5">
        <v>5549.0</v>
      </c>
      <c r="B5550" s="5" t="s">
        <v>6107</v>
      </c>
      <c r="C5550" s="5" t="s">
        <v>21</v>
      </c>
      <c r="K5550" s="5">
        <v>100.0</v>
      </c>
      <c r="N5550" s="9">
        <v>44984.0</v>
      </c>
    </row>
    <row r="5551">
      <c r="A5551" s="5">
        <v>5550.0</v>
      </c>
      <c r="B5551" s="5" t="s">
        <v>6108</v>
      </c>
      <c r="C5551" s="5" t="s">
        <v>21</v>
      </c>
      <c r="K5551" s="5">
        <v>600.0</v>
      </c>
      <c r="N5551" s="9">
        <v>44587.0</v>
      </c>
    </row>
    <row r="5552">
      <c r="A5552" s="5">
        <v>5551.0</v>
      </c>
      <c r="B5552" s="5" t="s">
        <v>6109</v>
      </c>
      <c r="C5552" s="5" t="s">
        <v>21</v>
      </c>
      <c r="K5552" s="5">
        <v>600.0</v>
      </c>
      <c r="N5552" s="9">
        <v>45634.0</v>
      </c>
    </row>
    <row r="5553">
      <c r="A5553" s="5">
        <v>5552.0</v>
      </c>
      <c r="B5553" s="5" t="s">
        <v>6110</v>
      </c>
      <c r="C5553" s="5" t="s">
        <v>21</v>
      </c>
      <c r="K5553" s="5">
        <v>800.0</v>
      </c>
      <c r="N5553" s="9">
        <v>44131.0</v>
      </c>
    </row>
    <row r="5554">
      <c r="A5554" s="5">
        <v>5553.0</v>
      </c>
      <c r="B5554" s="5" t="s">
        <v>198</v>
      </c>
      <c r="C5554" s="5" t="s">
        <v>21</v>
      </c>
      <c r="K5554" s="5">
        <v>10.0</v>
      </c>
      <c r="N5554" s="9">
        <v>44034.0</v>
      </c>
    </row>
    <row r="5555">
      <c r="A5555" s="5">
        <v>5554.0</v>
      </c>
      <c r="B5555" s="5" t="s">
        <v>6111</v>
      </c>
      <c r="C5555" s="5" t="s">
        <v>21</v>
      </c>
      <c r="K5555" s="5">
        <v>1400.0</v>
      </c>
      <c r="N5555" s="9">
        <v>44385.0</v>
      </c>
    </row>
    <row r="5556">
      <c r="A5556" s="5">
        <v>5555.0</v>
      </c>
      <c r="B5556" s="5" t="s">
        <v>6112</v>
      </c>
      <c r="C5556" s="5" t="s">
        <v>21</v>
      </c>
      <c r="K5556" s="5">
        <v>70.0</v>
      </c>
      <c r="N5556" s="9">
        <v>45428.0</v>
      </c>
    </row>
    <row r="5557">
      <c r="A5557" s="5">
        <v>5556.0</v>
      </c>
      <c r="B5557" s="5" t="s">
        <v>6113</v>
      </c>
      <c r="C5557" s="5" t="s">
        <v>21</v>
      </c>
      <c r="K5557" s="5">
        <v>3500.0</v>
      </c>
      <c r="N5557" s="9">
        <v>43886.0</v>
      </c>
    </row>
    <row r="5558">
      <c r="A5558" s="5">
        <v>5557.0</v>
      </c>
      <c r="B5558" s="5" t="s">
        <v>6114</v>
      </c>
      <c r="C5558" s="5" t="s">
        <v>21</v>
      </c>
      <c r="K5558" s="5">
        <v>500.0</v>
      </c>
      <c r="N5558" s="9">
        <v>44543.0</v>
      </c>
    </row>
    <row r="5559">
      <c r="A5559" s="5">
        <v>5558.0</v>
      </c>
      <c r="B5559" s="5" t="s">
        <v>226</v>
      </c>
      <c r="C5559" s="5" t="s">
        <v>21</v>
      </c>
      <c r="K5559" s="5">
        <v>3700.0</v>
      </c>
      <c r="N5559" s="9">
        <v>43977.0</v>
      </c>
    </row>
    <row r="5560">
      <c r="A5560" s="5">
        <v>5559.0</v>
      </c>
      <c r="B5560" s="5" t="s">
        <v>6115</v>
      </c>
      <c r="C5560" s="5" t="s">
        <v>21</v>
      </c>
      <c r="K5560" s="5">
        <v>150.0</v>
      </c>
      <c r="N5560" s="9">
        <v>44629.0</v>
      </c>
    </row>
    <row r="5561">
      <c r="A5561" s="5">
        <v>5560.0</v>
      </c>
      <c r="B5561" s="5" t="s">
        <v>6116</v>
      </c>
      <c r="C5561" s="5" t="s">
        <v>21</v>
      </c>
      <c r="K5561" s="5">
        <v>50.0</v>
      </c>
      <c r="N5561" s="9">
        <v>44642.0</v>
      </c>
    </row>
    <row r="5562">
      <c r="A5562" s="5">
        <v>5561.0</v>
      </c>
      <c r="B5562" s="5" t="s">
        <v>6117</v>
      </c>
      <c r="C5562" s="5" t="s">
        <v>21</v>
      </c>
      <c r="K5562" s="5">
        <v>250.0</v>
      </c>
      <c r="N5562" s="9">
        <v>44768.0</v>
      </c>
    </row>
    <row r="5563">
      <c r="A5563" s="5">
        <v>5562.0</v>
      </c>
      <c r="B5563" s="5" t="s">
        <v>6118</v>
      </c>
      <c r="C5563" s="5" t="s">
        <v>21</v>
      </c>
      <c r="K5563" s="5">
        <v>200.0</v>
      </c>
      <c r="N5563" s="9">
        <v>44591.0</v>
      </c>
    </row>
    <row r="5564">
      <c r="A5564" s="5">
        <v>5563.0</v>
      </c>
      <c r="B5564" s="5" t="s">
        <v>6119</v>
      </c>
      <c r="C5564" s="5" t="s">
        <v>21</v>
      </c>
      <c r="K5564" s="5">
        <v>500.0</v>
      </c>
      <c r="N5564" s="9">
        <v>44023.0</v>
      </c>
    </row>
    <row r="5565">
      <c r="A5565" s="5">
        <v>5564.0</v>
      </c>
      <c r="B5565" s="5" t="s">
        <v>6120</v>
      </c>
      <c r="C5565" s="5" t="s">
        <v>21</v>
      </c>
      <c r="K5565" s="5">
        <v>40.0</v>
      </c>
      <c r="N5565" s="9">
        <v>44534.0</v>
      </c>
    </row>
    <row r="5566">
      <c r="A5566" s="5">
        <v>5565.0</v>
      </c>
      <c r="B5566" s="5" t="s">
        <v>201</v>
      </c>
      <c r="C5566" s="5" t="s">
        <v>21</v>
      </c>
      <c r="K5566" s="5">
        <v>250.0</v>
      </c>
      <c r="N5566" s="9">
        <v>44695.0</v>
      </c>
    </row>
    <row r="5567">
      <c r="A5567" s="5">
        <v>5566.0</v>
      </c>
      <c r="B5567" s="5" t="s">
        <v>6121</v>
      </c>
      <c r="C5567" s="5" t="s">
        <v>21</v>
      </c>
      <c r="K5567" s="5">
        <v>300.0</v>
      </c>
      <c r="N5567" s="9">
        <v>44542.0</v>
      </c>
    </row>
    <row r="5568">
      <c r="A5568" s="5">
        <v>5567.0</v>
      </c>
      <c r="B5568" s="5" t="s">
        <v>6122</v>
      </c>
      <c r="C5568" s="5" t="s">
        <v>21</v>
      </c>
      <c r="N5568" s="9">
        <v>44685.0</v>
      </c>
    </row>
    <row r="5569">
      <c r="A5569" s="5">
        <v>5568.0</v>
      </c>
      <c r="B5569" s="5" t="s">
        <v>6123</v>
      </c>
      <c r="C5569" s="5" t="s">
        <v>21</v>
      </c>
      <c r="K5569" s="5">
        <v>100.0</v>
      </c>
      <c r="N5569" s="9">
        <v>45721.0</v>
      </c>
    </row>
    <row r="5570">
      <c r="A5570" s="5">
        <v>5569.0</v>
      </c>
      <c r="B5570" s="5" t="s">
        <v>6124</v>
      </c>
      <c r="C5570" s="5" t="s">
        <v>21</v>
      </c>
      <c r="K5570" s="5">
        <v>400.0</v>
      </c>
      <c r="N5570" s="9">
        <v>44500.0</v>
      </c>
    </row>
    <row r="5571">
      <c r="A5571" s="5">
        <v>5570.0</v>
      </c>
      <c r="B5571" s="5" t="s">
        <v>6125</v>
      </c>
      <c r="C5571" s="5" t="s">
        <v>21</v>
      </c>
      <c r="K5571" s="5">
        <v>800.0</v>
      </c>
      <c r="N5571" s="9">
        <v>44325.0</v>
      </c>
    </row>
    <row r="5572">
      <c r="A5572" s="5">
        <v>5571.0</v>
      </c>
      <c r="B5572" s="5" t="s">
        <v>6126</v>
      </c>
      <c r="C5572" s="5" t="s">
        <v>21</v>
      </c>
      <c r="K5572" s="5">
        <v>40.0</v>
      </c>
      <c r="N5572" s="9">
        <v>44658.0</v>
      </c>
    </row>
    <row r="5573">
      <c r="A5573" s="5">
        <v>5572.0</v>
      </c>
      <c r="B5573" s="5" t="s">
        <v>6127</v>
      </c>
      <c r="C5573" s="5" t="s">
        <v>21</v>
      </c>
      <c r="K5573" s="5">
        <v>200.0</v>
      </c>
      <c r="N5573" s="9">
        <v>44552.0</v>
      </c>
    </row>
    <row r="5574">
      <c r="A5574" s="5">
        <v>5573.0</v>
      </c>
      <c r="B5574" s="5" t="s">
        <v>6128</v>
      </c>
      <c r="C5574" s="5" t="s">
        <v>21</v>
      </c>
      <c r="K5574" s="5">
        <v>6100.0</v>
      </c>
      <c r="N5574" s="9">
        <v>43922.0</v>
      </c>
    </row>
    <row r="5575">
      <c r="A5575" s="5">
        <v>5574.0</v>
      </c>
      <c r="B5575" s="5" t="s">
        <v>6129</v>
      </c>
      <c r="C5575" s="5" t="s">
        <v>21</v>
      </c>
      <c r="K5575" s="5">
        <v>600.0</v>
      </c>
      <c r="N5575" s="9">
        <v>44677.0</v>
      </c>
    </row>
    <row r="5576">
      <c r="A5576" s="5">
        <v>5575.0</v>
      </c>
      <c r="B5576" s="5" t="s">
        <v>6130</v>
      </c>
      <c r="C5576" s="5" t="s">
        <v>21</v>
      </c>
      <c r="K5576" s="5">
        <v>1800.0</v>
      </c>
      <c r="N5576" s="9">
        <v>44236.0</v>
      </c>
    </row>
    <row r="5577">
      <c r="A5577" s="5">
        <v>5576.0</v>
      </c>
      <c r="B5577" s="5" t="s">
        <v>6131</v>
      </c>
      <c r="C5577" s="5" t="s">
        <v>21</v>
      </c>
      <c r="K5577" s="5">
        <v>70.0</v>
      </c>
      <c r="N5577" s="9">
        <v>44572.0</v>
      </c>
    </row>
    <row r="5578">
      <c r="A5578" s="5">
        <v>5577.0</v>
      </c>
      <c r="B5578" s="5" t="s">
        <v>6132</v>
      </c>
      <c r="C5578" s="5" t="s">
        <v>21</v>
      </c>
      <c r="K5578" s="5">
        <v>600.0</v>
      </c>
      <c r="N5578" s="9">
        <v>44153.0</v>
      </c>
    </row>
    <row r="5579">
      <c r="A5579" s="5">
        <v>5578.0</v>
      </c>
      <c r="B5579" s="5" t="s">
        <v>6133</v>
      </c>
      <c r="C5579" s="5" t="s">
        <v>21</v>
      </c>
      <c r="N5579" s="9">
        <v>44524.0</v>
      </c>
    </row>
    <row r="5580">
      <c r="A5580" s="5">
        <v>5579.0</v>
      </c>
      <c r="B5580" s="5" t="s">
        <v>6134</v>
      </c>
      <c r="C5580" s="5" t="s">
        <v>21</v>
      </c>
      <c r="K5580" s="5">
        <v>80.0</v>
      </c>
      <c r="N5580" s="9">
        <v>44960.0</v>
      </c>
    </row>
    <row r="5581">
      <c r="A5581" s="5">
        <v>5580.0</v>
      </c>
      <c r="B5581" s="5" t="s">
        <v>6135</v>
      </c>
      <c r="C5581" s="5" t="s">
        <v>21</v>
      </c>
      <c r="K5581" s="5">
        <v>100.0</v>
      </c>
      <c r="N5581" s="9">
        <v>44840.0</v>
      </c>
    </row>
    <row r="5582">
      <c r="A5582" s="5">
        <v>5581.0</v>
      </c>
      <c r="B5582" s="5" t="s">
        <v>6136</v>
      </c>
      <c r="C5582" s="5" t="s">
        <v>21</v>
      </c>
      <c r="K5582" s="5">
        <v>500.0</v>
      </c>
      <c r="N5582" s="9">
        <v>44327.0</v>
      </c>
    </row>
    <row r="5583">
      <c r="A5583" s="5">
        <v>5582.0</v>
      </c>
      <c r="B5583" s="5" t="s">
        <v>6137</v>
      </c>
      <c r="C5583" s="5" t="s">
        <v>21</v>
      </c>
      <c r="K5583" s="5">
        <v>40.0</v>
      </c>
      <c r="N5583" s="9">
        <v>44858.0</v>
      </c>
    </row>
    <row r="5584">
      <c r="A5584" s="5">
        <v>5583.0</v>
      </c>
      <c r="B5584" s="5" t="s">
        <v>6138</v>
      </c>
      <c r="C5584" s="5" t="s">
        <v>21</v>
      </c>
      <c r="K5584" s="5">
        <v>60.0</v>
      </c>
      <c r="N5584" s="9">
        <v>44557.0</v>
      </c>
    </row>
    <row r="5585">
      <c r="A5585" s="5">
        <v>5584.0</v>
      </c>
      <c r="B5585" s="5" t="s">
        <v>6139</v>
      </c>
      <c r="C5585" s="5" t="s">
        <v>21</v>
      </c>
      <c r="K5585" s="5">
        <v>800.0</v>
      </c>
      <c r="N5585" s="9">
        <v>44336.0</v>
      </c>
    </row>
    <row r="5586">
      <c r="A5586" s="5">
        <v>5585.0</v>
      </c>
      <c r="B5586" s="5" t="s">
        <v>6140</v>
      </c>
      <c r="C5586" s="5" t="s">
        <v>21</v>
      </c>
      <c r="K5586" s="5">
        <v>200.0</v>
      </c>
      <c r="N5586" s="9">
        <v>44976.0</v>
      </c>
    </row>
    <row r="5587">
      <c r="A5587" s="5">
        <v>5586.0</v>
      </c>
      <c r="B5587" s="5" t="s">
        <v>6141</v>
      </c>
      <c r="C5587" s="5" t="s">
        <v>21</v>
      </c>
      <c r="K5587" s="5">
        <v>250.0</v>
      </c>
      <c r="N5587" s="9">
        <v>44599.0</v>
      </c>
    </row>
    <row r="5588">
      <c r="A5588" s="5">
        <v>5587.0</v>
      </c>
      <c r="B5588" s="5" t="s">
        <v>6142</v>
      </c>
      <c r="C5588" s="5" t="s">
        <v>21</v>
      </c>
      <c r="K5588" s="5">
        <v>40.0</v>
      </c>
      <c r="N5588" s="9">
        <v>44864.0</v>
      </c>
    </row>
    <row r="5589">
      <c r="A5589" s="5">
        <v>5588.0</v>
      </c>
      <c r="B5589" s="5" t="s">
        <v>6143</v>
      </c>
      <c r="C5589" s="5" t="s">
        <v>21</v>
      </c>
      <c r="K5589" s="5">
        <v>100.0</v>
      </c>
      <c r="N5589" s="9">
        <v>44321.0</v>
      </c>
    </row>
    <row r="5590">
      <c r="A5590" s="5">
        <v>5589.0</v>
      </c>
      <c r="B5590" s="5" t="s">
        <v>6144</v>
      </c>
      <c r="C5590" s="5" t="s">
        <v>21</v>
      </c>
      <c r="N5590" s="9">
        <v>44681.0</v>
      </c>
    </row>
    <row r="5591">
      <c r="A5591" s="5">
        <v>5590.0</v>
      </c>
      <c r="B5591" s="5" t="s">
        <v>6145</v>
      </c>
      <c r="C5591" s="5" t="s">
        <v>21</v>
      </c>
      <c r="K5591" s="5">
        <v>100.0</v>
      </c>
      <c r="N5591" s="9">
        <v>45501.0</v>
      </c>
    </row>
    <row r="5592">
      <c r="A5592" s="5">
        <v>5591.0</v>
      </c>
      <c r="B5592" s="5" t="s">
        <v>6146</v>
      </c>
      <c r="C5592" s="5" t="s">
        <v>21</v>
      </c>
      <c r="K5592" s="5">
        <v>250.0</v>
      </c>
      <c r="N5592" s="9">
        <v>44536.0</v>
      </c>
    </row>
    <row r="5593">
      <c r="A5593" s="5">
        <v>5592.0</v>
      </c>
      <c r="B5593" s="5" t="s">
        <v>6147</v>
      </c>
      <c r="C5593" s="5" t="s">
        <v>21</v>
      </c>
      <c r="K5593" s="5">
        <v>50.0</v>
      </c>
      <c r="N5593" s="9">
        <v>44687.0</v>
      </c>
    </row>
    <row r="5594">
      <c r="A5594" s="5">
        <v>5593.0</v>
      </c>
      <c r="B5594" s="5" t="s">
        <v>6148</v>
      </c>
      <c r="C5594" s="5" t="s">
        <v>21</v>
      </c>
      <c r="K5594" s="5">
        <v>500.0</v>
      </c>
      <c r="N5594" s="9">
        <v>43882.0</v>
      </c>
    </row>
    <row r="5595">
      <c r="A5595" s="5">
        <v>5594.0</v>
      </c>
      <c r="B5595" s="5" t="s">
        <v>6149</v>
      </c>
      <c r="C5595" s="5" t="s">
        <v>21</v>
      </c>
      <c r="K5595" s="5">
        <v>400.0</v>
      </c>
      <c r="N5595" s="9">
        <v>44979.0</v>
      </c>
    </row>
    <row r="5596">
      <c r="A5596" s="5">
        <v>5595.0</v>
      </c>
      <c r="B5596" s="5" t="s">
        <v>6150</v>
      </c>
      <c r="C5596" s="5" t="s">
        <v>21</v>
      </c>
      <c r="K5596" s="5">
        <v>90.0</v>
      </c>
      <c r="N5596" s="9">
        <v>43977.0</v>
      </c>
    </row>
    <row r="5597">
      <c r="A5597" s="5">
        <v>5596.0</v>
      </c>
      <c r="B5597" s="5" t="s">
        <v>6151</v>
      </c>
      <c r="C5597" s="5" t="s">
        <v>21</v>
      </c>
      <c r="K5597" s="5">
        <v>40.0</v>
      </c>
      <c r="N5597" s="9">
        <v>44998.0</v>
      </c>
    </row>
    <row r="5598">
      <c r="A5598" s="5">
        <v>5597.0</v>
      </c>
      <c r="B5598" s="5" t="s">
        <v>6152</v>
      </c>
      <c r="C5598" s="5" t="s">
        <v>21</v>
      </c>
      <c r="K5598" s="5">
        <v>150.0</v>
      </c>
      <c r="N5598" s="9">
        <v>45800.0</v>
      </c>
    </row>
    <row r="5599">
      <c r="A5599" s="5">
        <v>5598.0</v>
      </c>
      <c r="B5599" s="5" t="s">
        <v>6153</v>
      </c>
      <c r="C5599" s="5" t="s">
        <v>21</v>
      </c>
      <c r="K5599" s="5">
        <v>300.0</v>
      </c>
      <c r="N5599" s="9">
        <v>44967.0</v>
      </c>
    </row>
    <row r="5600">
      <c r="A5600" s="5">
        <v>5599.0</v>
      </c>
      <c r="B5600" s="5" t="s">
        <v>6154</v>
      </c>
      <c r="C5600" s="5" t="s">
        <v>21</v>
      </c>
      <c r="K5600" s="5">
        <v>100.0</v>
      </c>
      <c r="N5600" s="9">
        <v>45497.0</v>
      </c>
    </row>
    <row r="5601">
      <c r="A5601" s="5">
        <v>5600.0</v>
      </c>
      <c r="B5601" s="5" t="s">
        <v>6155</v>
      </c>
      <c r="C5601" s="5" t="s">
        <v>21</v>
      </c>
      <c r="K5601" s="5">
        <v>700.0</v>
      </c>
      <c r="N5601" s="9">
        <v>44590.0</v>
      </c>
    </row>
    <row r="5602">
      <c r="A5602" s="5">
        <v>5601.0</v>
      </c>
      <c r="B5602" s="5" t="s">
        <v>6156</v>
      </c>
      <c r="C5602" s="5" t="s">
        <v>21</v>
      </c>
      <c r="K5602" s="5">
        <v>150.0</v>
      </c>
      <c r="N5602" s="9">
        <v>45167.0</v>
      </c>
    </row>
    <row r="5603">
      <c r="A5603" s="5">
        <v>5602.0</v>
      </c>
      <c r="B5603" s="5" t="s">
        <v>6157</v>
      </c>
      <c r="C5603" s="5" t="s">
        <v>21</v>
      </c>
      <c r="K5603" s="5">
        <v>2300.0</v>
      </c>
      <c r="N5603" s="9">
        <v>43909.0</v>
      </c>
    </row>
    <row r="5604">
      <c r="A5604" s="5">
        <v>5603.0</v>
      </c>
      <c r="B5604" s="5" t="s">
        <v>6158</v>
      </c>
      <c r="C5604" s="5" t="s">
        <v>21</v>
      </c>
      <c r="K5604" s="5">
        <v>250.0</v>
      </c>
      <c r="N5604" s="9">
        <v>44667.0</v>
      </c>
    </row>
    <row r="5605">
      <c r="A5605" s="5">
        <v>5604.0</v>
      </c>
      <c r="B5605" s="5" t="s">
        <v>6159</v>
      </c>
      <c r="C5605" s="5" t="s">
        <v>21</v>
      </c>
      <c r="K5605" s="5">
        <v>40.0</v>
      </c>
      <c r="N5605" s="9">
        <v>45285.0</v>
      </c>
    </row>
    <row r="5606">
      <c r="A5606" s="5">
        <v>5605.0</v>
      </c>
      <c r="B5606" s="5" t="s">
        <v>6160</v>
      </c>
      <c r="C5606" s="5" t="s">
        <v>21</v>
      </c>
      <c r="K5606" s="5">
        <v>600.0</v>
      </c>
      <c r="N5606" s="9">
        <v>44534.0</v>
      </c>
    </row>
    <row r="5607">
      <c r="A5607" s="5">
        <v>5606.0</v>
      </c>
      <c r="B5607" s="5" t="s">
        <v>6161</v>
      </c>
      <c r="C5607" s="5" t="s">
        <v>21</v>
      </c>
      <c r="K5607" s="5">
        <v>700.0</v>
      </c>
      <c r="N5607" s="9">
        <v>44355.0</v>
      </c>
    </row>
    <row r="5608">
      <c r="A5608" s="5">
        <v>5607.0</v>
      </c>
      <c r="B5608" s="5" t="s">
        <v>6162</v>
      </c>
      <c r="C5608" s="5" t="s">
        <v>21</v>
      </c>
      <c r="K5608" s="5">
        <v>40.0</v>
      </c>
      <c r="N5608" s="9">
        <v>44361.0</v>
      </c>
    </row>
    <row r="5609">
      <c r="A5609" s="5">
        <v>5608.0</v>
      </c>
      <c r="B5609" s="5" t="s">
        <v>6163</v>
      </c>
      <c r="C5609" s="5" t="s">
        <v>21</v>
      </c>
      <c r="K5609" s="5">
        <v>30.0</v>
      </c>
      <c r="N5609" s="9">
        <v>44391.0</v>
      </c>
    </row>
    <row r="5610">
      <c r="A5610" s="5">
        <v>5609.0</v>
      </c>
      <c r="B5610" s="5" t="s">
        <v>6164</v>
      </c>
      <c r="C5610" s="5" t="s">
        <v>21</v>
      </c>
      <c r="K5610" s="5">
        <v>90.0</v>
      </c>
      <c r="N5610" s="9">
        <v>44886.0</v>
      </c>
    </row>
    <row r="5611">
      <c r="A5611" s="5">
        <v>5610.0</v>
      </c>
      <c r="B5611" s="5" t="s">
        <v>6165</v>
      </c>
      <c r="C5611" s="5" t="s">
        <v>21</v>
      </c>
      <c r="K5611" s="5">
        <v>350.0</v>
      </c>
      <c r="N5611" s="9">
        <v>44770.0</v>
      </c>
    </row>
    <row r="5612">
      <c r="A5612" s="5">
        <v>5611.0</v>
      </c>
      <c r="B5612" s="5" t="s">
        <v>6166</v>
      </c>
      <c r="C5612" s="5" t="s">
        <v>21</v>
      </c>
      <c r="K5612" s="5">
        <v>800.0</v>
      </c>
      <c r="N5612" s="9">
        <v>44529.0</v>
      </c>
    </row>
    <row r="5613">
      <c r="A5613" s="5">
        <v>5612.0</v>
      </c>
      <c r="B5613" s="5" t="s">
        <v>6167</v>
      </c>
      <c r="C5613" s="5" t="s">
        <v>21</v>
      </c>
      <c r="K5613" s="5">
        <v>800.0</v>
      </c>
      <c r="N5613" s="9">
        <v>44946.0</v>
      </c>
    </row>
    <row r="5614">
      <c r="A5614" s="5">
        <v>5613.0</v>
      </c>
      <c r="B5614" s="5" t="s">
        <v>6168</v>
      </c>
      <c r="C5614" s="5" t="s">
        <v>21</v>
      </c>
      <c r="K5614" s="5">
        <v>400.0</v>
      </c>
      <c r="N5614" s="9">
        <v>44527.0</v>
      </c>
    </row>
    <row r="5615">
      <c r="A5615" s="5">
        <v>5614.0</v>
      </c>
      <c r="B5615" s="5" t="s">
        <v>6169</v>
      </c>
      <c r="C5615" s="5" t="s">
        <v>21</v>
      </c>
      <c r="K5615" s="5">
        <v>150.0</v>
      </c>
      <c r="N5615" s="9">
        <v>45176.0</v>
      </c>
    </row>
    <row r="5616">
      <c r="A5616" s="5">
        <v>5615.0</v>
      </c>
      <c r="B5616" s="5" t="s">
        <v>6170</v>
      </c>
      <c r="C5616" s="5" t="s">
        <v>21</v>
      </c>
      <c r="K5616" s="5">
        <v>10.0</v>
      </c>
      <c r="N5616" s="9">
        <v>44564.0</v>
      </c>
    </row>
    <row r="5617">
      <c r="A5617" s="5">
        <v>5616.0</v>
      </c>
      <c r="B5617" s="5" t="s">
        <v>6171</v>
      </c>
      <c r="C5617" s="5" t="s">
        <v>21</v>
      </c>
      <c r="K5617" s="5">
        <v>300.0</v>
      </c>
      <c r="N5617" s="9">
        <v>44578.0</v>
      </c>
    </row>
    <row r="5618">
      <c r="A5618" s="5">
        <v>5617.0</v>
      </c>
      <c r="B5618" s="5" t="s">
        <v>6172</v>
      </c>
      <c r="C5618" s="5" t="s">
        <v>21</v>
      </c>
      <c r="K5618" s="5">
        <v>1000.0</v>
      </c>
      <c r="N5618" s="9">
        <v>44523.0</v>
      </c>
    </row>
    <row r="5619">
      <c r="A5619" s="5">
        <v>5618.0</v>
      </c>
      <c r="B5619" s="5" t="s">
        <v>6173</v>
      </c>
      <c r="C5619" s="5" t="s">
        <v>21</v>
      </c>
      <c r="K5619" s="5">
        <v>700.0</v>
      </c>
      <c r="N5619" s="9">
        <v>45565.0</v>
      </c>
    </row>
    <row r="5620">
      <c r="A5620" s="5">
        <v>5619.0</v>
      </c>
      <c r="B5620" s="5" t="s">
        <v>6174</v>
      </c>
      <c r="C5620" s="5" t="s">
        <v>21</v>
      </c>
      <c r="K5620" s="5">
        <v>900.0</v>
      </c>
      <c r="N5620" s="9">
        <v>44050.0</v>
      </c>
    </row>
    <row r="5621">
      <c r="A5621" s="5">
        <v>5620.0</v>
      </c>
      <c r="B5621" s="5" t="s">
        <v>6175</v>
      </c>
      <c r="C5621" s="5" t="s">
        <v>21</v>
      </c>
      <c r="K5621" s="5">
        <v>500.0</v>
      </c>
      <c r="N5621" s="9">
        <v>44545.0</v>
      </c>
    </row>
    <row r="5622">
      <c r="A5622" s="5">
        <v>5621.0</v>
      </c>
      <c r="B5622" s="5" t="s">
        <v>6176</v>
      </c>
      <c r="C5622" s="5" t="s">
        <v>21</v>
      </c>
      <c r="K5622" s="5">
        <v>100.0</v>
      </c>
      <c r="N5622" s="9">
        <v>44738.0</v>
      </c>
    </row>
    <row r="5623">
      <c r="A5623" s="5">
        <v>5622.0</v>
      </c>
      <c r="B5623" s="5" t="s">
        <v>6177</v>
      </c>
      <c r="C5623" s="5" t="s">
        <v>21</v>
      </c>
      <c r="K5623" s="5">
        <v>300.0</v>
      </c>
      <c r="N5623" s="9">
        <v>44621.0</v>
      </c>
    </row>
    <row r="5624">
      <c r="A5624" s="5">
        <v>5623.0</v>
      </c>
      <c r="B5624" s="5" t="s">
        <v>6178</v>
      </c>
      <c r="C5624" s="5" t="s">
        <v>21</v>
      </c>
      <c r="K5624" s="5">
        <v>19000.0</v>
      </c>
      <c r="N5624" s="9">
        <v>44265.0</v>
      </c>
    </row>
    <row r="5625">
      <c r="A5625" s="5">
        <v>5624.0</v>
      </c>
      <c r="B5625" s="5" t="s">
        <v>6179</v>
      </c>
      <c r="C5625" s="5" t="s">
        <v>21</v>
      </c>
      <c r="N5625" s="9">
        <v>44518.0</v>
      </c>
    </row>
    <row r="5626">
      <c r="A5626" s="5">
        <v>5625.0</v>
      </c>
      <c r="B5626" s="5" t="s">
        <v>6180</v>
      </c>
      <c r="C5626" s="5" t="s">
        <v>21</v>
      </c>
      <c r="K5626" s="5">
        <v>1100.0</v>
      </c>
      <c r="N5626" s="9">
        <v>44603.0</v>
      </c>
    </row>
    <row r="5627">
      <c r="A5627" s="5">
        <v>5626.0</v>
      </c>
      <c r="B5627" s="5" t="s">
        <v>6181</v>
      </c>
      <c r="C5627" s="5" t="s">
        <v>21</v>
      </c>
      <c r="K5627" s="5">
        <v>400.0</v>
      </c>
      <c r="N5627" s="9">
        <v>44840.0</v>
      </c>
    </row>
    <row r="5628">
      <c r="A5628" s="5">
        <v>5627.0</v>
      </c>
      <c r="B5628" s="5" t="s">
        <v>6182</v>
      </c>
      <c r="C5628" s="5" t="s">
        <v>21</v>
      </c>
      <c r="K5628" s="5">
        <v>700.0</v>
      </c>
      <c r="N5628" s="9">
        <v>44437.0</v>
      </c>
    </row>
    <row r="5629">
      <c r="A5629" s="5">
        <v>5628.0</v>
      </c>
      <c r="B5629" s="5" t="s">
        <v>6183</v>
      </c>
      <c r="C5629" s="5" t="s">
        <v>21</v>
      </c>
      <c r="K5629" s="5">
        <v>1600.0</v>
      </c>
      <c r="N5629" s="9">
        <v>43922.0</v>
      </c>
    </row>
    <row r="5630">
      <c r="A5630" s="5">
        <v>5629.0</v>
      </c>
      <c r="B5630" s="5" t="s">
        <v>6184</v>
      </c>
      <c r="C5630" s="5" t="s">
        <v>21</v>
      </c>
      <c r="K5630" s="5">
        <v>200.0</v>
      </c>
      <c r="N5630" s="9">
        <v>44532.0</v>
      </c>
    </row>
    <row r="5631">
      <c r="A5631" s="5">
        <v>5630.0</v>
      </c>
      <c r="B5631" s="5" t="s">
        <v>6185</v>
      </c>
      <c r="C5631" s="5" t="s">
        <v>21</v>
      </c>
      <c r="K5631" s="5">
        <v>40.0</v>
      </c>
      <c r="N5631" s="9">
        <v>44751.0</v>
      </c>
    </row>
    <row r="5632">
      <c r="A5632" s="5">
        <v>5631.0</v>
      </c>
      <c r="B5632" s="5" t="s">
        <v>6186</v>
      </c>
      <c r="C5632" s="5" t="s">
        <v>21</v>
      </c>
      <c r="K5632" s="5">
        <v>450.0</v>
      </c>
      <c r="N5632" s="9">
        <v>44828.0</v>
      </c>
    </row>
    <row r="5633">
      <c r="A5633" s="5">
        <v>5632.0</v>
      </c>
      <c r="B5633" s="5" t="s">
        <v>6187</v>
      </c>
      <c r="C5633" s="5" t="s">
        <v>21</v>
      </c>
      <c r="K5633" s="5">
        <v>800.0</v>
      </c>
      <c r="N5633" s="9">
        <v>44263.0</v>
      </c>
    </row>
    <row r="5634">
      <c r="A5634" s="5">
        <v>5633.0</v>
      </c>
      <c r="B5634" s="5" t="s">
        <v>6188</v>
      </c>
      <c r="C5634" s="5" t="s">
        <v>21</v>
      </c>
      <c r="K5634" s="5">
        <v>600.0</v>
      </c>
      <c r="N5634" s="9">
        <v>44839.0</v>
      </c>
    </row>
    <row r="5635">
      <c r="A5635" s="5">
        <v>5634.0</v>
      </c>
      <c r="B5635" s="5" t="s">
        <v>6189</v>
      </c>
      <c r="C5635" s="5" t="s">
        <v>21</v>
      </c>
      <c r="K5635" s="5">
        <v>2500.0</v>
      </c>
      <c r="N5635" s="9">
        <v>44801.0</v>
      </c>
    </row>
    <row r="5636">
      <c r="A5636" s="5">
        <v>5635.0</v>
      </c>
      <c r="B5636" s="5" t="s">
        <v>6190</v>
      </c>
      <c r="C5636" s="5" t="s">
        <v>21</v>
      </c>
      <c r="K5636" s="5">
        <v>40.0</v>
      </c>
      <c r="N5636" s="9">
        <v>45565.0</v>
      </c>
    </row>
    <row r="5637">
      <c r="A5637" s="5">
        <v>5636.0</v>
      </c>
      <c r="B5637" s="5" t="s">
        <v>6191</v>
      </c>
      <c r="C5637" s="5" t="s">
        <v>21</v>
      </c>
      <c r="K5637" s="5">
        <v>600.0</v>
      </c>
      <c r="N5637" s="9">
        <v>44208.0</v>
      </c>
    </row>
    <row r="5638">
      <c r="A5638" s="5">
        <v>5637.0</v>
      </c>
      <c r="B5638" s="5" t="s">
        <v>6192</v>
      </c>
      <c r="C5638" s="5" t="s">
        <v>21</v>
      </c>
      <c r="K5638" s="5">
        <v>200.0</v>
      </c>
      <c r="N5638" s="9">
        <v>45066.0</v>
      </c>
    </row>
    <row r="5639">
      <c r="A5639" s="5">
        <v>5638.0</v>
      </c>
      <c r="B5639" s="5" t="s">
        <v>6193</v>
      </c>
      <c r="C5639" s="5" t="s">
        <v>21</v>
      </c>
      <c r="K5639" s="5">
        <v>300.0</v>
      </c>
      <c r="N5639" s="9">
        <v>45095.0</v>
      </c>
    </row>
    <row r="5640">
      <c r="A5640" s="5">
        <v>5639.0</v>
      </c>
      <c r="B5640" s="5" t="s">
        <v>6194</v>
      </c>
      <c r="C5640" s="5" t="s">
        <v>21</v>
      </c>
      <c r="K5640" s="5">
        <v>200.0</v>
      </c>
      <c r="N5640" s="9">
        <v>44703.0</v>
      </c>
    </row>
    <row r="5641">
      <c r="A5641" s="5">
        <v>5640.0</v>
      </c>
      <c r="B5641" s="5" t="s">
        <v>6195</v>
      </c>
      <c r="C5641" s="5" t="s">
        <v>21</v>
      </c>
      <c r="K5641" s="5">
        <v>800.0</v>
      </c>
      <c r="N5641" s="9">
        <v>44075.0</v>
      </c>
    </row>
    <row r="5642">
      <c r="A5642" s="5">
        <v>5641.0</v>
      </c>
      <c r="B5642" s="5" t="s">
        <v>6196</v>
      </c>
      <c r="C5642" s="5" t="s">
        <v>21</v>
      </c>
      <c r="K5642" s="5">
        <v>250.0</v>
      </c>
      <c r="N5642" s="9">
        <v>45427.0</v>
      </c>
    </row>
    <row r="5643">
      <c r="A5643" s="5">
        <v>5642.0</v>
      </c>
      <c r="B5643" s="5" t="s">
        <v>6197</v>
      </c>
      <c r="C5643" s="5" t="s">
        <v>21</v>
      </c>
      <c r="N5643" s="9">
        <v>44576.0</v>
      </c>
    </row>
    <row r="5644">
      <c r="A5644" s="5">
        <v>5643.0</v>
      </c>
      <c r="B5644" s="5" t="s">
        <v>6198</v>
      </c>
      <c r="C5644" s="5" t="s">
        <v>21</v>
      </c>
      <c r="K5644" s="5">
        <v>9300.0</v>
      </c>
      <c r="N5644" s="9">
        <v>44542.0</v>
      </c>
    </row>
    <row r="5645">
      <c r="A5645" s="5">
        <v>5644.0</v>
      </c>
      <c r="B5645" s="5" t="s">
        <v>6199</v>
      </c>
      <c r="C5645" s="5" t="s">
        <v>21</v>
      </c>
      <c r="K5645" s="5">
        <v>300.0</v>
      </c>
      <c r="N5645" s="9">
        <v>44571.0</v>
      </c>
    </row>
    <row r="5646">
      <c r="A5646" s="5">
        <v>5645.0</v>
      </c>
      <c r="B5646" s="5" t="s">
        <v>6200</v>
      </c>
      <c r="C5646" s="5" t="s">
        <v>21</v>
      </c>
      <c r="K5646" s="5">
        <v>40.0</v>
      </c>
      <c r="N5646" s="9">
        <v>44571.0</v>
      </c>
    </row>
    <row r="5647">
      <c r="A5647" s="5">
        <v>5646.0</v>
      </c>
      <c r="B5647" s="5" t="s">
        <v>6201</v>
      </c>
      <c r="C5647" s="5" t="s">
        <v>21</v>
      </c>
      <c r="K5647" s="5">
        <v>2300.0</v>
      </c>
      <c r="N5647" s="9">
        <v>44551.0</v>
      </c>
    </row>
    <row r="5648">
      <c r="A5648" s="5">
        <v>5647.0</v>
      </c>
      <c r="B5648" s="5" t="s">
        <v>6202</v>
      </c>
      <c r="C5648" s="5" t="s">
        <v>21</v>
      </c>
      <c r="K5648" s="5">
        <v>600.0</v>
      </c>
      <c r="N5648" s="9">
        <v>44521.0</v>
      </c>
    </row>
    <row r="5649">
      <c r="A5649" s="5">
        <v>5648.0</v>
      </c>
      <c r="B5649" s="5" t="s">
        <v>6203</v>
      </c>
      <c r="C5649" s="5" t="s">
        <v>21</v>
      </c>
      <c r="K5649" s="5">
        <v>1500.0</v>
      </c>
      <c r="N5649" s="9">
        <v>44540.0</v>
      </c>
    </row>
    <row r="5650">
      <c r="A5650" s="5">
        <v>5649.0</v>
      </c>
      <c r="B5650" s="5" t="s">
        <v>6204</v>
      </c>
      <c r="C5650" s="5" t="s">
        <v>21</v>
      </c>
      <c r="K5650" s="5">
        <v>200.0</v>
      </c>
      <c r="N5650" s="9">
        <v>44178.0</v>
      </c>
    </row>
    <row r="5651">
      <c r="A5651" s="5">
        <v>5650.0</v>
      </c>
      <c r="B5651" s="5" t="s">
        <v>6205</v>
      </c>
      <c r="C5651" s="5" t="s">
        <v>21</v>
      </c>
      <c r="K5651" s="5">
        <v>50.0</v>
      </c>
      <c r="N5651" s="9">
        <v>45238.0</v>
      </c>
    </row>
    <row r="5652">
      <c r="A5652" s="5">
        <v>5651.0</v>
      </c>
      <c r="B5652" s="5" t="s">
        <v>6206</v>
      </c>
      <c r="C5652" s="5" t="s">
        <v>21</v>
      </c>
      <c r="K5652" s="5">
        <v>350.0</v>
      </c>
      <c r="N5652" s="9">
        <v>45085.0</v>
      </c>
    </row>
    <row r="5653">
      <c r="A5653" s="5">
        <v>5652.0</v>
      </c>
      <c r="B5653" s="5" t="s">
        <v>6207</v>
      </c>
      <c r="C5653" s="5" t="s">
        <v>21</v>
      </c>
      <c r="N5653" s="9">
        <v>44528.0</v>
      </c>
    </row>
    <row r="5654">
      <c r="A5654" s="5">
        <v>5653.0</v>
      </c>
      <c r="B5654" s="5" t="s">
        <v>6208</v>
      </c>
      <c r="C5654" s="5" t="s">
        <v>21</v>
      </c>
      <c r="K5654" s="5">
        <v>60.0</v>
      </c>
      <c r="N5654" s="9">
        <v>44948.0</v>
      </c>
    </row>
    <row r="5655">
      <c r="A5655" s="5">
        <v>5654.0</v>
      </c>
      <c r="B5655" s="5" t="s">
        <v>6209</v>
      </c>
      <c r="C5655" s="5" t="s">
        <v>21</v>
      </c>
      <c r="K5655" s="5">
        <v>250.0</v>
      </c>
      <c r="N5655" s="9">
        <v>45405.0</v>
      </c>
    </row>
    <row r="5656">
      <c r="A5656" s="5">
        <v>5655.0</v>
      </c>
      <c r="B5656" s="5" t="s">
        <v>6210</v>
      </c>
      <c r="C5656" s="5" t="s">
        <v>21</v>
      </c>
      <c r="K5656" s="5">
        <v>600.0</v>
      </c>
      <c r="N5656" s="9">
        <v>44530.0</v>
      </c>
    </row>
    <row r="5657">
      <c r="A5657" s="5">
        <v>5656.0</v>
      </c>
      <c r="B5657" s="5" t="s">
        <v>6211</v>
      </c>
      <c r="C5657" s="5" t="s">
        <v>21</v>
      </c>
      <c r="K5657" s="5">
        <v>250.0</v>
      </c>
      <c r="N5657" s="9">
        <v>45056.0</v>
      </c>
    </row>
    <row r="5658">
      <c r="A5658" s="5">
        <v>5657.0</v>
      </c>
      <c r="B5658" s="5" t="s">
        <v>6212</v>
      </c>
      <c r="C5658" s="5" t="s">
        <v>21</v>
      </c>
      <c r="K5658" s="5">
        <v>200.0</v>
      </c>
      <c r="N5658" s="9">
        <v>44434.0</v>
      </c>
    </row>
    <row r="5659">
      <c r="A5659" s="5">
        <v>5658.0</v>
      </c>
      <c r="B5659" s="5" t="s">
        <v>6213</v>
      </c>
      <c r="C5659" s="5" t="s">
        <v>21</v>
      </c>
      <c r="K5659" s="5">
        <v>150.0</v>
      </c>
      <c r="N5659" s="9">
        <v>45077.0</v>
      </c>
    </row>
    <row r="5660">
      <c r="A5660" s="5">
        <v>5659.0</v>
      </c>
      <c r="B5660" s="5" t="s">
        <v>6214</v>
      </c>
      <c r="C5660" s="5" t="s">
        <v>21</v>
      </c>
      <c r="K5660" s="5">
        <v>400.0</v>
      </c>
      <c r="N5660" s="9">
        <v>44525.0</v>
      </c>
    </row>
    <row r="5661">
      <c r="A5661" s="5">
        <v>5660.0</v>
      </c>
      <c r="B5661" s="5" t="s">
        <v>6215</v>
      </c>
      <c r="C5661" s="5" t="s">
        <v>21</v>
      </c>
      <c r="K5661" s="5">
        <v>100.0</v>
      </c>
      <c r="N5661" s="9">
        <v>43904.0</v>
      </c>
    </row>
    <row r="5662">
      <c r="A5662" s="5">
        <v>5661.0</v>
      </c>
      <c r="B5662" s="5" t="s">
        <v>6216</v>
      </c>
      <c r="C5662" s="5" t="s">
        <v>21</v>
      </c>
      <c r="K5662" s="5">
        <v>200.0</v>
      </c>
      <c r="N5662" s="9">
        <v>44202.0</v>
      </c>
    </row>
    <row r="5663">
      <c r="A5663" s="5">
        <v>5662.0</v>
      </c>
      <c r="B5663" s="5" t="s">
        <v>6217</v>
      </c>
      <c r="C5663" s="5" t="s">
        <v>21</v>
      </c>
      <c r="K5663" s="5">
        <v>80.0</v>
      </c>
      <c r="N5663" s="9">
        <v>44916.0</v>
      </c>
    </row>
    <row r="5664">
      <c r="A5664" s="5">
        <v>5663.0</v>
      </c>
      <c r="B5664" s="5" t="s">
        <v>6218</v>
      </c>
      <c r="C5664" s="5" t="s">
        <v>21</v>
      </c>
      <c r="K5664" s="5">
        <v>1100.0</v>
      </c>
      <c r="N5664" s="9">
        <v>43911.0</v>
      </c>
    </row>
    <row r="5665">
      <c r="A5665" s="5">
        <v>5664.0</v>
      </c>
      <c r="B5665" s="5" t="s">
        <v>6219</v>
      </c>
      <c r="C5665" s="5" t="s">
        <v>21</v>
      </c>
      <c r="K5665" s="5">
        <v>80.0</v>
      </c>
      <c r="N5665" s="9">
        <v>45309.0</v>
      </c>
    </row>
    <row r="5666">
      <c r="A5666" s="5">
        <v>5665.0</v>
      </c>
      <c r="B5666" s="5" t="s">
        <v>6220</v>
      </c>
      <c r="C5666" s="5" t="s">
        <v>21</v>
      </c>
      <c r="K5666" s="5">
        <v>200.0</v>
      </c>
      <c r="N5666" s="9">
        <v>45760.0</v>
      </c>
    </row>
    <row r="5667">
      <c r="A5667" s="5">
        <v>5666.0</v>
      </c>
      <c r="B5667" s="5" t="s">
        <v>6221</v>
      </c>
      <c r="C5667" s="5" t="s">
        <v>21</v>
      </c>
      <c r="K5667" s="5">
        <v>150.0</v>
      </c>
      <c r="N5667" s="9">
        <v>45081.0</v>
      </c>
    </row>
    <row r="5668">
      <c r="A5668" s="5">
        <v>5667.0</v>
      </c>
      <c r="B5668" s="5" t="s">
        <v>6222</v>
      </c>
      <c r="C5668" s="5" t="s">
        <v>21</v>
      </c>
      <c r="N5668" s="9">
        <v>44905.0</v>
      </c>
    </row>
    <row r="5669">
      <c r="A5669" s="5">
        <v>5668.0</v>
      </c>
      <c r="B5669" s="5" t="s">
        <v>6223</v>
      </c>
      <c r="C5669" s="5" t="s">
        <v>21</v>
      </c>
      <c r="K5669" s="5">
        <v>100.0</v>
      </c>
      <c r="N5669" s="9">
        <v>45281.0</v>
      </c>
    </row>
    <row r="5670">
      <c r="A5670" s="5">
        <v>5669.0</v>
      </c>
      <c r="B5670" s="5" t="s">
        <v>6224</v>
      </c>
      <c r="C5670" s="5" t="s">
        <v>21</v>
      </c>
      <c r="K5670" s="5">
        <v>1400.0</v>
      </c>
      <c r="N5670" s="9">
        <v>43901.0</v>
      </c>
    </row>
    <row r="5671">
      <c r="A5671" s="5">
        <v>5670.0</v>
      </c>
      <c r="B5671" s="5" t="s">
        <v>6225</v>
      </c>
      <c r="C5671" s="5" t="s">
        <v>21</v>
      </c>
      <c r="K5671" s="5">
        <v>60.0</v>
      </c>
      <c r="N5671" s="9">
        <v>45161.0</v>
      </c>
    </row>
    <row r="5672">
      <c r="A5672" s="5">
        <v>5671.0</v>
      </c>
      <c r="B5672" s="5" t="s">
        <v>6226</v>
      </c>
      <c r="C5672" s="5" t="s">
        <v>21</v>
      </c>
      <c r="K5672" s="5">
        <v>20.0</v>
      </c>
      <c r="N5672" s="9">
        <v>43879.0</v>
      </c>
    </row>
    <row r="5673">
      <c r="A5673" s="5">
        <v>5672.0</v>
      </c>
      <c r="B5673" s="5" t="s">
        <v>6227</v>
      </c>
      <c r="C5673" s="5" t="s">
        <v>21</v>
      </c>
      <c r="N5673" s="9">
        <v>44804.0</v>
      </c>
    </row>
    <row r="5674">
      <c r="A5674" s="5">
        <v>5673.0</v>
      </c>
      <c r="B5674" s="5" t="s">
        <v>6228</v>
      </c>
      <c r="C5674" s="5" t="s">
        <v>21</v>
      </c>
      <c r="K5674" s="5">
        <v>1400.0</v>
      </c>
      <c r="N5674" s="9">
        <v>45659.0</v>
      </c>
    </row>
    <row r="5675">
      <c r="A5675" s="5">
        <v>5674.0</v>
      </c>
      <c r="B5675" s="5" t="s">
        <v>6229</v>
      </c>
      <c r="C5675" s="5" t="s">
        <v>21</v>
      </c>
      <c r="K5675" s="5">
        <v>600.0</v>
      </c>
      <c r="N5675" s="9">
        <v>45477.0</v>
      </c>
    </row>
    <row r="5676">
      <c r="A5676" s="5">
        <v>5675.0</v>
      </c>
      <c r="B5676" s="5" t="s">
        <v>6230</v>
      </c>
      <c r="C5676" s="5" t="s">
        <v>21</v>
      </c>
      <c r="K5676" s="5">
        <v>200.0</v>
      </c>
      <c r="N5676" s="9">
        <v>44618.0</v>
      </c>
    </row>
    <row r="5677">
      <c r="A5677" s="5">
        <v>5676.0</v>
      </c>
      <c r="B5677" s="5" t="s">
        <v>6231</v>
      </c>
      <c r="C5677" s="5" t="s">
        <v>21</v>
      </c>
      <c r="K5677" s="5">
        <v>400.0</v>
      </c>
      <c r="N5677" s="9">
        <v>44687.0</v>
      </c>
    </row>
    <row r="5678">
      <c r="A5678" s="5">
        <v>5677.0</v>
      </c>
      <c r="B5678" s="5" t="s">
        <v>6232</v>
      </c>
      <c r="C5678" s="5" t="s">
        <v>21</v>
      </c>
      <c r="K5678" s="5">
        <v>200.0</v>
      </c>
      <c r="N5678" s="9">
        <v>45433.0</v>
      </c>
    </row>
    <row r="5679">
      <c r="A5679" s="5">
        <v>5678.0</v>
      </c>
      <c r="B5679" s="5" t="s">
        <v>6233</v>
      </c>
      <c r="C5679" s="5" t="s">
        <v>21</v>
      </c>
      <c r="K5679" s="5">
        <v>60.0</v>
      </c>
      <c r="N5679" s="9">
        <v>44603.0</v>
      </c>
    </row>
    <row r="5680">
      <c r="A5680" s="5">
        <v>5679.0</v>
      </c>
      <c r="B5680" s="5" t="s">
        <v>6234</v>
      </c>
      <c r="C5680" s="5" t="s">
        <v>21</v>
      </c>
      <c r="K5680" s="5">
        <v>400.0</v>
      </c>
      <c r="N5680" s="9">
        <v>45265.0</v>
      </c>
    </row>
    <row r="5681">
      <c r="A5681" s="5">
        <v>5680.0</v>
      </c>
      <c r="B5681" s="5" t="s">
        <v>6235</v>
      </c>
      <c r="C5681" s="5" t="s">
        <v>21</v>
      </c>
      <c r="K5681" s="5">
        <v>200.0</v>
      </c>
      <c r="N5681" s="9">
        <v>43848.0</v>
      </c>
    </row>
    <row r="5682">
      <c r="A5682" s="5">
        <v>5681.0</v>
      </c>
      <c r="B5682" s="5" t="s">
        <v>6236</v>
      </c>
      <c r="C5682" s="5" t="s">
        <v>21</v>
      </c>
      <c r="K5682" s="5">
        <v>2500.0</v>
      </c>
      <c r="N5682" s="9">
        <v>43970.0</v>
      </c>
    </row>
    <row r="5683">
      <c r="A5683" s="5">
        <v>5682.0</v>
      </c>
      <c r="B5683" s="5" t="s">
        <v>6237</v>
      </c>
      <c r="C5683" s="5" t="s">
        <v>21</v>
      </c>
      <c r="K5683" s="5">
        <v>30.0</v>
      </c>
      <c r="N5683" s="9">
        <v>44843.0</v>
      </c>
    </row>
    <row r="5684">
      <c r="A5684" s="5">
        <v>5683.0</v>
      </c>
      <c r="B5684" s="5" t="s">
        <v>6238</v>
      </c>
      <c r="C5684" s="5" t="s">
        <v>21</v>
      </c>
      <c r="K5684" s="5">
        <v>90.0</v>
      </c>
      <c r="N5684" s="9">
        <v>44748.0</v>
      </c>
    </row>
    <row r="5685">
      <c r="A5685" s="5">
        <v>5684.0</v>
      </c>
      <c r="B5685" s="5" t="s">
        <v>6239</v>
      </c>
      <c r="C5685" s="5" t="s">
        <v>21</v>
      </c>
      <c r="K5685" s="5">
        <v>600.0</v>
      </c>
      <c r="N5685" s="9">
        <v>44516.0</v>
      </c>
    </row>
    <row r="5686">
      <c r="A5686" s="5">
        <v>5685.0</v>
      </c>
      <c r="B5686" s="5" t="s">
        <v>6240</v>
      </c>
      <c r="C5686" s="5" t="s">
        <v>21</v>
      </c>
      <c r="K5686" s="5">
        <v>500.0</v>
      </c>
      <c r="N5686" s="9">
        <v>44528.0</v>
      </c>
    </row>
    <row r="5687">
      <c r="A5687" s="5">
        <v>5686.0</v>
      </c>
      <c r="B5687" s="5" t="s">
        <v>6241</v>
      </c>
      <c r="C5687" s="5" t="s">
        <v>21</v>
      </c>
      <c r="K5687" s="5">
        <v>600.0</v>
      </c>
      <c r="N5687" s="9">
        <v>44531.0</v>
      </c>
    </row>
    <row r="5688">
      <c r="A5688" s="5">
        <v>5687.0</v>
      </c>
      <c r="B5688" s="5" t="s">
        <v>6242</v>
      </c>
      <c r="C5688" s="5" t="s">
        <v>21</v>
      </c>
      <c r="K5688" s="5">
        <v>10.0</v>
      </c>
      <c r="N5688" s="9">
        <v>45168.0</v>
      </c>
    </row>
    <row r="5689">
      <c r="A5689" s="5">
        <v>5688.0</v>
      </c>
      <c r="B5689" s="5" t="s">
        <v>6243</v>
      </c>
      <c r="C5689" s="5" t="s">
        <v>21</v>
      </c>
      <c r="N5689" s="9">
        <v>44656.0</v>
      </c>
    </row>
    <row r="5690">
      <c r="A5690" s="5">
        <v>5689.0</v>
      </c>
      <c r="B5690" s="5" t="s">
        <v>6244</v>
      </c>
      <c r="C5690" s="5" t="s">
        <v>21</v>
      </c>
      <c r="K5690" s="5">
        <v>1500.0</v>
      </c>
      <c r="N5690" s="9">
        <v>44550.0</v>
      </c>
    </row>
    <row r="5691">
      <c r="A5691" s="5">
        <v>5690.0</v>
      </c>
      <c r="B5691" s="5" t="s">
        <v>6245</v>
      </c>
      <c r="C5691" s="5" t="s">
        <v>21</v>
      </c>
      <c r="K5691" s="5">
        <v>9800.0</v>
      </c>
      <c r="N5691" s="9">
        <v>43945.0</v>
      </c>
    </row>
    <row r="5692">
      <c r="A5692" s="5">
        <v>5691.0</v>
      </c>
      <c r="B5692" s="5" t="s">
        <v>6246</v>
      </c>
      <c r="C5692" s="5" t="s">
        <v>21</v>
      </c>
      <c r="K5692" s="5">
        <v>400.0</v>
      </c>
      <c r="N5692" s="9">
        <v>44591.0</v>
      </c>
    </row>
    <row r="5693">
      <c r="A5693" s="5">
        <v>5692.0</v>
      </c>
      <c r="B5693" s="5" t="s">
        <v>6247</v>
      </c>
      <c r="C5693" s="5" t="s">
        <v>21</v>
      </c>
      <c r="K5693" s="5">
        <v>121000.0</v>
      </c>
      <c r="N5693" s="9">
        <v>46097.0</v>
      </c>
    </row>
    <row r="5694">
      <c r="A5694" s="5">
        <v>5693.0</v>
      </c>
      <c r="B5694" s="5" t="s">
        <v>6248</v>
      </c>
      <c r="C5694" s="5" t="s">
        <v>21</v>
      </c>
      <c r="K5694" s="5">
        <v>250.0</v>
      </c>
      <c r="N5694" s="9">
        <v>45550.0</v>
      </c>
    </row>
    <row r="5695">
      <c r="A5695" s="5">
        <v>5694.0</v>
      </c>
      <c r="B5695" s="5" t="s">
        <v>6249</v>
      </c>
      <c r="C5695" s="5" t="s">
        <v>21</v>
      </c>
      <c r="K5695" s="5">
        <v>1600.0</v>
      </c>
      <c r="N5695" s="9">
        <v>44079.0</v>
      </c>
    </row>
    <row r="5696">
      <c r="A5696" s="5">
        <v>5695.0</v>
      </c>
      <c r="B5696" s="5" t="s">
        <v>6250</v>
      </c>
      <c r="C5696" s="5" t="s">
        <v>21</v>
      </c>
      <c r="K5696" s="5">
        <v>1200.0</v>
      </c>
      <c r="N5696" s="9">
        <v>44539.0</v>
      </c>
    </row>
    <row r="5697">
      <c r="A5697" s="5">
        <v>5696.0</v>
      </c>
      <c r="B5697" s="5" t="s">
        <v>6251</v>
      </c>
      <c r="C5697" s="5" t="s">
        <v>21</v>
      </c>
      <c r="K5697" s="5">
        <v>10.0</v>
      </c>
      <c r="N5697" s="9">
        <v>45111.0</v>
      </c>
    </row>
    <row r="5698">
      <c r="A5698" s="5">
        <v>5697.0</v>
      </c>
      <c r="B5698" s="5" t="s">
        <v>6252</v>
      </c>
      <c r="C5698" s="5" t="s">
        <v>21</v>
      </c>
      <c r="K5698" s="5">
        <v>700.0</v>
      </c>
      <c r="N5698" s="9">
        <v>44942.0</v>
      </c>
    </row>
    <row r="5699">
      <c r="A5699" s="5">
        <v>5698.0</v>
      </c>
      <c r="B5699" s="5" t="s">
        <v>6253</v>
      </c>
      <c r="C5699" s="5" t="s">
        <v>21</v>
      </c>
      <c r="K5699" s="5">
        <v>10.0</v>
      </c>
      <c r="N5699" s="9">
        <v>44518.0</v>
      </c>
    </row>
    <row r="5700">
      <c r="A5700" s="5">
        <v>5699.0</v>
      </c>
      <c r="B5700" s="5" t="s">
        <v>6254</v>
      </c>
      <c r="C5700" s="5" t="s">
        <v>21</v>
      </c>
      <c r="K5700" s="5">
        <v>700.0</v>
      </c>
      <c r="N5700" s="9">
        <v>44639.0</v>
      </c>
    </row>
    <row r="5701">
      <c r="A5701" s="5">
        <v>5700.0</v>
      </c>
      <c r="B5701" s="5" t="s">
        <v>6255</v>
      </c>
      <c r="C5701" s="5" t="s">
        <v>21</v>
      </c>
      <c r="K5701" s="5">
        <v>200.0</v>
      </c>
      <c r="N5701" s="9">
        <v>44035.0</v>
      </c>
    </row>
    <row r="5702">
      <c r="A5702" s="5">
        <v>5701.0</v>
      </c>
      <c r="B5702" s="5" t="s">
        <v>6256</v>
      </c>
      <c r="C5702" s="5" t="s">
        <v>21</v>
      </c>
      <c r="K5702" s="5">
        <v>150.0</v>
      </c>
      <c r="N5702" s="9">
        <v>44735.0</v>
      </c>
    </row>
    <row r="5703">
      <c r="A5703" s="5">
        <v>5702.0</v>
      </c>
      <c r="B5703" s="5" t="s">
        <v>6257</v>
      </c>
      <c r="C5703" s="5" t="s">
        <v>21</v>
      </c>
      <c r="K5703" s="5">
        <v>75000.0</v>
      </c>
      <c r="N5703" s="9">
        <v>46091.0</v>
      </c>
    </row>
    <row r="5704">
      <c r="A5704" s="5">
        <v>5703.0</v>
      </c>
      <c r="B5704" s="5" t="s">
        <v>6258</v>
      </c>
      <c r="C5704" s="5" t="s">
        <v>21</v>
      </c>
      <c r="K5704" s="5">
        <v>100.0</v>
      </c>
      <c r="N5704" s="9">
        <v>45282.0</v>
      </c>
    </row>
    <row r="5705">
      <c r="A5705" s="5">
        <v>5704.0</v>
      </c>
      <c r="B5705" s="5" t="s">
        <v>6259</v>
      </c>
      <c r="C5705" s="5" t="s">
        <v>21</v>
      </c>
      <c r="K5705" s="5">
        <v>500.0</v>
      </c>
      <c r="N5705" s="9">
        <v>44869.0</v>
      </c>
    </row>
    <row r="5706">
      <c r="A5706" s="5">
        <v>5705.0</v>
      </c>
      <c r="B5706" s="5" t="s">
        <v>6260</v>
      </c>
      <c r="C5706" s="5" t="s">
        <v>21</v>
      </c>
      <c r="K5706" s="5">
        <v>1100.0</v>
      </c>
      <c r="N5706" s="9">
        <v>44009.0</v>
      </c>
    </row>
    <row r="5707">
      <c r="A5707" s="5">
        <v>5706.0</v>
      </c>
      <c r="B5707" s="5" t="s">
        <v>6261</v>
      </c>
      <c r="C5707" s="5" t="s">
        <v>21</v>
      </c>
      <c r="K5707" s="5">
        <v>350.0</v>
      </c>
      <c r="N5707" s="9">
        <v>44569.0</v>
      </c>
    </row>
    <row r="5708">
      <c r="A5708" s="5">
        <v>5707.0</v>
      </c>
      <c r="B5708" s="5" t="s">
        <v>6262</v>
      </c>
      <c r="C5708" s="5" t="s">
        <v>21</v>
      </c>
      <c r="K5708" s="5">
        <v>10.0</v>
      </c>
      <c r="N5708" s="9">
        <v>44542.0</v>
      </c>
    </row>
    <row r="5709">
      <c r="A5709" s="5">
        <v>5708.0</v>
      </c>
      <c r="B5709" s="5" t="s">
        <v>6263</v>
      </c>
      <c r="C5709" s="5" t="s">
        <v>21</v>
      </c>
      <c r="K5709" s="5">
        <v>200.0</v>
      </c>
      <c r="N5709" s="9">
        <v>44911.0</v>
      </c>
    </row>
    <row r="5710">
      <c r="A5710" s="5">
        <v>5709.0</v>
      </c>
      <c r="B5710" s="5" t="s">
        <v>6264</v>
      </c>
      <c r="C5710" s="5" t="s">
        <v>21</v>
      </c>
      <c r="K5710" s="5">
        <v>450.0</v>
      </c>
      <c r="N5710" s="9">
        <v>44646.0</v>
      </c>
    </row>
    <row r="5711">
      <c r="A5711" s="5">
        <v>5710.0</v>
      </c>
      <c r="B5711" s="5" t="s">
        <v>6265</v>
      </c>
      <c r="C5711" s="5" t="s">
        <v>21</v>
      </c>
      <c r="K5711" s="5">
        <v>1800.0</v>
      </c>
      <c r="N5711" s="9">
        <v>45264.0</v>
      </c>
    </row>
    <row r="5712">
      <c r="A5712" s="5">
        <v>5711.0</v>
      </c>
      <c r="B5712" s="5" t="s">
        <v>6266</v>
      </c>
      <c r="C5712" s="5" t="s">
        <v>21</v>
      </c>
      <c r="K5712" s="5">
        <v>150.0</v>
      </c>
      <c r="N5712" s="9">
        <v>45401.0</v>
      </c>
    </row>
    <row r="5713">
      <c r="A5713" s="5">
        <v>5712.0</v>
      </c>
      <c r="B5713" s="5" t="s">
        <v>6267</v>
      </c>
      <c r="C5713" s="5" t="s">
        <v>21</v>
      </c>
      <c r="K5713" s="5">
        <v>90.0</v>
      </c>
      <c r="N5713" s="9">
        <v>44279.0</v>
      </c>
    </row>
    <row r="5714">
      <c r="A5714" s="5">
        <v>5713.0</v>
      </c>
      <c r="B5714" s="5" t="s">
        <v>6268</v>
      </c>
      <c r="C5714" s="5" t="s">
        <v>21</v>
      </c>
      <c r="K5714" s="5">
        <v>1500.0</v>
      </c>
      <c r="N5714" s="9">
        <v>44645.0</v>
      </c>
    </row>
    <row r="5715">
      <c r="A5715" s="5">
        <v>5714.0</v>
      </c>
      <c r="B5715" s="5" t="s">
        <v>6269</v>
      </c>
      <c r="C5715" s="5" t="s">
        <v>21</v>
      </c>
      <c r="K5715" s="5">
        <v>1200.0</v>
      </c>
      <c r="N5715" s="9">
        <v>44077.0</v>
      </c>
    </row>
    <row r="5716">
      <c r="A5716" s="5">
        <v>5715.0</v>
      </c>
      <c r="B5716" s="5" t="s">
        <v>6270</v>
      </c>
      <c r="C5716" s="5" t="s">
        <v>21</v>
      </c>
      <c r="K5716" s="5">
        <v>10.0</v>
      </c>
      <c r="N5716" s="9">
        <v>44031.0</v>
      </c>
    </row>
    <row r="5717">
      <c r="A5717" s="5">
        <v>5716.0</v>
      </c>
      <c r="B5717" s="5" t="s">
        <v>6271</v>
      </c>
      <c r="C5717" s="5" t="s">
        <v>21</v>
      </c>
      <c r="N5717" s="9">
        <v>44519.0</v>
      </c>
    </row>
    <row r="5718">
      <c r="A5718" s="5">
        <v>5717.0</v>
      </c>
      <c r="B5718" s="5" t="s">
        <v>6272</v>
      </c>
      <c r="C5718" s="5" t="s">
        <v>21</v>
      </c>
      <c r="K5718" s="5">
        <v>90.0</v>
      </c>
      <c r="N5718" s="9">
        <v>45231.0</v>
      </c>
    </row>
    <row r="5719">
      <c r="A5719" s="5">
        <v>5718.0</v>
      </c>
      <c r="B5719" s="5" t="s">
        <v>6273</v>
      </c>
      <c r="C5719" s="5" t="s">
        <v>21</v>
      </c>
      <c r="K5719" s="5">
        <v>150.0</v>
      </c>
      <c r="N5719" s="9">
        <v>44655.0</v>
      </c>
    </row>
    <row r="5720">
      <c r="A5720" s="5">
        <v>5719.0</v>
      </c>
      <c r="B5720" s="5" t="s">
        <v>6274</v>
      </c>
      <c r="C5720" s="5" t="s">
        <v>21</v>
      </c>
      <c r="K5720" s="5">
        <v>500.0</v>
      </c>
      <c r="N5720" s="9">
        <v>44246.0</v>
      </c>
    </row>
    <row r="5721">
      <c r="A5721" s="5">
        <v>5720.0</v>
      </c>
      <c r="B5721" s="5" t="s">
        <v>6275</v>
      </c>
      <c r="C5721" s="5" t="s">
        <v>21</v>
      </c>
      <c r="K5721" s="5">
        <v>80.0</v>
      </c>
      <c r="N5721" s="9">
        <v>44626.0</v>
      </c>
    </row>
    <row r="5722">
      <c r="A5722" s="5">
        <v>5721.0</v>
      </c>
      <c r="B5722" s="5" t="s">
        <v>6276</v>
      </c>
      <c r="C5722" s="5" t="s">
        <v>21</v>
      </c>
      <c r="K5722" s="5">
        <v>100.0</v>
      </c>
      <c r="N5722" s="9">
        <v>44352.0</v>
      </c>
    </row>
    <row r="5723">
      <c r="A5723" s="5">
        <v>5722.0</v>
      </c>
      <c r="B5723" s="5" t="s">
        <v>6277</v>
      </c>
      <c r="C5723" s="5" t="s">
        <v>21</v>
      </c>
      <c r="K5723" s="5">
        <v>80.0</v>
      </c>
      <c r="N5723" s="9">
        <v>44404.0</v>
      </c>
    </row>
    <row r="5724">
      <c r="A5724" s="5">
        <v>5723.0</v>
      </c>
      <c r="B5724" s="5" t="s">
        <v>6278</v>
      </c>
      <c r="C5724" s="5" t="s">
        <v>21</v>
      </c>
      <c r="K5724" s="5">
        <v>30.0</v>
      </c>
      <c r="N5724" s="9">
        <v>45066.0</v>
      </c>
    </row>
    <row r="5725">
      <c r="A5725" s="5">
        <v>5724.0</v>
      </c>
      <c r="B5725" s="5" t="s">
        <v>6279</v>
      </c>
      <c r="C5725" s="5" t="s">
        <v>21</v>
      </c>
      <c r="K5725" s="5">
        <v>20.0</v>
      </c>
      <c r="N5725" s="9">
        <v>44942.0</v>
      </c>
    </row>
    <row r="5726">
      <c r="A5726" s="5">
        <v>5725.0</v>
      </c>
      <c r="B5726" s="5" t="s">
        <v>6280</v>
      </c>
      <c r="C5726" s="5" t="s">
        <v>21</v>
      </c>
      <c r="K5726" s="5">
        <v>150.0</v>
      </c>
      <c r="N5726" s="9">
        <v>45263.0</v>
      </c>
    </row>
    <row r="5727">
      <c r="A5727" s="5">
        <v>5726.0</v>
      </c>
      <c r="B5727" s="5" t="s">
        <v>6281</v>
      </c>
      <c r="C5727" s="5" t="s">
        <v>21</v>
      </c>
      <c r="K5727" s="5">
        <v>4700.0</v>
      </c>
      <c r="N5727" s="9">
        <v>44216.0</v>
      </c>
    </row>
    <row r="5728">
      <c r="A5728" s="5">
        <v>5727.0</v>
      </c>
      <c r="B5728" s="5" t="s">
        <v>6282</v>
      </c>
      <c r="C5728" s="5" t="s">
        <v>21</v>
      </c>
      <c r="K5728" s="5">
        <v>80.0</v>
      </c>
      <c r="N5728" s="9">
        <v>45055.0</v>
      </c>
    </row>
    <row r="5729">
      <c r="A5729" s="5">
        <v>5728.0</v>
      </c>
      <c r="B5729" s="5" t="s">
        <v>6283</v>
      </c>
      <c r="C5729" s="5" t="s">
        <v>21</v>
      </c>
      <c r="K5729" s="5">
        <v>1300.0</v>
      </c>
      <c r="N5729" s="9">
        <v>44120.0</v>
      </c>
    </row>
    <row r="5730">
      <c r="A5730" s="5">
        <v>5729.0</v>
      </c>
      <c r="B5730" s="5" t="s">
        <v>6284</v>
      </c>
      <c r="C5730" s="5" t="s">
        <v>21</v>
      </c>
      <c r="K5730" s="5">
        <v>300.0</v>
      </c>
      <c r="N5730" s="9">
        <v>44733.0</v>
      </c>
    </row>
    <row r="5731">
      <c r="A5731" s="5">
        <v>5730.0</v>
      </c>
      <c r="B5731" s="5" t="s">
        <v>6285</v>
      </c>
      <c r="C5731" s="5" t="s">
        <v>21</v>
      </c>
      <c r="K5731" s="5">
        <v>150.0</v>
      </c>
      <c r="N5731" s="9">
        <v>45125.0</v>
      </c>
    </row>
    <row r="5732">
      <c r="A5732" s="5">
        <v>5731.0</v>
      </c>
      <c r="B5732" s="5" t="s">
        <v>6286</v>
      </c>
      <c r="C5732" s="5" t="s">
        <v>21</v>
      </c>
      <c r="K5732" s="5">
        <v>150.0</v>
      </c>
      <c r="N5732" s="9">
        <v>44059.0</v>
      </c>
    </row>
    <row r="5733">
      <c r="A5733" s="5">
        <v>5732.0</v>
      </c>
      <c r="B5733" s="5" t="s">
        <v>6287</v>
      </c>
      <c r="C5733" s="5" t="s">
        <v>21</v>
      </c>
      <c r="K5733" s="5">
        <v>150.0</v>
      </c>
      <c r="N5733" s="9">
        <v>44675.0</v>
      </c>
    </row>
    <row r="5734">
      <c r="A5734" s="5">
        <v>5733.0</v>
      </c>
      <c r="B5734" s="5" t="s">
        <v>6288</v>
      </c>
      <c r="C5734" s="5" t="s">
        <v>21</v>
      </c>
      <c r="K5734" s="5">
        <v>100.0</v>
      </c>
      <c r="N5734" s="9">
        <v>44874.0</v>
      </c>
    </row>
    <row r="5735">
      <c r="A5735" s="5">
        <v>5734.0</v>
      </c>
      <c r="B5735" s="5" t="s">
        <v>6289</v>
      </c>
      <c r="C5735" s="5" t="s">
        <v>21</v>
      </c>
      <c r="K5735" s="5">
        <v>600.0</v>
      </c>
      <c r="N5735" s="9">
        <v>44560.0</v>
      </c>
    </row>
    <row r="5736">
      <c r="A5736" s="5">
        <v>5735.0</v>
      </c>
      <c r="B5736" s="5" t="s">
        <v>6290</v>
      </c>
      <c r="C5736" s="5" t="s">
        <v>21</v>
      </c>
      <c r="N5736" s="9">
        <v>44828.0</v>
      </c>
    </row>
    <row r="5737">
      <c r="A5737" s="5">
        <v>5736.0</v>
      </c>
      <c r="B5737" s="5" t="s">
        <v>6291</v>
      </c>
      <c r="C5737" s="5" t="s">
        <v>21</v>
      </c>
      <c r="K5737" s="5">
        <v>200.0</v>
      </c>
      <c r="N5737" s="9">
        <v>44624.0</v>
      </c>
    </row>
    <row r="5738">
      <c r="A5738" s="5">
        <v>5737.0</v>
      </c>
      <c r="B5738" s="5" t="s">
        <v>6292</v>
      </c>
      <c r="C5738" s="5" t="s">
        <v>21</v>
      </c>
      <c r="K5738" s="5">
        <v>50.0</v>
      </c>
      <c r="N5738" s="9">
        <v>44765.0</v>
      </c>
    </row>
    <row r="5739">
      <c r="A5739" s="5">
        <v>5738.0</v>
      </c>
      <c r="B5739" s="5" t="s">
        <v>6293</v>
      </c>
      <c r="C5739" s="5" t="s">
        <v>21</v>
      </c>
      <c r="K5739" s="5">
        <v>60.0</v>
      </c>
      <c r="N5739" s="9">
        <v>44389.0</v>
      </c>
    </row>
    <row r="5740">
      <c r="A5740" s="5">
        <v>5739.0</v>
      </c>
      <c r="B5740" s="5" t="s">
        <v>6294</v>
      </c>
      <c r="C5740" s="5" t="s">
        <v>21</v>
      </c>
      <c r="K5740" s="5">
        <v>300.0</v>
      </c>
      <c r="N5740" s="9">
        <v>44536.0</v>
      </c>
    </row>
    <row r="5741">
      <c r="A5741" s="5">
        <v>5740.0</v>
      </c>
      <c r="B5741" s="5" t="s">
        <v>6295</v>
      </c>
      <c r="C5741" s="5" t="s">
        <v>21</v>
      </c>
      <c r="K5741" s="5">
        <v>100.0</v>
      </c>
      <c r="N5741" s="9">
        <v>44539.0</v>
      </c>
    </row>
    <row r="5742">
      <c r="A5742" s="5">
        <v>5741.0</v>
      </c>
      <c r="B5742" s="5" t="s">
        <v>6296</v>
      </c>
      <c r="C5742" s="5" t="s">
        <v>21</v>
      </c>
      <c r="K5742" s="5">
        <v>1300.0</v>
      </c>
      <c r="N5742" s="9">
        <v>44023.0</v>
      </c>
    </row>
    <row r="5743">
      <c r="A5743" s="5">
        <v>5742.0</v>
      </c>
      <c r="B5743" s="5" t="s">
        <v>6297</v>
      </c>
      <c r="C5743" s="5" t="s">
        <v>21</v>
      </c>
      <c r="K5743" s="5">
        <v>400.0</v>
      </c>
      <c r="N5743" s="9">
        <v>44554.0</v>
      </c>
    </row>
    <row r="5744">
      <c r="A5744" s="5">
        <v>5743.0</v>
      </c>
      <c r="B5744" s="5" t="s">
        <v>6298</v>
      </c>
      <c r="C5744" s="5" t="s">
        <v>21</v>
      </c>
      <c r="K5744" s="5">
        <v>30.0</v>
      </c>
      <c r="N5744" s="9">
        <v>44436.0</v>
      </c>
    </row>
    <row r="5745">
      <c r="A5745" s="5">
        <v>5744.0</v>
      </c>
      <c r="B5745" s="5" t="s">
        <v>6299</v>
      </c>
      <c r="C5745" s="5" t="s">
        <v>21</v>
      </c>
      <c r="K5745" s="5">
        <v>250.0</v>
      </c>
      <c r="N5745" s="9">
        <v>44808.0</v>
      </c>
    </row>
    <row r="5746">
      <c r="A5746" s="5">
        <v>5745.0</v>
      </c>
      <c r="B5746" s="5" t="s">
        <v>6300</v>
      </c>
      <c r="C5746" s="5" t="s">
        <v>21</v>
      </c>
      <c r="K5746" s="5">
        <v>20.0</v>
      </c>
      <c r="N5746" s="9">
        <v>44640.0</v>
      </c>
    </row>
    <row r="5747">
      <c r="A5747" s="5">
        <v>5746.0</v>
      </c>
      <c r="B5747" s="5" t="s">
        <v>6301</v>
      </c>
      <c r="C5747" s="5" t="s">
        <v>21</v>
      </c>
      <c r="K5747" s="5">
        <v>400.0</v>
      </c>
      <c r="N5747" s="9">
        <v>44724.0</v>
      </c>
    </row>
    <row r="5748">
      <c r="A5748" s="5">
        <v>5747.0</v>
      </c>
      <c r="B5748" s="5" t="s">
        <v>6302</v>
      </c>
      <c r="C5748" s="5" t="s">
        <v>21</v>
      </c>
      <c r="N5748" s="9">
        <v>44519.0</v>
      </c>
    </row>
    <row r="5749">
      <c r="A5749" s="5">
        <v>5748.0</v>
      </c>
      <c r="B5749" s="5" t="s">
        <v>6303</v>
      </c>
      <c r="C5749" s="5" t="s">
        <v>21</v>
      </c>
      <c r="K5749" s="5">
        <v>250.0</v>
      </c>
      <c r="N5749" s="9">
        <v>43954.0</v>
      </c>
    </row>
    <row r="5750">
      <c r="A5750" s="5">
        <v>5749.0</v>
      </c>
      <c r="B5750" s="5" t="s">
        <v>6304</v>
      </c>
      <c r="C5750" s="5" t="s">
        <v>21</v>
      </c>
      <c r="K5750" s="5">
        <v>300.0</v>
      </c>
      <c r="N5750" s="9">
        <v>43985.0</v>
      </c>
    </row>
    <row r="5751">
      <c r="A5751" s="5">
        <v>5750.0</v>
      </c>
      <c r="B5751" s="5" t="s">
        <v>6305</v>
      </c>
      <c r="C5751" s="5" t="s">
        <v>21</v>
      </c>
      <c r="K5751" s="5">
        <v>200.0</v>
      </c>
      <c r="N5751" s="9">
        <v>44800.0</v>
      </c>
    </row>
    <row r="5752">
      <c r="A5752" s="5">
        <v>5751.0</v>
      </c>
      <c r="B5752" s="5" t="s">
        <v>6306</v>
      </c>
      <c r="C5752" s="5" t="s">
        <v>21</v>
      </c>
      <c r="K5752" s="5">
        <v>20.0</v>
      </c>
      <c r="N5752" s="9">
        <v>45846.0</v>
      </c>
    </row>
    <row r="5753">
      <c r="A5753" s="5">
        <v>5752.0</v>
      </c>
      <c r="B5753" s="5" t="s">
        <v>6307</v>
      </c>
      <c r="C5753" s="5" t="s">
        <v>21</v>
      </c>
      <c r="K5753" s="5">
        <v>200.0</v>
      </c>
      <c r="N5753" s="9">
        <v>44217.0</v>
      </c>
    </row>
    <row r="5754">
      <c r="A5754" s="5">
        <v>5753.0</v>
      </c>
      <c r="B5754" s="5" t="s">
        <v>6308</v>
      </c>
      <c r="C5754" s="5" t="s">
        <v>21</v>
      </c>
      <c r="K5754" s="5">
        <v>1200.0</v>
      </c>
      <c r="N5754" s="9">
        <v>44721.0</v>
      </c>
    </row>
    <row r="5755">
      <c r="A5755" s="5">
        <v>5754.0</v>
      </c>
      <c r="B5755" s="5" t="s">
        <v>6309</v>
      </c>
      <c r="C5755" s="5" t="s">
        <v>21</v>
      </c>
      <c r="K5755" s="5">
        <v>250.0</v>
      </c>
      <c r="N5755" s="9">
        <v>44363.0</v>
      </c>
    </row>
    <row r="5756">
      <c r="A5756" s="5">
        <v>5755.0</v>
      </c>
      <c r="B5756" s="5" t="s">
        <v>6310</v>
      </c>
      <c r="C5756" s="5" t="s">
        <v>21</v>
      </c>
      <c r="K5756" s="5">
        <v>1200.0</v>
      </c>
      <c r="N5756" s="9">
        <v>44040.0</v>
      </c>
    </row>
    <row r="5757">
      <c r="A5757" s="5">
        <v>5756.0</v>
      </c>
      <c r="B5757" s="5" t="s">
        <v>6311</v>
      </c>
      <c r="C5757" s="5" t="s">
        <v>21</v>
      </c>
      <c r="N5757" s="9">
        <v>45140.0</v>
      </c>
    </row>
    <row r="5758">
      <c r="A5758" s="5">
        <v>5757.0</v>
      </c>
      <c r="B5758" s="5" t="s">
        <v>6312</v>
      </c>
      <c r="C5758" s="5" t="s">
        <v>21</v>
      </c>
      <c r="K5758" s="5">
        <v>150.0</v>
      </c>
      <c r="N5758" s="9">
        <v>44216.0</v>
      </c>
    </row>
    <row r="5759">
      <c r="A5759" s="5">
        <v>5758.0</v>
      </c>
      <c r="B5759" s="5" t="s">
        <v>6313</v>
      </c>
      <c r="C5759" s="5" t="s">
        <v>21</v>
      </c>
      <c r="K5759" s="5">
        <v>10.0</v>
      </c>
      <c r="N5759" s="9">
        <v>44201.0</v>
      </c>
    </row>
    <row r="5760">
      <c r="A5760" s="5">
        <v>5759.0</v>
      </c>
      <c r="B5760" s="5" t="s">
        <v>6314</v>
      </c>
      <c r="C5760" s="5" t="s">
        <v>21</v>
      </c>
      <c r="K5760" s="5">
        <v>350.0</v>
      </c>
      <c r="N5760" s="9">
        <v>44761.0</v>
      </c>
    </row>
    <row r="5761">
      <c r="A5761" s="5">
        <v>5760.0</v>
      </c>
      <c r="B5761" s="5" t="s">
        <v>6315</v>
      </c>
      <c r="C5761" s="5" t="s">
        <v>21</v>
      </c>
      <c r="K5761" s="5">
        <v>200.0</v>
      </c>
      <c r="N5761" s="9">
        <v>44644.0</v>
      </c>
    </row>
    <row r="5762">
      <c r="A5762" s="5">
        <v>5761.0</v>
      </c>
      <c r="B5762" s="5" t="s">
        <v>6316</v>
      </c>
      <c r="C5762" s="5" t="s">
        <v>21</v>
      </c>
      <c r="K5762" s="5">
        <v>600.0</v>
      </c>
      <c r="N5762" s="9">
        <v>44047.0</v>
      </c>
    </row>
    <row r="5763">
      <c r="A5763" s="5">
        <v>5762.0</v>
      </c>
      <c r="B5763" s="5" t="s">
        <v>6317</v>
      </c>
      <c r="C5763" s="5" t="s">
        <v>21</v>
      </c>
      <c r="K5763" s="5">
        <v>1300.0</v>
      </c>
      <c r="N5763" s="9">
        <v>43948.0</v>
      </c>
    </row>
    <row r="5764">
      <c r="A5764" s="5">
        <v>5763.0</v>
      </c>
      <c r="B5764" s="5" t="s">
        <v>6318</v>
      </c>
      <c r="C5764" s="5" t="s">
        <v>21</v>
      </c>
      <c r="K5764" s="5">
        <v>100.0</v>
      </c>
      <c r="N5764" s="9">
        <v>44535.0</v>
      </c>
    </row>
    <row r="5765">
      <c r="A5765" s="5">
        <v>5764.0</v>
      </c>
      <c r="B5765" s="5" t="s">
        <v>6319</v>
      </c>
      <c r="C5765" s="5" t="s">
        <v>21</v>
      </c>
      <c r="K5765" s="5">
        <v>600.0</v>
      </c>
      <c r="N5765" s="9">
        <v>44522.0</v>
      </c>
    </row>
    <row r="5766">
      <c r="A5766" s="5">
        <v>5765.0</v>
      </c>
      <c r="B5766" s="5" t="s">
        <v>6320</v>
      </c>
      <c r="C5766" s="5" t="s">
        <v>21</v>
      </c>
      <c r="K5766" s="5">
        <v>60.0</v>
      </c>
      <c r="N5766" s="9">
        <v>44569.0</v>
      </c>
    </row>
    <row r="5767">
      <c r="A5767" s="5">
        <v>5766.0</v>
      </c>
      <c r="B5767" s="5" t="s">
        <v>6321</v>
      </c>
      <c r="C5767" s="5" t="s">
        <v>21</v>
      </c>
      <c r="K5767" s="5">
        <v>300.0</v>
      </c>
      <c r="N5767" s="9">
        <v>45093.0</v>
      </c>
    </row>
    <row r="5768">
      <c r="A5768" s="5">
        <v>5767.0</v>
      </c>
      <c r="B5768" s="5" t="s">
        <v>6322</v>
      </c>
      <c r="C5768" s="5" t="s">
        <v>21</v>
      </c>
      <c r="K5768" s="5">
        <v>600.0</v>
      </c>
      <c r="N5768" s="9">
        <v>44343.0</v>
      </c>
    </row>
    <row r="5769">
      <c r="A5769" s="5">
        <v>5768.0</v>
      </c>
      <c r="B5769" s="5" t="s">
        <v>203</v>
      </c>
      <c r="C5769" s="5" t="s">
        <v>21</v>
      </c>
      <c r="K5769" s="5">
        <v>350.0</v>
      </c>
      <c r="N5769" s="9">
        <v>44534.0</v>
      </c>
    </row>
    <row r="5770">
      <c r="A5770" s="5">
        <v>5769.0</v>
      </c>
      <c r="B5770" s="5" t="s">
        <v>6323</v>
      </c>
      <c r="C5770" s="5" t="s">
        <v>21</v>
      </c>
      <c r="N5770" s="9">
        <v>44519.0</v>
      </c>
    </row>
    <row r="5771">
      <c r="A5771" s="5">
        <v>5770.0</v>
      </c>
      <c r="B5771" s="5" t="s">
        <v>6324</v>
      </c>
      <c r="C5771" s="5" t="s">
        <v>21</v>
      </c>
      <c r="K5771" s="5">
        <v>60.0</v>
      </c>
      <c r="N5771" s="9">
        <v>44599.0</v>
      </c>
    </row>
    <row r="5772">
      <c r="A5772" s="5">
        <v>5771.0</v>
      </c>
      <c r="B5772" s="5" t="s">
        <v>6325</v>
      </c>
      <c r="C5772" s="5" t="s">
        <v>21</v>
      </c>
      <c r="K5772" s="5">
        <v>200.0</v>
      </c>
      <c r="N5772" s="9">
        <v>45555.0</v>
      </c>
    </row>
    <row r="5773">
      <c r="A5773" s="5">
        <v>5772.0</v>
      </c>
      <c r="B5773" s="5" t="s">
        <v>6326</v>
      </c>
      <c r="C5773" s="5" t="s">
        <v>21</v>
      </c>
      <c r="K5773" s="5">
        <v>800.0</v>
      </c>
      <c r="N5773" s="9">
        <v>44498.0</v>
      </c>
    </row>
    <row r="5774">
      <c r="A5774" s="5">
        <v>5773.0</v>
      </c>
      <c r="B5774" s="5" t="s">
        <v>6327</v>
      </c>
      <c r="C5774" s="5" t="s">
        <v>21</v>
      </c>
      <c r="K5774" s="5">
        <v>150.0</v>
      </c>
      <c r="N5774" s="9">
        <v>44536.0</v>
      </c>
    </row>
    <row r="5775">
      <c r="A5775" s="5">
        <v>5774.0</v>
      </c>
      <c r="B5775" s="5" t="s">
        <v>6328</v>
      </c>
      <c r="C5775" s="5" t="s">
        <v>21</v>
      </c>
      <c r="K5775" s="5">
        <v>5100.0</v>
      </c>
      <c r="N5775" s="9">
        <v>44028.0</v>
      </c>
    </row>
    <row r="5776">
      <c r="A5776" s="5">
        <v>5775.0</v>
      </c>
      <c r="B5776" s="5" t="s">
        <v>6329</v>
      </c>
      <c r="C5776" s="5" t="s">
        <v>21</v>
      </c>
      <c r="K5776" s="5">
        <v>150.0</v>
      </c>
      <c r="N5776" s="9">
        <v>43869.0</v>
      </c>
    </row>
    <row r="5777">
      <c r="A5777" s="5">
        <v>5776.0</v>
      </c>
      <c r="B5777" s="5" t="s">
        <v>6330</v>
      </c>
      <c r="C5777" s="5" t="s">
        <v>21</v>
      </c>
      <c r="K5777" s="5">
        <v>3800.0</v>
      </c>
      <c r="N5777" s="9">
        <v>44066.0</v>
      </c>
    </row>
    <row r="5778">
      <c r="A5778" s="5">
        <v>5777.0</v>
      </c>
      <c r="B5778" s="5" t="s">
        <v>6331</v>
      </c>
      <c r="C5778" s="5" t="s">
        <v>21</v>
      </c>
      <c r="K5778" s="5">
        <v>500.0</v>
      </c>
      <c r="N5778" s="9">
        <v>44515.0</v>
      </c>
    </row>
    <row r="5779">
      <c r="A5779" s="5">
        <v>5778.0</v>
      </c>
      <c r="B5779" s="5" t="s">
        <v>6332</v>
      </c>
      <c r="C5779" s="5" t="s">
        <v>21</v>
      </c>
      <c r="K5779" s="5">
        <v>200.0</v>
      </c>
      <c r="N5779" s="9">
        <v>44541.0</v>
      </c>
    </row>
    <row r="5780">
      <c r="A5780" s="5">
        <v>5779.0</v>
      </c>
      <c r="B5780" s="5" t="s">
        <v>6333</v>
      </c>
      <c r="C5780" s="5" t="s">
        <v>21</v>
      </c>
      <c r="K5780" s="5">
        <v>200.0</v>
      </c>
      <c r="N5780" s="9">
        <v>44648.0</v>
      </c>
    </row>
    <row r="5781">
      <c r="A5781" s="5">
        <v>5780.0</v>
      </c>
      <c r="B5781" s="5" t="s">
        <v>6334</v>
      </c>
      <c r="C5781" s="5" t="s">
        <v>21</v>
      </c>
      <c r="K5781" s="5">
        <v>50.0</v>
      </c>
      <c r="N5781" s="9">
        <v>44581.0</v>
      </c>
    </row>
    <row r="5782">
      <c r="A5782" s="5">
        <v>5781.0</v>
      </c>
      <c r="B5782" s="5" t="s">
        <v>6335</v>
      </c>
      <c r="C5782" s="5" t="s">
        <v>21</v>
      </c>
      <c r="K5782" s="5">
        <v>70.0</v>
      </c>
      <c r="N5782" s="9">
        <v>45352.0</v>
      </c>
    </row>
    <row r="5783">
      <c r="A5783" s="5">
        <v>5782.0</v>
      </c>
      <c r="B5783" s="5" t="s">
        <v>6336</v>
      </c>
      <c r="C5783" s="5" t="s">
        <v>21</v>
      </c>
      <c r="K5783" s="5">
        <v>250.0</v>
      </c>
      <c r="N5783" s="9">
        <v>44328.0</v>
      </c>
    </row>
    <row r="5784">
      <c r="A5784" s="5">
        <v>5783.0</v>
      </c>
      <c r="B5784" s="5" t="s">
        <v>6337</v>
      </c>
      <c r="C5784" s="5" t="s">
        <v>21</v>
      </c>
      <c r="K5784" s="5">
        <v>300.0</v>
      </c>
      <c r="N5784" s="9">
        <v>45579.0</v>
      </c>
    </row>
    <row r="5785">
      <c r="A5785" s="5">
        <v>5784.0</v>
      </c>
      <c r="B5785" s="5" t="s">
        <v>6338</v>
      </c>
      <c r="C5785" s="5" t="s">
        <v>21</v>
      </c>
      <c r="K5785" s="5">
        <v>150.0</v>
      </c>
      <c r="N5785" s="9">
        <v>45361.0</v>
      </c>
    </row>
    <row r="5786">
      <c r="A5786" s="5">
        <v>5785.0</v>
      </c>
      <c r="B5786" s="5" t="s">
        <v>6339</v>
      </c>
      <c r="C5786" s="5" t="s">
        <v>21</v>
      </c>
      <c r="N5786" s="9">
        <v>44482.0</v>
      </c>
    </row>
    <row r="5787">
      <c r="A5787" s="5">
        <v>5786.0</v>
      </c>
      <c r="B5787" s="5" t="s">
        <v>6340</v>
      </c>
      <c r="C5787" s="5" t="s">
        <v>21</v>
      </c>
      <c r="K5787" s="5">
        <v>200.0</v>
      </c>
      <c r="N5787" s="9">
        <v>44728.0</v>
      </c>
    </row>
    <row r="5788">
      <c r="A5788" s="5">
        <v>5787.0</v>
      </c>
      <c r="B5788" s="5" t="s">
        <v>6341</v>
      </c>
      <c r="C5788" s="5" t="s">
        <v>21</v>
      </c>
      <c r="K5788" s="5">
        <v>2700.0</v>
      </c>
      <c r="N5788" s="9">
        <v>44608.0</v>
      </c>
    </row>
    <row r="5789">
      <c r="A5789" s="5">
        <v>5788.0</v>
      </c>
      <c r="B5789" s="5" t="s">
        <v>6342</v>
      </c>
      <c r="C5789" s="5" t="s">
        <v>21</v>
      </c>
      <c r="K5789" s="5">
        <v>20.0</v>
      </c>
      <c r="N5789" s="9">
        <v>44826.0</v>
      </c>
    </row>
    <row r="5790">
      <c r="A5790" s="5">
        <v>5789.0</v>
      </c>
      <c r="B5790" s="5" t="s">
        <v>6343</v>
      </c>
      <c r="C5790" s="5" t="s">
        <v>21</v>
      </c>
      <c r="K5790" s="5">
        <v>800.0</v>
      </c>
      <c r="N5790" s="9">
        <v>44304.0</v>
      </c>
    </row>
    <row r="5791">
      <c r="A5791" s="5">
        <v>5790.0</v>
      </c>
      <c r="B5791" s="5" t="s">
        <v>6344</v>
      </c>
      <c r="C5791" s="5" t="s">
        <v>21</v>
      </c>
      <c r="K5791" s="5">
        <v>400.0</v>
      </c>
      <c r="N5791" s="9">
        <v>44737.0</v>
      </c>
    </row>
    <row r="5792">
      <c r="A5792" s="5">
        <v>5791.0</v>
      </c>
      <c r="B5792" s="5" t="s">
        <v>6345</v>
      </c>
      <c r="C5792" s="5" t="s">
        <v>21</v>
      </c>
      <c r="K5792" s="5">
        <v>60.0</v>
      </c>
      <c r="N5792" s="9">
        <v>43947.0</v>
      </c>
    </row>
    <row r="5793">
      <c r="A5793" s="5">
        <v>5792.0</v>
      </c>
      <c r="B5793" s="5" t="s">
        <v>6346</v>
      </c>
      <c r="C5793" s="5" t="s">
        <v>21</v>
      </c>
      <c r="K5793" s="5">
        <v>250.0</v>
      </c>
      <c r="N5793" s="9">
        <v>44818.0</v>
      </c>
    </row>
    <row r="5794">
      <c r="A5794" s="5">
        <v>5793.0</v>
      </c>
      <c r="B5794" s="5" t="s">
        <v>6347</v>
      </c>
      <c r="C5794" s="5" t="s">
        <v>21</v>
      </c>
      <c r="K5794" s="5">
        <v>3600.0</v>
      </c>
      <c r="N5794" s="9">
        <v>44464.0</v>
      </c>
    </row>
    <row r="5795">
      <c r="A5795" s="5">
        <v>5794.0</v>
      </c>
      <c r="B5795" s="5" t="s">
        <v>6348</v>
      </c>
      <c r="C5795" s="5" t="s">
        <v>21</v>
      </c>
      <c r="K5795" s="5">
        <v>500.0</v>
      </c>
      <c r="N5795" s="9">
        <v>45071.0</v>
      </c>
    </row>
    <row r="5796">
      <c r="A5796" s="5">
        <v>5795.0</v>
      </c>
      <c r="B5796" s="5" t="s">
        <v>6349</v>
      </c>
      <c r="C5796" s="5" t="s">
        <v>21</v>
      </c>
      <c r="K5796" s="5">
        <v>600.0</v>
      </c>
      <c r="N5796" s="9">
        <v>45308.0</v>
      </c>
    </row>
    <row r="5797">
      <c r="A5797" s="5">
        <v>5796.0</v>
      </c>
      <c r="B5797" s="5" t="s">
        <v>6350</v>
      </c>
      <c r="C5797" s="5" t="s">
        <v>21</v>
      </c>
      <c r="K5797" s="5">
        <v>2200.0</v>
      </c>
      <c r="N5797" s="9">
        <v>44582.0</v>
      </c>
    </row>
    <row r="5798">
      <c r="A5798" s="5">
        <v>5797.0</v>
      </c>
      <c r="B5798" s="5" t="s">
        <v>6351</v>
      </c>
      <c r="C5798" s="5" t="s">
        <v>21</v>
      </c>
      <c r="K5798" s="5">
        <v>250.0</v>
      </c>
      <c r="N5798" s="9">
        <v>44624.0</v>
      </c>
    </row>
    <row r="5799">
      <c r="A5799" s="5">
        <v>5798.0</v>
      </c>
      <c r="B5799" s="5" t="s">
        <v>6352</v>
      </c>
      <c r="C5799" s="5" t="s">
        <v>21</v>
      </c>
      <c r="K5799" s="5">
        <v>150.0</v>
      </c>
      <c r="N5799" s="9">
        <v>44734.0</v>
      </c>
    </row>
    <row r="5800">
      <c r="A5800" s="5">
        <v>5799.0</v>
      </c>
      <c r="B5800" s="5" t="s">
        <v>6353</v>
      </c>
      <c r="C5800" s="5" t="s">
        <v>21</v>
      </c>
      <c r="K5800" s="5">
        <v>30.0</v>
      </c>
      <c r="N5800" s="9">
        <v>45151.0</v>
      </c>
    </row>
    <row r="5801">
      <c r="A5801" s="5">
        <v>5800.0</v>
      </c>
      <c r="B5801" s="5" t="s">
        <v>6354</v>
      </c>
      <c r="C5801" s="5" t="s">
        <v>21</v>
      </c>
      <c r="K5801" s="5">
        <v>100.0</v>
      </c>
      <c r="N5801" s="9">
        <v>44136.0</v>
      </c>
    </row>
    <row r="5802">
      <c r="A5802" s="5">
        <v>5801.0</v>
      </c>
      <c r="B5802" s="5" t="s">
        <v>6355</v>
      </c>
      <c r="C5802" s="5" t="s">
        <v>21</v>
      </c>
      <c r="K5802" s="5">
        <v>300.0</v>
      </c>
      <c r="N5802" s="9">
        <v>44585.0</v>
      </c>
    </row>
    <row r="5803">
      <c r="A5803" s="5">
        <v>5802.0</v>
      </c>
      <c r="B5803" s="5" t="s">
        <v>6356</v>
      </c>
      <c r="C5803" s="5" t="s">
        <v>21</v>
      </c>
      <c r="K5803" s="5">
        <v>700.0</v>
      </c>
      <c r="N5803" s="9">
        <v>44571.0</v>
      </c>
    </row>
    <row r="5804">
      <c r="A5804" s="5">
        <v>5803.0</v>
      </c>
      <c r="B5804" s="5" t="s">
        <v>6357</v>
      </c>
      <c r="C5804" s="5" t="s">
        <v>21</v>
      </c>
      <c r="K5804" s="5">
        <v>400.0</v>
      </c>
      <c r="N5804" s="9">
        <v>45274.0</v>
      </c>
    </row>
    <row r="5805">
      <c r="A5805" s="5">
        <v>5804.0</v>
      </c>
      <c r="B5805" s="5" t="s">
        <v>6358</v>
      </c>
      <c r="C5805" s="5" t="s">
        <v>21</v>
      </c>
      <c r="K5805" s="5">
        <v>250.0</v>
      </c>
      <c r="N5805" s="9">
        <v>45108.0</v>
      </c>
    </row>
    <row r="5806">
      <c r="A5806" s="5">
        <v>5805.0</v>
      </c>
      <c r="B5806" s="5" t="s">
        <v>6359</v>
      </c>
      <c r="C5806" s="5" t="s">
        <v>21</v>
      </c>
      <c r="K5806" s="5">
        <v>2400.0</v>
      </c>
      <c r="N5806" s="9">
        <v>45469.0</v>
      </c>
    </row>
    <row r="5807">
      <c r="A5807" s="5">
        <v>5806.0</v>
      </c>
      <c r="B5807" s="5" t="s">
        <v>6360</v>
      </c>
      <c r="C5807" s="5" t="s">
        <v>21</v>
      </c>
      <c r="K5807" s="5">
        <v>150.0</v>
      </c>
      <c r="N5807" s="9">
        <v>45094.0</v>
      </c>
    </row>
    <row r="5808">
      <c r="A5808" s="5">
        <v>5807.0</v>
      </c>
      <c r="B5808" s="5" t="s">
        <v>6361</v>
      </c>
      <c r="C5808" s="5" t="s">
        <v>21</v>
      </c>
      <c r="K5808" s="5">
        <v>400.0</v>
      </c>
      <c r="N5808" s="9">
        <v>45501.0</v>
      </c>
    </row>
    <row r="5809">
      <c r="A5809" s="5">
        <v>5808.0</v>
      </c>
      <c r="B5809" s="5" t="s">
        <v>6362</v>
      </c>
      <c r="C5809" s="5" t="s">
        <v>21</v>
      </c>
      <c r="K5809" s="5">
        <v>100.0</v>
      </c>
      <c r="N5809" s="9">
        <v>43842.0</v>
      </c>
    </row>
    <row r="5810">
      <c r="A5810" s="5">
        <v>5809.0</v>
      </c>
      <c r="B5810" s="5" t="s">
        <v>6363</v>
      </c>
      <c r="C5810" s="5" t="s">
        <v>21</v>
      </c>
      <c r="K5810" s="5">
        <v>1300.0</v>
      </c>
      <c r="N5810" s="9">
        <v>44321.0</v>
      </c>
    </row>
    <row r="5811">
      <c r="A5811" s="5">
        <v>5810.0</v>
      </c>
      <c r="B5811" s="5" t="s">
        <v>6364</v>
      </c>
      <c r="C5811" s="5" t="s">
        <v>21</v>
      </c>
      <c r="K5811" s="5">
        <v>200.0</v>
      </c>
      <c r="N5811" s="9">
        <v>44142.0</v>
      </c>
    </row>
    <row r="5812">
      <c r="A5812" s="5">
        <v>5811.0</v>
      </c>
      <c r="B5812" s="5" t="s">
        <v>6365</v>
      </c>
      <c r="C5812" s="5" t="s">
        <v>21</v>
      </c>
      <c r="N5812" s="9">
        <v>45082.0</v>
      </c>
    </row>
    <row r="5813">
      <c r="A5813" s="5">
        <v>5812.0</v>
      </c>
      <c r="B5813" s="5" t="s">
        <v>6366</v>
      </c>
      <c r="C5813" s="5" t="s">
        <v>21</v>
      </c>
      <c r="K5813" s="5">
        <v>900.0</v>
      </c>
      <c r="N5813" s="9">
        <v>43859.0</v>
      </c>
    </row>
    <row r="5814">
      <c r="A5814" s="5">
        <v>5813.0</v>
      </c>
      <c r="B5814" s="5" t="s">
        <v>6367</v>
      </c>
      <c r="C5814" s="5" t="s">
        <v>21</v>
      </c>
      <c r="K5814" s="5">
        <v>1200.0</v>
      </c>
      <c r="N5814" s="9">
        <v>44536.0</v>
      </c>
    </row>
    <row r="5815">
      <c r="A5815" s="5">
        <v>5814.0</v>
      </c>
      <c r="B5815" s="5" t="s">
        <v>6368</v>
      </c>
      <c r="C5815" s="5" t="s">
        <v>21</v>
      </c>
      <c r="K5815" s="5">
        <v>1200.0</v>
      </c>
      <c r="N5815" s="9">
        <v>44344.0</v>
      </c>
    </row>
    <row r="5816">
      <c r="A5816" s="5">
        <v>5815.0</v>
      </c>
      <c r="B5816" s="5" t="s">
        <v>6369</v>
      </c>
      <c r="C5816" s="5" t="s">
        <v>21</v>
      </c>
      <c r="K5816" s="5">
        <v>2400.0</v>
      </c>
      <c r="N5816" s="9">
        <v>44391.0</v>
      </c>
    </row>
    <row r="5817">
      <c r="A5817" s="5">
        <v>5816.0</v>
      </c>
      <c r="B5817" s="5" t="s">
        <v>6370</v>
      </c>
      <c r="C5817" s="5" t="s">
        <v>21</v>
      </c>
      <c r="K5817" s="5">
        <v>100.0</v>
      </c>
      <c r="N5817" s="9">
        <v>45089.0</v>
      </c>
    </row>
    <row r="5818">
      <c r="A5818" s="5">
        <v>5817.0</v>
      </c>
      <c r="B5818" s="5" t="s">
        <v>6371</v>
      </c>
      <c r="C5818" s="5" t="s">
        <v>21</v>
      </c>
      <c r="K5818" s="5">
        <v>250.0</v>
      </c>
      <c r="N5818" s="9">
        <v>45081.0</v>
      </c>
    </row>
    <row r="5819">
      <c r="A5819" s="5">
        <v>5818.0</v>
      </c>
      <c r="B5819" s="5" t="s">
        <v>6372</v>
      </c>
      <c r="C5819" s="5" t="s">
        <v>21</v>
      </c>
      <c r="K5819" s="5">
        <v>400.0</v>
      </c>
      <c r="N5819" s="9">
        <v>44575.0</v>
      </c>
    </row>
    <row r="5820">
      <c r="A5820" s="5">
        <v>5819.0</v>
      </c>
      <c r="B5820" s="5" t="s">
        <v>6373</v>
      </c>
      <c r="C5820" s="5" t="s">
        <v>21</v>
      </c>
      <c r="K5820" s="5">
        <v>100.0</v>
      </c>
      <c r="N5820" s="9">
        <v>44536.0</v>
      </c>
    </row>
    <row r="5821">
      <c r="A5821" s="5">
        <v>5820.0</v>
      </c>
      <c r="B5821" s="5" t="s">
        <v>6374</v>
      </c>
      <c r="C5821" s="5" t="s">
        <v>21</v>
      </c>
      <c r="K5821" s="5">
        <v>250.0</v>
      </c>
      <c r="N5821" s="9">
        <v>45636.0</v>
      </c>
    </row>
    <row r="5822">
      <c r="A5822" s="5">
        <v>5821.0</v>
      </c>
      <c r="B5822" s="5" t="s">
        <v>6375</v>
      </c>
      <c r="C5822" s="5" t="s">
        <v>21</v>
      </c>
      <c r="N5822" s="9">
        <v>44524.0</v>
      </c>
    </row>
    <row r="5823">
      <c r="A5823" s="5">
        <v>5822.0</v>
      </c>
      <c r="B5823" s="5" t="s">
        <v>6376</v>
      </c>
      <c r="C5823" s="5" t="s">
        <v>21</v>
      </c>
      <c r="K5823" s="5">
        <v>250.0</v>
      </c>
      <c r="N5823" s="9">
        <v>44571.0</v>
      </c>
    </row>
    <row r="5824">
      <c r="A5824" s="5">
        <v>5823.0</v>
      </c>
      <c r="B5824" s="5" t="s">
        <v>6377</v>
      </c>
      <c r="C5824" s="5" t="s">
        <v>21</v>
      </c>
      <c r="K5824" s="5">
        <v>900.0</v>
      </c>
      <c r="N5824" s="9">
        <v>43867.0</v>
      </c>
    </row>
    <row r="5825">
      <c r="A5825" s="5">
        <v>5824.0</v>
      </c>
      <c r="B5825" s="5" t="s">
        <v>6378</v>
      </c>
      <c r="C5825" s="5" t="s">
        <v>21</v>
      </c>
      <c r="K5825" s="5">
        <v>500.0</v>
      </c>
      <c r="N5825" s="9">
        <v>44781.0</v>
      </c>
    </row>
    <row r="5826">
      <c r="A5826" s="5">
        <v>5825.0</v>
      </c>
      <c r="B5826" s="5" t="s">
        <v>6379</v>
      </c>
      <c r="C5826" s="5" t="s">
        <v>21</v>
      </c>
      <c r="K5826" s="5">
        <v>350.0</v>
      </c>
      <c r="N5826" s="9">
        <v>44626.0</v>
      </c>
    </row>
    <row r="5827">
      <c r="A5827" s="5">
        <v>5826.0</v>
      </c>
      <c r="B5827" s="5" t="s">
        <v>6380</v>
      </c>
      <c r="C5827" s="5" t="s">
        <v>21</v>
      </c>
      <c r="K5827" s="5">
        <v>150.0</v>
      </c>
      <c r="N5827" s="9">
        <v>44570.0</v>
      </c>
    </row>
    <row r="5828">
      <c r="A5828" s="5">
        <v>5827.0</v>
      </c>
      <c r="B5828" s="5" t="s">
        <v>6381</v>
      </c>
      <c r="C5828" s="5" t="s">
        <v>21</v>
      </c>
      <c r="K5828" s="5">
        <v>200.0</v>
      </c>
      <c r="N5828" s="9">
        <v>44690.0</v>
      </c>
    </row>
    <row r="5829">
      <c r="A5829" s="5">
        <v>5828.0</v>
      </c>
      <c r="B5829" s="5" t="s">
        <v>6382</v>
      </c>
      <c r="C5829" s="5" t="s">
        <v>21</v>
      </c>
      <c r="K5829" s="5">
        <v>250.0</v>
      </c>
      <c r="N5829" s="9">
        <v>44376.0</v>
      </c>
    </row>
    <row r="5830">
      <c r="A5830" s="5">
        <v>5829.0</v>
      </c>
      <c r="B5830" s="5" t="s">
        <v>6383</v>
      </c>
      <c r="C5830" s="5" t="s">
        <v>21</v>
      </c>
      <c r="K5830" s="5">
        <v>60.0</v>
      </c>
      <c r="N5830" s="9">
        <v>44564.0</v>
      </c>
    </row>
    <row r="5831">
      <c r="A5831" s="5">
        <v>5830.0</v>
      </c>
      <c r="B5831" s="5" t="s">
        <v>6384</v>
      </c>
      <c r="C5831" s="5" t="s">
        <v>21</v>
      </c>
      <c r="K5831" s="5">
        <v>200.0</v>
      </c>
      <c r="N5831" s="9">
        <v>44721.0</v>
      </c>
    </row>
    <row r="5832">
      <c r="A5832" s="5">
        <v>5831.0</v>
      </c>
      <c r="B5832" s="5" t="s">
        <v>6385</v>
      </c>
      <c r="C5832" s="5" t="s">
        <v>21</v>
      </c>
      <c r="K5832" s="5">
        <v>3200.0</v>
      </c>
      <c r="N5832" s="9">
        <v>44168.0</v>
      </c>
    </row>
    <row r="5833">
      <c r="A5833" s="5">
        <v>5832.0</v>
      </c>
      <c r="B5833" s="5" t="s">
        <v>6386</v>
      </c>
      <c r="C5833" s="5" t="s">
        <v>21</v>
      </c>
      <c r="K5833" s="5">
        <v>250.0</v>
      </c>
      <c r="N5833" s="9">
        <v>44608.0</v>
      </c>
    </row>
    <row r="5834">
      <c r="A5834" s="5">
        <v>5833.0</v>
      </c>
      <c r="B5834" s="5" t="s">
        <v>6387</v>
      </c>
      <c r="C5834" s="5" t="s">
        <v>21</v>
      </c>
      <c r="K5834" s="5">
        <v>900.0</v>
      </c>
      <c r="N5834" s="9">
        <v>44429.0</v>
      </c>
    </row>
    <row r="5835">
      <c r="A5835" s="5">
        <v>5834.0</v>
      </c>
      <c r="B5835" s="5" t="s">
        <v>6388</v>
      </c>
      <c r="C5835" s="5" t="s">
        <v>21</v>
      </c>
      <c r="K5835" s="5">
        <v>800.0</v>
      </c>
      <c r="N5835" s="9">
        <v>43935.0</v>
      </c>
    </row>
    <row r="5836">
      <c r="A5836" s="5">
        <v>5835.0</v>
      </c>
      <c r="B5836" s="5" t="s">
        <v>6389</v>
      </c>
      <c r="C5836" s="5" t="s">
        <v>21</v>
      </c>
      <c r="K5836" s="5">
        <v>1600.0</v>
      </c>
      <c r="N5836" s="9">
        <v>44630.0</v>
      </c>
    </row>
    <row r="5837">
      <c r="A5837" s="5">
        <v>5836.0</v>
      </c>
      <c r="B5837" s="5" t="s">
        <v>6390</v>
      </c>
      <c r="C5837" s="5" t="s">
        <v>21</v>
      </c>
      <c r="K5837" s="5">
        <v>40.0</v>
      </c>
      <c r="N5837" s="9">
        <v>44250.0</v>
      </c>
    </row>
    <row r="5838">
      <c r="A5838" s="5">
        <v>5837.0</v>
      </c>
      <c r="B5838" s="5" t="s">
        <v>6391</v>
      </c>
      <c r="C5838" s="5" t="s">
        <v>21</v>
      </c>
      <c r="K5838" s="5">
        <v>400.0</v>
      </c>
      <c r="N5838" s="9">
        <v>44533.0</v>
      </c>
    </row>
    <row r="5839">
      <c r="A5839" s="5">
        <v>5838.0</v>
      </c>
      <c r="B5839" s="5" t="s">
        <v>6392</v>
      </c>
      <c r="C5839" s="5" t="s">
        <v>21</v>
      </c>
      <c r="K5839" s="5">
        <v>300.0</v>
      </c>
      <c r="N5839" s="9">
        <v>44670.0</v>
      </c>
    </row>
    <row r="5840">
      <c r="A5840" s="5">
        <v>5839.0</v>
      </c>
      <c r="B5840" s="5" t="s">
        <v>6393</v>
      </c>
      <c r="C5840" s="5" t="s">
        <v>21</v>
      </c>
      <c r="K5840" s="5">
        <v>900.0</v>
      </c>
      <c r="N5840" s="9">
        <v>44553.0</v>
      </c>
    </row>
    <row r="5841">
      <c r="A5841" s="5">
        <v>5840.0</v>
      </c>
      <c r="B5841" s="5" t="s">
        <v>6394</v>
      </c>
      <c r="C5841" s="5" t="s">
        <v>21</v>
      </c>
      <c r="K5841" s="5">
        <v>300.0</v>
      </c>
      <c r="N5841" s="9">
        <v>44707.0</v>
      </c>
    </row>
    <row r="5842">
      <c r="A5842" s="5">
        <v>5841.0</v>
      </c>
      <c r="B5842" s="5" t="s">
        <v>6395</v>
      </c>
      <c r="C5842" s="5" t="s">
        <v>21</v>
      </c>
      <c r="K5842" s="5">
        <v>300.0</v>
      </c>
      <c r="N5842" s="9">
        <v>44553.0</v>
      </c>
    </row>
    <row r="5843">
      <c r="A5843" s="5">
        <v>5842.0</v>
      </c>
      <c r="B5843" s="5" t="s">
        <v>6396</v>
      </c>
      <c r="C5843" s="5" t="s">
        <v>21</v>
      </c>
      <c r="K5843" s="5">
        <v>450.0</v>
      </c>
      <c r="N5843" s="9">
        <v>43886.0</v>
      </c>
    </row>
    <row r="5844">
      <c r="A5844" s="5">
        <v>5843.0</v>
      </c>
      <c r="B5844" s="5" t="s">
        <v>6397</v>
      </c>
      <c r="C5844" s="5" t="s">
        <v>21</v>
      </c>
      <c r="K5844" s="5">
        <v>2400.0</v>
      </c>
      <c r="N5844" s="9">
        <v>44491.0</v>
      </c>
    </row>
    <row r="5845">
      <c r="A5845" s="5">
        <v>5844.0</v>
      </c>
      <c r="B5845" s="5" t="s">
        <v>6398</v>
      </c>
      <c r="C5845" s="5" t="s">
        <v>21</v>
      </c>
      <c r="K5845" s="5">
        <v>300.0</v>
      </c>
      <c r="N5845" s="9">
        <v>44582.0</v>
      </c>
    </row>
    <row r="5846">
      <c r="A5846" s="5">
        <v>5845.0</v>
      </c>
      <c r="B5846" s="5" t="s">
        <v>6399</v>
      </c>
      <c r="C5846" s="5" t="s">
        <v>21</v>
      </c>
      <c r="K5846" s="5">
        <v>2300.0</v>
      </c>
      <c r="N5846" s="9">
        <v>43874.0</v>
      </c>
    </row>
    <row r="5847">
      <c r="A5847" s="5">
        <v>5846.0</v>
      </c>
      <c r="B5847" s="5" t="s">
        <v>6400</v>
      </c>
      <c r="C5847" s="5" t="s">
        <v>21</v>
      </c>
      <c r="K5847" s="5">
        <v>100.0</v>
      </c>
      <c r="N5847" s="9">
        <v>45384.0</v>
      </c>
    </row>
    <row r="5848">
      <c r="A5848" s="5">
        <v>5847.0</v>
      </c>
      <c r="B5848" s="5" t="s">
        <v>6401</v>
      </c>
      <c r="C5848" s="5" t="s">
        <v>21</v>
      </c>
      <c r="K5848" s="5">
        <v>5100.0</v>
      </c>
      <c r="N5848" s="9">
        <v>44073.0</v>
      </c>
    </row>
    <row r="5849">
      <c r="A5849" s="5">
        <v>5848.0</v>
      </c>
      <c r="B5849" s="5" t="s">
        <v>6402</v>
      </c>
      <c r="C5849" s="5" t="s">
        <v>21</v>
      </c>
      <c r="K5849" s="5">
        <v>250.0</v>
      </c>
      <c r="N5849" s="9">
        <v>44089.0</v>
      </c>
    </row>
    <row r="5850">
      <c r="A5850" s="5">
        <v>5849.0</v>
      </c>
      <c r="B5850" s="5" t="s">
        <v>6403</v>
      </c>
      <c r="C5850" s="5" t="s">
        <v>21</v>
      </c>
      <c r="K5850" s="5">
        <v>600.0</v>
      </c>
      <c r="N5850" s="9">
        <v>44574.0</v>
      </c>
    </row>
    <row r="5851">
      <c r="A5851" s="5">
        <v>5850.0</v>
      </c>
      <c r="B5851" s="5" t="s">
        <v>6404</v>
      </c>
      <c r="C5851" s="5" t="s">
        <v>21</v>
      </c>
      <c r="K5851" s="5">
        <v>250.0</v>
      </c>
      <c r="N5851" s="9">
        <v>43974.0</v>
      </c>
    </row>
    <row r="5852">
      <c r="A5852" s="5">
        <v>5851.0</v>
      </c>
      <c r="B5852" s="5" t="s">
        <v>6405</v>
      </c>
      <c r="C5852" s="5" t="s">
        <v>21</v>
      </c>
      <c r="K5852" s="5">
        <v>700.0</v>
      </c>
      <c r="N5852" s="9">
        <v>44558.0</v>
      </c>
    </row>
    <row r="5853">
      <c r="A5853" s="5">
        <v>5852.0</v>
      </c>
      <c r="B5853" s="5" t="s">
        <v>6406</v>
      </c>
      <c r="C5853" s="5" t="s">
        <v>21</v>
      </c>
      <c r="K5853" s="5">
        <v>150.0</v>
      </c>
      <c r="N5853" s="9">
        <v>45540.0</v>
      </c>
    </row>
    <row r="5854">
      <c r="A5854" s="5">
        <v>5853.0</v>
      </c>
      <c r="B5854" s="5" t="s">
        <v>6407</v>
      </c>
      <c r="C5854" s="5" t="s">
        <v>21</v>
      </c>
      <c r="K5854" s="5">
        <v>250.0</v>
      </c>
      <c r="N5854" s="9">
        <v>45091.0</v>
      </c>
    </row>
    <row r="5855">
      <c r="A5855" s="5">
        <v>5854.0</v>
      </c>
      <c r="B5855" s="5" t="s">
        <v>6408</v>
      </c>
      <c r="C5855" s="5" t="s">
        <v>21</v>
      </c>
      <c r="K5855" s="5">
        <v>1000.0</v>
      </c>
      <c r="N5855" s="9">
        <v>44579.0</v>
      </c>
    </row>
    <row r="5856">
      <c r="A5856" s="5">
        <v>5855.0</v>
      </c>
      <c r="B5856" s="5" t="s">
        <v>6409</v>
      </c>
      <c r="C5856" s="5" t="s">
        <v>21</v>
      </c>
      <c r="K5856" s="5">
        <v>350.0</v>
      </c>
      <c r="N5856" s="9">
        <v>45242.0</v>
      </c>
    </row>
    <row r="5857">
      <c r="A5857" s="5">
        <v>5856.0</v>
      </c>
      <c r="B5857" s="5" t="s">
        <v>6410</v>
      </c>
      <c r="C5857" s="5" t="s">
        <v>21</v>
      </c>
      <c r="K5857" s="5">
        <v>150.0</v>
      </c>
      <c r="N5857" s="9">
        <v>44847.0</v>
      </c>
    </row>
    <row r="5858">
      <c r="A5858" s="5">
        <v>5857.0</v>
      </c>
      <c r="B5858" s="5" t="s">
        <v>6411</v>
      </c>
      <c r="C5858" s="5" t="s">
        <v>21</v>
      </c>
      <c r="K5858" s="5">
        <v>150.0</v>
      </c>
      <c r="N5858" s="9">
        <v>44920.0</v>
      </c>
    </row>
    <row r="5859">
      <c r="A5859" s="5">
        <v>5858.0</v>
      </c>
      <c r="B5859" s="5" t="s">
        <v>6412</v>
      </c>
      <c r="C5859" s="5" t="s">
        <v>21</v>
      </c>
      <c r="K5859" s="5">
        <v>300.0</v>
      </c>
      <c r="N5859" s="9">
        <v>44938.0</v>
      </c>
    </row>
    <row r="5860">
      <c r="A5860" s="5">
        <v>5859.0</v>
      </c>
      <c r="B5860" s="5" t="s">
        <v>6413</v>
      </c>
      <c r="C5860" s="5" t="s">
        <v>21</v>
      </c>
      <c r="K5860" s="5">
        <v>250.0</v>
      </c>
      <c r="N5860" s="9">
        <v>44588.0</v>
      </c>
    </row>
    <row r="5861">
      <c r="A5861" s="5">
        <v>5860.0</v>
      </c>
      <c r="B5861" s="5" t="s">
        <v>6414</v>
      </c>
      <c r="C5861" s="5" t="s">
        <v>21</v>
      </c>
      <c r="K5861" s="5">
        <v>150.0</v>
      </c>
      <c r="N5861" s="9">
        <v>44347.0</v>
      </c>
    </row>
    <row r="5862">
      <c r="A5862" s="5">
        <v>5861.0</v>
      </c>
      <c r="B5862" s="5" t="s">
        <v>6415</v>
      </c>
      <c r="C5862" s="5" t="s">
        <v>21</v>
      </c>
      <c r="K5862" s="5">
        <v>200.0</v>
      </c>
      <c r="N5862" s="9">
        <v>44900.0</v>
      </c>
    </row>
    <row r="5863">
      <c r="A5863" s="5">
        <v>5862.0</v>
      </c>
      <c r="B5863" s="5" t="s">
        <v>6416</v>
      </c>
      <c r="C5863" s="5" t="s">
        <v>21</v>
      </c>
      <c r="K5863" s="5">
        <v>1900.0</v>
      </c>
      <c r="N5863" s="9">
        <v>44483.0</v>
      </c>
    </row>
    <row r="5864">
      <c r="A5864" s="5">
        <v>5863.0</v>
      </c>
      <c r="B5864" s="5" t="s">
        <v>6417</v>
      </c>
      <c r="C5864" s="5" t="s">
        <v>21</v>
      </c>
      <c r="K5864" s="5">
        <v>100.0</v>
      </c>
      <c r="N5864" s="9">
        <v>44942.0</v>
      </c>
    </row>
    <row r="5865">
      <c r="A5865" s="5">
        <v>5864.0</v>
      </c>
      <c r="B5865" s="5" t="s">
        <v>6418</v>
      </c>
      <c r="C5865" s="5" t="s">
        <v>21</v>
      </c>
      <c r="K5865" s="5">
        <v>500.0</v>
      </c>
      <c r="N5865" s="9">
        <v>44743.0</v>
      </c>
    </row>
    <row r="5866">
      <c r="A5866" s="5">
        <v>5865.0</v>
      </c>
      <c r="B5866" s="5" t="s">
        <v>6419</v>
      </c>
      <c r="C5866" s="5" t="s">
        <v>21</v>
      </c>
      <c r="K5866" s="5">
        <v>1100.0</v>
      </c>
      <c r="N5866" s="9">
        <v>44568.0</v>
      </c>
    </row>
    <row r="5867">
      <c r="A5867" s="5">
        <v>5866.0</v>
      </c>
      <c r="B5867" s="5" t="s">
        <v>6420</v>
      </c>
      <c r="C5867" s="5" t="s">
        <v>21</v>
      </c>
      <c r="K5867" s="5">
        <v>4200.0</v>
      </c>
      <c r="N5867" s="9">
        <v>44013.0</v>
      </c>
    </row>
    <row r="5868">
      <c r="A5868" s="5">
        <v>5867.0</v>
      </c>
      <c r="B5868" s="5" t="s">
        <v>6421</v>
      </c>
      <c r="C5868" s="5" t="s">
        <v>21</v>
      </c>
      <c r="K5868" s="5">
        <v>200.0</v>
      </c>
      <c r="N5868" s="9">
        <v>44539.0</v>
      </c>
    </row>
    <row r="5869">
      <c r="A5869" s="5">
        <v>5868.0</v>
      </c>
      <c r="B5869" s="5" t="s">
        <v>6422</v>
      </c>
      <c r="C5869" s="5" t="s">
        <v>21</v>
      </c>
      <c r="K5869" s="5">
        <v>250.0</v>
      </c>
      <c r="N5869" s="9">
        <v>44552.0</v>
      </c>
    </row>
    <row r="5870">
      <c r="A5870" s="5">
        <v>5869.0</v>
      </c>
      <c r="B5870" s="5" t="s">
        <v>6423</v>
      </c>
      <c r="C5870" s="5" t="s">
        <v>21</v>
      </c>
      <c r="K5870" s="5">
        <v>250.0</v>
      </c>
      <c r="N5870" s="9">
        <v>44570.0</v>
      </c>
    </row>
    <row r="5871">
      <c r="A5871" s="5">
        <v>5870.0</v>
      </c>
      <c r="B5871" s="5" t="s">
        <v>6424</v>
      </c>
      <c r="C5871" s="5" t="s">
        <v>21</v>
      </c>
      <c r="K5871" s="5">
        <v>300.0</v>
      </c>
      <c r="N5871" s="9">
        <v>44696.0</v>
      </c>
    </row>
    <row r="5872">
      <c r="A5872" s="5">
        <v>5871.0</v>
      </c>
      <c r="B5872" s="5" t="s">
        <v>6425</v>
      </c>
      <c r="C5872" s="5" t="s">
        <v>21</v>
      </c>
      <c r="K5872" s="5">
        <v>40.0</v>
      </c>
      <c r="N5872" s="9">
        <v>45565.0</v>
      </c>
    </row>
    <row r="5873">
      <c r="A5873" s="5">
        <v>5872.0</v>
      </c>
      <c r="B5873" s="5" t="s">
        <v>6426</v>
      </c>
      <c r="C5873" s="5" t="s">
        <v>21</v>
      </c>
      <c r="K5873" s="5">
        <v>900.0</v>
      </c>
      <c r="N5873" s="9">
        <v>45568.0</v>
      </c>
    </row>
    <row r="5874">
      <c r="A5874" s="5">
        <v>5873.0</v>
      </c>
      <c r="B5874" s="5" t="s">
        <v>6427</v>
      </c>
      <c r="C5874" s="5" t="s">
        <v>21</v>
      </c>
      <c r="K5874" s="5">
        <v>900.0</v>
      </c>
      <c r="N5874" s="9">
        <v>44226.0</v>
      </c>
    </row>
    <row r="5875">
      <c r="A5875" s="5">
        <v>5874.0</v>
      </c>
      <c r="B5875" s="5" t="s">
        <v>6428</v>
      </c>
      <c r="C5875" s="5" t="s">
        <v>21</v>
      </c>
      <c r="K5875" s="5">
        <v>300.0</v>
      </c>
      <c r="N5875" s="9">
        <v>44396.0</v>
      </c>
    </row>
    <row r="5876">
      <c r="A5876" s="5">
        <v>5875.0</v>
      </c>
      <c r="B5876" s="5" t="s">
        <v>6429</v>
      </c>
      <c r="C5876" s="5" t="s">
        <v>21</v>
      </c>
      <c r="K5876" s="5">
        <v>150.0</v>
      </c>
      <c r="N5876" s="9">
        <v>44525.0</v>
      </c>
    </row>
    <row r="5877">
      <c r="A5877" s="5">
        <v>5876.0</v>
      </c>
      <c r="B5877" s="5" t="s">
        <v>6430</v>
      </c>
      <c r="C5877" s="5" t="s">
        <v>21</v>
      </c>
      <c r="K5877" s="5">
        <v>800.0</v>
      </c>
      <c r="N5877" s="9">
        <v>44398.0</v>
      </c>
    </row>
    <row r="5878">
      <c r="A5878" s="5">
        <v>5877.0</v>
      </c>
      <c r="B5878" s="5" t="s">
        <v>6431</v>
      </c>
      <c r="C5878" s="5" t="s">
        <v>21</v>
      </c>
      <c r="K5878" s="5">
        <v>90.0</v>
      </c>
      <c r="N5878" s="9">
        <v>44649.0</v>
      </c>
    </row>
    <row r="5879">
      <c r="A5879" s="5">
        <v>5878.0</v>
      </c>
      <c r="B5879" s="5" t="s">
        <v>6432</v>
      </c>
      <c r="C5879" s="5" t="s">
        <v>21</v>
      </c>
      <c r="K5879" s="5">
        <v>100.0</v>
      </c>
      <c r="N5879" s="9">
        <v>45394.0</v>
      </c>
    </row>
    <row r="5880">
      <c r="A5880" s="5">
        <v>5879.0</v>
      </c>
      <c r="B5880" s="5" t="s">
        <v>6433</v>
      </c>
      <c r="C5880" s="5" t="s">
        <v>21</v>
      </c>
      <c r="K5880" s="5">
        <v>800.0</v>
      </c>
      <c r="N5880" s="9">
        <v>44361.0</v>
      </c>
    </row>
    <row r="5881">
      <c r="A5881" s="5">
        <v>5880.0</v>
      </c>
      <c r="B5881" s="5" t="s">
        <v>6434</v>
      </c>
      <c r="C5881" s="5" t="s">
        <v>21</v>
      </c>
      <c r="K5881" s="5">
        <v>100.0</v>
      </c>
      <c r="N5881" s="9">
        <v>45184.0</v>
      </c>
    </row>
    <row r="5882">
      <c r="A5882" s="5">
        <v>5881.0</v>
      </c>
      <c r="B5882" s="5" t="s">
        <v>6435</v>
      </c>
      <c r="C5882" s="5" t="s">
        <v>21</v>
      </c>
      <c r="K5882" s="5">
        <v>350.0</v>
      </c>
      <c r="N5882" s="9">
        <v>44580.0</v>
      </c>
    </row>
    <row r="5883">
      <c r="A5883" s="5">
        <v>5882.0</v>
      </c>
      <c r="B5883" s="5" t="s">
        <v>6436</v>
      </c>
      <c r="C5883" s="5" t="s">
        <v>21</v>
      </c>
      <c r="K5883" s="5">
        <v>1300.0</v>
      </c>
      <c r="N5883" s="9">
        <v>43910.0</v>
      </c>
    </row>
    <row r="5884">
      <c r="A5884" s="5">
        <v>5883.0</v>
      </c>
      <c r="B5884" s="5" t="s">
        <v>6437</v>
      </c>
      <c r="C5884" s="5" t="s">
        <v>21</v>
      </c>
      <c r="K5884" s="5">
        <v>200.0</v>
      </c>
      <c r="N5884" s="9">
        <v>44458.0</v>
      </c>
    </row>
    <row r="5885">
      <c r="A5885" s="5">
        <v>5884.0</v>
      </c>
      <c r="B5885" s="5" t="s">
        <v>6438</v>
      </c>
      <c r="C5885" s="5" t="s">
        <v>21</v>
      </c>
      <c r="K5885" s="5">
        <v>60.0</v>
      </c>
      <c r="N5885" s="9">
        <v>44995.0</v>
      </c>
    </row>
    <row r="5886">
      <c r="A5886" s="5">
        <v>5885.0</v>
      </c>
      <c r="B5886" s="5" t="s">
        <v>6439</v>
      </c>
      <c r="C5886" s="5" t="s">
        <v>21</v>
      </c>
      <c r="N5886" s="9">
        <v>44528.0</v>
      </c>
    </row>
    <row r="5887">
      <c r="A5887" s="5">
        <v>5886.0</v>
      </c>
      <c r="B5887" s="5" t="s">
        <v>6440</v>
      </c>
      <c r="C5887" s="5" t="s">
        <v>21</v>
      </c>
      <c r="K5887" s="5">
        <v>350.0</v>
      </c>
      <c r="N5887" s="9">
        <v>43893.0</v>
      </c>
    </row>
    <row r="5888">
      <c r="A5888" s="5">
        <v>5887.0</v>
      </c>
      <c r="B5888" s="5" t="s">
        <v>6441</v>
      </c>
      <c r="C5888" s="5" t="s">
        <v>21</v>
      </c>
      <c r="K5888" s="5">
        <v>1000.0</v>
      </c>
      <c r="N5888" s="9">
        <v>44061.0</v>
      </c>
    </row>
    <row r="5889">
      <c r="A5889" s="5">
        <v>5888.0</v>
      </c>
      <c r="B5889" s="5" t="s">
        <v>6442</v>
      </c>
      <c r="C5889" s="5" t="s">
        <v>21</v>
      </c>
      <c r="K5889" s="5">
        <v>300.0</v>
      </c>
      <c r="N5889" s="9">
        <v>44646.0</v>
      </c>
    </row>
    <row r="5890">
      <c r="A5890" s="5">
        <v>5889.0</v>
      </c>
      <c r="B5890" s="5" t="s">
        <v>6443</v>
      </c>
      <c r="C5890" s="5" t="s">
        <v>21</v>
      </c>
      <c r="K5890" s="5">
        <v>70.0</v>
      </c>
      <c r="N5890" s="9">
        <v>44655.0</v>
      </c>
    </row>
    <row r="5891">
      <c r="A5891" s="5">
        <v>5890.0</v>
      </c>
      <c r="B5891" s="5" t="s">
        <v>6444</v>
      </c>
      <c r="C5891" s="5" t="s">
        <v>21</v>
      </c>
      <c r="K5891" s="5">
        <v>1500.0</v>
      </c>
      <c r="N5891" s="9">
        <v>44630.0</v>
      </c>
    </row>
    <row r="5892">
      <c r="A5892" s="5">
        <v>5891.0</v>
      </c>
      <c r="B5892" s="5" t="s">
        <v>206</v>
      </c>
      <c r="C5892" s="5" t="s">
        <v>21</v>
      </c>
      <c r="K5892" s="5">
        <v>40.0</v>
      </c>
      <c r="N5892" s="9">
        <v>44492.0</v>
      </c>
    </row>
    <row r="5893">
      <c r="A5893" s="5">
        <v>5892.0</v>
      </c>
      <c r="B5893" s="5" t="s">
        <v>6445</v>
      </c>
      <c r="C5893" s="5" t="s">
        <v>21</v>
      </c>
      <c r="K5893" s="5">
        <v>10.0</v>
      </c>
      <c r="N5893" s="9">
        <v>44303.0</v>
      </c>
    </row>
    <row r="5894">
      <c r="A5894" s="5">
        <v>5893.0</v>
      </c>
      <c r="B5894" s="5" t="s">
        <v>6446</v>
      </c>
      <c r="C5894" s="5" t="s">
        <v>21</v>
      </c>
      <c r="K5894" s="5">
        <v>150.0</v>
      </c>
      <c r="N5894" s="9">
        <v>44760.0</v>
      </c>
    </row>
    <row r="5895">
      <c r="A5895" s="5">
        <v>5894.0</v>
      </c>
      <c r="B5895" s="5" t="s">
        <v>6447</v>
      </c>
      <c r="C5895" s="5" t="s">
        <v>21</v>
      </c>
      <c r="K5895" s="5">
        <v>600.0</v>
      </c>
      <c r="N5895" s="9">
        <v>44541.0</v>
      </c>
    </row>
    <row r="5896">
      <c r="A5896" s="5">
        <v>5895.0</v>
      </c>
      <c r="B5896" s="5" t="s">
        <v>6448</v>
      </c>
      <c r="C5896" s="5" t="s">
        <v>21</v>
      </c>
      <c r="K5896" s="5">
        <v>100.0</v>
      </c>
      <c r="N5896" s="9">
        <v>44219.0</v>
      </c>
    </row>
    <row r="5897">
      <c r="A5897" s="5">
        <v>5896.0</v>
      </c>
      <c r="B5897" s="5" t="s">
        <v>6449</v>
      </c>
      <c r="C5897" s="5" t="s">
        <v>21</v>
      </c>
      <c r="K5897" s="5">
        <v>150.0</v>
      </c>
      <c r="N5897" s="9">
        <v>44802.0</v>
      </c>
    </row>
    <row r="5898">
      <c r="A5898" s="5">
        <v>5897.0</v>
      </c>
      <c r="B5898" s="5" t="s">
        <v>6450</v>
      </c>
      <c r="C5898" s="5" t="s">
        <v>21</v>
      </c>
      <c r="K5898" s="5">
        <v>250.0</v>
      </c>
      <c r="N5898" s="9">
        <v>44961.0</v>
      </c>
    </row>
    <row r="5899">
      <c r="A5899" s="5">
        <v>5898.0</v>
      </c>
      <c r="B5899" s="5" t="s">
        <v>6451</v>
      </c>
      <c r="C5899" s="5" t="s">
        <v>21</v>
      </c>
      <c r="K5899" s="5">
        <v>700.0</v>
      </c>
      <c r="N5899" s="9">
        <v>44022.0</v>
      </c>
    </row>
    <row r="5900">
      <c r="A5900" s="5">
        <v>5899.0</v>
      </c>
      <c r="B5900" s="5" t="s">
        <v>6452</v>
      </c>
      <c r="C5900" s="5" t="s">
        <v>21</v>
      </c>
      <c r="K5900" s="5">
        <v>10.0</v>
      </c>
      <c r="N5900" s="9">
        <v>44542.0</v>
      </c>
    </row>
    <row r="5901">
      <c r="A5901" s="5">
        <v>5900.0</v>
      </c>
      <c r="B5901" s="5" t="s">
        <v>6453</v>
      </c>
      <c r="C5901" s="5" t="s">
        <v>21</v>
      </c>
      <c r="K5901" s="5">
        <v>30.0</v>
      </c>
      <c r="N5901" s="9">
        <v>45382.0</v>
      </c>
    </row>
    <row r="5902">
      <c r="A5902" s="5">
        <v>5901.0</v>
      </c>
      <c r="B5902" s="5" t="s">
        <v>6454</v>
      </c>
      <c r="C5902" s="5" t="s">
        <v>21</v>
      </c>
      <c r="K5902" s="5">
        <v>250.0</v>
      </c>
      <c r="N5902" s="9">
        <v>44836.0</v>
      </c>
    </row>
    <row r="5903">
      <c r="A5903" s="5">
        <v>5902.0</v>
      </c>
      <c r="B5903" s="5" t="s">
        <v>6455</v>
      </c>
      <c r="C5903" s="5" t="s">
        <v>21</v>
      </c>
      <c r="K5903" s="5">
        <v>450.0</v>
      </c>
      <c r="N5903" s="9">
        <v>44232.0</v>
      </c>
    </row>
    <row r="5904">
      <c r="A5904" s="5">
        <v>5903.0</v>
      </c>
      <c r="B5904" s="5" t="s">
        <v>6456</v>
      </c>
      <c r="C5904" s="5" t="s">
        <v>21</v>
      </c>
      <c r="K5904" s="5">
        <v>14000.0</v>
      </c>
      <c r="N5904" s="9">
        <v>43362.0</v>
      </c>
    </row>
    <row r="5905">
      <c r="A5905" s="5">
        <v>5904.0</v>
      </c>
      <c r="B5905" s="5" t="s">
        <v>6457</v>
      </c>
      <c r="C5905" s="5" t="s">
        <v>21</v>
      </c>
      <c r="K5905" s="5">
        <v>350.0</v>
      </c>
      <c r="N5905" s="9">
        <v>44711.0</v>
      </c>
    </row>
    <row r="5906">
      <c r="A5906" s="5">
        <v>5905.0</v>
      </c>
      <c r="B5906" s="5" t="s">
        <v>6458</v>
      </c>
      <c r="C5906" s="5" t="s">
        <v>21</v>
      </c>
      <c r="K5906" s="5">
        <v>250.0</v>
      </c>
      <c r="N5906" s="9">
        <v>45128.0</v>
      </c>
    </row>
    <row r="5907">
      <c r="A5907" s="5">
        <v>5906.0</v>
      </c>
      <c r="B5907" s="5" t="s">
        <v>6459</v>
      </c>
      <c r="C5907" s="5" t="s">
        <v>21</v>
      </c>
      <c r="K5907" s="5">
        <v>30000.0</v>
      </c>
      <c r="N5907" s="9">
        <v>43972.0</v>
      </c>
    </row>
    <row r="5908">
      <c r="A5908" s="5">
        <v>5907.0</v>
      </c>
      <c r="B5908" s="5" t="s">
        <v>6460</v>
      </c>
      <c r="C5908" s="5" t="s">
        <v>21</v>
      </c>
      <c r="K5908" s="5">
        <v>1000.0</v>
      </c>
      <c r="N5908" s="9">
        <v>44012.0</v>
      </c>
    </row>
    <row r="5909">
      <c r="A5909" s="5">
        <v>5908.0</v>
      </c>
      <c r="B5909" s="5" t="s">
        <v>6461</v>
      </c>
      <c r="C5909" s="5" t="s">
        <v>21</v>
      </c>
      <c r="K5909" s="5">
        <v>400.0</v>
      </c>
      <c r="N5909" s="9">
        <v>44532.0</v>
      </c>
    </row>
    <row r="5910">
      <c r="A5910" s="5">
        <v>5909.0</v>
      </c>
      <c r="B5910" s="5" t="s">
        <v>6462</v>
      </c>
      <c r="C5910" s="5" t="s">
        <v>21</v>
      </c>
      <c r="N5910" s="9">
        <v>44561.0</v>
      </c>
    </row>
    <row r="5911">
      <c r="A5911" s="5">
        <v>5910.0</v>
      </c>
      <c r="B5911" s="5" t="s">
        <v>6463</v>
      </c>
      <c r="C5911" s="5" t="s">
        <v>21</v>
      </c>
      <c r="K5911" s="5">
        <v>300.0</v>
      </c>
      <c r="N5911" s="9">
        <v>43942.0</v>
      </c>
    </row>
    <row r="5912">
      <c r="A5912" s="5">
        <v>5911.0</v>
      </c>
      <c r="B5912" s="5" t="s">
        <v>6464</v>
      </c>
      <c r="C5912" s="5" t="s">
        <v>21</v>
      </c>
      <c r="K5912" s="5">
        <v>700.0</v>
      </c>
      <c r="N5912" s="9">
        <v>44661.0</v>
      </c>
    </row>
    <row r="5913">
      <c r="A5913" s="5">
        <v>5912.0</v>
      </c>
      <c r="B5913" s="5" t="s">
        <v>6465</v>
      </c>
      <c r="C5913" s="5" t="s">
        <v>21</v>
      </c>
      <c r="K5913" s="5">
        <v>1100.0</v>
      </c>
      <c r="N5913" s="9">
        <v>44543.0</v>
      </c>
    </row>
    <row r="5914">
      <c r="A5914" s="5">
        <v>5913.0</v>
      </c>
      <c r="B5914" s="5" t="s">
        <v>6466</v>
      </c>
      <c r="C5914" s="5" t="s">
        <v>21</v>
      </c>
      <c r="K5914" s="5">
        <v>1600.0</v>
      </c>
      <c r="N5914" s="9">
        <v>44527.0</v>
      </c>
    </row>
    <row r="5915">
      <c r="A5915" s="5">
        <v>5914.0</v>
      </c>
      <c r="B5915" s="5" t="s">
        <v>6467</v>
      </c>
      <c r="C5915" s="5" t="s">
        <v>21</v>
      </c>
      <c r="K5915" s="5">
        <v>100.0</v>
      </c>
      <c r="N5915" s="9">
        <v>44627.0</v>
      </c>
    </row>
    <row r="5916">
      <c r="A5916" s="5">
        <v>5915.0</v>
      </c>
      <c r="B5916" s="5" t="s">
        <v>6468</v>
      </c>
      <c r="C5916" s="5" t="s">
        <v>21</v>
      </c>
      <c r="K5916" s="5">
        <v>250.0</v>
      </c>
      <c r="N5916" s="9">
        <v>44396.0</v>
      </c>
    </row>
    <row r="5917">
      <c r="A5917" s="5">
        <v>5916.0</v>
      </c>
      <c r="B5917" s="5" t="s">
        <v>6469</v>
      </c>
      <c r="C5917" s="5" t="s">
        <v>21</v>
      </c>
      <c r="K5917" s="5">
        <v>350.0</v>
      </c>
      <c r="N5917" s="9">
        <v>44902.0</v>
      </c>
    </row>
    <row r="5918">
      <c r="A5918" s="5">
        <v>5917.0</v>
      </c>
      <c r="B5918" s="5" t="s">
        <v>6470</v>
      </c>
      <c r="C5918" s="5" t="s">
        <v>21</v>
      </c>
      <c r="K5918" s="5">
        <v>11000.0</v>
      </c>
      <c r="N5918" s="9">
        <v>44542.0</v>
      </c>
    </row>
    <row r="5919">
      <c r="A5919" s="5">
        <v>5918.0</v>
      </c>
      <c r="B5919" s="5" t="s">
        <v>6471</v>
      </c>
      <c r="C5919" s="5" t="s">
        <v>21</v>
      </c>
      <c r="K5919" s="5">
        <v>300.0</v>
      </c>
      <c r="N5919" s="9">
        <v>44532.0</v>
      </c>
    </row>
    <row r="5920">
      <c r="A5920" s="5">
        <v>5919.0</v>
      </c>
      <c r="B5920" s="5" t="s">
        <v>6472</v>
      </c>
      <c r="C5920" s="5" t="s">
        <v>21</v>
      </c>
      <c r="K5920" s="5">
        <v>500.0</v>
      </c>
      <c r="N5920" s="9">
        <v>44592.0</v>
      </c>
    </row>
    <row r="5921">
      <c r="A5921" s="5">
        <v>5920.0</v>
      </c>
      <c r="B5921" s="5" t="s">
        <v>6473</v>
      </c>
      <c r="C5921" s="5" t="s">
        <v>21</v>
      </c>
      <c r="K5921" s="5">
        <v>300.0</v>
      </c>
      <c r="N5921" s="9">
        <v>44771.0</v>
      </c>
    </row>
    <row r="5922">
      <c r="A5922" s="5">
        <v>5921.0</v>
      </c>
      <c r="B5922" s="5" t="s">
        <v>6474</v>
      </c>
      <c r="C5922" s="5" t="s">
        <v>21</v>
      </c>
      <c r="K5922" s="5">
        <v>80.0</v>
      </c>
      <c r="N5922" s="9">
        <v>44300.0</v>
      </c>
    </row>
    <row r="5923">
      <c r="A5923" s="5">
        <v>5922.0</v>
      </c>
      <c r="B5923" s="5" t="s">
        <v>6475</v>
      </c>
      <c r="C5923" s="5" t="s">
        <v>21</v>
      </c>
      <c r="K5923" s="5">
        <v>600.0</v>
      </c>
      <c r="N5923" s="9">
        <v>44685.0</v>
      </c>
    </row>
    <row r="5924">
      <c r="A5924" s="5">
        <v>5923.0</v>
      </c>
      <c r="B5924" s="5" t="s">
        <v>6476</v>
      </c>
      <c r="C5924" s="5" t="s">
        <v>21</v>
      </c>
      <c r="K5924" s="5">
        <v>200.0</v>
      </c>
      <c r="N5924" s="9">
        <v>44340.0</v>
      </c>
    </row>
    <row r="5925">
      <c r="A5925" s="5">
        <v>5924.0</v>
      </c>
      <c r="B5925" s="5" t="s">
        <v>6477</v>
      </c>
      <c r="C5925" s="5" t="s">
        <v>21</v>
      </c>
      <c r="K5925" s="5">
        <v>1400.0</v>
      </c>
      <c r="N5925" s="9">
        <v>44506.0</v>
      </c>
    </row>
    <row r="5926">
      <c r="A5926" s="5">
        <v>5925.0</v>
      </c>
      <c r="B5926" s="5" t="s">
        <v>6478</v>
      </c>
      <c r="C5926" s="5" t="s">
        <v>21</v>
      </c>
      <c r="K5926" s="5">
        <v>700.0</v>
      </c>
      <c r="N5926" s="9">
        <v>44470.0</v>
      </c>
    </row>
    <row r="5927">
      <c r="A5927" s="5">
        <v>5926.0</v>
      </c>
      <c r="B5927" s="5" t="s">
        <v>6479</v>
      </c>
      <c r="C5927" s="5" t="s">
        <v>21</v>
      </c>
      <c r="K5927" s="5">
        <v>50.0</v>
      </c>
      <c r="N5927" s="9">
        <v>44608.0</v>
      </c>
    </row>
    <row r="5928">
      <c r="A5928" s="5">
        <v>5927.0</v>
      </c>
      <c r="B5928" s="5" t="s">
        <v>6480</v>
      </c>
      <c r="C5928" s="5" t="s">
        <v>21</v>
      </c>
      <c r="K5928" s="5">
        <v>1200.0</v>
      </c>
      <c r="N5928" s="9">
        <v>45802.0</v>
      </c>
    </row>
    <row r="5929">
      <c r="A5929" s="5">
        <v>5928.0</v>
      </c>
      <c r="B5929" s="5" t="s">
        <v>6481</v>
      </c>
      <c r="C5929" s="5" t="s">
        <v>21</v>
      </c>
      <c r="K5929" s="5">
        <v>600.0</v>
      </c>
      <c r="N5929" s="9">
        <v>44352.0</v>
      </c>
    </row>
    <row r="5930">
      <c r="A5930" s="5">
        <v>5929.0</v>
      </c>
      <c r="B5930" s="5" t="s">
        <v>6482</v>
      </c>
      <c r="C5930" s="5" t="s">
        <v>21</v>
      </c>
      <c r="K5930" s="5">
        <v>500.0</v>
      </c>
      <c r="N5930" s="9">
        <v>44383.0</v>
      </c>
    </row>
    <row r="5931">
      <c r="A5931" s="5">
        <v>5930.0</v>
      </c>
      <c r="B5931" s="5" t="s">
        <v>6483</v>
      </c>
      <c r="C5931" s="5" t="s">
        <v>21</v>
      </c>
      <c r="K5931" s="5">
        <v>250.0</v>
      </c>
      <c r="N5931" s="9">
        <v>44526.0</v>
      </c>
    </row>
    <row r="5932">
      <c r="A5932" s="5">
        <v>5931.0</v>
      </c>
      <c r="B5932" s="5" t="s">
        <v>6484</v>
      </c>
      <c r="C5932" s="5" t="s">
        <v>21</v>
      </c>
      <c r="K5932" s="5">
        <v>150.0</v>
      </c>
      <c r="N5932" s="9">
        <v>44913.0</v>
      </c>
    </row>
    <row r="5933">
      <c r="A5933" s="5">
        <v>5932.0</v>
      </c>
      <c r="B5933" s="5" t="s">
        <v>6485</v>
      </c>
      <c r="C5933" s="5" t="s">
        <v>21</v>
      </c>
      <c r="K5933" s="5">
        <v>200.0</v>
      </c>
      <c r="N5933" s="9">
        <v>44538.0</v>
      </c>
    </row>
    <row r="5934">
      <c r="A5934" s="5">
        <v>5933.0</v>
      </c>
      <c r="B5934" s="5" t="s">
        <v>6486</v>
      </c>
      <c r="C5934" s="5" t="s">
        <v>21</v>
      </c>
      <c r="K5934" s="5">
        <v>900.0</v>
      </c>
      <c r="N5934" s="9">
        <v>45123.0</v>
      </c>
    </row>
    <row r="5935">
      <c r="A5935" s="5">
        <v>5934.0</v>
      </c>
      <c r="B5935" s="5" t="s">
        <v>6487</v>
      </c>
      <c r="C5935" s="5" t="s">
        <v>21</v>
      </c>
      <c r="K5935" s="5">
        <v>300.0</v>
      </c>
      <c r="N5935" s="9">
        <v>44538.0</v>
      </c>
    </row>
    <row r="5936">
      <c r="A5936" s="5">
        <v>5935.0</v>
      </c>
      <c r="B5936" s="5" t="s">
        <v>6488</v>
      </c>
      <c r="C5936" s="5" t="s">
        <v>21</v>
      </c>
      <c r="K5936" s="5">
        <v>450.0</v>
      </c>
      <c r="N5936" s="9">
        <v>44534.0</v>
      </c>
    </row>
    <row r="5937">
      <c r="A5937" s="5">
        <v>5936.0</v>
      </c>
      <c r="B5937" s="5" t="s">
        <v>6489</v>
      </c>
      <c r="C5937" s="5" t="s">
        <v>21</v>
      </c>
      <c r="K5937" s="5">
        <v>250.0</v>
      </c>
      <c r="N5937" s="9">
        <v>44656.0</v>
      </c>
    </row>
    <row r="5938">
      <c r="A5938" s="5">
        <v>5937.0</v>
      </c>
      <c r="B5938" s="5" t="s">
        <v>6490</v>
      </c>
      <c r="C5938" s="5" t="s">
        <v>21</v>
      </c>
      <c r="K5938" s="5">
        <v>2200.0</v>
      </c>
      <c r="N5938" s="9">
        <v>44551.0</v>
      </c>
    </row>
    <row r="5939">
      <c r="A5939" s="5">
        <v>5938.0</v>
      </c>
      <c r="B5939" s="5" t="s">
        <v>6491</v>
      </c>
      <c r="C5939" s="5" t="s">
        <v>21</v>
      </c>
      <c r="K5939" s="5">
        <v>700.0</v>
      </c>
      <c r="N5939" s="9">
        <v>45093.0</v>
      </c>
    </row>
    <row r="5940">
      <c r="A5940" s="5">
        <v>5939.0</v>
      </c>
      <c r="B5940" s="5" t="s">
        <v>6492</v>
      </c>
      <c r="C5940" s="5" t="s">
        <v>21</v>
      </c>
      <c r="K5940" s="5">
        <v>50.0</v>
      </c>
      <c r="N5940" s="9">
        <v>44574.0</v>
      </c>
    </row>
    <row r="5941">
      <c r="A5941" s="5">
        <v>5940.0</v>
      </c>
      <c r="B5941" s="5" t="s">
        <v>6493</v>
      </c>
      <c r="C5941" s="5" t="s">
        <v>21</v>
      </c>
      <c r="K5941" s="5">
        <v>150.0</v>
      </c>
      <c r="N5941" s="9">
        <v>44442.0</v>
      </c>
    </row>
    <row r="5942">
      <c r="A5942" s="5">
        <v>5941.0</v>
      </c>
      <c r="B5942" s="5" t="s">
        <v>6494</v>
      </c>
      <c r="C5942" s="5" t="s">
        <v>21</v>
      </c>
      <c r="K5942" s="5">
        <v>400.0</v>
      </c>
      <c r="N5942" s="9">
        <v>44718.0</v>
      </c>
    </row>
    <row r="5943">
      <c r="A5943" s="5">
        <v>5942.0</v>
      </c>
      <c r="B5943" s="5" t="s">
        <v>6495</v>
      </c>
      <c r="C5943" s="5" t="s">
        <v>21</v>
      </c>
      <c r="K5943" s="5">
        <v>450.0</v>
      </c>
      <c r="N5943" s="9">
        <v>44152.0</v>
      </c>
    </row>
    <row r="5944">
      <c r="A5944" s="5">
        <v>5943.0</v>
      </c>
      <c r="B5944" s="5" t="s">
        <v>209</v>
      </c>
      <c r="C5944" s="5" t="s">
        <v>21</v>
      </c>
      <c r="K5944" s="5">
        <v>80.0</v>
      </c>
      <c r="N5944" s="9">
        <v>43850.0</v>
      </c>
    </row>
    <row r="5945">
      <c r="A5945" s="5">
        <v>5944.0</v>
      </c>
      <c r="B5945" s="5" t="s">
        <v>6496</v>
      </c>
      <c r="C5945" s="5" t="s">
        <v>21</v>
      </c>
      <c r="K5945" s="5">
        <v>7800.0</v>
      </c>
      <c r="N5945" s="9">
        <v>43931.0</v>
      </c>
    </row>
    <row r="5946">
      <c r="A5946" s="5">
        <v>5945.0</v>
      </c>
      <c r="B5946" s="5" t="s">
        <v>6497</v>
      </c>
      <c r="C5946" s="5" t="s">
        <v>21</v>
      </c>
      <c r="K5946" s="5">
        <v>1200.0</v>
      </c>
      <c r="N5946" s="9">
        <v>43963.0</v>
      </c>
    </row>
    <row r="5947">
      <c r="A5947" s="5">
        <v>5946.0</v>
      </c>
      <c r="B5947" s="5" t="s">
        <v>6498</v>
      </c>
      <c r="C5947" s="5" t="s">
        <v>21</v>
      </c>
      <c r="K5947" s="5">
        <v>200.0</v>
      </c>
      <c r="N5947" s="9">
        <v>44773.0</v>
      </c>
    </row>
    <row r="5948">
      <c r="A5948" s="5">
        <v>5947.0</v>
      </c>
      <c r="B5948" s="5" t="s">
        <v>6499</v>
      </c>
      <c r="C5948" s="5" t="s">
        <v>21</v>
      </c>
      <c r="K5948" s="5">
        <v>150.0</v>
      </c>
      <c r="N5948" s="9">
        <v>44442.0</v>
      </c>
    </row>
    <row r="5949">
      <c r="A5949" s="5">
        <v>5948.0</v>
      </c>
      <c r="B5949" s="5" t="s">
        <v>6500</v>
      </c>
      <c r="C5949" s="5" t="s">
        <v>21</v>
      </c>
      <c r="K5949" s="5">
        <v>1000.0</v>
      </c>
      <c r="N5949" s="9">
        <v>44542.0</v>
      </c>
    </row>
    <row r="5950">
      <c r="A5950" s="5">
        <v>5949.0</v>
      </c>
      <c r="B5950" s="5" t="s">
        <v>6501</v>
      </c>
      <c r="C5950" s="5" t="s">
        <v>21</v>
      </c>
      <c r="K5950" s="5">
        <v>250.0</v>
      </c>
      <c r="N5950" s="9">
        <v>44861.0</v>
      </c>
    </row>
    <row r="5951">
      <c r="A5951" s="5">
        <v>5950.0</v>
      </c>
      <c r="B5951" s="5" t="s">
        <v>6502</v>
      </c>
      <c r="C5951" s="5" t="s">
        <v>21</v>
      </c>
      <c r="K5951" s="5">
        <v>4000.0</v>
      </c>
      <c r="N5951" s="9">
        <v>43899.0</v>
      </c>
    </row>
    <row r="5952">
      <c r="A5952" s="5">
        <v>5951.0</v>
      </c>
      <c r="B5952" s="5" t="s">
        <v>6503</v>
      </c>
      <c r="C5952" s="5" t="s">
        <v>21</v>
      </c>
      <c r="K5952" s="5">
        <v>100.0</v>
      </c>
      <c r="N5952" s="9">
        <v>44539.0</v>
      </c>
    </row>
    <row r="5953">
      <c r="A5953" s="5">
        <v>5952.0</v>
      </c>
      <c r="B5953" s="5" t="s">
        <v>6504</v>
      </c>
      <c r="C5953" s="5" t="s">
        <v>21</v>
      </c>
      <c r="N5953" s="9">
        <v>44588.0</v>
      </c>
    </row>
    <row r="5954">
      <c r="A5954" s="5">
        <v>5953.0</v>
      </c>
      <c r="B5954" s="5" t="s">
        <v>6505</v>
      </c>
      <c r="C5954" s="5" t="s">
        <v>21</v>
      </c>
      <c r="K5954" s="5">
        <v>80.0</v>
      </c>
      <c r="N5954" s="9">
        <v>44255.0</v>
      </c>
    </row>
    <row r="5955">
      <c r="A5955" s="5">
        <v>5954.0</v>
      </c>
      <c r="B5955" s="5" t="s">
        <v>6506</v>
      </c>
      <c r="C5955" s="5" t="s">
        <v>21</v>
      </c>
      <c r="K5955" s="5">
        <v>1100.0</v>
      </c>
      <c r="N5955" s="9">
        <v>44617.0</v>
      </c>
    </row>
    <row r="5956">
      <c r="A5956" s="5">
        <v>5955.0</v>
      </c>
      <c r="B5956" s="5" t="s">
        <v>6507</v>
      </c>
      <c r="C5956" s="5" t="s">
        <v>21</v>
      </c>
      <c r="K5956" s="5">
        <v>100.0</v>
      </c>
      <c r="N5956" s="9">
        <v>44628.0</v>
      </c>
    </row>
    <row r="5957">
      <c r="A5957" s="5">
        <v>5956.0</v>
      </c>
      <c r="B5957" s="5" t="s">
        <v>6508</v>
      </c>
      <c r="C5957" s="5" t="s">
        <v>21</v>
      </c>
      <c r="K5957" s="5">
        <v>30.0</v>
      </c>
      <c r="N5957" s="9">
        <v>44512.0</v>
      </c>
    </row>
    <row r="5958">
      <c r="A5958" s="5">
        <v>5957.0</v>
      </c>
      <c r="B5958" s="5" t="s">
        <v>6509</v>
      </c>
      <c r="C5958" s="5" t="s">
        <v>21</v>
      </c>
      <c r="K5958" s="5">
        <v>2800.0</v>
      </c>
      <c r="N5958" s="9">
        <v>44556.0</v>
      </c>
    </row>
    <row r="5959">
      <c r="A5959" s="5">
        <v>5958.0</v>
      </c>
      <c r="B5959" s="5" t="s">
        <v>6510</v>
      </c>
      <c r="C5959" s="5" t="s">
        <v>21</v>
      </c>
      <c r="K5959" s="5">
        <v>350.0</v>
      </c>
      <c r="N5959" s="9">
        <v>44583.0</v>
      </c>
    </row>
    <row r="5960">
      <c r="A5960" s="5">
        <v>5959.0</v>
      </c>
      <c r="B5960" s="5" t="s">
        <v>6511</v>
      </c>
      <c r="C5960" s="5" t="s">
        <v>21</v>
      </c>
      <c r="K5960" s="5">
        <v>150.0</v>
      </c>
      <c r="N5960" s="9">
        <v>44573.0</v>
      </c>
    </row>
    <row r="5961">
      <c r="A5961" s="5">
        <v>5960.0</v>
      </c>
      <c r="B5961" s="5" t="s">
        <v>6512</v>
      </c>
      <c r="C5961" s="5" t="s">
        <v>21</v>
      </c>
      <c r="K5961" s="5">
        <v>350.0</v>
      </c>
      <c r="N5961" s="9">
        <v>45251.0</v>
      </c>
    </row>
    <row r="5962">
      <c r="A5962" s="5">
        <v>5961.0</v>
      </c>
      <c r="B5962" s="5" t="s">
        <v>6513</v>
      </c>
      <c r="C5962" s="5" t="s">
        <v>21</v>
      </c>
      <c r="K5962" s="5">
        <v>60.0</v>
      </c>
      <c r="N5962" s="9">
        <v>44597.0</v>
      </c>
    </row>
    <row r="5963">
      <c r="A5963" s="5">
        <v>5962.0</v>
      </c>
      <c r="B5963" s="5" t="s">
        <v>6514</v>
      </c>
      <c r="C5963" s="5" t="s">
        <v>21</v>
      </c>
      <c r="K5963" s="5">
        <v>350.0</v>
      </c>
      <c r="N5963" s="9">
        <v>44541.0</v>
      </c>
    </row>
    <row r="5964">
      <c r="A5964" s="5">
        <v>5963.0</v>
      </c>
      <c r="B5964" s="5" t="s">
        <v>6515</v>
      </c>
      <c r="C5964" s="5" t="s">
        <v>21</v>
      </c>
      <c r="K5964" s="5">
        <v>300.0</v>
      </c>
      <c r="N5964" s="9">
        <v>44560.0</v>
      </c>
    </row>
    <row r="5965">
      <c r="A5965" s="5">
        <v>5964.0</v>
      </c>
      <c r="B5965" s="5" t="s">
        <v>6516</v>
      </c>
      <c r="C5965" s="5" t="s">
        <v>21</v>
      </c>
      <c r="K5965" s="5">
        <v>100.0</v>
      </c>
      <c r="N5965" s="9">
        <v>44673.0</v>
      </c>
    </row>
    <row r="5966">
      <c r="A5966" s="5">
        <v>5965.0</v>
      </c>
      <c r="B5966" s="5" t="s">
        <v>6517</v>
      </c>
      <c r="C5966" s="5" t="s">
        <v>21</v>
      </c>
      <c r="K5966" s="5">
        <v>250.0</v>
      </c>
      <c r="N5966" s="9">
        <v>44526.0</v>
      </c>
    </row>
    <row r="5967">
      <c r="A5967" s="5">
        <v>5966.0</v>
      </c>
      <c r="B5967" s="5" t="s">
        <v>6518</v>
      </c>
      <c r="C5967" s="5" t="s">
        <v>21</v>
      </c>
      <c r="K5967" s="5">
        <v>350.0</v>
      </c>
      <c r="N5967" s="9">
        <v>45672.0</v>
      </c>
    </row>
    <row r="5968">
      <c r="A5968" s="5">
        <v>5967.0</v>
      </c>
      <c r="B5968" s="5" t="s">
        <v>6519</v>
      </c>
      <c r="C5968" s="5" t="s">
        <v>21</v>
      </c>
      <c r="K5968" s="5">
        <v>700.0</v>
      </c>
      <c r="N5968" s="9">
        <v>45627.0</v>
      </c>
    </row>
    <row r="5969">
      <c r="A5969" s="5">
        <v>5968.0</v>
      </c>
      <c r="B5969" s="5" t="s">
        <v>6520</v>
      </c>
      <c r="C5969" s="5" t="s">
        <v>21</v>
      </c>
      <c r="K5969" s="5">
        <v>1100.0</v>
      </c>
      <c r="N5969" s="9">
        <v>44323.0</v>
      </c>
    </row>
    <row r="5970">
      <c r="A5970" s="5">
        <v>5969.0</v>
      </c>
      <c r="B5970" s="5" t="s">
        <v>6521</v>
      </c>
      <c r="C5970" s="5" t="s">
        <v>21</v>
      </c>
      <c r="K5970" s="5">
        <v>150.0</v>
      </c>
      <c r="N5970" s="9">
        <v>44722.0</v>
      </c>
    </row>
    <row r="5971">
      <c r="A5971" s="5">
        <v>5970.0</v>
      </c>
      <c r="B5971" s="5" t="s">
        <v>6522</v>
      </c>
      <c r="C5971" s="5" t="s">
        <v>21</v>
      </c>
      <c r="K5971" s="5">
        <v>90.0</v>
      </c>
      <c r="N5971" s="9">
        <v>44545.0</v>
      </c>
    </row>
    <row r="5972">
      <c r="A5972" s="5">
        <v>5971.0</v>
      </c>
      <c r="B5972" s="5" t="s">
        <v>6523</v>
      </c>
      <c r="C5972" s="5" t="s">
        <v>21</v>
      </c>
      <c r="K5972" s="5">
        <v>80.0</v>
      </c>
      <c r="N5972" s="9">
        <v>45092.0</v>
      </c>
    </row>
    <row r="5973">
      <c r="A5973" s="5">
        <v>5972.0</v>
      </c>
      <c r="B5973" s="5" t="s">
        <v>6524</v>
      </c>
      <c r="C5973" s="5" t="s">
        <v>21</v>
      </c>
      <c r="K5973" s="5">
        <v>9200.0</v>
      </c>
      <c r="N5973" s="9">
        <v>42869.0</v>
      </c>
    </row>
    <row r="5974">
      <c r="A5974" s="5">
        <v>5973.0</v>
      </c>
      <c r="B5974" s="5" t="s">
        <v>6525</v>
      </c>
      <c r="C5974" s="5" t="s">
        <v>21</v>
      </c>
      <c r="K5974" s="5">
        <v>200.0</v>
      </c>
      <c r="N5974" s="9">
        <v>44588.0</v>
      </c>
    </row>
    <row r="5975">
      <c r="A5975" s="5">
        <v>5974.0</v>
      </c>
      <c r="B5975" s="5" t="s">
        <v>6526</v>
      </c>
      <c r="C5975" s="5" t="s">
        <v>21</v>
      </c>
      <c r="K5975" s="5">
        <v>900.0</v>
      </c>
      <c r="N5975" s="9">
        <v>44608.0</v>
      </c>
    </row>
    <row r="5976">
      <c r="A5976" s="5">
        <v>5975.0</v>
      </c>
      <c r="B5976" s="5" t="s">
        <v>6527</v>
      </c>
      <c r="C5976" s="5" t="s">
        <v>21</v>
      </c>
      <c r="K5976" s="5">
        <v>500.0</v>
      </c>
      <c r="N5976" s="9">
        <v>43873.0</v>
      </c>
    </row>
    <row r="5977">
      <c r="A5977" s="5">
        <v>5976.0</v>
      </c>
      <c r="B5977" s="5" t="s">
        <v>6528</v>
      </c>
      <c r="C5977" s="5" t="s">
        <v>21</v>
      </c>
      <c r="K5977" s="5">
        <v>10.0</v>
      </c>
      <c r="N5977" s="9">
        <v>45397.0</v>
      </c>
    </row>
    <row r="5978">
      <c r="A5978" s="5">
        <v>5977.0</v>
      </c>
      <c r="B5978" s="5" t="s">
        <v>6529</v>
      </c>
      <c r="C5978" s="5" t="s">
        <v>21</v>
      </c>
      <c r="K5978" s="5">
        <v>20.0</v>
      </c>
      <c r="N5978" s="9">
        <v>44496.0</v>
      </c>
    </row>
    <row r="5979">
      <c r="A5979" s="5">
        <v>5978.0</v>
      </c>
      <c r="B5979" s="5" t="s">
        <v>6530</v>
      </c>
      <c r="C5979" s="5" t="s">
        <v>21</v>
      </c>
      <c r="K5979" s="5">
        <v>150.0</v>
      </c>
      <c r="N5979" s="9">
        <v>45109.0</v>
      </c>
    </row>
    <row r="5980">
      <c r="A5980" s="5">
        <v>5979.0</v>
      </c>
      <c r="B5980" s="5" t="s">
        <v>6531</v>
      </c>
      <c r="C5980" s="5" t="s">
        <v>21</v>
      </c>
      <c r="K5980" s="5">
        <v>450.0</v>
      </c>
      <c r="N5980" s="9">
        <v>44984.0</v>
      </c>
    </row>
    <row r="5981">
      <c r="A5981" s="5">
        <v>5980.0</v>
      </c>
      <c r="B5981" s="5" t="s">
        <v>6532</v>
      </c>
      <c r="C5981" s="5" t="s">
        <v>21</v>
      </c>
      <c r="K5981" s="5">
        <v>900.0</v>
      </c>
      <c r="N5981" s="9">
        <v>43992.0</v>
      </c>
    </row>
    <row r="5982">
      <c r="A5982" s="5">
        <v>5981.0</v>
      </c>
      <c r="B5982" s="5" t="s">
        <v>6533</v>
      </c>
      <c r="C5982" s="5" t="s">
        <v>21</v>
      </c>
      <c r="K5982" s="5">
        <v>1200.0</v>
      </c>
      <c r="N5982" s="9">
        <v>44541.0</v>
      </c>
    </row>
    <row r="5983">
      <c r="A5983" s="5">
        <v>5982.0</v>
      </c>
      <c r="B5983" s="5" t="s">
        <v>6534</v>
      </c>
      <c r="C5983" s="5" t="s">
        <v>21</v>
      </c>
      <c r="K5983" s="5">
        <v>1100.0</v>
      </c>
      <c r="N5983" s="9">
        <v>44538.0</v>
      </c>
    </row>
    <row r="5984">
      <c r="A5984" s="5">
        <v>5983.0</v>
      </c>
      <c r="B5984" s="5" t="s">
        <v>6535</v>
      </c>
      <c r="C5984" s="5" t="s">
        <v>21</v>
      </c>
      <c r="K5984" s="5">
        <v>3400.0</v>
      </c>
      <c r="N5984" s="9">
        <v>44651.0</v>
      </c>
    </row>
    <row r="5985">
      <c r="A5985" s="5">
        <v>5984.0</v>
      </c>
      <c r="B5985" s="5" t="s">
        <v>6536</v>
      </c>
      <c r="C5985" s="5" t="s">
        <v>21</v>
      </c>
      <c r="K5985" s="5">
        <v>150.0</v>
      </c>
      <c r="N5985" s="9">
        <v>44577.0</v>
      </c>
    </row>
    <row r="5986">
      <c r="A5986" s="5">
        <v>5985.0</v>
      </c>
      <c r="B5986" s="5" t="s">
        <v>6537</v>
      </c>
      <c r="C5986" s="5" t="s">
        <v>21</v>
      </c>
      <c r="K5986" s="5">
        <v>200.0</v>
      </c>
      <c r="N5986" s="9">
        <v>44887.0</v>
      </c>
    </row>
    <row r="5987">
      <c r="A5987" s="5">
        <v>5986.0</v>
      </c>
      <c r="B5987" s="5" t="s">
        <v>6538</v>
      </c>
      <c r="C5987" s="5" t="s">
        <v>21</v>
      </c>
      <c r="K5987" s="5">
        <v>150.0</v>
      </c>
      <c r="N5987" s="9">
        <v>44469.0</v>
      </c>
    </row>
    <row r="5988">
      <c r="A5988" s="5">
        <v>5987.0</v>
      </c>
      <c r="B5988" s="5" t="s">
        <v>6539</v>
      </c>
      <c r="C5988" s="5" t="s">
        <v>21</v>
      </c>
      <c r="K5988" s="5">
        <v>20.0</v>
      </c>
      <c r="N5988" s="9">
        <v>43856.0</v>
      </c>
    </row>
    <row r="5989">
      <c r="A5989" s="5">
        <v>5988.0</v>
      </c>
      <c r="B5989" s="5" t="s">
        <v>6540</v>
      </c>
      <c r="C5989" s="5" t="s">
        <v>21</v>
      </c>
      <c r="K5989" s="5">
        <v>200.0</v>
      </c>
      <c r="N5989" s="9">
        <v>45513.0</v>
      </c>
    </row>
    <row r="5990">
      <c r="A5990" s="5">
        <v>5989.0</v>
      </c>
      <c r="B5990" s="5" t="s">
        <v>6541</v>
      </c>
      <c r="C5990" s="5" t="s">
        <v>21</v>
      </c>
      <c r="K5990" s="5">
        <v>300.0</v>
      </c>
      <c r="N5990" s="9">
        <v>44552.0</v>
      </c>
    </row>
    <row r="5991">
      <c r="A5991" s="5">
        <v>5990.0</v>
      </c>
      <c r="B5991" s="5" t="s">
        <v>6542</v>
      </c>
      <c r="C5991" s="5" t="s">
        <v>21</v>
      </c>
      <c r="K5991" s="5">
        <v>5400.0</v>
      </c>
      <c r="N5991" s="9">
        <v>44028.0</v>
      </c>
    </row>
    <row r="5992">
      <c r="A5992" s="5">
        <v>5991.0</v>
      </c>
      <c r="B5992" s="5" t="s">
        <v>6543</v>
      </c>
      <c r="C5992" s="5" t="s">
        <v>21</v>
      </c>
      <c r="K5992" s="5">
        <v>2200.0</v>
      </c>
      <c r="N5992" s="9">
        <v>44374.0</v>
      </c>
    </row>
    <row r="5993">
      <c r="A5993" s="5">
        <v>5992.0</v>
      </c>
      <c r="B5993" s="5" t="s">
        <v>6544</v>
      </c>
      <c r="C5993" s="5" t="s">
        <v>21</v>
      </c>
      <c r="K5993" s="5">
        <v>6300.0</v>
      </c>
      <c r="N5993" s="9">
        <v>44338.0</v>
      </c>
    </row>
    <row r="5994">
      <c r="A5994" s="5">
        <v>5993.0</v>
      </c>
      <c r="B5994" s="5" t="s">
        <v>6545</v>
      </c>
      <c r="C5994" s="5" t="s">
        <v>21</v>
      </c>
      <c r="K5994" s="5">
        <v>300.0</v>
      </c>
      <c r="N5994" s="9">
        <v>44063.0</v>
      </c>
    </row>
    <row r="5995">
      <c r="A5995" s="5">
        <v>5994.0</v>
      </c>
      <c r="B5995" s="5" t="s">
        <v>6546</v>
      </c>
      <c r="C5995" s="5" t="s">
        <v>21</v>
      </c>
      <c r="K5995" s="5">
        <v>300.0</v>
      </c>
      <c r="N5995" s="9">
        <v>44602.0</v>
      </c>
    </row>
    <row r="5996">
      <c r="A5996" s="5">
        <v>5995.0</v>
      </c>
      <c r="B5996" s="5" t="s">
        <v>6547</v>
      </c>
      <c r="C5996" s="5" t="s">
        <v>21</v>
      </c>
      <c r="K5996" s="5">
        <v>100.0</v>
      </c>
      <c r="N5996" s="9">
        <v>44544.0</v>
      </c>
    </row>
    <row r="5997">
      <c r="A5997" s="5">
        <v>5996.0</v>
      </c>
      <c r="B5997" s="5" t="s">
        <v>6548</v>
      </c>
      <c r="C5997" s="5" t="s">
        <v>21</v>
      </c>
      <c r="K5997" s="5">
        <v>60.0</v>
      </c>
      <c r="N5997" s="9">
        <v>44542.0</v>
      </c>
    </row>
    <row r="5998">
      <c r="A5998" s="5">
        <v>5997.0</v>
      </c>
      <c r="B5998" s="5" t="s">
        <v>6549</v>
      </c>
      <c r="C5998" s="5" t="s">
        <v>21</v>
      </c>
      <c r="K5998" s="5">
        <v>900.0</v>
      </c>
      <c r="N5998" s="9">
        <v>44023.0</v>
      </c>
    </row>
    <row r="5999">
      <c r="A5999" s="5">
        <v>5998.0</v>
      </c>
      <c r="B5999" s="5" t="s">
        <v>6550</v>
      </c>
      <c r="C5999" s="5" t="s">
        <v>21</v>
      </c>
      <c r="N5999" s="9">
        <v>44751.0</v>
      </c>
    </row>
    <row r="6000">
      <c r="A6000" s="5">
        <v>5999.0</v>
      </c>
      <c r="B6000" s="5" t="s">
        <v>6551</v>
      </c>
      <c r="C6000" s="5" t="s">
        <v>21</v>
      </c>
      <c r="K6000" s="5">
        <v>3100.0</v>
      </c>
      <c r="N6000" s="9">
        <v>43910.0</v>
      </c>
    </row>
    <row r="6001">
      <c r="A6001" s="5">
        <v>6000.0</v>
      </c>
      <c r="B6001" s="5" t="s">
        <v>6552</v>
      </c>
      <c r="C6001" s="5" t="s">
        <v>21</v>
      </c>
      <c r="K6001" s="5">
        <v>2400.0</v>
      </c>
      <c r="N6001" s="9">
        <v>44074.0</v>
      </c>
    </row>
    <row r="6002">
      <c r="A6002" s="5">
        <v>6001.0</v>
      </c>
      <c r="B6002" s="5" t="s">
        <v>6553</v>
      </c>
      <c r="C6002" s="5" t="s">
        <v>21</v>
      </c>
      <c r="K6002" s="5">
        <v>500.0</v>
      </c>
      <c r="N6002" s="9">
        <v>44784.0</v>
      </c>
    </row>
    <row r="6003">
      <c r="A6003" s="5">
        <v>6002.0</v>
      </c>
      <c r="B6003" s="5" t="s">
        <v>6554</v>
      </c>
      <c r="C6003" s="5" t="s">
        <v>21</v>
      </c>
      <c r="K6003" s="5">
        <v>900.0</v>
      </c>
      <c r="N6003" s="9">
        <v>45204.0</v>
      </c>
    </row>
    <row r="6004">
      <c r="A6004" s="5">
        <v>6003.0</v>
      </c>
      <c r="B6004" s="5" t="s">
        <v>6555</v>
      </c>
      <c r="C6004" s="5" t="s">
        <v>21</v>
      </c>
      <c r="K6004" s="5">
        <v>1300.0</v>
      </c>
      <c r="N6004" s="9">
        <v>43878.0</v>
      </c>
    </row>
    <row r="6005">
      <c r="A6005" s="5">
        <v>6004.0</v>
      </c>
      <c r="B6005" s="5" t="s">
        <v>6556</v>
      </c>
      <c r="C6005" s="5" t="s">
        <v>21</v>
      </c>
      <c r="K6005" s="5">
        <v>500.0</v>
      </c>
      <c r="N6005" s="9">
        <v>44570.0</v>
      </c>
    </row>
    <row r="6006">
      <c r="A6006" s="5">
        <v>6005.0</v>
      </c>
      <c r="B6006" s="5" t="s">
        <v>6557</v>
      </c>
      <c r="C6006" s="5" t="s">
        <v>21</v>
      </c>
      <c r="K6006" s="5">
        <v>100.0</v>
      </c>
      <c r="N6006" s="9">
        <v>44474.0</v>
      </c>
    </row>
    <row r="6007">
      <c r="A6007" s="5">
        <v>6006.0</v>
      </c>
      <c r="B6007" s="5" t="s">
        <v>6558</v>
      </c>
      <c r="C6007" s="5" t="s">
        <v>21</v>
      </c>
      <c r="K6007" s="5">
        <v>350.0</v>
      </c>
      <c r="N6007" s="9">
        <v>44375.0</v>
      </c>
    </row>
    <row r="6008">
      <c r="A6008" s="5">
        <v>6007.0</v>
      </c>
      <c r="B6008" s="5" t="s">
        <v>6559</v>
      </c>
      <c r="C6008" s="5" t="s">
        <v>21</v>
      </c>
      <c r="K6008" s="5">
        <v>800.0</v>
      </c>
      <c r="N6008" s="9">
        <v>44243.0</v>
      </c>
    </row>
    <row r="6009">
      <c r="A6009" s="5">
        <v>6008.0</v>
      </c>
      <c r="B6009" s="5" t="s">
        <v>6560</v>
      </c>
      <c r="C6009" s="5" t="s">
        <v>21</v>
      </c>
      <c r="K6009" s="5">
        <v>800.0</v>
      </c>
      <c r="N6009" s="9">
        <v>44403.0</v>
      </c>
    </row>
    <row r="6010">
      <c r="A6010" s="5">
        <v>6009.0</v>
      </c>
      <c r="B6010" s="5" t="s">
        <v>6561</v>
      </c>
      <c r="C6010" s="5" t="s">
        <v>21</v>
      </c>
      <c r="K6010" s="5">
        <v>150.0</v>
      </c>
      <c r="N6010" s="9">
        <v>45042.0</v>
      </c>
    </row>
    <row r="6011">
      <c r="A6011" s="5">
        <v>6010.0</v>
      </c>
      <c r="B6011" s="5" t="s">
        <v>6562</v>
      </c>
      <c r="C6011" s="5" t="s">
        <v>21</v>
      </c>
      <c r="K6011" s="5">
        <v>2000.0</v>
      </c>
      <c r="N6011" s="9">
        <v>44486.0</v>
      </c>
    </row>
    <row r="6012">
      <c r="A6012" s="5">
        <v>6011.0</v>
      </c>
      <c r="B6012" s="5" t="s">
        <v>6563</v>
      </c>
      <c r="C6012" s="5" t="s">
        <v>21</v>
      </c>
      <c r="K6012" s="5">
        <v>400.0</v>
      </c>
      <c r="N6012" s="9">
        <v>45369.0</v>
      </c>
    </row>
    <row r="6013">
      <c r="A6013" s="5">
        <v>6012.0</v>
      </c>
      <c r="B6013" s="5" t="s">
        <v>6564</v>
      </c>
      <c r="C6013" s="5" t="s">
        <v>21</v>
      </c>
      <c r="K6013" s="5">
        <v>10.0</v>
      </c>
      <c r="N6013" s="9">
        <v>44972.0</v>
      </c>
    </row>
    <row r="6014">
      <c r="A6014" s="5">
        <v>6013.0</v>
      </c>
      <c r="B6014" s="5" t="s">
        <v>6565</v>
      </c>
      <c r="C6014" s="5" t="s">
        <v>21</v>
      </c>
      <c r="K6014" s="5">
        <v>100.0</v>
      </c>
      <c r="N6014" s="9">
        <v>44736.0</v>
      </c>
    </row>
    <row r="6015">
      <c r="A6015" s="5">
        <v>6014.0</v>
      </c>
      <c r="B6015" s="5" t="s">
        <v>6566</v>
      </c>
      <c r="C6015" s="5" t="s">
        <v>21</v>
      </c>
      <c r="K6015" s="5">
        <v>350.0</v>
      </c>
      <c r="N6015" s="9">
        <v>44791.0</v>
      </c>
    </row>
    <row r="6016">
      <c r="A6016" s="5">
        <v>6015.0</v>
      </c>
      <c r="B6016" s="5" t="s">
        <v>6567</v>
      </c>
      <c r="C6016" s="5" t="s">
        <v>21</v>
      </c>
      <c r="N6016" s="9">
        <v>43901.0</v>
      </c>
    </row>
    <row r="6017">
      <c r="A6017" s="5">
        <v>6016.0</v>
      </c>
      <c r="B6017" s="5" t="s">
        <v>6568</v>
      </c>
      <c r="C6017" s="5" t="s">
        <v>21</v>
      </c>
      <c r="K6017" s="5">
        <v>500.0</v>
      </c>
      <c r="N6017" s="9">
        <v>44009.0</v>
      </c>
    </row>
    <row r="6018">
      <c r="A6018" s="5">
        <v>6017.0</v>
      </c>
      <c r="B6018" s="5" t="s">
        <v>6569</v>
      </c>
      <c r="C6018" s="5" t="s">
        <v>21</v>
      </c>
      <c r="K6018" s="5">
        <v>200.0</v>
      </c>
      <c r="N6018" s="9">
        <v>43917.0</v>
      </c>
    </row>
    <row r="6019">
      <c r="A6019" s="5">
        <v>6018.0</v>
      </c>
      <c r="B6019" s="5" t="s">
        <v>6570</v>
      </c>
      <c r="C6019" s="5" t="s">
        <v>21</v>
      </c>
      <c r="K6019" s="5">
        <v>150.0</v>
      </c>
      <c r="N6019" s="9">
        <v>44576.0</v>
      </c>
    </row>
    <row r="6020">
      <c r="A6020" s="5">
        <v>6019.0</v>
      </c>
      <c r="B6020" s="5" t="s">
        <v>6571</v>
      </c>
      <c r="C6020" s="5" t="s">
        <v>21</v>
      </c>
      <c r="K6020" s="5">
        <v>50.0</v>
      </c>
      <c r="N6020" s="9">
        <v>44758.0</v>
      </c>
    </row>
    <row r="6021">
      <c r="A6021" s="5">
        <v>6020.0</v>
      </c>
      <c r="B6021" s="5" t="s">
        <v>6572</v>
      </c>
      <c r="C6021" s="5" t="s">
        <v>21</v>
      </c>
      <c r="N6021" s="9">
        <v>44571.0</v>
      </c>
    </row>
    <row r="6022">
      <c r="A6022" s="5">
        <v>6021.0</v>
      </c>
      <c r="B6022" s="5" t="s">
        <v>6573</v>
      </c>
      <c r="C6022" s="5" t="s">
        <v>21</v>
      </c>
      <c r="K6022" s="5">
        <v>200.0</v>
      </c>
      <c r="N6022" s="9">
        <v>44610.0</v>
      </c>
    </row>
    <row r="6023">
      <c r="A6023" s="5">
        <v>6022.0</v>
      </c>
      <c r="B6023" s="5" t="s">
        <v>6574</v>
      </c>
      <c r="C6023" s="5" t="s">
        <v>21</v>
      </c>
      <c r="K6023" s="5">
        <v>450.0</v>
      </c>
      <c r="N6023" s="9">
        <v>44516.0</v>
      </c>
    </row>
    <row r="6024">
      <c r="A6024" s="5">
        <v>6023.0</v>
      </c>
      <c r="B6024" s="5" t="s">
        <v>6575</v>
      </c>
      <c r="C6024" s="5" t="s">
        <v>21</v>
      </c>
      <c r="N6024" s="9">
        <v>44519.0</v>
      </c>
    </row>
    <row r="6025">
      <c r="A6025" s="5">
        <v>6024.0</v>
      </c>
      <c r="B6025" s="5" t="s">
        <v>6576</v>
      </c>
      <c r="C6025" s="5" t="s">
        <v>21</v>
      </c>
      <c r="K6025" s="5">
        <v>1300.0</v>
      </c>
      <c r="N6025" s="9">
        <v>43867.0</v>
      </c>
    </row>
    <row r="6026">
      <c r="A6026" s="5">
        <v>6025.0</v>
      </c>
      <c r="B6026" s="5" t="s">
        <v>6577</v>
      </c>
      <c r="C6026" s="5" t="s">
        <v>21</v>
      </c>
      <c r="K6026" s="5">
        <v>150.0</v>
      </c>
      <c r="N6026" s="9">
        <v>45112.0</v>
      </c>
    </row>
    <row r="6027">
      <c r="A6027" s="5">
        <v>6026.0</v>
      </c>
      <c r="B6027" s="5" t="s">
        <v>6578</v>
      </c>
      <c r="C6027" s="5" t="s">
        <v>21</v>
      </c>
      <c r="K6027" s="5">
        <v>500.0</v>
      </c>
      <c r="N6027" s="9">
        <v>44749.0</v>
      </c>
    </row>
    <row r="6028">
      <c r="A6028" s="5">
        <v>6027.0</v>
      </c>
      <c r="B6028" s="5" t="s">
        <v>6579</v>
      </c>
      <c r="C6028" s="5" t="s">
        <v>21</v>
      </c>
      <c r="K6028" s="5">
        <v>70.0</v>
      </c>
      <c r="N6028" s="9">
        <v>44736.0</v>
      </c>
    </row>
    <row r="6029">
      <c r="A6029" s="5">
        <v>6028.0</v>
      </c>
      <c r="B6029" s="5" t="s">
        <v>6580</v>
      </c>
      <c r="C6029" s="5" t="s">
        <v>21</v>
      </c>
      <c r="K6029" s="5">
        <v>50.0</v>
      </c>
      <c r="N6029" s="9">
        <v>44370.0</v>
      </c>
    </row>
    <row r="6030">
      <c r="A6030" s="5">
        <v>6029.0</v>
      </c>
      <c r="B6030" s="5" t="s">
        <v>6581</v>
      </c>
      <c r="C6030" s="5" t="s">
        <v>21</v>
      </c>
      <c r="K6030" s="5">
        <v>40.0</v>
      </c>
      <c r="N6030" s="9">
        <v>44633.0</v>
      </c>
    </row>
    <row r="6031">
      <c r="A6031" s="5">
        <v>6030.0</v>
      </c>
      <c r="B6031" s="5" t="s">
        <v>6582</v>
      </c>
      <c r="C6031" s="5" t="s">
        <v>21</v>
      </c>
      <c r="K6031" s="5">
        <v>200.0</v>
      </c>
      <c r="N6031" s="9">
        <v>46130.0</v>
      </c>
    </row>
    <row r="6032">
      <c r="A6032" s="5">
        <v>6031.0</v>
      </c>
      <c r="B6032" s="5" t="s">
        <v>6583</v>
      </c>
      <c r="C6032" s="5" t="s">
        <v>21</v>
      </c>
      <c r="K6032" s="5">
        <v>150.0</v>
      </c>
      <c r="N6032" s="9">
        <v>45846.0</v>
      </c>
    </row>
    <row r="6033">
      <c r="A6033" s="5">
        <v>6032.0</v>
      </c>
      <c r="B6033" s="5" t="s">
        <v>6584</v>
      </c>
      <c r="C6033" s="5" t="s">
        <v>21</v>
      </c>
      <c r="K6033" s="5">
        <v>90.0</v>
      </c>
      <c r="N6033" s="9">
        <v>44825.0</v>
      </c>
    </row>
    <row r="6034">
      <c r="A6034" s="5">
        <v>6033.0</v>
      </c>
      <c r="B6034" s="5" t="s">
        <v>6585</v>
      </c>
      <c r="C6034" s="5" t="s">
        <v>21</v>
      </c>
      <c r="K6034" s="5">
        <v>20.0</v>
      </c>
      <c r="N6034" s="9">
        <v>45861.0</v>
      </c>
    </row>
    <row r="6035">
      <c r="A6035" s="5">
        <v>6034.0</v>
      </c>
      <c r="B6035" s="5" t="s">
        <v>6586</v>
      </c>
      <c r="C6035" s="5" t="s">
        <v>21</v>
      </c>
      <c r="K6035" s="5">
        <v>150.0</v>
      </c>
      <c r="N6035" s="9">
        <v>44537.0</v>
      </c>
    </row>
    <row r="6036">
      <c r="A6036" s="5">
        <v>6035.0</v>
      </c>
      <c r="B6036" s="5" t="s">
        <v>6587</v>
      </c>
      <c r="C6036" s="5" t="s">
        <v>21</v>
      </c>
      <c r="K6036" s="5">
        <v>100.0</v>
      </c>
      <c r="N6036" s="9">
        <v>44528.0</v>
      </c>
    </row>
    <row r="6037">
      <c r="A6037" s="5">
        <v>6036.0</v>
      </c>
      <c r="B6037" s="5" t="s">
        <v>6588</v>
      </c>
      <c r="C6037" s="5" t="s">
        <v>21</v>
      </c>
      <c r="K6037" s="5">
        <v>30.0</v>
      </c>
      <c r="N6037" s="9">
        <v>44597.0</v>
      </c>
    </row>
    <row r="6038">
      <c r="A6038" s="5">
        <v>6037.0</v>
      </c>
      <c r="B6038" s="5" t="s">
        <v>6589</v>
      </c>
      <c r="C6038" s="5" t="s">
        <v>21</v>
      </c>
      <c r="K6038" s="5">
        <v>90.0</v>
      </c>
      <c r="N6038" s="9">
        <v>44799.0</v>
      </c>
    </row>
    <row r="6039">
      <c r="A6039" s="5">
        <v>6038.0</v>
      </c>
      <c r="B6039" s="5" t="s">
        <v>6590</v>
      </c>
      <c r="C6039" s="5" t="s">
        <v>21</v>
      </c>
      <c r="K6039" s="5">
        <v>700.0</v>
      </c>
      <c r="N6039" s="9">
        <v>44509.0</v>
      </c>
    </row>
    <row r="6040">
      <c r="A6040" s="5">
        <v>6039.0</v>
      </c>
      <c r="B6040" s="5" t="s">
        <v>6591</v>
      </c>
      <c r="C6040" s="5" t="s">
        <v>21</v>
      </c>
      <c r="K6040" s="5">
        <v>200.0</v>
      </c>
      <c r="N6040" s="9">
        <v>45567.0</v>
      </c>
    </row>
    <row r="6041">
      <c r="A6041" s="5">
        <v>6040.0</v>
      </c>
      <c r="B6041" s="5" t="s">
        <v>6592</v>
      </c>
      <c r="C6041" s="5" t="s">
        <v>21</v>
      </c>
      <c r="K6041" s="5">
        <v>800.0</v>
      </c>
      <c r="N6041" s="9">
        <v>44681.0</v>
      </c>
    </row>
    <row r="6042">
      <c r="A6042" s="5">
        <v>6041.0</v>
      </c>
      <c r="B6042" s="5" t="s">
        <v>6593</v>
      </c>
      <c r="C6042" s="5" t="s">
        <v>21</v>
      </c>
      <c r="K6042" s="5">
        <v>100.0</v>
      </c>
      <c r="N6042" s="9">
        <v>45472.0</v>
      </c>
    </row>
    <row r="6043">
      <c r="A6043" s="5">
        <v>6042.0</v>
      </c>
      <c r="B6043" s="5" t="s">
        <v>6594</v>
      </c>
      <c r="C6043" s="5" t="s">
        <v>21</v>
      </c>
      <c r="K6043" s="5">
        <v>1500.0</v>
      </c>
      <c r="N6043" s="9">
        <v>44332.0</v>
      </c>
    </row>
    <row r="6044">
      <c r="A6044" s="5">
        <v>6043.0</v>
      </c>
      <c r="B6044" s="5" t="s">
        <v>6595</v>
      </c>
      <c r="C6044" s="5" t="s">
        <v>21</v>
      </c>
      <c r="N6044" s="9">
        <v>46050.0</v>
      </c>
    </row>
    <row r="6045">
      <c r="A6045" s="5">
        <v>6044.0</v>
      </c>
      <c r="B6045" s="5" t="s">
        <v>6596</v>
      </c>
      <c r="C6045" s="5" t="s">
        <v>21</v>
      </c>
      <c r="K6045" s="5">
        <v>300.0</v>
      </c>
      <c r="N6045" s="9">
        <v>45113.0</v>
      </c>
    </row>
    <row r="6046">
      <c r="A6046" s="5">
        <v>6045.0</v>
      </c>
      <c r="B6046" s="5" t="s">
        <v>6597</v>
      </c>
      <c r="C6046" s="5" t="s">
        <v>21</v>
      </c>
      <c r="K6046" s="5">
        <v>600.0</v>
      </c>
      <c r="N6046" s="9">
        <v>44767.0</v>
      </c>
    </row>
    <row r="6047">
      <c r="A6047" s="5">
        <v>6046.0</v>
      </c>
      <c r="B6047" s="5" t="s">
        <v>6598</v>
      </c>
      <c r="C6047" s="5" t="s">
        <v>21</v>
      </c>
      <c r="K6047" s="5">
        <v>400.0</v>
      </c>
      <c r="N6047" s="9">
        <v>44522.0</v>
      </c>
    </row>
    <row r="6048">
      <c r="A6048" s="5">
        <v>6047.0</v>
      </c>
      <c r="B6048" s="5" t="s">
        <v>6599</v>
      </c>
      <c r="C6048" s="5" t="s">
        <v>21</v>
      </c>
      <c r="K6048" s="5">
        <v>200.0</v>
      </c>
      <c r="N6048" s="9">
        <v>43972.0</v>
      </c>
    </row>
    <row r="6049">
      <c r="A6049" s="5">
        <v>6048.0</v>
      </c>
      <c r="B6049" s="5" t="s">
        <v>6600</v>
      </c>
      <c r="C6049" s="5" t="s">
        <v>21</v>
      </c>
      <c r="K6049" s="5">
        <v>250.0</v>
      </c>
      <c r="N6049" s="9">
        <v>45092.0</v>
      </c>
    </row>
    <row r="6050">
      <c r="A6050" s="5">
        <v>6049.0</v>
      </c>
      <c r="B6050" s="5" t="s">
        <v>6601</v>
      </c>
      <c r="C6050" s="5" t="s">
        <v>21</v>
      </c>
      <c r="K6050" s="5">
        <v>150.0</v>
      </c>
      <c r="N6050" s="9">
        <v>44720.0</v>
      </c>
    </row>
    <row r="6051">
      <c r="A6051" s="5">
        <v>6050.0</v>
      </c>
      <c r="B6051" s="5" t="s">
        <v>6602</v>
      </c>
      <c r="C6051" s="5" t="s">
        <v>21</v>
      </c>
      <c r="K6051" s="5">
        <v>250.0</v>
      </c>
      <c r="N6051" s="9">
        <v>44715.0</v>
      </c>
    </row>
    <row r="6052">
      <c r="A6052" s="5">
        <v>6051.0</v>
      </c>
      <c r="B6052" s="5" t="s">
        <v>6603</v>
      </c>
      <c r="C6052" s="5" t="s">
        <v>21</v>
      </c>
      <c r="K6052" s="5">
        <v>60.0</v>
      </c>
      <c r="N6052" s="9">
        <v>44674.0</v>
      </c>
    </row>
    <row r="6053">
      <c r="A6053" s="5">
        <v>6052.0</v>
      </c>
      <c r="B6053" s="5" t="s">
        <v>6604</v>
      </c>
      <c r="C6053" s="5" t="s">
        <v>21</v>
      </c>
      <c r="K6053" s="5">
        <v>90.0</v>
      </c>
      <c r="N6053" s="9">
        <v>44610.0</v>
      </c>
    </row>
    <row r="6054">
      <c r="A6054" s="5">
        <v>6053.0</v>
      </c>
      <c r="B6054" s="5" t="s">
        <v>6605</v>
      </c>
      <c r="C6054" s="5" t="s">
        <v>21</v>
      </c>
      <c r="K6054" s="5">
        <v>1000.0</v>
      </c>
      <c r="N6054" s="9">
        <v>44672.0</v>
      </c>
    </row>
    <row r="6055">
      <c r="A6055" s="5">
        <v>6054.0</v>
      </c>
      <c r="B6055" s="5" t="s">
        <v>6606</v>
      </c>
      <c r="C6055" s="5" t="s">
        <v>21</v>
      </c>
      <c r="K6055" s="5">
        <v>80.0</v>
      </c>
      <c r="N6055" s="9">
        <v>45195.0</v>
      </c>
    </row>
    <row r="6056">
      <c r="A6056" s="5">
        <v>6055.0</v>
      </c>
      <c r="B6056" s="5" t="s">
        <v>6607</v>
      </c>
      <c r="C6056" s="5" t="s">
        <v>21</v>
      </c>
      <c r="K6056" s="5">
        <v>150.0</v>
      </c>
      <c r="N6056" s="9">
        <v>44604.0</v>
      </c>
    </row>
    <row r="6057">
      <c r="A6057" s="5">
        <v>6056.0</v>
      </c>
      <c r="B6057" s="5" t="s">
        <v>6608</v>
      </c>
      <c r="C6057" s="5" t="s">
        <v>21</v>
      </c>
      <c r="K6057" s="5">
        <v>20.0</v>
      </c>
      <c r="N6057" s="9">
        <v>44057.0</v>
      </c>
    </row>
    <row r="6058">
      <c r="A6058" s="5">
        <v>6057.0</v>
      </c>
      <c r="B6058" s="5" t="s">
        <v>6609</v>
      </c>
      <c r="C6058" s="5" t="s">
        <v>21</v>
      </c>
      <c r="K6058" s="5">
        <v>250.0</v>
      </c>
      <c r="N6058" s="9">
        <v>44698.0</v>
      </c>
    </row>
    <row r="6059">
      <c r="A6059" s="5">
        <v>6058.0</v>
      </c>
      <c r="B6059" s="5" t="s">
        <v>6610</v>
      </c>
      <c r="C6059" s="5" t="s">
        <v>21</v>
      </c>
      <c r="K6059" s="5">
        <v>150.0</v>
      </c>
      <c r="N6059" s="9">
        <v>45090.0</v>
      </c>
    </row>
    <row r="6060">
      <c r="A6060" s="5">
        <v>6059.0</v>
      </c>
      <c r="B6060" s="5" t="s">
        <v>6611</v>
      </c>
      <c r="C6060" s="5" t="s">
        <v>21</v>
      </c>
      <c r="K6060" s="5">
        <v>100.0</v>
      </c>
      <c r="N6060" s="9">
        <v>44583.0</v>
      </c>
    </row>
    <row r="6061">
      <c r="A6061" s="5">
        <v>6060.0</v>
      </c>
      <c r="B6061" s="5" t="s">
        <v>6612</v>
      </c>
      <c r="C6061" s="5" t="s">
        <v>21</v>
      </c>
      <c r="K6061" s="5">
        <v>250.0</v>
      </c>
      <c r="N6061" s="9">
        <v>45109.0</v>
      </c>
    </row>
    <row r="6062">
      <c r="A6062" s="5">
        <v>6061.0</v>
      </c>
      <c r="B6062" s="5" t="s">
        <v>228</v>
      </c>
      <c r="C6062" s="5" t="s">
        <v>21</v>
      </c>
      <c r="K6062" s="5">
        <v>600.0</v>
      </c>
      <c r="N6062" s="9">
        <v>44054.0</v>
      </c>
    </row>
    <row r="6063">
      <c r="A6063" s="5">
        <v>6062.0</v>
      </c>
      <c r="B6063" s="5" t="s">
        <v>6613</v>
      </c>
      <c r="C6063" s="5" t="s">
        <v>21</v>
      </c>
      <c r="K6063" s="5">
        <v>800.0</v>
      </c>
      <c r="N6063" s="9">
        <v>44519.0</v>
      </c>
    </row>
    <row r="6064">
      <c r="A6064" s="5">
        <v>6063.0</v>
      </c>
      <c r="B6064" s="5" t="s">
        <v>6614</v>
      </c>
      <c r="C6064" s="5" t="s">
        <v>21</v>
      </c>
      <c r="K6064" s="5">
        <v>1200.0</v>
      </c>
      <c r="N6064" s="9">
        <v>44536.0</v>
      </c>
    </row>
    <row r="6065">
      <c r="A6065" s="5">
        <v>6064.0</v>
      </c>
      <c r="B6065" s="5" t="s">
        <v>6615</v>
      </c>
      <c r="C6065" s="5" t="s">
        <v>21</v>
      </c>
      <c r="K6065" s="5">
        <v>60.0</v>
      </c>
      <c r="N6065" s="9">
        <v>44407.0</v>
      </c>
    </row>
    <row r="6066">
      <c r="A6066" s="5">
        <v>6065.0</v>
      </c>
      <c r="B6066" s="5" t="s">
        <v>6616</v>
      </c>
      <c r="C6066" s="5" t="s">
        <v>21</v>
      </c>
      <c r="K6066" s="5">
        <v>150.0</v>
      </c>
      <c r="N6066" s="9">
        <v>44569.0</v>
      </c>
    </row>
    <row r="6067">
      <c r="A6067" s="5">
        <v>6066.0</v>
      </c>
      <c r="B6067" s="5" t="s">
        <v>6617</v>
      </c>
      <c r="C6067" s="5" t="s">
        <v>21</v>
      </c>
      <c r="K6067" s="5">
        <v>400.0</v>
      </c>
      <c r="N6067" s="9">
        <v>44079.0</v>
      </c>
    </row>
    <row r="6068">
      <c r="A6068" s="5">
        <v>6067.0</v>
      </c>
      <c r="B6068" s="5" t="s">
        <v>6618</v>
      </c>
      <c r="C6068" s="5" t="s">
        <v>21</v>
      </c>
      <c r="K6068" s="5">
        <v>700.0</v>
      </c>
      <c r="N6068" s="9">
        <v>45186.0</v>
      </c>
    </row>
    <row r="6069">
      <c r="A6069" s="5">
        <v>6068.0</v>
      </c>
      <c r="B6069" s="5" t="s">
        <v>6619</v>
      </c>
      <c r="C6069" s="5" t="s">
        <v>21</v>
      </c>
      <c r="K6069" s="5">
        <v>6300.0</v>
      </c>
      <c r="N6069" s="9">
        <v>44539.0</v>
      </c>
    </row>
    <row r="6070">
      <c r="A6070" s="5">
        <v>6069.0</v>
      </c>
      <c r="B6070" s="5" t="s">
        <v>6620</v>
      </c>
      <c r="C6070" s="5" t="s">
        <v>21</v>
      </c>
      <c r="K6070" s="5">
        <v>90.0</v>
      </c>
      <c r="N6070" s="9">
        <v>44537.0</v>
      </c>
    </row>
    <row r="6071">
      <c r="A6071" s="5">
        <v>6070.0</v>
      </c>
      <c r="B6071" s="5" t="s">
        <v>6621</v>
      </c>
      <c r="C6071" s="5" t="s">
        <v>21</v>
      </c>
      <c r="K6071" s="5">
        <v>3300.0</v>
      </c>
      <c r="N6071" s="9">
        <v>44615.0</v>
      </c>
    </row>
    <row r="6072">
      <c r="A6072" s="5">
        <v>6071.0</v>
      </c>
      <c r="B6072" s="5" t="s">
        <v>6622</v>
      </c>
      <c r="C6072" s="5" t="s">
        <v>21</v>
      </c>
      <c r="K6072" s="5">
        <v>800.0</v>
      </c>
      <c r="N6072" s="9">
        <v>44868.0</v>
      </c>
    </row>
    <row r="6073">
      <c r="A6073" s="5">
        <v>6072.0</v>
      </c>
      <c r="B6073" s="5" t="s">
        <v>6623</v>
      </c>
      <c r="C6073" s="5" t="s">
        <v>21</v>
      </c>
      <c r="K6073" s="5">
        <v>30.0</v>
      </c>
      <c r="N6073" s="9">
        <v>44381.0</v>
      </c>
    </row>
    <row r="6074">
      <c r="A6074" s="5">
        <v>6073.0</v>
      </c>
      <c r="B6074" s="5" t="s">
        <v>6624</v>
      </c>
      <c r="C6074" s="5" t="s">
        <v>21</v>
      </c>
      <c r="K6074" s="5">
        <v>350.0</v>
      </c>
      <c r="N6074" s="9">
        <v>44842.0</v>
      </c>
    </row>
    <row r="6075">
      <c r="A6075" s="5">
        <v>6074.0</v>
      </c>
      <c r="B6075" s="5" t="s">
        <v>6625</v>
      </c>
      <c r="C6075" s="5" t="s">
        <v>21</v>
      </c>
      <c r="K6075" s="5">
        <v>150.0</v>
      </c>
      <c r="N6075" s="9">
        <v>45083.0</v>
      </c>
    </row>
    <row r="6076">
      <c r="A6076" s="5">
        <v>6075.0</v>
      </c>
      <c r="B6076" s="5" t="s">
        <v>6626</v>
      </c>
      <c r="C6076" s="5" t="s">
        <v>21</v>
      </c>
      <c r="K6076" s="5">
        <v>90.0</v>
      </c>
      <c r="N6076" s="9">
        <v>44397.0</v>
      </c>
    </row>
    <row r="6077">
      <c r="A6077" s="5">
        <v>6076.0</v>
      </c>
      <c r="B6077" s="5" t="s">
        <v>6627</v>
      </c>
      <c r="C6077" s="5" t="s">
        <v>21</v>
      </c>
      <c r="K6077" s="5">
        <v>900.0</v>
      </c>
      <c r="N6077" s="9">
        <v>45824.0</v>
      </c>
    </row>
    <row r="6078">
      <c r="A6078" s="5">
        <v>6077.0</v>
      </c>
      <c r="B6078" s="5" t="s">
        <v>6628</v>
      </c>
      <c r="C6078" s="5" t="s">
        <v>21</v>
      </c>
      <c r="K6078" s="5">
        <v>40.0</v>
      </c>
      <c r="N6078" s="9">
        <v>45600.0</v>
      </c>
    </row>
    <row r="6079">
      <c r="A6079" s="5">
        <v>6078.0</v>
      </c>
      <c r="B6079" s="5" t="s">
        <v>6629</v>
      </c>
      <c r="C6079" s="5" t="s">
        <v>21</v>
      </c>
      <c r="K6079" s="5">
        <v>60.0</v>
      </c>
      <c r="N6079" s="9">
        <v>44930.0</v>
      </c>
    </row>
    <row r="6080">
      <c r="A6080" s="5">
        <v>6079.0</v>
      </c>
      <c r="B6080" s="5" t="s">
        <v>6630</v>
      </c>
      <c r="C6080" s="5" t="s">
        <v>21</v>
      </c>
      <c r="K6080" s="5">
        <v>700.0</v>
      </c>
      <c r="N6080" s="9">
        <v>45558.0</v>
      </c>
    </row>
    <row r="6081">
      <c r="A6081" s="5">
        <v>6080.0</v>
      </c>
      <c r="B6081" s="5" t="s">
        <v>6631</v>
      </c>
      <c r="C6081" s="5" t="s">
        <v>21</v>
      </c>
      <c r="K6081" s="5">
        <v>800.0</v>
      </c>
      <c r="N6081" s="9">
        <v>44533.0</v>
      </c>
    </row>
    <row r="6082">
      <c r="A6082" s="5">
        <v>6081.0</v>
      </c>
      <c r="B6082" s="5" t="s">
        <v>6632</v>
      </c>
      <c r="C6082" s="5" t="s">
        <v>21</v>
      </c>
      <c r="K6082" s="5">
        <v>250.0</v>
      </c>
      <c r="N6082" s="9">
        <v>44621.0</v>
      </c>
    </row>
    <row r="6083">
      <c r="A6083" s="5">
        <v>6082.0</v>
      </c>
      <c r="B6083" s="5" t="s">
        <v>6633</v>
      </c>
      <c r="C6083" s="5" t="s">
        <v>21</v>
      </c>
      <c r="K6083" s="5">
        <v>400.0</v>
      </c>
      <c r="N6083" s="9">
        <v>44631.0</v>
      </c>
    </row>
    <row r="6084">
      <c r="A6084" s="5">
        <v>6083.0</v>
      </c>
      <c r="B6084" s="5" t="s">
        <v>211</v>
      </c>
      <c r="C6084" s="5" t="s">
        <v>21</v>
      </c>
      <c r="K6084" s="5">
        <v>450.0</v>
      </c>
      <c r="N6084" s="9">
        <v>43872.0</v>
      </c>
    </row>
    <row r="6085">
      <c r="A6085" s="5">
        <v>6084.0</v>
      </c>
      <c r="B6085" s="5" t="s">
        <v>6634</v>
      </c>
      <c r="C6085" s="5" t="s">
        <v>21</v>
      </c>
      <c r="K6085" s="5">
        <v>800.0</v>
      </c>
      <c r="N6085" s="9">
        <v>44140.0</v>
      </c>
    </row>
    <row r="6086">
      <c r="A6086" s="5">
        <v>6085.0</v>
      </c>
      <c r="B6086" s="5" t="s">
        <v>6635</v>
      </c>
      <c r="C6086" s="5" t="s">
        <v>21</v>
      </c>
      <c r="K6086" s="5">
        <v>60.0</v>
      </c>
      <c r="N6086" s="9">
        <v>44463.0</v>
      </c>
    </row>
    <row r="6087">
      <c r="A6087" s="5">
        <v>6086.0</v>
      </c>
      <c r="B6087" s="5" t="s">
        <v>6636</v>
      </c>
      <c r="C6087" s="5" t="s">
        <v>21</v>
      </c>
      <c r="K6087" s="5">
        <v>700.0</v>
      </c>
      <c r="N6087" s="9">
        <v>44974.0</v>
      </c>
    </row>
    <row r="6088">
      <c r="A6088" s="5">
        <v>6087.0</v>
      </c>
      <c r="B6088" s="5" t="s">
        <v>6637</v>
      </c>
      <c r="C6088" s="5" t="s">
        <v>21</v>
      </c>
      <c r="K6088" s="5">
        <v>100.0</v>
      </c>
      <c r="N6088" s="9">
        <v>45754.0</v>
      </c>
    </row>
    <row r="6089">
      <c r="A6089" s="5">
        <v>6088.0</v>
      </c>
      <c r="B6089" s="5" t="s">
        <v>6638</v>
      </c>
      <c r="C6089" s="5" t="s">
        <v>21</v>
      </c>
      <c r="K6089" s="5">
        <v>70.0</v>
      </c>
      <c r="N6089" s="9">
        <v>44528.0</v>
      </c>
    </row>
    <row r="6090">
      <c r="A6090" s="5">
        <v>6089.0</v>
      </c>
      <c r="B6090" s="5" t="s">
        <v>6639</v>
      </c>
      <c r="C6090" s="5" t="s">
        <v>21</v>
      </c>
      <c r="K6090" s="5">
        <v>800.0</v>
      </c>
      <c r="N6090" s="9">
        <v>44001.0</v>
      </c>
    </row>
    <row r="6091">
      <c r="A6091" s="5">
        <v>6090.0</v>
      </c>
      <c r="B6091" s="5" t="s">
        <v>6640</v>
      </c>
      <c r="C6091" s="5" t="s">
        <v>21</v>
      </c>
      <c r="K6091" s="5">
        <v>80.0</v>
      </c>
      <c r="N6091" s="9">
        <v>43979.0</v>
      </c>
    </row>
    <row r="6092">
      <c r="A6092" s="5">
        <v>6091.0</v>
      </c>
      <c r="B6092" s="5" t="s">
        <v>6641</v>
      </c>
      <c r="C6092" s="5" t="s">
        <v>21</v>
      </c>
      <c r="K6092" s="5">
        <v>200.0</v>
      </c>
      <c r="N6092" s="9">
        <v>44149.0</v>
      </c>
    </row>
    <row r="6093">
      <c r="A6093" s="5">
        <v>6092.0</v>
      </c>
      <c r="B6093" s="5" t="s">
        <v>6642</v>
      </c>
      <c r="C6093" s="5" t="s">
        <v>21</v>
      </c>
      <c r="K6093" s="5">
        <v>5400.0</v>
      </c>
      <c r="N6093" s="9">
        <v>45189.0</v>
      </c>
    </row>
    <row r="6094">
      <c r="A6094" s="5">
        <v>6093.0</v>
      </c>
      <c r="B6094" s="5" t="s">
        <v>6643</v>
      </c>
      <c r="C6094" s="5" t="s">
        <v>21</v>
      </c>
      <c r="K6094" s="5">
        <v>1500.0</v>
      </c>
      <c r="N6094" s="9">
        <v>44026.0</v>
      </c>
    </row>
    <row r="6095">
      <c r="A6095" s="5">
        <v>6094.0</v>
      </c>
      <c r="B6095" s="5" t="s">
        <v>6644</v>
      </c>
      <c r="C6095" s="5" t="s">
        <v>21</v>
      </c>
      <c r="K6095" s="5">
        <v>7100.0</v>
      </c>
      <c r="N6095" s="9">
        <v>44241.0</v>
      </c>
    </row>
    <row r="6096">
      <c r="A6096" s="5">
        <v>6095.0</v>
      </c>
      <c r="B6096" s="5" t="s">
        <v>6645</v>
      </c>
      <c r="C6096" s="5" t="s">
        <v>21</v>
      </c>
      <c r="K6096" s="5">
        <v>2700.0</v>
      </c>
      <c r="N6096" s="9">
        <v>44257.0</v>
      </c>
    </row>
    <row r="6097">
      <c r="A6097" s="5">
        <v>6096.0</v>
      </c>
      <c r="B6097" s="5" t="s">
        <v>6646</v>
      </c>
      <c r="C6097" s="5" t="s">
        <v>21</v>
      </c>
      <c r="K6097" s="5">
        <v>450.0</v>
      </c>
      <c r="N6097" s="9">
        <v>44651.0</v>
      </c>
    </row>
    <row r="6098">
      <c r="A6098" s="5">
        <v>6097.0</v>
      </c>
      <c r="B6098" s="5" t="s">
        <v>6647</v>
      </c>
      <c r="C6098" s="5" t="s">
        <v>21</v>
      </c>
      <c r="K6098" s="5">
        <v>150.0</v>
      </c>
      <c r="N6098" s="9">
        <v>45272.0</v>
      </c>
    </row>
    <row r="6099">
      <c r="A6099" s="5">
        <v>6098.0</v>
      </c>
      <c r="B6099" s="5" t="s">
        <v>6648</v>
      </c>
      <c r="C6099" s="5" t="s">
        <v>21</v>
      </c>
      <c r="N6099" s="9">
        <v>42272.0</v>
      </c>
    </row>
    <row r="6100">
      <c r="A6100" s="5">
        <v>6099.0</v>
      </c>
      <c r="B6100" s="5" t="s">
        <v>6649</v>
      </c>
      <c r="C6100" s="5" t="s">
        <v>21</v>
      </c>
      <c r="N6100" s="9">
        <v>44788.0</v>
      </c>
    </row>
    <row r="6101">
      <c r="A6101" s="5">
        <v>6100.0</v>
      </c>
      <c r="B6101" s="5" t="s">
        <v>6650</v>
      </c>
      <c r="C6101" s="5" t="s">
        <v>21</v>
      </c>
      <c r="K6101" s="5">
        <v>450.0</v>
      </c>
      <c r="N6101" s="9">
        <v>44627.0</v>
      </c>
    </row>
    <row r="6102">
      <c r="A6102" s="5">
        <v>6101.0</v>
      </c>
      <c r="B6102" s="5" t="s">
        <v>6651</v>
      </c>
      <c r="C6102" s="5" t="s">
        <v>21</v>
      </c>
      <c r="K6102" s="5">
        <v>80.0</v>
      </c>
      <c r="N6102" s="9">
        <v>44581.0</v>
      </c>
    </row>
    <row r="6103">
      <c r="A6103" s="5">
        <v>6102.0</v>
      </c>
      <c r="B6103" s="5" t="s">
        <v>6652</v>
      </c>
      <c r="C6103" s="5" t="s">
        <v>21</v>
      </c>
      <c r="K6103" s="5">
        <v>600.0</v>
      </c>
      <c r="N6103" s="9">
        <v>45226.0</v>
      </c>
    </row>
    <row r="6104">
      <c r="A6104" s="5">
        <v>6103.0</v>
      </c>
      <c r="B6104" s="5" t="s">
        <v>6653</v>
      </c>
      <c r="C6104" s="5" t="s">
        <v>21</v>
      </c>
      <c r="K6104" s="5">
        <v>350.0</v>
      </c>
      <c r="N6104" s="9">
        <v>44726.0</v>
      </c>
    </row>
    <row r="6105">
      <c r="A6105" s="5">
        <v>6104.0</v>
      </c>
      <c r="B6105" s="5" t="s">
        <v>6654</v>
      </c>
      <c r="C6105" s="5" t="s">
        <v>21</v>
      </c>
      <c r="K6105" s="5">
        <v>90.0</v>
      </c>
      <c r="N6105" s="9">
        <v>44823.0</v>
      </c>
    </row>
    <row r="6106">
      <c r="A6106" s="5">
        <v>6105.0</v>
      </c>
      <c r="B6106" s="5" t="s">
        <v>6655</v>
      </c>
      <c r="C6106" s="5" t="s">
        <v>21</v>
      </c>
      <c r="K6106" s="5">
        <v>600.0</v>
      </c>
      <c r="N6106" s="9">
        <v>44535.0</v>
      </c>
    </row>
    <row r="6107">
      <c r="A6107" s="5">
        <v>6106.0</v>
      </c>
      <c r="B6107" s="5" t="s">
        <v>6656</v>
      </c>
      <c r="C6107" s="5" t="s">
        <v>21</v>
      </c>
      <c r="K6107" s="5">
        <v>800.0</v>
      </c>
      <c r="N6107" s="9">
        <v>44313.0</v>
      </c>
    </row>
    <row r="6108">
      <c r="A6108" s="5">
        <v>6107.0</v>
      </c>
      <c r="B6108" s="5" t="s">
        <v>6657</v>
      </c>
      <c r="C6108" s="5" t="s">
        <v>21</v>
      </c>
      <c r="K6108" s="5">
        <v>80.0</v>
      </c>
      <c r="N6108" s="9">
        <v>44450.0</v>
      </c>
    </row>
    <row r="6109">
      <c r="A6109" s="5">
        <v>6108.0</v>
      </c>
      <c r="B6109" s="5" t="s">
        <v>6658</v>
      </c>
      <c r="C6109" s="5" t="s">
        <v>21</v>
      </c>
      <c r="K6109" s="5">
        <v>51000.0</v>
      </c>
      <c r="N6109" s="9">
        <v>46085.0</v>
      </c>
    </row>
    <row r="6110">
      <c r="A6110" s="5">
        <v>6109.0</v>
      </c>
      <c r="B6110" s="5" t="s">
        <v>6659</v>
      </c>
      <c r="C6110" s="5" t="s">
        <v>21</v>
      </c>
      <c r="K6110" s="5">
        <v>350.0</v>
      </c>
      <c r="N6110" s="9">
        <v>44499.0</v>
      </c>
    </row>
    <row r="6111">
      <c r="A6111" s="5">
        <v>6110.0</v>
      </c>
      <c r="B6111" s="5" t="s">
        <v>6660</v>
      </c>
      <c r="C6111" s="5" t="s">
        <v>21</v>
      </c>
      <c r="K6111" s="5">
        <v>2500.0</v>
      </c>
      <c r="N6111" s="9">
        <v>44045.0</v>
      </c>
    </row>
    <row r="6112">
      <c r="A6112" s="5">
        <v>6111.0</v>
      </c>
      <c r="B6112" s="5" t="s">
        <v>6661</v>
      </c>
      <c r="C6112" s="5" t="s">
        <v>21</v>
      </c>
      <c r="K6112" s="5">
        <v>900.0</v>
      </c>
      <c r="N6112" s="9">
        <v>44464.0</v>
      </c>
    </row>
    <row r="6113">
      <c r="A6113" s="5">
        <v>6112.0</v>
      </c>
      <c r="B6113" s="5" t="s">
        <v>6662</v>
      </c>
      <c r="C6113" s="5" t="s">
        <v>21</v>
      </c>
      <c r="K6113" s="5">
        <v>2100.0</v>
      </c>
      <c r="N6113" s="9">
        <v>43917.0</v>
      </c>
    </row>
    <row r="6114">
      <c r="A6114" s="5">
        <v>6113.0</v>
      </c>
      <c r="B6114" s="5" t="s">
        <v>6663</v>
      </c>
      <c r="C6114" s="5" t="s">
        <v>21</v>
      </c>
      <c r="K6114" s="5">
        <v>1600.0</v>
      </c>
      <c r="N6114" s="9">
        <v>44368.0</v>
      </c>
    </row>
    <row r="6115">
      <c r="A6115" s="5">
        <v>6114.0</v>
      </c>
      <c r="B6115" s="5" t="s">
        <v>6664</v>
      </c>
      <c r="C6115" s="5" t="s">
        <v>21</v>
      </c>
      <c r="K6115" s="5">
        <v>50.0</v>
      </c>
      <c r="N6115" s="9">
        <v>45028.0</v>
      </c>
    </row>
    <row r="6116">
      <c r="A6116" s="5">
        <v>6115.0</v>
      </c>
      <c r="B6116" s="5" t="s">
        <v>6665</v>
      </c>
      <c r="C6116" s="5" t="s">
        <v>21</v>
      </c>
      <c r="K6116" s="5">
        <v>150.0</v>
      </c>
      <c r="N6116" s="9">
        <v>44387.0</v>
      </c>
    </row>
    <row r="6117">
      <c r="A6117" s="5">
        <v>6116.0</v>
      </c>
      <c r="B6117" s="5" t="s">
        <v>6666</v>
      </c>
      <c r="C6117" s="5" t="s">
        <v>21</v>
      </c>
      <c r="K6117" s="5">
        <v>150.0</v>
      </c>
      <c r="N6117" s="9">
        <v>44637.0</v>
      </c>
    </row>
    <row r="6118">
      <c r="A6118" s="5">
        <v>6117.0</v>
      </c>
      <c r="B6118" s="5" t="s">
        <v>6667</v>
      </c>
      <c r="C6118" s="5" t="s">
        <v>21</v>
      </c>
      <c r="K6118" s="5">
        <v>60.0</v>
      </c>
      <c r="N6118" s="9">
        <v>44736.0</v>
      </c>
    </row>
    <row r="6119">
      <c r="A6119" s="5">
        <v>6118.0</v>
      </c>
      <c r="B6119" s="5" t="s">
        <v>6668</v>
      </c>
      <c r="C6119" s="5" t="s">
        <v>21</v>
      </c>
      <c r="K6119" s="5">
        <v>150.0</v>
      </c>
      <c r="N6119" s="9">
        <v>44700.0</v>
      </c>
    </row>
    <row r="6120">
      <c r="A6120" s="5">
        <v>6119.0</v>
      </c>
      <c r="B6120" s="5" t="s">
        <v>6669</v>
      </c>
      <c r="C6120" s="5" t="s">
        <v>21</v>
      </c>
      <c r="K6120" s="5">
        <v>50.0</v>
      </c>
      <c r="N6120" s="9">
        <v>44552.0</v>
      </c>
    </row>
    <row r="6121">
      <c r="A6121" s="5">
        <v>6120.0</v>
      </c>
      <c r="B6121" s="5" t="s">
        <v>6670</v>
      </c>
      <c r="C6121" s="5" t="s">
        <v>21</v>
      </c>
      <c r="K6121" s="5">
        <v>150.0</v>
      </c>
      <c r="N6121" s="9">
        <v>44985.0</v>
      </c>
    </row>
    <row r="6122">
      <c r="A6122" s="5">
        <v>6121.0</v>
      </c>
      <c r="B6122" s="5" t="s">
        <v>6671</v>
      </c>
      <c r="C6122" s="5" t="s">
        <v>21</v>
      </c>
      <c r="K6122" s="5">
        <v>200.0</v>
      </c>
      <c r="N6122" s="9">
        <v>45391.0</v>
      </c>
    </row>
    <row r="6123">
      <c r="A6123" s="5">
        <v>6122.0</v>
      </c>
      <c r="B6123" s="5" t="s">
        <v>6672</v>
      </c>
      <c r="C6123" s="5" t="s">
        <v>21</v>
      </c>
      <c r="N6123" s="9">
        <v>45278.0</v>
      </c>
    </row>
    <row r="6124">
      <c r="A6124" s="5">
        <v>6123.0</v>
      </c>
      <c r="B6124" s="5" t="s">
        <v>6673</v>
      </c>
      <c r="C6124" s="5" t="s">
        <v>21</v>
      </c>
      <c r="K6124" s="5">
        <v>250.0</v>
      </c>
      <c r="N6124" s="9">
        <v>45528.0</v>
      </c>
    </row>
    <row r="6125">
      <c r="A6125" s="5">
        <v>6124.0</v>
      </c>
      <c r="B6125" s="5" t="s">
        <v>6674</v>
      </c>
      <c r="C6125" s="5" t="s">
        <v>21</v>
      </c>
      <c r="K6125" s="5">
        <v>4400.0</v>
      </c>
      <c r="N6125" s="9">
        <v>45341.0</v>
      </c>
    </row>
    <row r="6126">
      <c r="A6126" s="5">
        <v>6125.0</v>
      </c>
      <c r="B6126" s="5" t="s">
        <v>6675</v>
      </c>
      <c r="C6126" s="5" t="s">
        <v>21</v>
      </c>
      <c r="K6126" s="5">
        <v>20.0</v>
      </c>
      <c r="N6126" s="9">
        <v>44578.0</v>
      </c>
    </row>
    <row r="6127">
      <c r="A6127" s="5">
        <v>6126.0</v>
      </c>
      <c r="B6127" s="5" t="s">
        <v>6676</v>
      </c>
      <c r="C6127" s="5" t="s">
        <v>21</v>
      </c>
      <c r="K6127" s="5">
        <v>250.0</v>
      </c>
      <c r="N6127" s="9">
        <v>44880.0</v>
      </c>
    </row>
    <row r="6128">
      <c r="A6128" s="5">
        <v>6127.0</v>
      </c>
      <c r="B6128" s="5" t="s">
        <v>6677</v>
      </c>
      <c r="C6128" s="5" t="s">
        <v>21</v>
      </c>
      <c r="K6128" s="5">
        <v>100.0</v>
      </c>
      <c r="N6128" s="9">
        <v>45578.0</v>
      </c>
    </row>
    <row r="6129">
      <c r="A6129" s="5">
        <v>6128.0</v>
      </c>
      <c r="B6129" s="5" t="s">
        <v>6678</v>
      </c>
      <c r="C6129" s="5" t="s">
        <v>21</v>
      </c>
      <c r="K6129" s="5">
        <v>100.0</v>
      </c>
      <c r="N6129" s="9">
        <v>44688.0</v>
      </c>
    </row>
    <row r="6130">
      <c r="A6130" s="5">
        <v>6129.0</v>
      </c>
      <c r="B6130" s="5" t="s">
        <v>6679</v>
      </c>
      <c r="C6130" s="5" t="s">
        <v>21</v>
      </c>
      <c r="K6130" s="5">
        <v>20.0</v>
      </c>
      <c r="N6130" s="9">
        <v>44628.0</v>
      </c>
    </row>
    <row r="6131">
      <c r="A6131" s="5">
        <v>6130.0</v>
      </c>
      <c r="B6131" s="5" t="s">
        <v>6680</v>
      </c>
      <c r="C6131" s="5" t="s">
        <v>21</v>
      </c>
      <c r="K6131" s="5">
        <v>80.0</v>
      </c>
      <c r="N6131" s="9">
        <v>44440.0</v>
      </c>
    </row>
    <row r="6132">
      <c r="A6132" s="5">
        <v>6131.0</v>
      </c>
      <c r="B6132" s="5" t="s">
        <v>6681</v>
      </c>
      <c r="C6132" s="5" t="s">
        <v>21</v>
      </c>
      <c r="K6132" s="5">
        <v>200.0</v>
      </c>
      <c r="N6132" s="9">
        <v>44715.0</v>
      </c>
    </row>
    <row r="6133">
      <c r="A6133" s="5">
        <v>6132.0</v>
      </c>
      <c r="B6133" s="5" t="s">
        <v>6682</v>
      </c>
      <c r="C6133" s="5" t="s">
        <v>21</v>
      </c>
      <c r="N6133" s="9">
        <v>44518.0</v>
      </c>
    </row>
    <row r="6134">
      <c r="A6134" s="5">
        <v>6133.0</v>
      </c>
      <c r="B6134" s="5" t="s">
        <v>6683</v>
      </c>
      <c r="C6134" s="5" t="s">
        <v>21</v>
      </c>
      <c r="K6134" s="5">
        <v>20.0</v>
      </c>
      <c r="N6134" s="9">
        <v>44579.0</v>
      </c>
    </row>
    <row r="6135">
      <c r="A6135" s="5">
        <v>6134.0</v>
      </c>
      <c r="B6135" s="5" t="s">
        <v>6684</v>
      </c>
      <c r="C6135" s="5" t="s">
        <v>21</v>
      </c>
      <c r="K6135" s="5">
        <v>500.0</v>
      </c>
      <c r="N6135" s="9">
        <v>44564.0</v>
      </c>
    </row>
    <row r="6136">
      <c r="A6136" s="5">
        <v>6135.0</v>
      </c>
      <c r="B6136" s="5" t="s">
        <v>6685</v>
      </c>
      <c r="C6136" s="5" t="s">
        <v>21</v>
      </c>
      <c r="K6136" s="5">
        <v>80.0</v>
      </c>
      <c r="N6136" s="9">
        <v>45536.0</v>
      </c>
    </row>
    <row r="6137">
      <c r="A6137" s="5">
        <v>6136.0</v>
      </c>
      <c r="B6137" s="5" t="s">
        <v>6686</v>
      </c>
      <c r="C6137" s="5" t="s">
        <v>21</v>
      </c>
      <c r="K6137" s="5">
        <v>10.0</v>
      </c>
      <c r="N6137" s="9">
        <v>44624.0</v>
      </c>
    </row>
    <row r="6138">
      <c r="A6138" s="5">
        <v>6137.0</v>
      </c>
      <c r="B6138" s="5" t="s">
        <v>6687</v>
      </c>
      <c r="C6138" s="5" t="s">
        <v>21</v>
      </c>
      <c r="K6138" s="5">
        <v>250.0</v>
      </c>
      <c r="N6138" s="9">
        <v>44912.0</v>
      </c>
    </row>
    <row r="6139">
      <c r="A6139" s="5">
        <v>6138.0</v>
      </c>
      <c r="B6139" s="5" t="s">
        <v>6688</v>
      </c>
      <c r="C6139" s="5" t="s">
        <v>21</v>
      </c>
      <c r="K6139" s="5">
        <v>150.0</v>
      </c>
      <c r="N6139" s="9">
        <v>46125.0</v>
      </c>
    </row>
    <row r="6140">
      <c r="A6140" s="5">
        <v>6139.0</v>
      </c>
      <c r="B6140" s="5" t="s">
        <v>6689</v>
      </c>
      <c r="C6140" s="5" t="s">
        <v>21</v>
      </c>
      <c r="N6140" s="9">
        <v>45916.0</v>
      </c>
    </row>
    <row r="6141">
      <c r="A6141" s="5">
        <v>6140.0</v>
      </c>
      <c r="B6141" s="5" t="s">
        <v>6690</v>
      </c>
      <c r="C6141" s="5" t="s">
        <v>21</v>
      </c>
      <c r="K6141" s="5">
        <v>250.0</v>
      </c>
      <c r="N6141" s="9">
        <v>44295.0</v>
      </c>
    </row>
    <row r="6142">
      <c r="A6142" s="5">
        <v>6141.0</v>
      </c>
      <c r="B6142" s="5" t="s">
        <v>6691</v>
      </c>
      <c r="C6142" s="5" t="s">
        <v>21</v>
      </c>
      <c r="K6142" s="5">
        <v>150.0</v>
      </c>
      <c r="N6142" s="9">
        <v>44631.0</v>
      </c>
    </row>
    <row r="6143">
      <c r="A6143" s="5">
        <v>6142.0</v>
      </c>
      <c r="B6143" s="5" t="s">
        <v>6692</v>
      </c>
      <c r="C6143" s="5" t="s">
        <v>21</v>
      </c>
      <c r="K6143" s="5">
        <v>400.0</v>
      </c>
      <c r="N6143" s="9">
        <v>43886.0</v>
      </c>
    </row>
    <row r="6144">
      <c r="A6144" s="5">
        <v>6143.0</v>
      </c>
      <c r="B6144" s="5" t="s">
        <v>6693</v>
      </c>
      <c r="C6144" s="5" t="s">
        <v>21</v>
      </c>
      <c r="K6144" s="5">
        <v>200.0</v>
      </c>
      <c r="N6144" s="9">
        <v>45358.0</v>
      </c>
    </row>
    <row r="6145">
      <c r="A6145" s="5">
        <v>6144.0</v>
      </c>
      <c r="B6145" s="5" t="s">
        <v>6694</v>
      </c>
      <c r="C6145" s="5" t="s">
        <v>21</v>
      </c>
      <c r="K6145" s="5">
        <v>100.0</v>
      </c>
      <c r="N6145" s="9">
        <v>45137.0</v>
      </c>
    </row>
    <row r="6146">
      <c r="A6146" s="5">
        <v>6145.0</v>
      </c>
      <c r="B6146" s="5" t="s">
        <v>6695</v>
      </c>
      <c r="C6146" s="5" t="s">
        <v>21</v>
      </c>
      <c r="K6146" s="5">
        <v>80.0</v>
      </c>
      <c r="N6146" s="9">
        <v>44046.0</v>
      </c>
    </row>
    <row r="6147">
      <c r="A6147" s="5">
        <v>6146.0</v>
      </c>
      <c r="B6147" s="5" t="s">
        <v>6696</v>
      </c>
      <c r="C6147" s="5" t="s">
        <v>21</v>
      </c>
      <c r="K6147" s="5">
        <v>350.0</v>
      </c>
      <c r="N6147" s="9">
        <v>44986.0</v>
      </c>
    </row>
    <row r="6148">
      <c r="A6148" s="5">
        <v>6147.0</v>
      </c>
      <c r="B6148" s="5" t="s">
        <v>6697</v>
      </c>
      <c r="C6148" s="5" t="s">
        <v>21</v>
      </c>
      <c r="K6148" s="5">
        <v>200.0</v>
      </c>
      <c r="N6148" s="9">
        <v>45411.0</v>
      </c>
    </row>
    <row r="6149">
      <c r="A6149" s="5">
        <v>6148.0</v>
      </c>
      <c r="B6149" s="5" t="s">
        <v>6698</v>
      </c>
      <c r="C6149" s="5" t="s">
        <v>21</v>
      </c>
      <c r="K6149" s="5">
        <v>10.0</v>
      </c>
      <c r="N6149" s="9">
        <v>44387.0</v>
      </c>
    </row>
    <row r="6150">
      <c r="A6150" s="5">
        <v>6149.0</v>
      </c>
      <c r="B6150" s="5" t="s">
        <v>6699</v>
      </c>
      <c r="C6150" s="5" t="s">
        <v>21</v>
      </c>
      <c r="K6150" s="5">
        <v>500.0</v>
      </c>
      <c r="N6150" s="9">
        <v>44602.0</v>
      </c>
    </row>
    <row r="6151">
      <c r="A6151" s="5">
        <v>6150.0</v>
      </c>
      <c r="B6151" s="5" t="s">
        <v>6700</v>
      </c>
      <c r="C6151" s="5" t="s">
        <v>21</v>
      </c>
      <c r="K6151" s="5">
        <v>100.0</v>
      </c>
      <c r="N6151" s="9">
        <v>44992.0</v>
      </c>
    </row>
    <row r="6152">
      <c r="A6152" s="5">
        <v>6151.0</v>
      </c>
      <c r="B6152" s="5" t="s">
        <v>6701</v>
      </c>
      <c r="C6152" s="5" t="s">
        <v>21</v>
      </c>
      <c r="N6152" s="9">
        <v>45029.0</v>
      </c>
    </row>
    <row r="6153">
      <c r="A6153" s="5">
        <v>6152.0</v>
      </c>
      <c r="B6153" s="5" t="s">
        <v>6702</v>
      </c>
      <c r="C6153" s="5" t="s">
        <v>21</v>
      </c>
      <c r="K6153" s="5">
        <v>700.0</v>
      </c>
      <c r="N6153" s="9">
        <v>43861.0</v>
      </c>
    </row>
    <row r="6154">
      <c r="A6154" s="5">
        <v>6153.0</v>
      </c>
      <c r="B6154" s="5" t="s">
        <v>6703</v>
      </c>
      <c r="C6154" s="5" t="s">
        <v>21</v>
      </c>
      <c r="K6154" s="5">
        <v>225000.0</v>
      </c>
      <c r="N6154" s="9">
        <v>46098.0</v>
      </c>
    </row>
    <row r="6155">
      <c r="A6155" s="5">
        <v>6154.0</v>
      </c>
      <c r="B6155" s="5" t="s">
        <v>6704</v>
      </c>
      <c r="C6155" s="5" t="s">
        <v>21</v>
      </c>
      <c r="K6155" s="5">
        <v>20000.0</v>
      </c>
      <c r="N6155" s="9">
        <v>43942.0</v>
      </c>
    </row>
    <row r="6156">
      <c r="A6156" s="5">
        <v>6155.0</v>
      </c>
      <c r="B6156" s="5" t="s">
        <v>6705</v>
      </c>
      <c r="C6156" s="5" t="s">
        <v>21</v>
      </c>
      <c r="K6156" s="5">
        <v>1200.0</v>
      </c>
      <c r="N6156" s="9">
        <v>45138.0</v>
      </c>
    </row>
    <row r="6157">
      <c r="A6157" s="5">
        <v>6156.0</v>
      </c>
      <c r="B6157" s="5" t="s">
        <v>6706</v>
      </c>
      <c r="C6157" s="5" t="s">
        <v>21</v>
      </c>
      <c r="K6157" s="5">
        <v>700.0</v>
      </c>
      <c r="N6157" s="9">
        <v>44057.0</v>
      </c>
    </row>
    <row r="6158">
      <c r="A6158" s="5">
        <v>6157.0</v>
      </c>
      <c r="B6158" s="5" t="s">
        <v>6707</v>
      </c>
      <c r="C6158" s="5" t="s">
        <v>21</v>
      </c>
      <c r="K6158" s="5">
        <v>700.0</v>
      </c>
      <c r="N6158" s="9">
        <v>45564.0</v>
      </c>
    </row>
    <row r="6159">
      <c r="A6159" s="5">
        <v>6158.0</v>
      </c>
      <c r="B6159" s="5" t="s">
        <v>6708</v>
      </c>
      <c r="C6159" s="5" t="s">
        <v>21</v>
      </c>
      <c r="K6159" s="5">
        <v>350.0</v>
      </c>
      <c r="N6159" s="9">
        <v>44616.0</v>
      </c>
    </row>
    <row r="6160">
      <c r="A6160" s="5">
        <v>6159.0</v>
      </c>
      <c r="B6160" s="5" t="s">
        <v>6709</v>
      </c>
      <c r="C6160" s="5" t="s">
        <v>21</v>
      </c>
      <c r="K6160" s="5">
        <v>250.0</v>
      </c>
      <c r="N6160" s="9">
        <v>45345.0</v>
      </c>
    </row>
    <row r="6161">
      <c r="A6161" s="5">
        <v>6160.0</v>
      </c>
      <c r="B6161" s="5" t="s">
        <v>6710</v>
      </c>
      <c r="C6161" s="5" t="s">
        <v>21</v>
      </c>
      <c r="K6161" s="5">
        <v>100.0</v>
      </c>
      <c r="N6161" s="9">
        <v>44819.0</v>
      </c>
    </row>
    <row r="6162">
      <c r="A6162" s="5">
        <v>6161.0</v>
      </c>
      <c r="B6162" s="5" t="s">
        <v>6711</v>
      </c>
      <c r="C6162" s="5" t="s">
        <v>21</v>
      </c>
      <c r="K6162" s="5">
        <v>400.0</v>
      </c>
      <c r="N6162" s="9">
        <v>44620.0</v>
      </c>
    </row>
    <row r="6163">
      <c r="A6163" s="5">
        <v>6162.0</v>
      </c>
      <c r="B6163" s="5" t="s">
        <v>6712</v>
      </c>
      <c r="C6163" s="5" t="s">
        <v>21</v>
      </c>
      <c r="K6163" s="5">
        <v>1000.0</v>
      </c>
      <c r="N6163" s="9">
        <v>44099.0</v>
      </c>
    </row>
    <row r="6164">
      <c r="A6164" s="5">
        <v>6163.0</v>
      </c>
      <c r="B6164" s="5" t="s">
        <v>6713</v>
      </c>
      <c r="C6164" s="5" t="s">
        <v>21</v>
      </c>
      <c r="K6164" s="5">
        <v>350.0</v>
      </c>
      <c r="N6164" s="9">
        <v>44664.0</v>
      </c>
    </row>
    <row r="6165">
      <c r="A6165" s="5">
        <v>6164.0</v>
      </c>
      <c r="B6165" s="5" t="s">
        <v>6714</v>
      </c>
      <c r="C6165" s="5" t="s">
        <v>21</v>
      </c>
      <c r="K6165" s="5">
        <v>200.0</v>
      </c>
      <c r="N6165" s="9">
        <v>44600.0</v>
      </c>
    </row>
    <row r="6166">
      <c r="A6166" s="5">
        <v>6165.0</v>
      </c>
      <c r="B6166" s="5" t="s">
        <v>6715</v>
      </c>
      <c r="C6166" s="5" t="s">
        <v>21</v>
      </c>
      <c r="K6166" s="5">
        <v>50.0</v>
      </c>
      <c r="N6166" s="9">
        <v>43886.0</v>
      </c>
    </row>
    <row r="6167">
      <c r="A6167" s="5">
        <v>6166.0</v>
      </c>
      <c r="B6167" s="5" t="s">
        <v>6716</v>
      </c>
      <c r="C6167" s="5" t="s">
        <v>21</v>
      </c>
      <c r="K6167" s="5">
        <v>16000.0</v>
      </c>
      <c r="N6167" s="9">
        <v>44594.0</v>
      </c>
    </row>
    <row r="6168">
      <c r="A6168" s="5">
        <v>6167.0</v>
      </c>
      <c r="B6168" s="5" t="s">
        <v>6717</v>
      </c>
      <c r="C6168" s="5" t="s">
        <v>21</v>
      </c>
      <c r="K6168" s="5">
        <v>600.0</v>
      </c>
      <c r="N6168" s="9">
        <v>44724.0</v>
      </c>
    </row>
    <row r="6169">
      <c r="A6169" s="5">
        <v>6168.0</v>
      </c>
      <c r="B6169" s="5" t="s">
        <v>6718</v>
      </c>
      <c r="C6169" s="5" t="s">
        <v>21</v>
      </c>
      <c r="K6169" s="5">
        <v>1200.0</v>
      </c>
      <c r="N6169" s="9">
        <v>44802.0</v>
      </c>
    </row>
    <row r="6170">
      <c r="A6170" s="5">
        <v>6169.0</v>
      </c>
      <c r="B6170" s="5" t="s">
        <v>6719</v>
      </c>
      <c r="C6170" s="5" t="s">
        <v>21</v>
      </c>
      <c r="K6170" s="5">
        <v>10.0</v>
      </c>
      <c r="N6170" s="9">
        <v>45280.0</v>
      </c>
    </row>
    <row r="6171">
      <c r="A6171" s="5">
        <v>6170.0</v>
      </c>
      <c r="B6171" s="5" t="s">
        <v>6720</v>
      </c>
      <c r="C6171" s="5" t="s">
        <v>21</v>
      </c>
      <c r="K6171" s="5">
        <v>200.0</v>
      </c>
      <c r="N6171" s="9">
        <v>44982.0</v>
      </c>
    </row>
    <row r="6172">
      <c r="A6172" s="5">
        <v>6171.0</v>
      </c>
      <c r="B6172" s="5" t="s">
        <v>6721</v>
      </c>
      <c r="C6172" s="5" t="s">
        <v>21</v>
      </c>
      <c r="K6172" s="5">
        <v>1800.0</v>
      </c>
      <c r="N6172" s="9">
        <v>44344.0</v>
      </c>
    </row>
    <row r="6173">
      <c r="A6173" s="5">
        <v>6172.0</v>
      </c>
      <c r="B6173" s="5" t="s">
        <v>6722</v>
      </c>
      <c r="C6173" s="5" t="s">
        <v>21</v>
      </c>
      <c r="K6173" s="5">
        <v>60.0</v>
      </c>
      <c r="N6173" s="9">
        <v>43870.0</v>
      </c>
    </row>
    <row r="6174">
      <c r="A6174" s="5">
        <v>6173.0</v>
      </c>
      <c r="B6174" s="5" t="s">
        <v>6723</v>
      </c>
      <c r="C6174" s="5" t="s">
        <v>21</v>
      </c>
      <c r="K6174" s="5">
        <v>90.0</v>
      </c>
      <c r="N6174" s="9">
        <v>44908.0</v>
      </c>
    </row>
    <row r="6175">
      <c r="A6175" s="5">
        <v>6174.0</v>
      </c>
      <c r="B6175" s="5" t="s">
        <v>6724</v>
      </c>
      <c r="C6175" s="5" t="s">
        <v>21</v>
      </c>
      <c r="K6175" s="5">
        <v>800.0</v>
      </c>
      <c r="N6175" s="9">
        <v>44564.0</v>
      </c>
    </row>
    <row r="6176">
      <c r="A6176" s="5">
        <v>6175.0</v>
      </c>
      <c r="B6176" s="5" t="s">
        <v>6725</v>
      </c>
      <c r="C6176" s="5" t="s">
        <v>21</v>
      </c>
      <c r="K6176" s="5">
        <v>20.0</v>
      </c>
      <c r="N6176" s="9">
        <v>45103.0</v>
      </c>
    </row>
    <row r="6177">
      <c r="A6177" s="5">
        <v>6176.0</v>
      </c>
      <c r="B6177" s="5" t="s">
        <v>6726</v>
      </c>
      <c r="C6177" s="5" t="s">
        <v>21</v>
      </c>
      <c r="K6177" s="5">
        <v>250.0</v>
      </c>
      <c r="N6177" s="9">
        <v>44161.0</v>
      </c>
    </row>
    <row r="6178">
      <c r="A6178" s="5">
        <v>6177.0</v>
      </c>
      <c r="B6178" s="5" t="s">
        <v>6727</v>
      </c>
      <c r="C6178" s="5" t="s">
        <v>21</v>
      </c>
      <c r="K6178" s="5">
        <v>60.0</v>
      </c>
      <c r="N6178" s="9">
        <v>45433.0</v>
      </c>
    </row>
    <row r="6179">
      <c r="A6179" s="5">
        <v>6178.0</v>
      </c>
      <c r="B6179" s="5" t="s">
        <v>6728</v>
      </c>
      <c r="C6179" s="5" t="s">
        <v>21</v>
      </c>
      <c r="K6179" s="5">
        <v>40.0</v>
      </c>
      <c r="N6179" s="9">
        <v>44591.0</v>
      </c>
    </row>
    <row r="6180">
      <c r="A6180" s="5">
        <v>6179.0</v>
      </c>
      <c r="B6180" s="5" t="s">
        <v>6729</v>
      </c>
      <c r="C6180" s="5" t="s">
        <v>21</v>
      </c>
      <c r="K6180" s="5">
        <v>150.0</v>
      </c>
      <c r="N6180" s="9">
        <v>45218.0</v>
      </c>
    </row>
    <row r="6181">
      <c r="A6181" s="5">
        <v>6180.0</v>
      </c>
      <c r="B6181" s="5" t="s">
        <v>6730</v>
      </c>
      <c r="C6181" s="5" t="s">
        <v>21</v>
      </c>
      <c r="K6181" s="5">
        <v>1100.0</v>
      </c>
      <c r="N6181" s="9">
        <v>45116.0</v>
      </c>
    </row>
    <row r="6182">
      <c r="A6182" s="5">
        <v>6181.0</v>
      </c>
      <c r="B6182" s="5" t="s">
        <v>6731</v>
      </c>
      <c r="C6182" s="5" t="s">
        <v>21</v>
      </c>
      <c r="K6182" s="5">
        <v>450.0</v>
      </c>
      <c r="N6182" s="9">
        <v>45560.0</v>
      </c>
    </row>
    <row r="6183">
      <c r="A6183" s="5">
        <v>6182.0</v>
      </c>
      <c r="B6183" s="5" t="s">
        <v>6732</v>
      </c>
      <c r="C6183" s="5" t="s">
        <v>21</v>
      </c>
      <c r="K6183" s="5">
        <v>450.0</v>
      </c>
      <c r="N6183" s="9">
        <v>44537.0</v>
      </c>
    </row>
    <row r="6184">
      <c r="A6184" s="5">
        <v>6183.0</v>
      </c>
      <c r="B6184" s="5" t="s">
        <v>6733</v>
      </c>
      <c r="C6184" s="5" t="s">
        <v>21</v>
      </c>
      <c r="K6184" s="5">
        <v>800.0</v>
      </c>
      <c r="N6184" s="9">
        <v>44531.0</v>
      </c>
    </row>
    <row r="6185">
      <c r="A6185" s="5">
        <v>6184.0</v>
      </c>
      <c r="B6185" s="5" t="s">
        <v>6734</v>
      </c>
      <c r="C6185" s="5" t="s">
        <v>21</v>
      </c>
      <c r="K6185" s="5">
        <v>500.0</v>
      </c>
      <c r="N6185" s="9">
        <v>44540.0</v>
      </c>
    </row>
    <row r="6186">
      <c r="A6186" s="5">
        <v>6185.0</v>
      </c>
      <c r="B6186" s="5" t="s">
        <v>6735</v>
      </c>
      <c r="C6186" s="5" t="s">
        <v>21</v>
      </c>
      <c r="N6186" s="9">
        <v>44339.0</v>
      </c>
    </row>
    <row r="6187">
      <c r="A6187" s="5">
        <v>6186.0</v>
      </c>
      <c r="B6187" s="5" t="s">
        <v>6736</v>
      </c>
      <c r="C6187" s="5" t="s">
        <v>21</v>
      </c>
      <c r="K6187" s="5">
        <v>60.0</v>
      </c>
      <c r="N6187" s="9">
        <v>44549.0</v>
      </c>
    </row>
    <row r="6188">
      <c r="A6188" s="5">
        <v>6187.0</v>
      </c>
      <c r="B6188" s="5" t="s">
        <v>6737</v>
      </c>
      <c r="C6188" s="5" t="s">
        <v>21</v>
      </c>
      <c r="K6188" s="5">
        <v>100.0</v>
      </c>
      <c r="N6188" s="9">
        <v>44882.0</v>
      </c>
    </row>
    <row r="6189">
      <c r="A6189" s="5">
        <v>6188.0</v>
      </c>
      <c r="B6189" s="5" t="s">
        <v>6738</v>
      </c>
      <c r="C6189" s="5" t="s">
        <v>21</v>
      </c>
      <c r="K6189" s="5">
        <v>600.0</v>
      </c>
      <c r="N6189" s="9">
        <v>44279.0</v>
      </c>
    </row>
    <row r="6190">
      <c r="A6190" s="5">
        <v>6189.0</v>
      </c>
      <c r="B6190" s="5" t="s">
        <v>6739</v>
      </c>
      <c r="C6190" s="5" t="s">
        <v>21</v>
      </c>
      <c r="K6190" s="5">
        <v>30.0</v>
      </c>
      <c r="N6190" s="9">
        <v>44393.0</v>
      </c>
    </row>
    <row r="6191">
      <c r="A6191" s="5">
        <v>6190.0</v>
      </c>
      <c r="B6191" s="5" t="s">
        <v>6740</v>
      </c>
      <c r="C6191" s="5" t="s">
        <v>21</v>
      </c>
      <c r="K6191" s="5">
        <v>50.0</v>
      </c>
      <c r="N6191" s="9">
        <v>44990.0</v>
      </c>
    </row>
    <row r="6192">
      <c r="A6192" s="5">
        <v>6191.0</v>
      </c>
      <c r="B6192" s="5" t="s">
        <v>6741</v>
      </c>
      <c r="C6192" s="5" t="s">
        <v>21</v>
      </c>
      <c r="K6192" s="5">
        <v>900.0</v>
      </c>
      <c r="N6192" s="9">
        <v>44248.0</v>
      </c>
    </row>
    <row r="6193">
      <c r="A6193" s="5">
        <v>6192.0</v>
      </c>
      <c r="B6193" s="5" t="s">
        <v>216</v>
      </c>
      <c r="C6193" s="5" t="s">
        <v>21</v>
      </c>
      <c r="K6193" s="5">
        <v>250.0</v>
      </c>
      <c r="N6193" s="9">
        <v>44105.0</v>
      </c>
    </row>
    <row r="6194">
      <c r="A6194" s="5">
        <v>6193.0</v>
      </c>
      <c r="B6194" s="5" t="s">
        <v>6742</v>
      </c>
      <c r="C6194" s="5" t="s">
        <v>21</v>
      </c>
      <c r="K6194" s="5">
        <v>10.0</v>
      </c>
      <c r="N6194" s="9">
        <v>44080.0</v>
      </c>
    </row>
    <row r="6195">
      <c r="A6195" s="5">
        <v>6194.0</v>
      </c>
      <c r="B6195" s="5" t="s">
        <v>6743</v>
      </c>
      <c r="C6195" s="5" t="s">
        <v>21</v>
      </c>
      <c r="K6195" s="5">
        <v>150.0</v>
      </c>
      <c r="N6195" s="9">
        <v>44628.0</v>
      </c>
    </row>
    <row r="6196">
      <c r="A6196" s="5">
        <v>6195.0</v>
      </c>
      <c r="B6196" s="5" t="s">
        <v>6744</v>
      </c>
      <c r="C6196" s="5" t="s">
        <v>21</v>
      </c>
      <c r="K6196" s="5">
        <v>800.0</v>
      </c>
      <c r="N6196" s="9">
        <v>44257.0</v>
      </c>
    </row>
    <row r="6197">
      <c r="A6197" s="5">
        <v>6196.0</v>
      </c>
      <c r="B6197" s="5" t="s">
        <v>6745</v>
      </c>
      <c r="C6197" s="5" t="s">
        <v>21</v>
      </c>
      <c r="K6197" s="5">
        <v>500.0</v>
      </c>
      <c r="N6197" s="9">
        <v>44947.0</v>
      </c>
    </row>
    <row r="6198">
      <c r="A6198" s="5">
        <v>6197.0</v>
      </c>
      <c r="B6198" s="5" t="s">
        <v>6746</v>
      </c>
      <c r="C6198" s="5" t="s">
        <v>21</v>
      </c>
      <c r="K6198" s="5">
        <v>250.0</v>
      </c>
      <c r="N6198" s="9">
        <v>44719.0</v>
      </c>
    </row>
    <row r="6199">
      <c r="A6199" s="5">
        <v>6198.0</v>
      </c>
      <c r="B6199" s="5" t="s">
        <v>6747</v>
      </c>
      <c r="C6199" s="5" t="s">
        <v>21</v>
      </c>
      <c r="K6199" s="5">
        <v>3100.0</v>
      </c>
      <c r="N6199" s="9">
        <v>44456.0</v>
      </c>
    </row>
    <row r="6200">
      <c r="A6200" s="5">
        <v>6199.0</v>
      </c>
      <c r="B6200" s="5" t="s">
        <v>6748</v>
      </c>
      <c r="C6200" s="5" t="s">
        <v>21</v>
      </c>
      <c r="K6200" s="5">
        <v>400.0</v>
      </c>
      <c r="N6200" s="9">
        <v>43886.0</v>
      </c>
    </row>
    <row r="6201">
      <c r="A6201" s="5">
        <v>6200.0</v>
      </c>
      <c r="B6201" s="5" t="s">
        <v>6749</v>
      </c>
      <c r="C6201" s="5" t="s">
        <v>21</v>
      </c>
      <c r="K6201" s="5">
        <v>40.0</v>
      </c>
      <c r="N6201" s="9">
        <v>45232.0</v>
      </c>
    </row>
    <row r="6202">
      <c r="A6202" s="5">
        <v>6201.0</v>
      </c>
      <c r="B6202" s="5" t="s">
        <v>214</v>
      </c>
      <c r="C6202" s="5" t="s">
        <v>21</v>
      </c>
      <c r="K6202" s="5">
        <v>3000.0</v>
      </c>
      <c r="N6202" s="9">
        <v>45044.0</v>
      </c>
    </row>
    <row r="6203">
      <c r="A6203" s="5">
        <v>6202.0</v>
      </c>
      <c r="B6203" s="5" t="s">
        <v>6750</v>
      </c>
      <c r="C6203" s="5" t="s">
        <v>21</v>
      </c>
      <c r="K6203" s="5">
        <v>2700.0</v>
      </c>
      <c r="N6203" s="9">
        <v>46093.0</v>
      </c>
    </row>
    <row r="6204">
      <c r="A6204" s="5">
        <v>6203.0</v>
      </c>
      <c r="B6204" s="5" t="s">
        <v>6751</v>
      </c>
      <c r="C6204" s="5" t="s">
        <v>21</v>
      </c>
      <c r="K6204" s="5">
        <v>700.0</v>
      </c>
      <c r="N6204" s="9">
        <v>44704.0</v>
      </c>
    </row>
    <row r="6205">
      <c r="A6205" s="5">
        <v>6204.0</v>
      </c>
      <c r="B6205" s="5" t="s">
        <v>6752</v>
      </c>
      <c r="C6205" s="5" t="s">
        <v>21</v>
      </c>
      <c r="K6205" s="5">
        <v>60.0</v>
      </c>
      <c r="N6205" s="9">
        <v>43840.0</v>
      </c>
    </row>
    <row r="6206">
      <c r="A6206" s="5">
        <v>6205.0</v>
      </c>
      <c r="B6206" s="5" t="s">
        <v>6753</v>
      </c>
      <c r="C6206" s="5" t="s">
        <v>21</v>
      </c>
      <c r="K6206" s="5">
        <v>600.0</v>
      </c>
      <c r="N6206" s="9">
        <v>44031.0</v>
      </c>
    </row>
    <row r="6207">
      <c r="A6207" s="5">
        <v>6206.0</v>
      </c>
      <c r="B6207" s="5" t="s">
        <v>6754</v>
      </c>
      <c r="C6207" s="5" t="s">
        <v>21</v>
      </c>
      <c r="K6207" s="5">
        <v>150.0</v>
      </c>
      <c r="N6207" s="9">
        <v>44722.0</v>
      </c>
    </row>
    <row r="6208">
      <c r="A6208" s="5">
        <v>6207.0</v>
      </c>
      <c r="B6208" s="5" t="s">
        <v>6755</v>
      </c>
      <c r="C6208" s="5" t="s">
        <v>21</v>
      </c>
      <c r="K6208" s="5">
        <v>150.0</v>
      </c>
      <c r="N6208" s="9">
        <v>44566.0</v>
      </c>
    </row>
    <row r="6209">
      <c r="A6209" s="5">
        <v>6208.0</v>
      </c>
      <c r="B6209" s="5" t="s">
        <v>6756</v>
      </c>
      <c r="C6209" s="5" t="s">
        <v>21</v>
      </c>
      <c r="K6209" s="5">
        <v>150.0</v>
      </c>
      <c r="N6209" s="9">
        <v>45232.0</v>
      </c>
    </row>
    <row r="6210">
      <c r="A6210" s="5">
        <v>6209.0</v>
      </c>
      <c r="B6210" s="5" t="s">
        <v>6757</v>
      </c>
      <c r="C6210" s="5" t="s">
        <v>21</v>
      </c>
      <c r="K6210" s="5">
        <v>200.0</v>
      </c>
      <c r="N6210" s="9">
        <v>44693.0</v>
      </c>
    </row>
    <row r="6211">
      <c r="A6211" s="5">
        <v>6210.0</v>
      </c>
      <c r="B6211" s="5" t="s">
        <v>6758</v>
      </c>
      <c r="C6211" s="5" t="s">
        <v>21</v>
      </c>
      <c r="K6211" s="5">
        <v>700.0</v>
      </c>
      <c r="N6211" s="9">
        <v>45631.0</v>
      </c>
    </row>
    <row r="6212">
      <c r="A6212" s="5">
        <v>6211.0</v>
      </c>
      <c r="B6212" s="5" t="s">
        <v>6759</v>
      </c>
      <c r="C6212" s="5" t="s">
        <v>21</v>
      </c>
      <c r="K6212" s="5">
        <v>2100.0</v>
      </c>
      <c r="N6212" s="9">
        <v>44349.0</v>
      </c>
    </row>
    <row r="6213">
      <c r="A6213" s="5">
        <v>6212.0</v>
      </c>
      <c r="B6213" s="5" t="s">
        <v>6760</v>
      </c>
      <c r="C6213" s="5" t="s">
        <v>21</v>
      </c>
      <c r="K6213" s="5">
        <v>500.0</v>
      </c>
      <c r="N6213" s="9">
        <v>43970.0</v>
      </c>
    </row>
    <row r="6214">
      <c r="A6214" s="5">
        <v>6213.0</v>
      </c>
      <c r="B6214" s="5" t="s">
        <v>6761</v>
      </c>
      <c r="C6214" s="5" t="s">
        <v>21</v>
      </c>
      <c r="K6214" s="5">
        <v>250.0</v>
      </c>
      <c r="N6214" s="9">
        <v>44651.0</v>
      </c>
    </row>
    <row r="6215">
      <c r="A6215" s="5">
        <v>6214.0</v>
      </c>
      <c r="B6215" s="5" t="s">
        <v>6762</v>
      </c>
      <c r="C6215" s="5" t="s">
        <v>21</v>
      </c>
      <c r="K6215" s="5">
        <v>1600.0</v>
      </c>
      <c r="N6215" s="9">
        <v>44291.0</v>
      </c>
    </row>
    <row r="6216">
      <c r="A6216" s="5">
        <v>6215.0</v>
      </c>
      <c r="B6216" s="5" t="s">
        <v>6763</v>
      </c>
      <c r="C6216" s="5" t="s">
        <v>21</v>
      </c>
      <c r="K6216" s="5">
        <v>1100.0</v>
      </c>
      <c r="N6216" s="9">
        <v>44352.0</v>
      </c>
    </row>
    <row r="6217">
      <c r="A6217" s="5">
        <v>6216.0</v>
      </c>
      <c r="B6217" s="5" t="s">
        <v>6764</v>
      </c>
      <c r="C6217" s="5" t="s">
        <v>21</v>
      </c>
      <c r="K6217" s="5">
        <v>450.0</v>
      </c>
      <c r="N6217" s="9">
        <v>44579.0</v>
      </c>
    </row>
    <row r="6218">
      <c r="A6218" s="5">
        <v>6217.0</v>
      </c>
      <c r="B6218" s="5" t="s">
        <v>6765</v>
      </c>
      <c r="C6218" s="5" t="s">
        <v>21</v>
      </c>
      <c r="K6218" s="5">
        <v>500.0</v>
      </c>
      <c r="N6218" s="9">
        <v>44142.0</v>
      </c>
    </row>
    <row r="6219">
      <c r="A6219" s="5">
        <v>6218.0</v>
      </c>
      <c r="B6219" s="5" t="s">
        <v>6766</v>
      </c>
      <c r="C6219" s="5" t="s">
        <v>21</v>
      </c>
      <c r="K6219" s="5">
        <v>250.0</v>
      </c>
      <c r="N6219" s="9">
        <v>44472.0</v>
      </c>
    </row>
    <row r="6220">
      <c r="A6220" s="5">
        <v>6219.0</v>
      </c>
      <c r="B6220" s="5" t="s">
        <v>6767</v>
      </c>
      <c r="C6220" s="5" t="s">
        <v>21</v>
      </c>
      <c r="K6220" s="5">
        <v>500.0</v>
      </c>
      <c r="N6220" s="9">
        <v>44238.0</v>
      </c>
    </row>
    <row r="6221">
      <c r="A6221" s="5">
        <v>6220.0</v>
      </c>
      <c r="B6221" s="5" t="s">
        <v>6768</v>
      </c>
      <c r="C6221" s="5" t="s">
        <v>21</v>
      </c>
      <c r="K6221" s="5">
        <v>450.0</v>
      </c>
      <c r="N6221" s="9">
        <v>45154.0</v>
      </c>
    </row>
    <row r="6222">
      <c r="A6222" s="5">
        <v>6221.0</v>
      </c>
      <c r="B6222" s="5" t="s">
        <v>6769</v>
      </c>
      <c r="C6222" s="5" t="s">
        <v>21</v>
      </c>
      <c r="K6222" s="5">
        <v>1200.0</v>
      </c>
      <c r="N6222" s="9">
        <v>44997.0</v>
      </c>
    </row>
    <row r="6223">
      <c r="A6223" s="5">
        <v>6222.0</v>
      </c>
      <c r="B6223" s="5" t="s">
        <v>6770</v>
      </c>
      <c r="C6223" s="5" t="s">
        <v>21</v>
      </c>
      <c r="K6223" s="5">
        <v>350.0</v>
      </c>
      <c r="N6223" s="9">
        <v>45741.0</v>
      </c>
    </row>
    <row r="6224">
      <c r="A6224" s="5">
        <v>6223.0</v>
      </c>
      <c r="B6224" s="5" t="s">
        <v>6771</v>
      </c>
      <c r="C6224" s="5" t="s">
        <v>21</v>
      </c>
      <c r="K6224" s="5">
        <v>200.0</v>
      </c>
      <c r="N6224" s="9">
        <v>44274.0</v>
      </c>
    </row>
    <row r="6225">
      <c r="A6225" s="5">
        <v>6224.0</v>
      </c>
      <c r="B6225" s="5" t="s">
        <v>6772</v>
      </c>
      <c r="C6225" s="5" t="s">
        <v>21</v>
      </c>
      <c r="K6225" s="5">
        <v>200.0</v>
      </c>
      <c r="N6225" s="9">
        <v>44728.0</v>
      </c>
    </row>
    <row r="6226">
      <c r="A6226" s="5">
        <v>6225.0</v>
      </c>
      <c r="B6226" s="5" t="s">
        <v>6773</v>
      </c>
      <c r="C6226" s="5" t="s">
        <v>21</v>
      </c>
      <c r="K6226" s="5">
        <v>150.0</v>
      </c>
      <c r="N6226" s="9">
        <v>44614.0</v>
      </c>
    </row>
    <row r="6227">
      <c r="A6227" s="5">
        <v>6226.0</v>
      </c>
      <c r="B6227" s="5" t="s">
        <v>6774</v>
      </c>
      <c r="C6227" s="5" t="s">
        <v>21</v>
      </c>
      <c r="K6227" s="5">
        <v>70.0</v>
      </c>
      <c r="N6227" s="9">
        <v>44477.0</v>
      </c>
    </row>
    <row r="6228">
      <c r="A6228" s="5">
        <v>6227.0</v>
      </c>
      <c r="B6228" s="5" t="s">
        <v>6775</v>
      </c>
      <c r="C6228" s="5" t="s">
        <v>21</v>
      </c>
      <c r="K6228" s="5">
        <v>450.0</v>
      </c>
      <c r="N6228" s="9">
        <v>44250.0</v>
      </c>
    </row>
    <row r="6229">
      <c r="A6229" s="5">
        <v>6228.0</v>
      </c>
      <c r="B6229" s="5" t="s">
        <v>6776</v>
      </c>
      <c r="C6229" s="5" t="s">
        <v>21</v>
      </c>
      <c r="N6229" s="9">
        <v>44862.0</v>
      </c>
      <c r="O6229" s="5" t="s">
        <v>52</v>
      </c>
      <c r="P6229" s="5" t="s">
        <v>26</v>
      </c>
      <c r="S6229" s="5" t="s">
        <v>29</v>
      </c>
    </row>
    <row r="6230">
      <c r="A6230" s="5">
        <v>6229.0</v>
      </c>
      <c r="B6230" s="5" t="s">
        <v>6777</v>
      </c>
      <c r="C6230" s="5" t="s">
        <v>21</v>
      </c>
      <c r="K6230" s="5">
        <v>1100.0</v>
      </c>
      <c r="N6230" s="9">
        <v>45084.0</v>
      </c>
    </row>
    <row r="6231">
      <c r="A6231" s="5">
        <v>6230.0</v>
      </c>
      <c r="B6231" s="5" t="s">
        <v>6778</v>
      </c>
      <c r="C6231" s="5" t="s">
        <v>21</v>
      </c>
      <c r="K6231" s="5">
        <v>200.0</v>
      </c>
      <c r="N6231" s="9">
        <v>45558.0</v>
      </c>
    </row>
    <row r="6232">
      <c r="A6232" s="5">
        <v>6231.0</v>
      </c>
      <c r="B6232" s="5" t="s">
        <v>6779</v>
      </c>
      <c r="C6232" s="5" t="s">
        <v>21</v>
      </c>
      <c r="K6232" s="5">
        <v>450.0</v>
      </c>
      <c r="N6232" s="9">
        <v>45387.0</v>
      </c>
    </row>
    <row r="6233">
      <c r="A6233" s="5">
        <v>6232.0</v>
      </c>
      <c r="B6233" s="5" t="s">
        <v>6780</v>
      </c>
      <c r="C6233" s="5" t="s">
        <v>21</v>
      </c>
      <c r="K6233" s="5">
        <v>500.0</v>
      </c>
      <c r="N6233" s="9">
        <v>44147.0</v>
      </c>
    </row>
    <row r="6234">
      <c r="A6234" s="5">
        <v>6233.0</v>
      </c>
      <c r="B6234" s="5" t="s">
        <v>6781</v>
      </c>
      <c r="C6234" s="5" t="s">
        <v>21</v>
      </c>
      <c r="K6234" s="5">
        <v>250.0</v>
      </c>
      <c r="N6234" s="9">
        <v>45197.0</v>
      </c>
    </row>
    <row r="6235">
      <c r="A6235" s="5">
        <v>6234.0</v>
      </c>
      <c r="B6235" s="5" t="s">
        <v>6782</v>
      </c>
      <c r="C6235" s="5" t="s">
        <v>21</v>
      </c>
      <c r="K6235" s="5">
        <v>1000.0</v>
      </c>
      <c r="N6235" s="9">
        <v>43893.0</v>
      </c>
    </row>
    <row r="6236">
      <c r="A6236" s="5">
        <v>6235.0</v>
      </c>
      <c r="B6236" s="5" t="s">
        <v>6783</v>
      </c>
      <c r="C6236" s="5" t="s">
        <v>21</v>
      </c>
      <c r="K6236" s="5">
        <v>700.0</v>
      </c>
      <c r="N6236" s="9">
        <v>44481.0</v>
      </c>
    </row>
    <row r="6237">
      <c r="A6237" s="5">
        <v>6236.0</v>
      </c>
      <c r="B6237" s="5" t="s">
        <v>6784</v>
      </c>
      <c r="C6237" s="5" t="s">
        <v>21</v>
      </c>
      <c r="K6237" s="5">
        <v>70.0</v>
      </c>
      <c r="N6237" s="9">
        <v>44346.0</v>
      </c>
    </row>
    <row r="6238">
      <c r="A6238" s="5">
        <v>6237.0</v>
      </c>
      <c r="B6238" s="5" t="s">
        <v>6785</v>
      </c>
      <c r="C6238" s="5" t="s">
        <v>21</v>
      </c>
      <c r="K6238" s="5">
        <v>250.0</v>
      </c>
      <c r="N6238" s="9">
        <v>44533.0</v>
      </c>
    </row>
    <row r="6239">
      <c r="A6239" s="5">
        <v>6238.0</v>
      </c>
      <c r="B6239" s="5" t="s">
        <v>6786</v>
      </c>
      <c r="C6239" s="5" t="s">
        <v>21</v>
      </c>
      <c r="K6239" s="5">
        <v>90.0</v>
      </c>
      <c r="N6239" s="9">
        <v>44256.0</v>
      </c>
    </row>
    <row r="6240">
      <c r="A6240" s="5">
        <v>6239.0</v>
      </c>
      <c r="B6240" s="5" t="s">
        <v>6787</v>
      </c>
      <c r="C6240" s="5" t="s">
        <v>21</v>
      </c>
      <c r="K6240" s="5">
        <v>70.0</v>
      </c>
      <c r="N6240" s="9">
        <v>44505.0</v>
      </c>
    </row>
    <row r="6241">
      <c r="A6241" s="5">
        <v>6240.0</v>
      </c>
      <c r="B6241" s="5" t="s">
        <v>6788</v>
      </c>
      <c r="C6241" s="5" t="s">
        <v>21</v>
      </c>
      <c r="K6241" s="5">
        <v>900.0</v>
      </c>
      <c r="N6241" s="9">
        <v>45066.0</v>
      </c>
    </row>
    <row r="6242">
      <c r="A6242" s="5">
        <v>6241.0</v>
      </c>
      <c r="B6242" s="5" t="s">
        <v>6789</v>
      </c>
      <c r="C6242" s="5" t="s">
        <v>21</v>
      </c>
      <c r="K6242" s="5">
        <v>350.0</v>
      </c>
      <c r="N6242" s="9">
        <v>44946.0</v>
      </c>
    </row>
    <row r="6243">
      <c r="A6243" s="5">
        <v>6242.0</v>
      </c>
      <c r="B6243" s="5" t="s">
        <v>6790</v>
      </c>
      <c r="C6243" s="5" t="s">
        <v>21</v>
      </c>
      <c r="K6243" s="5">
        <v>150.0</v>
      </c>
      <c r="N6243" s="9">
        <v>44826.0</v>
      </c>
    </row>
    <row r="6244">
      <c r="A6244" s="5">
        <v>6243.0</v>
      </c>
      <c r="B6244" s="5" t="s">
        <v>6791</v>
      </c>
      <c r="C6244" s="5" t="s">
        <v>21</v>
      </c>
      <c r="K6244" s="5">
        <v>70.0</v>
      </c>
      <c r="N6244" s="9">
        <v>44669.0</v>
      </c>
    </row>
    <row r="6245">
      <c r="A6245" s="5">
        <v>6244.0</v>
      </c>
      <c r="B6245" s="5" t="s">
        <v>6792</v>
      </c>
      <c r="C6245" s="5" t="s">
        <v>21</v>
      </c>
      <c r="K6245" s="5">
        <v>150.0</v>
      </c>
      <c r="N6245" s="9">
        <v>44731.0</v>
      </c>
    </row>
    <row r="6246">
      <c r="A6246" s="5">
        <v>6245.0</v>
      </c>
      <c r="B6246" s="5" t="s">
        <v>6793</v>
      </c>
      <c r="C6246" s="5" t="s">
        <v>21</v>
      </c>
      <c r="K6246" s="5">
        <v>1200.0</v>
      </c>
      <c r="N6246" s="9">
        <v>44146.0</v>
      </c>
    </row>
    <row r="6247">
      <c r="A6247" s="5">
        <v>6246.0</v>
      </c>
      <c r="B6247" s="5" t="s">
        <v>6794</v>
      </c>
      <c r="C6247" s="5" t="s">
        <v>21</v>
      </c>
      <c r="K6247" s="5">
        <v>200.0</v>
      </c>
      <c r="N6247" s="9">
        <v>44540.0</v>
      </c>
    </row>
    <row r="6248">
      <c r="A6248" s="5">
        <v>6247.0</v>
      </c>
      <c r="B6248" s="5" t="s">
        <v>6795</v>
      </c>
      <c r="C6248" s="5" t="s">
        <v>21</v>
      </c>
      <c r="K6248" s="5">
        <v>70.0</v>
      </c>
      <c r="N6248" s="9">
        <v>44583.0</v>
      </c>
    </row>
    <row r="6249">
      <c r="A6249" s="5">
        <v>6248.0</v>
      </c>
      <c r="B6249" s="5" t="s">
        <v>6796</v>
      </c>
      <c r="C6249" s="5" t="s">
        <v>21</v>
      </c>
      <c r="K6249" s="5">
        <v>30.0</v>
      </c>
      <c r="N6249" s="9">
        <v>43969.0</v>
      </c>
    </row>
    <row r="6250">
      <c r="A6250" s="5">
        <v>6249.0</v>
      </c>
      <c r="B6250" s="5" t="s">
        <v>6797</v>
      </c>
      <c r="C6250" s="5" t="s">
        <v>21</v>
      </c>
      <c r="K6250" s="5">
        <v>350.0</v>
      </c>
      <c r="N6250" s="9">
        <v>43978.0</v>
      </c>
    </row>
    <row r="6251">
      <c r="A6251" s="5">
        <v>6250.0</v>
      </c>
      <c r="B6251" s="5" t="s">
        <v>6798</v>
      </c>
      <c r="C6251" s="5" t="s">
        <v>21</v>
      </c>
      <c r="K6251" s="5">
        <v>100.0</v>
      </c>
      <c r="N6251" s="9">
        <v>43911.0</v>
      </c>
    </row>
    <row r="6252">
      <c r="A6252" s="5">
        <v>6251.0</v>
      </c>
      <c r="B6252" s="5" t="s">
        <v>6799</v>
      </c>
      <c r="C6252" s="5" t="s">
        <v>21</v>
      </c>
      <c r="K6252" s="5">
        <v>700.0</v>
      </c>
      <c r="N6252" s="9">
        <v>44327.0</v>
      </c>
    </row>
    <row r="6253">
      <c r="A6253" s="5">
        <v>6252.0</v>
      </c>
      <c r="B6253" s="5" t="s">
        <v>6800</v>
      </c>
      <c r="C6253" s="5" t="s">
        <v>21</v>
      </c>
      <c r="K6253" s="5">
        <v>70.0</v>
      </c>
      <c r="N6253" s="9">
        <v>44687.0</v>
      </c>
    </row>
    <row r="6254">
      <c r="A6254" s="5">
        <v>6253.0</v>
      </c>
      <c r="B6254" s="5" t="s">
        <v>6801</v>
      </c>
      <c r="C6254" s="5" t="s">
        <v>21</v>
      </c>
      <c r="K6254" s="5">
        <v>150.0</v>
      </c>
      <c r="N6254" s="9">
        <v>44597.0</v>
      </c>
    </row>
    <row r="6255">
      <c r="A6255" s="5">
        <v>6254.0</v>
      </c>
      <c r="B6255" s="5" t="s">
        <v>6802</v>
      </c>
      <c r="C6255" s="5" t="s">
        <v>21</v>
      </c>
      <c r="K6255" s="5">
        <v>700.0</v>
      </c>
      <c r="N6255" s="9">
        <v>44578.0</v>
      </c>
    </row>
    <row r="6256">
      <c r="A6256" s="5">
        <v>6255.0</v>
      </c>
      <c r="B6256" s="5" t="s">
        <v>6803</v>
      </c>
      <c r="C6256" s="5" t="s">
        <v>21</v>
      </c>
      <c r="K6256" s="5">
        <v>65000.0</v>
      </c>
      <c r="N6256" s="9">
        <v>43894.0</v>
      </c>
    </row>
    <row r="6257">
      <c r="A6257" s="5">
        <v>6256.0</v>
      </c>
      <c r="B6257" s="5" t="s">
        <v>6804</v>
      </c>
      <c r="C6257" s="5" t="s">
        <v>21</v>
      </c>
      <c r="K6257" s="5">
        <v>450.0</v>
      </c>
      <c r="N6257" s="9">
        <v>45085.0</v>
      </c>
    </row>
    <row r="6258">
      <c r="A6258" s="5">
        <v>6257.0</v>
      </c>
      <c r="B6258" s="5" t="s">
        <v>6805</v>
      </c>
      <c r="C6258" s="5" t="s">
        <v>21</v>
      </c>
      <c r="K6258" s="5">
        <v>250.0</v>
      </c>
      <c r="N6258" s="9">
        <v>44567.0</v>
      </c>
    </row>
    <row r="6259">
      <c r="A6259" s="5">
        <v>6258.0</v>
      </c>
      <c r="B6259" s="5" t="s">
        <v>6806</v>
      </c>
      <c r="C6259" s="5" t="s">
        <v>21</v>
      </c>
      <c r="K6259" s="5">
        <v>200.0</v>
      </c>
      <c r="N6259" s="9">
        <v>44609.0</v>
      </c>
    </row>
    <row r="6260">
      <c r="A6260" s="5">
        <v>6259.0</v>
      </c>
      <c r="B6260" s="5" t="s">
        <v>6807</v>
      </c>
      <c r="C6260" s="5" t="s">
        <v>21</v>
      </c>
      <c r="K6260" s="5">
        <v>5100.0</v>
      </c>
      <c r="N6260" s="9">
        <v>43841.0</v>
      </c>
    </row>
    <row r="6261">
      <c r="A6261" s="5">
        <v>6260.0</v>
      </c>
      <c r="B6261" s="5" t="s">
        <v>6808</v>
      </c>
      <c r="C6261" s="5" t="s">
        <v>21</v>
      </c>
      <c r="K6261" s="5">
        <v>2100.0</v>
      </c>
      <c r="N6261" s="9">
        <v>44081.0</v>
      </c>
    </row>
    <row r="6262">
      <c r="A6262" s="5">
        <v>6261.0</v>
      </c>
      <c r="B6262" s="5" t="s">
        <v>6809</v>
      </c>
      <c r="C6262" s="5" t="s">
        <v>21</v>
      </c>
      <c r="K6262" s="5">
        <v>250.0</v>
      </c>
      <c r="N6262" s="9">
        <v>44624.0</v>
      </c>
    </row>
    <row r="6263">
      <c r="A6263" s="5">
        <v>6262.0</v>
      </c>
      <c r="B6263" s="5" t="s">
        <v>6810</v>
      </c>
      <c r="C6263" s="5" t="s">
        <v>21</v>
      </c>
      <c r="K6263" s="5">
        <v>450.0</v>
      </c>
      <c r="N6263" s="9">
        <v>44239.0</v>
      </c>
    </row>
    <row r="6264">
      <c r="A6264" s="5">
        <v>6263.0</v>
      </c>
      <c r="B6264" s="5" t="s">
        <v>6811</v>
      </c>
      <c r="C6264" s="5" t="s">
        <v>21</v>
      </c>
      <c r="K6264" s="5">
        <v>1000.0</v>
      </c>
      <c r="N6264" s="9">
        <v>44239.0</v>
      </c>
    </row>
    <row r="6265">
      <c r="A6265" s="5">
        <v>6264.0</v>
      </c>
      <c r="B6265" s="5" t="s">
        <v>6812</v>
      </c>
      <c r="C6265" s="5" t="s">
        <v>21</v>
      </c>
      <c r="K6265" s="5">
        <v>150.0</v>
      </c>
      <c r="N6265" s="9">
        <v>44825.0</v>
      </c>
    </row>
    <row r="6266">
      <c r="A6266" s="5">
        <v>6265.0</v>
      </c>
      <c r="B6266" s="5" t="s">
        <v>6813</v>
      </c>
      <c r="C6266" s="5" t="s">
        <v>21</v>
      </c>
      <c r="K6266" s="5">
        <v>300.0</v>
      </c>
      <c r="N6266" s="9">
        <v>45046.0</v>
      </c>
    </row>
    <row r="6267">
      <c r="A6267" s="5">
        <v>6266.0</v>
      </c>
      <c r="B6267" s="5" t="s">
        <v>6814</v>
      </c>
      <c r="C6267" s="5" t="s">
        <v>21</v>
      </c>
      <c r="K6267" s="5">
        <v>3400.0</v>
      </c>
      <c r="N6267" s="9">
        <v>43962.0</v>
      </c>
    </row>
    <row r="6268">
      <c r="A6268" s="5">
        <v>6267.0</v>
      </c>
      <c r="B6268" s="5" t="s">
        <v>6815</v>
      </c>
      <c r="C6268" s="5" t="s">
        <v>21</v>
      </c>
      <c r="K6268" s="5">
        <v>300.0</v>
      </c>
      <c r="N6268" s="9">
        <v>44927.0</v>
      </c>
    </row>
    <row r="6269">
      <c r="A6269" s="5">
        <v>6268.0</v>
      </c>
      <c r="B6269" s="5" t="s">
        <v>6816</v>
      </c>
      <c r="C6269" s="5" t="s">
        <v>21</v>
      </c>
      <c r="K6269" s="5">
        <v>50.0</v>
      </c>
      <c r="N6269" s="9">
        <v>44529.0</v>
      </c>
    </row>
    <row r="6270">
      <c r="A6270" s="5">
        <v>6269.0</v>
      </c>
      <c r="B6270" s="5" t="s">
        <v>6817</v>
      </c>
      <c r="C6270" s="5" t="s">
        <v>21</v>
      </c>
      <c r="K6270" s="5">
        <v>250.0</v>
      </c>
      <c r="N6270" s="9">
        <v>44747.0</v>
      </c>
    </row>
    <row r="6271">
      <c r="A6271" s="5">
        <v>6270.0</v>
      </c>
      <c r="B6271" s="5" t="s">
        <v>6818</v>
      </c>
      <c r="C6271" s="5" t="s">
        <v>21</v>
      </c>
      <c r="K6271" s="5">
        <v>150.0</v>
      </c>
      <c r="N6271" s="9">
        <v>44583.0</v>
      </c>
    </row>
    <row r="6272">
      <c r="A6272" s="5">
        <v>6271.0</v>
      </c>
      <c r="B6272" s="5" t="s">
        <v>6819</v>
      </c>
      <c r="C6272" s="5" t="s">
        <v>21</v>
      </c>
      <c r="K6272" s="5">
        <v>30.0</v>
      </c>
      <c r="N6272" s="9">
        <v>44530.0</v>
      </c>
    </row>
    <row r="6273">
      <c r="A6273" s="5">
        <v>6272.0</v>
      </c>
      <c r="B6273" s="5" t="s">
        <v>6820</v>
      </c>
      <c r="C6273" s="5" t="s">
        <v>21</v>
      </c>
      <c r="K6273" s="5">
        <v>30.0</v>
      </c>
      <c r="N6273" s="9">
        <v>44700.0</v>
      </c>
    </row>
    <row r="6274">
      <c r="A6274" s="5">
        <v>6273.0</v>
      </c>
      <c r="B6274" s="5" t="s">
        <v>6821</v>
      </c>
      <c r="C6274" s="5" t="s">
        <v>21</v>
      </c>
      <c r="K6274" s="5">
        <v>600.0</v>
      </c>
      <c r="N6274" s="9">
        <v>45533.0</v>
      </c>
    </row>
    <row r="6275">
      <c r="A6275" s="5">
        <v>6274.0</v>
      </c>
      <c r="B6275" s="5" t="s">
        <v>6822</v>
      </c>
      <c r="C6275" s="5" t="s">
        <v>21</v>
      </c>
      <c r="K6275" s="5">
        <v>800.0</v>
      </c>
      <c r="N6275" s="9">
        <v>44552.0</v>
      </c>
    </row>
    <row r="6276">
      <c r="A6276" s="5">
        <v>6275.0</v>
      </c>
      <c r="B6276" s="5" t="s">
        <v>6823</v>
      </c>
      <c r="C6276" s="5" t="s">
        <v>21</v>
      </c>
      <c r="K6276" s="5">
        <v>90.0</v>
      </c>
      <c r="N6276" s="9">
        <v>44494.0</v>
      </c>
    </row>
    <row r="6277">
      <c r="A6277" s="5">
        <v>6276.0</v>
      </c>
      <c r="B6277" s="5" t="s">
        <v>6824</v>
      </c>
      <c r="C6277" s="5" t="s">
        <v>21</v>
      </c>
      <c r="K6277" s="5">
        <v>1800.0</v>
      </c>
      <c r="N6277" s="9">
        <v>44528.0</v>
      </c>
    </row>
    <row r="6278">
      <c r="A6278" s="5">
        <v>6277.0</v>
      </c>
      <c r="B6278" s="5" t="s">
        <v>6825</v>
      </c>
      <c r="C6278" s="5" t="s">
        <v>21</v>
      </c>
      <c r="K6278" s="5">
        <v>2000.0</v>
      </c>
      <c r="N6278" s="9">
        <v>44510.0</v>
      </c>
    </row>
    <row r="6279">
      <c r="A6279" s="5">
        <v>6278.0</v>
      </c>
      <c r="B6279" s="5" t="s">
        <v>6826</v>
      </c>
      <c r="C6279" s="5" t="s">
        <v>21</v>
      </c>
      <c r="K6279" s="5">
        <v>250.0</v>
      </c>
      <c r="N6279" s="9">
        <v>44719.0</v>
      </c>
    </row>
    <row r="6280">
      <c r="A6280" s="5">
        <v>6279.0</v>
      </c>
      <c r="B6280" s="5" t="s">
        <v>6827</v>
      </c>
      <c r="C6280" s="5" t="s">
        <v>21</v>
      </c>
      <c r="K6280" s="5">
        <v>450.0</v>
      </c>
      <c r="N6280" s="9">
        <v>43964.0</v>
      </c>
    </row>
    <row r="6281">
      <c r="A6281" s="5">
        <v>6280.0</v>
      </c>
      <c r="B6281" s="5" t="s">
        <v>6828</v>
      </c>
      <c r="C6281" s="5" t="s">
        <v>21</v>
      </c>
      <c r="K6281" s="5">
        <v>10.0</v>
      </c>
      <c r="N6281" s="9">
        <v>44874.0</v>
      </c>
    </row>
    <row r="6282">
      <c r="A6282" s="5">
        <v>6281.0</v>
      </c>
      <c r="B6282" s="5" t="s">
        <v>6829</v>
      </c>
      <c r="C6282" s="5" t="s">
        <v>21</v>
      </c>
      <c r="K6282" s="5">
        <v>150.0</v>
      </c>
      <c r="N6282" s="9">
        <v>44391.0</v>
      </c>
    </row>
    <row r="6283">
      <c r="A6283" s="5">
        <v>6282.0</v>
      </c>
      <c r="B6283" s="5" t="s">
        <v>6830</v>
      </c>
      <c r="C6283" s="5" t="s">
        <v>21</v>
      </c>
      <c r="K6283" s="5">
        <v>90.0</v>
      </c>
      <c r="N6283" s="9">
        <v>44795.0</v>
      </c>
    </row>
    <row r="6284">
      <c r="A6284" s="5">
        <v>6283.0</v>
      </c>
      <c r="B6284" s="5" t="s">
        <v>6831</v>
      </c>
      <c r="C6284" s="5" t="s">
        <v>21</v>
      </c>
      <c r="K6284" s="5">
        <v>150.0</v>
      </c>
      <c r="N6284" s="9">
        <v>44223.0</v>
      </c>
    </row>
    <row r="6285">
      <c r="A6285" s="5">
        <v>6284.0</v>
      </c>
      <c r="B6285" s="5" t="s">
        <v>6832</v>
      </c>
      <c r="C6285" s="5" t="s">
        <v>21</v>
      </c>
      <c r="K6285" s="5">
        <v>500.0</v>
      </c>
      <c r="N6285" s="9">
        <v>45468.0</v>
      </c>
    </row>
    <row r="6286">
      <c r="A6286" s="5">
        <v>6285.0</v>
      </c>
      <c r="B6286" s="5" t="s">
        <v>6833</v>
      </c>
      <c r="C6286" s="5" t="s">
        <v>21</v>
      </c>
      <c r="K6286" s="5">
        <v>200.0</v>
      </c>
      <c r="N6286" s="9">
        <v>44530.0</v>
      </c>
    </row>
    <row r="6287">
      <c r="A6287" s="5">
        <v>6286.0</v>
      </c>
      <c r="B6287" s="5" t="s">
        <v>6834</v>
      </c>
      <c r="C6287" s="5" t="s">
        <v>21</v>
      </c>
      <c r="K6287" s="5">
        <v>800.0</v>
      </c>
      <c r="N6287" s="9">
        <v>43993.0</v>
      </c>
    </row>
    <row r="6288">
      <c r="A6288" s="5">
        <v>6287.0</v>
      </c>
      <c r="B6288" s="5" t="s">
        <v>6835</v>
      </c>
      <c r="C6288" s="5" t="s">
        <v>21</v>
      </c>
      <c r="K6288" s="5">
        <v>600.0</v>
      </c>
      <c r="N6288" s="9">
        <v>45646.0</v>
      </c>
    </row>
    <row r="6289">
      <c r="A6289" s="5">
        <v>6288.0</v>
      </c>
      <c r="B6289" s="5" t="s">
        <v>6836</v>
      </c>
      <c r="C6289" s="5" t="s">
        <v>21</v>
      </c>
      <c r="K6289" s="5">
        <v>4600.0</v>
      </c>
      <c r="N6289" s="9">
        <v>44537.0</v>
      </c>
    </row>
    <row r="6290">
      <c r="A6290" s="5">
        <v>6289.0</v>
      </c>
      <c r="B6290" s="5" t="s">
        <v>6837</v>
      </c>
      <c r="C6290" s="5" t="s">
        <v>21</v>
      </c>
      <c r="K6290" s="5">
        <v>400.0</v>
      </c>
      <c r="N6290" s="9">
        <v>44957.0</v>
      </c>
    </row>
    <row r="6291">
      <c r="A6291" s="5">
        <v>6290.0</v>
      </c>
      <c r="B6291" s="5" t="s">
        <v>230</v>
      </c>
      <c r="C6291" s="5" t="s">
        <v>21</v>
      </c>
      <c r="K6291" s="5">
        <v>600.0</v>
      </c>
      <c r="N6291" s="9">
        <v>43888.0</v>
      </c>
    </row>
    <row r="6292">
      <c r="A6292" s="5">
        <v>6291.0</v>
      </c>
      <c r="B6292" s="5" t="s">
        <v>6838</v>
      </c>
      <c r="C6292" s="5" t="s">
        <v>21</v>
      </c>
      <c r="K6292" s="5">
        <v>200.0</v>
      </c>
      <c r="N6292" s="9">
        <v>44744.0</v>
      </c>
    </row>
    <row r="6293">
      <c r="A6293" s="5">
        <v>6292.0</v>
      </c>
      <c r="B6293" s="5" t="s">
        <v>6839</v>
      </c>
      <c r="C6293" s="5" t="s">
        <v>21</v>
      </c>
      <c r="K6293" s="5">
        <v>400.0</v>
      </c>
      <c r="N6293" s="9">
        <v>44047.0</v>
      </c>
    </row>
    <row r="6294">
      <c r="A6294" s="5">
        <v>6293.0</v>
      </c>
      <c r="B6294" s="5" t="s">
        <v>6840</v>
      </c>
      <c r="C6294" s="5" t="s">
        <v>21</v>
      </c>
      <c r="K6294" s="5">
        <v>500.0</v>
      </c>
      <c r="N6294" s="9">
        <v>45110.0</v>
      </c>
    </row>
    <row r="6295">
      <c r="A6295" s="5">
        <v>6294.0</v>
      </c>
      <c r="B6295" s="5" t="s">
        <v>6841</v>
      </c>
      <c r="C6295" s="5" t="s">
        <v>21</v>
      </c>
      <c r="K6295" s="5">
        <v>30.0</v>
      </c>
      <c r="N6295" s="9">
        <v>44693.0</v>
      </c>
    </row>
    <row r="6296">
      <c r="A6296" s="5">
        <v>6295.0</v>
      </c>
      <c r="B6296" s="5" t="s">
        <v>6842</v>
      </c>
      <c r="C6296" s="5" t="s">
        <v>21</v>
      </c>
      <c r="K6296" s="5">
        <v>250.0</v>
      </c>
      <c r="N6296" s="9">
        <v>44659.0</v>
      </c>
    </row>
    <row r="6297">
      <c r="A6297" s="5">
        <v>6296.0</v>
      </c>
      <c r="B6297" s="5" t="s">
        <v>6843</v>
      </c>
      <c r="C6297" s="5" t="s">
        <v>21</v>
      </c>
      <c r="N6297" s="9">
        <v>44983.0</v>
      </c>
    </row>
    <row r="6298">
      <c r="A6298" s="5">
        <v>6297.0</v>
      </c>
      <c r="B6298" s="5" t="s">
        <v>6844</v>
      </c>
      <c r="C6298" s="5" t="s">
        <v>21</v>
      </c>
      <c r="K6298" s="5">
        <v>250.0</v>
      </c>
      <c r="N6298" s="9">
        <v>44542.0</v>
      </c>
    </row>
    <row r="6299">
      <c r="A6299" s="5">
        <v>6298.0</v>
      </c>
      <c r="B6299" s="5" t="s">
        <v>6845</v>
      </c>
      <c r="C6299" s="5" t="s">
        <v>21</v>
      </c>
      <c r="K6299" s="5">
        <v>500.0</v>
      </c>
      <c r="N6299" s="9">
        <v>44056.0</v>
      </c>
    </row>
    <row r="6300">
      <c r="A6300" s="5">
        <v>6299.0</v>
      </c>
      <c r="B6300" s="5" t="s">
        <v>6846</v>
      </c>
      <c r="C6300" s="5" t="s">
        <v>21</v>
      </c>
      <c r="K6300" s="5">
        <v>1100.0</v>
      </c>
      <c r="N6300" s="9">
        <v>44552.0</v>
      </c>
    </row>
    <row r="6301">
      <c r="A6301" s="5">
        <v>6300.0</v>
      </c>
      <c r="B6301" s="5" t="s">
        <v>6847</v>
      </c>
      <c r="C6301" s="5" t="s">
        <v>21</v>
      </c>
      <c r="K6301" s="5">
        <v>50.0</v>
      </c>
      <c r="N6301" s="9">
        <v>44825.0</v>
      </c>
    </row>
    <row r="6302">
      <c r="A6302" s="5">
        <v>6301.0</v>
      </c>
      <c r="B6302" s="5" t="s">
        <v>6848</v>
      </c>
      <c r="C6302" s="5" t="s">
        <v>21</v>
      </c>
      <c r="K6302" s="5">
        <v>2100.0</v>
      </c>
      <c r="N6302" s="9">
        <v>44174.0</v>
      </c>
    </row>
    <row r="6303">
      <c r="A6303" s="5">
        <v>6302.0</v>
      </c>
      <c r="B6303" s="5" t="s">
        <v>6849</v>
      </c>
      <c r="C6303" s="5" t="s">
        <v>21</v>
      </c>
      <c r="K6303" s="5">
        <v>1400.0</v>
      </c>
      <c r="N6303" s="9">
        <v>44585.0</v>
      </c>
    </row>
    <row r="6304">
      <c r="A6304" s="5">
        <v>6303.0</v>
      </c>
      <c r="B6304" s="5" t="s">
        <v>6850</v>
      </c>
      <c r="C6304" s="5" t="s">
        <v>21</v>
      </c>
      <c r="K6304" s="5">
        <v>2300.0</v>
      </c>
      <c r="N6304" s="9">
        <v>44532.0</v>
      </c>
    </row>
    <row r="6305">
      <c r="A6305" s="5">
        <v>6304.0</v>
      </c>
      <c r="B6305" s="5" t="s">
        <v>6851</v>
      </c>
      <c r="C6305" s="5" t="s">
        <v>21</v>
      </c>
      <c r="K6305" s="5">
        <v>700.0</v>
      </c>
      <c r="N6305" s="9">
        <v>44529.0</v>
      </c>
    </row>
    <row r="6306">
      <c r="A6306" s="5">
        <v>6305.0</v>
      </c>
      <c r="B6306" s="5" t="s">
        <v>6852</v>
      </c>
      <c r="C6306" s="5" t="s">
        <v>21</v>
      </c>
      <c r="K6306" s="5">
        <v>30.0</v>
      </c>
      <c r="N6306" s="9">
        <v>44914.0</v>
      </c>
    </row>
    <row r="6307">
      <c r="A6307" s="5">
        <v>6306.0</v>
      </c>
      <c r="B6307" s="5" t="s">
        <v>6853</v>
      </c>
      <c r="C6307" s="5" t="s">
        <v>21</v>
      </c>
      <c r="K6307" s="5">
        <v>900.0</v>
      </c>
      <c r="N6307" s="9">
        <v>44658.0</v>
      </c>
    </row>
    <row r="6308">
      <c r="A6308" s="5">
        <v>6307.0</v>
      </c>
      <c r="B6308" s="5" t="s">
        <v>6854</v>
      </c>
      <c r="C6308" s="5" t="s">
        <v>21</v>
      </c>
      <c r="K6308" s="5">
        <v>200.0</v>
      </c>
      <c r="N6308" s="9">
        <v>44970.0</v>
      </c>
    </row>
    <row r="6309">
      <c r="A6309" s="5">
        <v>6308.0</v>
      </c>
      <c r="B6309" s="5" t="s">
        <v>6855</v>
      </c>
      <c r="C6309" s="5" t="s">
        <v>21</v>
      </c>
      <c r="K6309" s="5">
        <v>4700.0</v>
      </c>
      <c r="N6309" s="9">
        <v>43966.0</v>
      </c>
    </row>
    <row r="6310">
      <c r="A6310" s="5">
        <v>6309.0</v>
      </c>
      <c r="B6310" s="5" t="s">
        <v>6856</v>
      </c>
      <c r="C6310" s="5" t="s">
        <v>21</v>
      </c>
      <c r="K6310" s="5">
        <v>900.0</v>
      </c>
      <c r="N6310" s="9">
        <v>44536.0</v>
      </c>
    </row>
    <row r="6311">
      <c r="A6311" s="5">
        <v>6310.0</v>
      </c>
      <c r="B6311" s="5" t="s">
        <v>6857</v>
      </c>
      <c r="C6311" s="5" t="s">
        <v>21</v>
      </c>
      <c r="K6311" s="5">
        <v>600.0</v>
      </c>
      <c r="N6311" s="9">
        <v>45555.0</v>
      </c>
    </row>
    <row r="6312">
      <c r="A6312" s="5">
        <v>6311.0</v>
      </c>
      <c r="B6312" s="5" t="s">
        <v>6858</v>
      </c>
      <c r="C6312" s="5" t="s">
        <v>21</v>
      </c>
      <c r="K6312" s="5">
        <v>100.0</v>
      </c>
      <c r="N6312" s="9">
        <v>44351.0</v>
      </c>
    </row>
    <row r="6313">
      <c r="A6313" s="5">
        <v>6312.0</v>
      </c>
      <c r="B6313" s="5" t="s">
        <v>6859</v>
      </c>
      <c r="C6313" s="5" t="s">
        <v>21</v>
      </c>
      <c r="K6313" s="5">
        <v>250.0</v>
      </c>
      <c r="N6313" s="9">
        <v>44711.0</v>
      </c>
    </row>
    <row r="6314">
      <c r="A6314" s="5">
        <v>6313.0</v>
      </c>
      <c r="B6314" s="5" t="s">
        <v>6860</v>
      </c>
      <c r="C6314" s="5" t="s">
        <v>21</v>
      </c>
      <c r="K6314" s="5">
        <v>60.0</v>
      </c>
      <c r="N6314" s="9">
        <v>43885.0</v>
      </c>
    </row>
    <row r="6315">
      <c r="A6315" s="5">
        <v>6314.0</v>
      </c>
      <c r="B6315" s="5" t="s">
        <v>6861</v>
      </c>
      <c r="C6315" s="5" t="s">
        <v>21</v>
      </c>
      <c r="K6315" s="5">
        <v>450.0</v>
      </c>
      <c r="N6315" s="9">
        <v>44672.0</v>
      </c>
    </row>
    <row r="6316">
      <c r="A6316" s="5">
        <v>6315.0</v>
      </c>
      <c r="B6316" s="5" t="s">
        <v>6862</v>
      </c>
      <c r="C6316" s="5" t="s">
        <v>21</v>
      </c>
      <c r="K6316" s="5">
        <v>30.0</v>
      </c>
      <c r="N6316" s="9">
        <v>45211.0</v>
      </c>
    </row>
    <row r="6317">
      <c r="A6317" s="5">
        <v>6316.0</v>
      </c>
      <c r="B6317" s="5" t="s">
        <v>6863</v>
      </c>
      <c r="C6317" s="5" t="s">
        <v>21</v>
      </c>
      <c r="K6317" s="5">
        <v>700.0</v>
      </c>
      <c r="N6317" s="9">
        <v>44678.0</v>
      </c>
    </row>
    <row r="6318">
      <c r="A6318" s="5">
        <v>6317.0</v>
      </c>
      <c r="B6318" s="5" t="s">
        <v>6864</v>
      </c>
      <c r="C6318" s="5" t="s">
        <v>21</v>
      </c>
      <c r="K6318" s="5">
        <v>500.0</v>
      </c>
      <c r="N6318" s="9">
        <v>44428.0</v>
      </c>
    </row>
    <row r="6319">
      <c r="A6319" s="5">
        <v>6318.0</v>
      </c>
      <c r="B6319" s="5" t="s">
        <v>6865</v>
      </c>
      <c r="C6319" s="5" t="s">
        <v>21</v>
      </c>
      <c r="K6319" s="5">
        <v>60.0</v>
      </c>
      <c r="N6319" s="9">
        <v>44532.0</v>
      </c>
    </row>
    <row r="6320">
      <c r="A6320" s="5">
        <v>6319.0</v>
      </c>
      <c r="B6320" s="5" t="s">
        <v>6866</v>
      </c>
      <c r="C6320" s="5" t="s">
        <v>21</v>
      </c>
      <c r="K6320" s="5">
        <v>40.0</v>
      </c>
      <c r="N6320" s="9">
        <v>44575.0</v>
      </c>
    </row>
    <row r="6321">
      <c r="A6321" s="5">
        <v>6320.0</v>
      </c>
      <c r="B6321" s="5" t="s">
        <v>6867</v>
      </c>
      <c r="C6321" s="5" t="s">
        <v>21</v>
      </c>
      <c r="K6321" s="5">
        <v>250.0</v>
      </c>
      <c r="N6321" s="9">
        <v>44332.0</v>
      </c>
    </row>
    <row r="6322">
      <c r="A6322" s="5">
        <v>6321.0</v>
      </c>
      <c r="B6322" s="5" t="s">
        <v>6868</v>
      </c>
      <c r="C6322" s="5" t="s">
        <v>21</v>
      </c>
      <c r="K6322" s="5">
        <v>10.0</v>
      </c>
      <c r="N6322" s="9">
        <v>44037.0</v>
      </c>
    </row>
    <row r="6323">
      <c r="A6323" s="5">
        <v>6322.0</v>
      </c>
      <c r="B6323" s="5" t="s">
        <v>6869</v>
      </c>
      <c r="C6323" s="5" t="s">
        <v>21</v>
      </c>
      <c r="K6323" s="5">
        <v>800.0</v>
      </c>
      <c r="N6323" s="9">
        <v>44714.0</v>
      </c>
    </row>
    <row r="6324">
      <c r="A6324" s="5">
        <v>6323.0</v>
      </c>
      <c r="B6324" s="5" t="s">
        <v>6870</v>
      </c>
      <c r="C6324" s="5" t="s">
        <v>21</v>
      </c>
      <c r="K6324" s="5">
        <v>500.0</v>
      </c>
      <c r="N6324" s="9">
        <v>44751.0</v>
      </c>
    </row>
    <row r="6325">
      <c r="A6325" s="5">
        <v>6324.0</v>
      </c>
      <c r="B6325" s="5" t="s">
        <v>6871</v>
      </c>
      <c r="C6325" s="5" t="s">
        <v>21</v>
      </c>
      <c r="K6325" s="5">
        <v>200.0</v>
      </c>
      <c r="N6325" s="9">
        <v>44804.0</v>
      </c>
    </row>
    <row r="6326">
      <c r="A6326" s="5">
        <v>6325.0</v>
      </c>
      <c r="B6326" s="5" t="s">
        <v>6872</v>
      </c>
      <c r="C6326" s="5" t="s">
        <v>21</v>
      </c>
      <c r="K6326" s="5">
        <v>80.0</v>
      </c>
      <c r="N6326" s="9">
        <v>44623.0</v>
      </c>
    </row>
    <row r="6327">
      <c r="A6327" s="5">
        <v>6326.0</v>
      </c>
      <c r="B6327" s="5" t="s">
        <v>6873</v>
      </c>
      <c r="C6327" s="5" t="s">
        <v>21</v>
      </c>
      <c r="K6327" s="5">
        <v>900.0</v>
      </c>
      <c r="N6327" s="9">
        <v>44302.0</v>
      </c>
    </row>
    <row r="6328">
      <c r="A6328" s="5">
        <v>6327.0</v>
      </c>
      <c r="B6328" s="5" t="s">
        <v>6874</v>
      </c>
      <c r="C6328" s="5" t="s">
        <v>21</v>
      </c>
      <c r="K6328" s="5">
        <v>1400.0</v>
      </c>
      <c r="N6328" s="9">
        <v>43951.0</v>
      </c>
    </row>
    <row r="6329">
      <c r="A6329" s="5">
        <v>6328.0</v>
      </c>
      <c r="B6329" s="5" t="s">
        <v>6875</v>
      </c>
      <c r="C6329" s="5" t="s">
        <v>21</v>
      </c>
      <c r="K6329" s="5">
        <v>60.0</v>
      </c>
      <c r="N6329" s="9">
        <v>44500.0</v>
      </c>
    </row>
    <row r="6330">
      <c r="A6330" s="5">
        <v>6329.0</v>
      </c>
      <c r="B6330" s="5" t="s">
        <v>6876</v>
      </c>
      <c r="C6330" s="5" t="s">
        <v>21</v>
      </c>
      <c r="K6330" s="5">
        <v>300.0</v>
      </c>
      <c r="N6330" s="9">
        <v>45271.0</v>
      </c>
    </row>
    <row r="6331">
      <c r="A6331" s="5">
        <v>6330.0</v>
      </c>
      <c r="B6331" s="5" t="s">
        <v>6877</v>
      </c>
      <c r="C6331" s="5" t="s">
        <v>21</v>
      </c>
      <c r="K6331" s="5">
        <v>100.0</v>
      </c>
      <c r="N6331" s="9">
        <v>43999.0</v>
      </c>
    </row>
    <row r="6332">
      <c r="A6332" s="5">
        <v>6331.0</v>
      </c>
      <c r="B6332" s="5" t="s">
        <v>6878</v>
      </c>
      <c r="C6332" s="5" t="s">
        <v>21</v>
      </c>
      <c r="K6332" s="5">
        <v>10.0</v>
      </c>
      <c r="N6332" s="9">
        <v>45322.0</v>
      </c>
    </row>
    <row r="6333">
      <c r="A6333" s="5">
        <v>6332.0</v>
      </c>
      <c r="B6333" s="5" t="s">
        <v>6879</v>
      </c>
      <c r="C6333" s="5" t="s">
        <v>21</v>
      </c>
      <c r="K6333" s="5">
        <v>350.0</v>
      </c>
      <c r="N6333" s="9">
        <v>44250.0</v>
      </c>
    </row>
    <row r="6334">
      <c r="A6334" s="5">
        <v>6333.0</v>
      </c>
      <c r="B6334" s="5" t="s">
        <v>6880</v>
      </c>
      <c r="C6334" s="5" t="s">
        <v>21</v>
      </c>
      <c r="N6334" s="9">
        <v>44596.0</v>
      </c>
    </row>
    <row r="6335">
      <c r="A6335" s="5">
        <v>6334.0</v>
      </c>
      <c r="B6335" s="5" t="s">
        <v>6881</v>
      </c>
      <c r="C6335" s="5" t="s">
        <v>21</v>
      </c>
      <c r="K6335" s="5">
        <v>1600.0</v>
      </c>
      <c r="N6335" s="9">
        <v>44593.0</v>
      </c>
    </row>
    <row r="6336">
      <c r="A6336" s="5">
        <v>6335.0</v>
      </c>
      <c r="B6336" s="5" t="s">
        <v>6882</v>
      </c>
      <c r="C6336" s="5" t="s">
        <v>21</v>
      </c>
      <c r="K6336" s="5">
        <v>150.0</v>
      </c>
      <c r="N6336" s="9">
        <v>44951.0</v>
      </c>
    </row>
    <row r="6337">
      <c r="A6337" s="5">
        <v>6336.0</v>
      </c>
      <c r="B6337" s="5" t="s">
        <v>6883</v>
      </c>
      <c r="C6337" s="5" t="s">
        <v>21</v>
      </c>
      <c r="K6337" s="5">
        <v>90.0</v>
      </c>
      <c r="N6337" s="9">
        <v>44109.0</v>
      </c>
    </row>
    <row r="6338">
      <c r="A6338" s="5">
        <v>6337.0</v>
      </c>
      <c r="B6338" s="5" t="s">
        <v>6884</v>
      </c>
      <c r="C6338" s="5" t="s">
        <v>21</v>
      </c>
      <c r="N6338" s="9">
        <v>44728.0</v>
      </c>
    </row>
    <row r="6339">
      <c r="A6339" s="5">
        <v>6338.0</v>
      </c>
      <c r="B6339" s="5" t="s">
        <v>6885</v>
      </c>
      <c r="C6339" s="5" t="s">
        <v>21</v>
      </c>
      <c r="K6339" s="5">
        <v>1000.0</v>
      </c>
      <c r="N6339" s="9">
        <v>45393.0</v>
      </c>
    </row>
    <row r="6340">
      <c r="A6340" s="5">
        <v>6339.0</v>
      </c>
      <c r="B6340" s="5" t="s">
        <v>6886</v>
      </c>
      <c r="C6340" s="5" t="s">
        <v>21</v>
      </c>
      <c r="K6340" s="5">
        <v>40.0</v>
      </c>
      <c r="N6340" s="9">
        <v>45370.0</v>
      </c>
    </row>
    <row r="6341">
      <c r="A6341" s="5">
        <v>6340.0</v>
      </c>
      <c r="B6341" s="5" t="s">
        <v>6887</v>
      </c>
      <c r="C6341" s="5" t="s">
        <v>21</v>
      </c>
      <c r="N6341" s="9">
        <v>44758.0</v>
      </c>
    </row>
    <row r="6342">
      <c r="A6342" s="5">
        <v>6341.0</v>
      </c>
      <c r="B6342" s="5" t="s">
        <v>6888</v>
      </c>
      <c r="C6342" s="5" t="s">
        <v>21</v>
      </c>
      <c r="N6342" s="9">
        <v>45481.0</v>
      </c>
    </row>
    <row r="6343">
      <c r="A6343" s="5">
        <v>6342.0</v>
      </c>
      <c r="B6343" s="5" t="s">
        <v>6889</v>
      </c>
      <c r="C6343" s="5" t="s">
        <v>21</v>
      </c>
      <c r="K6343" s="5">
        <v>450.0</v>
      </c>
      <c r="N6343" s="9">
        <v>44648.0</v>
      </c>
    </row>
    <row r="6344">
      <c r="A6344" s="5">
        <v>6343.0</v>
      </c>
      <c r="B6344" s="5" t="s">
        <v>6890</v>
      </c>
      <c r="C6344" s="5" t="s">
        <v>21</v>
      </c>
      <c r="K6344" s="5">
        <v>60.0</v>
      </c>
      <c r="N6344" s="9">
        <v>44819.0</v>
      </c>
    </row>
    <row r="6345">
      <c r="A6345" s="5">
        <v>6344.0</v>
      </c>
      <c r="B6345" s="5" t="s">
        <v>6891</v>
      </c>
      <c r="C6345" s="5" t="s">
        <v>21</v>
      </c>
      <c r="K6345" s="5">
        <v>350.0</v>
      </c>
      <c r="N6345" s="9">
        <v>44596.0</v>
      </c>
    </row>
    <row r="6346">
      <c r="A6346" s="5">
        <v>6345.0</v>
      </c>
      <c r="B6346" s="5" t="s">
        <v>6892</v>
      </c>
      <c r="C6346" s="5" t="s">
        <v>21</v>
      </c>
      <c r="K6346" s="5">
        <v>200.0</v>
      </c>
      <c r="N6346" s="9">
        <v>44343.0</v>
      </c>
    </row>
    <row r="6347">
      <c r="A6347" s="5">
        <v>6346.0</v>
      </c>
      <c r="B6347" s="5" t="s">
        <v>6893</v>
      </c>
      <c r="C6347" s="5" t="s">
        <v>21</v>
      </c>
      <c r="K6347" s="5">
        <v>300.0</v>
      </c>
      <c r="N6347" s="9">
        <v>44856.0</v>
      </c>
    </row>
    <row r="6348">
      <c r="A6348" s="5">
        <v>6347.0</v>
      </c>
      <c r="B6348" s="5" t="s">
        <v>6894</v>
      </c>
      <c r="C6348" s="5" t="s">
        <v>21</v>
      </c>
      <c r="K6348" s="5">
        <v>600.0</v>
      </c>
      <c r="N6348" s="9">
        <v>44569.0</v>
      </c>
    </row>
    <row r="6349">
      <c r="A6349" s="5">
        <v>6348.0</v>
      </c>
      <c r="B6349" s="5" t="s">
        <v>6895</v>
      </c>
      <c r="C6349" s="5" t="s">
        <v>21</v>
      </c>
      <c r="K6349" s="5">
        <v>800.0</v>
      </c>
      <c r="N6349" s="9">
        <v>44538.0</v>
      </c>
    </row>
    <row r="6350">
      <c r="A6350" s="5">
        <v>6349.0</v>
      </c>
      <c r="B6350" s="5" t="s">
        <v>6896</v>
      </c>
      <c r="C6350" s="5" t="s">
        <v>21</v>
      </c>
      <c r="K6350" s="5">
        <v>300.0</v>
      </c>
      <c r="N6350" s="9">
        <v>44712.0</v>
      </c>
    </row>
    <row r="6351">
      <c r="A6351" s="5">
        <v>6350.0</v>
      </c>
      <c r="B6351" s="5" t="s">
        <v>6897</v>
      </c>
      <c r="C6351" s="5" t="s">
        <v>21</v>
      </c>
      <c r="K6351" s="5">
        <v>250.0</v>
      </c>
      <c r="N6351" s="9">
        <v>45364.0</v>
      </c>
    </row>
    <row r="6352">
      <c r="A6352" s="5">
        <v>6351.0</v>
      </c>
      <c r="B6352" s="5" t="s">
        <v>6898</v>
      </c>
      <c r="C6352" s="5" t="s">
        <v>21</v>
      </c>
      <c r="K6352" s="5">
        <v>900.0</v>
      </c>
      <c r="N6352" s="9">
        <v>44890.0</v>
      </c>
    </row>
    <row r="6353">
      <c r="A6353" s="5">
        <v>6352.0</v>
      </c>
      <c r="B6353" s="5" t="s">
        <v>6899</v>
      </c>
      <c r="C6353" s="5" t="s">
        <v>21</v>
      </c>
      <c r="K6353" s="5">
        <v>450.0</v>
      </c>
      <c r="N6353" s="9">
        <v>45061.0</v>
      </c>
    </row>
    <row r="6354">
      <c r="A6354" s="5">
        <v>6353.0</v>
      </c>
      <c r="B6354" s="5" t="s">
        <v>6900</v>
      </c>
      <c r="C6354" s="5" t="s">
        <v>21</v>
      </c>
      <c r="K6354" s="5">
        <v>150.0</v>
      </c>
      <c r="N6354" s="9">
        <v>43939.0</v>
      </c>
    </row>
    <row r="6355">
      <c r="A6355" s="5">
        <v>6354.0</v>
      </c>
      <c r="B6355" s="5" t="s">
        <v>6901</v>
      </c>
      <c r="C6355" s="5" t="s">
        <v>21</v>
      </c>
      <c r="K6355" s="5">
        <v>1100.0</v>
      </c>
      <c r="N6355" s="9">
        <v>44186.0</v>
      </c>
    </row>
    <row r="6356">
      <c r="A6356" s="5">
        <v>6355.0</v>
      </c>
      <c r="B6356" s="5" t="s">
        <v>6902</v>
      </c>
      <c r="C6356" s="5" t="s">
        <v>21</v>
      </c>
      <c r="K6356" s="5">
        <v>600.0</v>
      </c>
      <c r="N6356" s="9">
        <v>44543.0</v>
      </c>
    </row>
    <row r="6357">
      <c r="A6357" s="5">
        <v>6356.0</v>
      </c>
      <c r="B6357" s="5" t="s">
        <v>6903</v>
      </c>
      <c r="C6357" s="5" t="s">
        <v>21</v>
      </c>
      <c r="K6357" s="5">
        <v>250.0</v>
      </c>
      <c r="N6357" s="9">
        <v>45008.0</v>
      </c>
    </row>
    <row r="6358">
      <c r="A6358" s="5">
        <v>6357.0</v>
      </c>
      <c r="B6358" s="5" t="s">
        <v>6904</v>
      </c>
      <c r="C6358" s="5" t="s">
        <v>21</v>
      </c>
      <c r="K6358" s="5">
        <v>300.0</v>
      </c>
      <c r="N6358" s="9">
        <v>44610.0</v>
      </c>
    </row>
    <row r="6359">
      <c r="A6359" s="5">
        <v>6358.0</v>
      </c>
      <c r="B6359" s="5" t="s">
        <v>6905</v>
      </c>
      <c r="C6359" s="5" t="s">
        <v>21</v>
      </c>
      <c r="K6359" s="5">
        <v>6000.0</v>
      </c>
      <c r="N6359" s="9">
        <v>44551.0</v>
      </c>
    </row>
    <row r="6360">
      <c r="A6360" s="5">
        <v>6359.0</v>
      </c>
      <c r="B6360" s="5" t="s">
        <v>6906</v>
      </c>
      <c r="C6360" s="5" t="s">
        <v>21</v>
      </c>
      <c r="K6360" s="5">
        <v>800.0</v>
      </c>
      <c r="N6360" s="9">
        <v>44944.0</v>
      </c>
    </row>
    <row r="6361">
      <c r="A6361" s="5">
        <v>6360.0</v>
      </c>
      <c r="B6361" s="5" t="s">
        <v>6907</v>
      </c>
      <c r="C6361" s="5" t="s">
        <v>21</v>
      </c>
      <c r="K6361" s="5">
        <v>500.0</v>
      </c>
      <c r="N6361" s="9">
        <v>45295.0</v>
      </c>
    </row>
    <row r="6362">
      <c r="A6362" s="5">
        <v>6361.0</v>
      </c>
      <c r="B6362" s="5" t="s">
        <v>6908</v>
      </c>
      <c r="C6362" s="5" t="s">
        <v>21</v>
      </c>
      <c r="K6362" s="5">
        <v>90.0</v>
      </c>
      <c r="N6362" s="9">
        <v>44346.0</v>
      </c>
    </row>
    <row r="6363">
      <c r="A6363" s="5">
        <v>6362.0</v>
      </c>
      <c r="B6363" s="5" t="s">
        <v>6909</v>
      </c>
      <c r="C6363" s="5" t="s">
        <v>21</v>
      </c>
      <c r="K6363" s="5">
        <v>30.0</v>
      </c>
      <c r="N6363" s="9">
        <v>44622.0</v>
      </c>
    </row>
    <row r="6364">
      <c r="A6364" s="5">
        <v>6363.0</v>
      </c>
      <c r="B6364" s="5" t="s">
        <v>6910</v>
      </c>
      <c r="C6364" s="5" t="s">
        <v>21</v>
      </c>
      <c r="K6364" s="5">
        <v>350.0</v>
      </c>
      <c r="N6364" s="9">
        <v>44311.0</v>
      </c>
    </row>
    <row r="6365">
      <c r="A6365" s="5">
        <v>6364.0</v>
      </c>
      <c r="B6365" s="5" t="s">
        <v>6911</v>
      </c>
      <c r="C6365" s="5" t="s">
        <v>21</v>
      </c>
      <c r="K6365" s="5">
        <v>350.0</v>
      </c>
      <c r="N6365" s="9">
        <v>44779.0</v>
      </c>
    </row>
    <row r="6366">
      <c r="A6366" s="5">
        <v>6365.0</v>
      </c>
      <c r="B6366" s="5" t="s">
        <v>6912</v>
      </c>
      <c r="C6366" s="5" t="s">
        <v>21</v>
      </c>
      <c r="K6366" s="5">
        <v>1300.0</v>
      </c>
      <c r="N6366" s="9">
        <v>43983.0</v>
      </c>
    </row>
    <row r="6367">
      <c r="A6367" s="5">
        <v>6366.0</v>
      </c>
      <c r="B6367" s="5" t="s">
        <v>6913</v>
      </c>
      <c r="C6367" s="5" t="s">
        <v>21</v>
      </c>
      <c r="K6367" s="5">
        <v>900.0</v>
      </c>
      <c r="N6367" s="9">
        <v>45554.0</v>
      </c>
    </row>
    <row r="6368">
      <c r="A6368" s="5">
        <v>6367.0</v>
      </c>
      <c r="B6368" s="5" t="s">
        <v>6914</v>
      </c>
      <c r="C6368" s="5" t="s">
        <v>21</v>
      </c>
      <c r="K6368" s="5">
        <v>200.0</v>
      </c>
      <c r="N6368" s="9">
        <v>44558.0</v>
      </c>
    </row>
    <row r="6369">
      <c r="A6369" s="5">
        <v>6368.0</v>
      </c>
      <c r="B6369" s="5" t="s">
        <v>6915</v>
      </c>
      <c r="C6369" s="5" t="s">
        <v>21</v>
      </c>
      <c r="K6369" s="5">
        <v>90.0</v>
      </c>
      <c r="N6369" s="9">
        <v>44767.0</v>
      </c>
    </row>
    <row r="6370">
      <c r="A6370" s="5">
        <v>6369.0</v>
      </c>
      <c r="B6370" s="5" t="s">
        <v>6916</v>
      </c>
      <c r="C6370" s="5" t="s">
        <v>21</v>
      </c>
      <c r="K6370" s="5">
        <v>40.0</v>
      </c>
      <c r="N6370" s="9">
        <v>45102.0</v>
      </c>
    </row>
    <row r="6371">
      <c r="A6371" s="5">
        <v>6370.0</v>
      </c>
      <c r="B6371" s="5" t="s">
        <v>6917</v>
      </c>
      <c r="C6371" s="5" t="s">
        <v>21</v>
      </c>
      <c r="K6371" s="5">
        <v>1000.0</v>
      </c>
      <c r="N6371" s="9">
        <v>44072.0</v>
      </c>
    </row>
    <row r="6372">
      <c r="A6372" s="5">
        <v>6371.0</v>
      </c>
      <c r="B6372" s="5" t="s">
        <v>6918</v>
      </c>
      <c r="C6372" s="5" t="s">
        <v>21</v>
      </c>
      <c r="K6372" s="5">
        <v>100.0</v>
      </c>
      <c r="N6372" s="9">
        <v>44953.0</v>
      </c>
    </row>
    <row r="6373">
      <c r="A6373" s="5">
        <v>6372.0</v>
      </c>
      <c r="B6373" s="5" t="s">
        <v>6919</v>
      </c>
      <c r="C6373" s="5" t="s">
        <v>21</v>
      </c>
      <c r="K6373" s="5">
        <v>100.0</v>
      </c>
      <c r="N6373" s="9">
        <v>45087.0</v>
      </c>
    </row>
    <row r="6374">
      <c r="A6374" s="5">
        <v>6373.0</v>
      </c>
      <c r="B6374" s="5" t="s">
        <v>6920</v>
      </c>
      <c r="C6374" s="5" t="s">
        <v>21</v>
      </c>
      <c r="K6374" s="5">
        <v>100.0</v>
      </c>
      <c r="N6374" s="9">
        <v>43886.0</v>
      </c>
    </row>
    <row r="6375">
      <c r="A6375" s="5">
        <v>6374.0</v>
      </c>
      <c r="B6375" s="5" t="s">
        <v>6921</v>
      </c>
      <c r="C6375" s="5" t="s">
        <v>21</v>
      </c>
      <c r="K6375" s="5">
        <v>70.0</v>
      </c>
      <c r="N6375" s="9">
        <v>44768.0</v>
      </c>
    </row>
    <row r="6376">
      <c r="A6376" s="5">
        <v>6375.0</v>
      </c>
      <c r="B6376" s="5" t="s">
        <v>6922</v>
      </c>
      <c r="C6376" s="5" t="s">
        <v>21</v>
      </c>
      <c r="K6376" s="5">
        <v>800.0</v>
      </c>
      <c r="N6376" s="9">
        <v>43845.0</v>
      </c>
    </row>
    <row r="6377">
      <c r="A6377" s="5">
        <v>6376.0</v>
      </c>
      <c r="B6377" s="5" t="s">
        <v>6923</v>
      </c>
      <c r="C6377" s="5" t="s">
        <v>21</v>
      </c>
      <c r="K6377" s="5">
        <v>2500.0</v>
      </c>
      <c r="N6377" s="9">
        <v>44581.0</v>
      </c>
    </row>
    <row r="6378">
      <c r="A6378" s="5">
        <v>6377.0</v>
      </c>
      <c r="B6378" s="5" t="s">
        <v>6924</v>
      </c>
      <c r="C6378" s="5" t="s">
        <v>21</v>
      </c>
      <c r="K6378" s="5">
        <v>150.0</v>
      </c>
      <c r="N6378" s="9">
        <v>45015.0</v>
      </c>
    </row>
    <row r="6379">
      <c r="A6379" s="5">
        <v>6378.0</v>
      </c>
      <c r="B6379" s="5" t="s">
        <v>6925</v>
      </c>
      <c r="C6379" s="5" t="s">
        <v>21</v>
      </c>
      <c r="K6379" s="5">
        <v>600.0</v>
      </c>
      <c r="N6379" s="9">
        <v>44804.0</v>
      </c>
    </row>
    <row r="6380">
      <c r="A6380" s="5">
        <v>6379.0</v>
      </c>
      <c r="B6380" s="5" t="s">
        <v>6926</v>
      </c>
      <c r="C6380" s="5" t="s">
        <v>21</v>
      </c>
      <c r="K6380" s="5">
        <v>450.0</v>
      </c>
      <c r="N6380" s="9">
        <v>44586.0</v>
      </c>
    </row>
    <row r="6381">
      <c r="A6381" s="5">
        <v>6380.0</v>
      </c>
      <c r="B6381" s="5" t="s">
        <v>6927</v>
      </c>
      <c r="C6381" s="5" t="s">
        <v>21</v>
      </c>
      <c r="K6381" s="5">
        <v>350.0</v>
      </c>
      <c r="N6381" s="9">
        <v>44325.0</v>
      </c>
    </row>
    <row r="6382">
      <c r="A6382" s="5">
        <v>6381.0</v>
      </c>
      <c r="B6382" s="5" t="s">
        <v>234</v>
      </c>
      <c r="C6382" s="5" t="s">
        <v>21</v>
      </c>
      <c r="K6382" s="5">
        <v>1000.0</v>
      </c>
      <c r="N6382" s="9">
        <v>44097.0</v>
      </c>
    </row>
    <row r="6383">
      <c r="A6383" s="5">
        <v>6382.0</v>
      </c>
      <c r="B6383" s="5" t="s">
        <v>6928</v>
      </c>
      <c r="C6383" s="5" t="s">
        <v>21</v>
      </c>
      <c r="K6383" s="5">
        <v>1400.0</v>
      </c>
      <c r="N6383" s="9">
        <v>44409.0</v>
      </c>
    </row>
    <row r="6384">
      <c r="A6384" s="5">
        <v>6383.0</v>
      </c>
      <c r="B6384" s="5" t="s">
        <v>6929</v>
      </c>
      <c r="C6384" s="5" t="s">
        <v>21</v>
      </c>
      <c r="K6384" s="5">
        <v>500.0</v>
      </c>
      <c r="N6384" s="9">
        <v>44532.0</v>
      </c>
    </row>
    <row r="6385">
      <c r="A6385" s="5">
        <v>6384.0</v>
      </c>
      <c r="B6385" s="5" t="s">
        <v>6930</v>
      </c>
      <c r="C6385" s="5" t="s">
        <v>21</v>
      </c>
      <c r="K6385" s="5">
        <v>1400.0</v>
      </c>
      <c r="N6385" s="9">
        <v>44407.0</v>
      </c>
    </row>
    <row r="6386">
      <c r="A6386" s="5">
        <v>6385.0</v>
      </c>
      <c r="B6386" s="5" t="s">
        <v>6931</v>
      </c>
      <c r="C6386" s="5" t="s">
        <v>21</v>
      </c>
      <c r="K6386" s="5">
        <v>500.0</v>
      </c>
      <c r="N6386" s="9">
        <v>44619.0</v>
      </c>
    </row>
    <row r="6387">
      <c r="A6387" s="5">
        <v>6386.0</v>
      </c>
      <c r="B6387" s="5" t="s">
        <v>6932</v>
      </c>
      <c r="C6387" s="5" t="s">
        <v>21</v>
      </c>
      <c r="K6387" s="5">
        <v>90.0</v>
      </c>
      <c r="N6387" s="9">
        <v>44258.0</v>
      </c>
    </row>
    <row r="6388">
      <c r="A6388" s="5">
        <v>6387.0</v>
      </c>
      <c r="B6388" s="5" t="s">
        <v>6933</v>
      </c>
      <c r="C6388" s="5" t="s">
        <v>21</v>
      </c>
      <c r="K6388" s="5">
        <v>20.0</v>
      </c>
      <c r="N6388" s="9">
        <v>44601.0</v>
      </c>
    </row>
    <row r="6389">
      <c r="A6389" s="5">
        <v>6388.0</v>
      </c>
      <c r="B6389" s="5" t="s">
        <v>6934</v>
      </c>
      <c r="C6389" s="5" t="s">
        <v>21</v>
      </c>
      <c r="N6389" s="9">
        <v>44442.0</v>
      </c>
    </row>
    <row r="6390">
      <c r="A6390" s="5">
        <v>6389.0</v>
      </c>
      <c r="B6390" s="5" t="s">
        <v>6935</v>
      </c>
      <c r="C6390" s="5" t="s">
        <v>21</v>
      </c>
      <c r="K6390" s="5">
        <v>450.0</v>
      </c>
      <c r="N6390" s="9">
        <v>44239.0</v>
      </c>
    </row>
    <row r="6391">
      <c r="A6391" s="5">
        <v>6390.0</v>
      </c>
      <c r="B6391" s="5" t="s">
        <v>6936</v>
      </c>
      <c r="C6391" s="5" t="s">
        <v>21</v>
      </c>
      <c r="K6391" s="5">
        <v>200.0</v>
      </c>
      <c r="N6391" s="9">
        <v>45086.0</v>
      </c>
    </row>
    <row r="6392">
      <c r="A6392" s="5">
        <v>6391.0</v>
      </c>
      <c r="B6392" s="5" t="s">
        <v>6937</v>
      </c>
      <c r="C6392" s="5" t="s">
        <v>21</v>
      </c>
      <c r="K6392" s="5">
        <v>200.0</v>
      </c>
      <c r="N6392" s="9">
        <v>44537.0</v>
      </c>
    </row>
    <row r="6393">
      <c r="A6393" s="5">
        <v>6392.0</v>
      </c>
      <c r="B6393" s="5" t="s">
        <v>6938</v>
      </c>
      <c r="C6393" s="5" t="s">
        <v>21</v>
      </c>
      <c r="K6393" s="5">
        <v>150.0</v>
      </c>
      <c r="N6393" s="9">
        <v>44528.0</v>
      </c>
    </row>
    <row r="6394">
      <c r="A6394" s="5">
        <v>6393.0</v>
      </c>
      <c r="B6394" s="5" t="s">
        <v>6939</v>
      </c>
      <c r="C6394" s="5" t="s">
        <v>21</v>
      </c>
      <c r="K6394" s="5">
        <v>250.0</v>
      </c>
      <c r="N6394" s="9">
        <v>45074.0</v>
      </c>
    </row>
    <row r="6395">
      <c r="A6395" s="5">
        <v>6394.0</v>
      </c>
      <c r="B6395" s="5" t="s">
        <v>6940</v>
      </c>
      <c r="C6395" s="5" t="s">
        <v>21</v>
      </c>
      <c r="K6395" s="5">
        <v>1000.0</v>
      </c>
      <c r="N6395" s="9">
        <v>44580.0</v>
      </c>
    </row>
    <row r="6396">
      <c r="A6396" s="5">
        <v>6395.0</v>
      </c>
      <c r="B6396" s="5" t="s">
        <v>6941</v>
      </c>
      <c r="C6396" s="5" t="s">
        <v>21</v>
      </c>
      <c r="K6396" s="5">
        <v>250.0</v>
      </c>
      <c r="N6396" s="9">
        <v>44620.0</v>
      </c>
    </row>
    <row r="6397">
      <c r="A6397" s="5">
        <v>6396.0</v>
      </c>
      <c r="B6397" s="5" t="s">
        <v>6942</v>
      </c>
      <c r="C6397" s="5" t="s">
        <v>21</v>
      </c>
      <c r="K6397" s="5">
        <v>2300.0</v>
      </c>
      <c r="N6397" s="9">
        <v>44227.0</v>
      </c>
    </row>
    <row r="6398">
      <c r="A6398" s="5">
        <v>6397.0</v>
      </c>
      <c r="B6398" s="5" t="s">
        <v>6943</v>
      </c>
      <c r="C6398" s="5" t="s">
        <v>21</v>
      </c>
      <c r="K6398" s="5">
        <v>12000.0</v>
      </c>
      <c r="N6398" s="9">
        <v>46095.0</v>
      </c>
    </row>
    <row r="6399">
      <c r="A6399" s="5">
        <v>6398.0</v>
      </c>
      <c r="B6399" s="5" t="s">
        <v>6944</v>
      </c>
      <c r="C6399" s="5" t="s">
        <v>21</v>
      </c>
      <c r="K6399" s="5">
        <v>1000.0</v>
      </c>
      <c r="N6399" s="9">
        <v>44115.0</v>
      </c>
    </row>
    <row r="6400">
      <c r="A6400" s="5">
        <v>6399.0</v>
      </c>
      <c r="B6400" s="5" t="s">
        <v>6945</v>
      </c>
      <c r="C6400" s="5" t="s">
        <v>21</v>
      </c>
      <c r="K6400" s="5">
        <v>300.0</v>
      </c>
      <c r="N6400" s="9">
        <v>44662.0</v>
      </c>
    </row>
    <row r="6401">
      <c r="A6401" s="5">
        <v>6400.0</v>
      </c>
      <c r="B6401" s="5" t="s">
        <v>6946</v>
      </c>
      <c r="C6401" s="5" t="s">
        <v>21</v>
      </c>
      <c r="N6401" s="9">
        <v>44617.0</v>
      </c>
    </row>
    <row r="6402">
      <c r="A6402" s="5">
        <v>6401.0</v>
      </c>
      <c r="B6402" s="5" t="s">
        <v>6947</v>
      </c>
      <c r="C6402" s="5" t="s">
        <v>21</v>
      </c>
      <c r="K6402" s="5">
        <v>250.0</v>
      </c>
      <c r="N6402" s="9">
        <v>43873.0</v>
      </c>
    </row>
    <row r="6403">
      <c r="A6403" s="5">
        <v>6402.0</v>
      </c>
      <c r="B6403" s="5" t="s">
        <v>6948</v>
      </c>
      <c r="C6403" s="5" t="s">
        <v>21</v>
      </c>
      <c r="K6403" s="5">
        <v>60.0</v>
      </c>
      <c r="N6403" s="9">
        <v>44720.0</v>
      </c>
    </row>
    <row r="6404">
      <c r="A6404" s="5">
        <v>6403.0</v>
      </c>
      <c r="B6404" s="5" t="s">
        <v>6949</v>
      </c>
      <c r="C6404" s="5" t="s">
        <v>21</v>
      </c>
      <c r="K6404" s="5">
        <v>250.0</v>
      </c>
      <c r="N6404" s="9">
        <v>43906.0</v>
      </c>
    </row>
    <row r="6405">
      <c r="A6405" s="5">
        <v>6404.0</v>
      </c>
      <c r="B6405" s="5" t="s">
        <v>6950</v>
      </c>
      <c r="C6405" s="5" t="s">
        <v>21</v>
      </c>
      <c r="K6405" s="5">
        <v>1300.0</v>
      </c>
      <c r="N6405" s="9">
        <v>44544.0</v>
      </c>
    </row>
    <row r="6406">
      <c r="A6406" s="5">
        <v>6405.0</v>
      </c>
      <c r="B6406" s="5" t="s">
        <v>6951</v>
      </c>
      <c r="C6406" s="5" t="s">
        <v>21</v>
      </c>
      <c r="K6406" s="5">
        <v>1800.0</v>
      </c>
      <c r="N6406" s="9">
        <v>44451.0</v>
      </c>
    </row>
    <row r="6407">
      <c r="A6407" s="5">
        <v>6406.0</v>
      </c>
      <c r="B6407" s="5" t="s">
        <v>6952</v>
      </c>
      <c r="C6407" s="5" t="s">
        <v>21</v>
      </c>
      <c r="K6407" s="5">
        <v>10.0</v>
      </c>
      <c r="N6407" s="9">
        <v>44532.0</v>
      </c>
    </row>
    <row r="6408">
      <c r="A6408" s="5">
        <v>6407.0</v>
      </c>
      <c r="B6408" s="5" t="s">
        <v>6953</v>
      </c>
      <c r="C6408" s="5" t="s">
        <v>21</v>
      </c>
      <c r="N6408" s="9">
        <v>44528.0</v>
      </c>
    </row>
    <row r="6409">
      <c r="A6409" s="5">
        <v>6408.0</v>
      </c>
      <c r="B6409" s="5" t="s">
        <v>6954</v>
      </c>
      <c r="C6409" s="5" t="s">
        <v>21</v>
      </c>
      <c r="K6409" s="5">
        <v>300.0</v>
      </c>
      <c r="N6409" s="9">
        <v>44528.0</v>
      </c>
    </row>
    <row r="6410">
      <c r="A6410" s="5">
        <v>6409.0</v>
      </c>
      <c r="B6410" s="5" t="s">
        <v>6955</v>
      </c>
      <c r="C6410" s="5" t="s">
        <v>21</v>
      </c>
      <c r="K6410" s="5">
        <v>40.0</v>
      </c>
      <c r="N6410" s="9">
        <v>45046.0</v>
      </c>
    </row>
    <row r="6411">
      <c r="A6411" s="5">
        <v>6410.0</v>
      </c>
      <c r="B6411" s="5" t="s">
        <v>6956</v>
      </c>
      <c r="C6411" s="5" t="s">
        <v>21</v>
      </c>
      <c r="K6411" s="5">
        <v>250.0</v>
      </c>
      <c r="N6411" s="9">
        <v>44655.0</v>
      </c>
    </row>
    <row r="6412">
      <c r="A6412" s="5">
        <v>6411.0</v>
      </c>
      <c r="B6412" s="5" t="s">
        <v>6957</v>
      </c>
      <c r="C6412" s="5" t="s">
        <v>21</v>
      </c>
      <c r="K6412" s="5">
        <v>400.0</v>
      </c>
      <c r="N6412" s="9">
        <v>44540.0</v>
      </c>
    </row>
    <row r="6413">
      <c r="A6413" s="5">
        <v>6412.0</v>
      </c>
      <c r="B6413" s="5" t="s">
        <v>6958</v>
      </c>
      <c r="C6413" s="5" t="s">
        <v>21</v>
      </c>
      <c r="K6413" s="5">
        <v>3400.0</v>
      </c>
      <c r="N6413" s="9">
        <v>44341.0</v>
      </c>
    </row>
    <row r="6414">
      <c r="A6414" s="5">
        <v>6413.0</v>
      </c>
      <c r="B6414" s="5" t="s">
        <v>6959</v>
      </c>
      <c r="C6414" s="5" t="s">
        <v>21</v>
      </c>
      <c r="K6414" s="5">
        <v>1000.0</v>
      </c>
      <c r="N6414" s="9">
        <v>44754.0</v>
      </c>
    </row>
    <row r="6415">
      <c r="A6415" s="5">
        <v>6414.0</v>
      </c>
      <c r="B6415" s="5" t="s">
        <v>6960</v>
      </c>
      <c r="C6415" s="5" t="s">
        <v>21</v>
      </c>
      <c r="K6415" s="5">
        <v>44000.0</v>
      </c>
      <c r="N6415" s="9">
        <v>43845.0</v>
      </c>
    </row>
    <row r="6416">
      <c r="A6416" s="5">
        <v>6415.0</v>
      </c>
      <c r="B6416" s="5" t="s">
        <v>6961</v>
      </c>
      <c r="C6416" s="5" t="s">
        <v>21</v>
      </c>
      <c r="K6416" s="5">
        <v>350.0</v>
      </c>
      <c r="N6416" s="9">
        <v>44943.0</v>
      </c>
    </row>
    <row r="6417">
      <c r="A6417" s="5">
        <v>6416.0</v>
      </c>
      <c r="B6417" s="5" t="s">
        <v>6962</v>
      </c>
      <c r="C6417" s="5" t="s">
        <v>21</v>
      </c>
      <c r="K6417" s="5">
        <v>70.0</v>
      </c>
      <c r="N6417" s="9">
        <v>44147.0</v>
      </c>
    </row>
    <row r="6418">
      <c r="A6418" s="5">
        <v>6417.0</v>
      </c>
      <c r="B6418" s="5" t="s">
        <v>6963</v>
      </c>
      <c r="C6418" s="5" t="s">
        <v>21</v>
      </c>
      <c r="K6418" s="5">
        <v>200.0</v>
      </c>
      <c r="N6418" s="9">
        <v>44864.0</v>
      </c>
    </row>
    <row r="6419">
      <c r="A6419" s="5">
        <v>6418.0</v>
      </c>
      <c r="B6419" s="5" t="s">
        <v>6964</v>
      </c>
      <c r="C6419" s="5" t="s">
        <v>21</v>
      </c>
      <c r="K6419" s="5">
        <v>150.0</v>
      </c>
      <c r="N6419" s="9">
        <v>44679.0</v>
      </c>
    </row>
    <row r="6420">
      <c r="A6420" s="5">
        <v>6419.0</v>
      </c>
      <c r="B6420" s="5" t="s">
        <v>6965</v>
      </c>
      <c r="C6420" s="5" t="s">
        <v>21</v>
      </c>
      <c r="K6420" s="5">
        <v>30.0</v>
      </c>
      <c r="N6420" s="9">
        <v>43974.0</v>
      </c>
    </row>
    <row r="6421">
      <c r="A6421" s="5">
        <v>6420.0</v>
      </c>
      <c r="B6421" s="5" t="s">
        <v>6966</v>
      </c>
      <c r="C6421" s="5" t="s">
        <v>21</v>
      </c>
      <c r="K6421" s="5">
        <v>100.0</v>
      </c>
      <c r="N6421" s="9">
        <v>44678.0</v>
      </c>
    </row>
    <row r="6422">
      <c r="A6422" s="5">
        <v>6421.0</v>
      </c>
      <c r="B6422" s="5" t="s">
        <v>6967</v>
      </c>
      <c r="C6422" s="5" t="s">
        <v>21</v>
      </c>
      <c r="K6422" s="5">
        <v>450.0</v>
      </c>
      <c r="N6422" s="9">
        <v>43948.0</v>
      </c>
    </row>
    <row r="6423">
      <c r="A6423" s="5">
        <v>6422.0</v>
      </c>
      <c r="B6423" s="5" t="s">
        <v>6968</v>
      </c>
      <c r="C6423" s="5" t="s">
        <v>21</v>
      </c>
      <c r="K6423" s="5">
        <v>60.0</v>
      </c>
      <c r="N6423" s="9">
        <v>44565.0</v>
      </c>
    </row>
    <row r="6424">
      <c r="A6424" s="5">
        <v>6423.0</v>
      </c>
      <c r="B6424" s="5" t="s">
        <v>6969</v>
      </c>
      <c r="C6424" s="5" t="s">
        <v>21</v>
      </c>
      <c r="K6424" s="5">
        <v>150.0</v>
      </c>
      <c r="N6424" s="9">
        <v>44644.0</v>
      </c>
    </row>
    <row r="6425">
      <c r="A6425" s="5">
        <v>6424.0</v>
      </c>
      <c r="B6425" s="5" t="s">
        <v>6970</v>
      </c>
      <c r="C6425" s="5" t="s">
        <v>21</v>
      </c>
      <c r="K6425" s="5">
        <v>81000.0</v>
      </c>
      <c r="N6425" s="9">
        <v>43862.0</v>
      </c>
    </row>
    <row r="6426">
      <c r="A6426" s="5">
        <v>6425.0</v>
      </c>
      <c r="B6426" s="5" t="s">
        <v>6971</v>
      </c>
      <c r="C6426" s="5" t="s">
        <v>21</v>
      </c>
      <c r="K6426" s="5">
        <v>7500.0</v>
      </c>
      <c r="N6426" s="9">
        <v>44117.0</v>
      </c>
    </row>
    <row r="6427">
      <c r="A6427" s="5">
        <v>6426.0</v>
      </c>
      <c r="B6427" s="5" t="s">
        <v>6972</v>
      </c>
      <c r="C6427" s="5" t="s">
        <v>21</v>
      </c>
      <c r="N6427" s="9">
        <v>44518.0</v>
      </c>
    </row>
    <row r="6428">
      <c r="A6428" s="5">
        <v>6427.0</v>
      </c>
      <c r="B6428" s="5" t="s">
        <v>6973</v>
      </c>
      <c r="C6428" s="5" t="s">
        <v>21</v>
      </c>
      <c r="K6428" s="5">
        <v>900.0</v>
      </c>
      <c r="N6428" s="9">
        <v>44042.0</v>
      </c>
    </row>
    <row r="6429">
      <c r="A6429" s="5">
        <v>6428.0</v>
      </c>
      <c r="B6429" s="5" t="s">
        <v>6974</v>
      </c>
      <c r="C6429" s="5" t="s">
        <v>21</v>
      </c>
      <c r="K6429" s="5">
        <v>7400.0</v>
      </c>
      <c r="N6429" s="9">
        <v>44065.0</v>
      </c>
    </row>
    <row r="6430">
      <c r="A6430" s="5">
        <v>6429.0</v>
      </c>
      <c r="B6430" s="5" t="s">
        <v>6975</v>
      </c>
      <c r="C6430" s="5" t="s">
        <v>21</v>
      </c>
      <c r="K6430" s="5">
        <v>450.0</v>
      </c>
      <c r="N6430" s="9">
        <v>45225.0</v>
      </c>
    </row>
    <row r="6431">
      <c r="A6431" s="5">
        <v>6430.0</v>
      </c>
      <c r="B6431" s="5" t="s">
        <v>6976</v>
      </c>
      <c r="C6431" s="5" t="s">
        <v>21</v>
      </c>
      <c r="K6431" s="5">
        <v>1700.0</v>
      </c>
      <c r="N6431" s="9">
        <v>44120.0</v>
      </c>
    </row>
    <row r="6432">
      <c r="A6432" s="5">
        <v>6431.0</v>
      </c>
      <c r="B6432" s="5" t="s">
        <v>6977</v>
      </c>
      <c r="C6432" s="5" t="s">
        <v>21</v>
      </c>
      <c r="K6432" s="5">
        <v>1500.0</v>
      </c>
      <c r="N6432" s="9">
        <v>44537.0</v>
      </c>
    </row>
    <row r="6433">
      <c r="A6433" s="5">
        <v>6432.0</v>
      </c>
      <c r="B6433" s="5" t="s">
        <v>6978</v>
      </c>
      <c r="C6433" s="5" t="s">
        <v>21</v>
      </c>
      <c r="K6433" s="5">
        <v>250.0</v>
      </c>
      <c r="N6433" s="9">
        <v>44534.0</v>
      </c>
    </row>
    <row r="6434">
      <c r="A6434" s="5">
        <v>6433.0</v>
      </c>
      <c r="B6434" s="5" t="s">
        <v>6979</v>
      </c>
      <c r="C6434" s="5" t="s">
        <v>21</v>
      </c>
      <c r="K6434" s="5">
        <v>150.0</v>
      </c>
      <c r="N6434" s="9">
        <v>45140.0</v>
      </c>
    </row>
    <row r="6435">
      <c r="A6435" s="5">
        <v>6434.0</v>
      </c>
      <c r="B6435" s="5" t="s">
        <v>6980</v>
      </c>
      <c r="C6435" s="5" t="s">
        <v>21</v>
      </c>
      <c r="K6435" s="5">
        <v>500.0</v>
      </c>
      <c r="N6435" s="9">
        <v>44480.0</v>
      </c>
    </row>
    <row r="6436">
      <c r="A6436" s="5">
        <v>6435.0</v>
      </c>
      <c r="B6436" s="5" t="s">
        <v>6981</v>
      </c>
      <c r="C6436" s="5" t="s">
        <v>21</v>
      </c>
      <c r="K6436" s="5">
        <v>4900.0</v>
      </c>
      <c r="N6436" s="9">
        <v>44569.0</v>
      </c>
    </row>
    <row r="6437">
      <c r="A6437" s="5">
        <v>6436.0</v>
      </c>
      <c r="B6437" s="5" t="s">
        <v>6982</v>
      </c>
      <c r="C6437" s="5" t="s">
        <v>21</v>
      </c>
      <c r="K6437" s="5">
        <v>1100.0</v>
      </c>
      <c r="N6437" s="9">
        <v>44867.0</v>
      </c>
    </row>
    <row r="6438">
      <c r="A6438" s="5">
        <v>6437.0</v>
      </c>
      <c r="B6438" s="5" t="s">
        <v>6983</v>
      </c>
      <c r="C6438" s="5" t="s">
        <v>21</v>
      </c>
      <c r="K6438" s="5">
        <v>1900.0</v>
      </c>
      <c r="N6438" s="9">
        <v>43848.0</v>
      </c>
    </row>
    <row r="6439">
      <c r="A6439" s="5">
        <v>6438.0</v>
      </c>
      <c r="B6439" s="5" t="s">
        <v>6984</v>
      </c>
      <c r="C6439" s="5" t="s">
        <v>21</v>
      </c>
      <c r="K6439" s="5">
        <v>150.0</v>
      </c>
      <c r="N6439" s="9">
        <v>45070.0</v>
      </c>
    </row>
    <row r="6440">
      <c r="A6440" s="5">
        <v>6439.0</v>
      </c>
      <c r="B6440" s="5" t="s">
        <v>6985</v>
      </c>
      <c r="C6440" s="5" t="s">
        <v>21</v>
      </c>
      <c r="K6440" s="5">
        <v>100.0</v>
      </c>
      <c r="N6440" s="9">
        <v>45194.0</v>
      </c>
    </row>
    <row r="6441">
      <c r="A6441" s="5">
        <v>6440.0</v>
      </c>
      <c r="B6441" s="5" t="s">
        <v>6986</v>
      </c>
      <c r="C6441" s="5" t="s">
        <v>21</v>
      </c>
      <c r="K6441" s="5">
        <v>20.0</v>
      </c>
      <c r="N6441" s="9">
        <v>44920.0</v>
      </c>
    </row>
    <row r="6442">
      <c r="A6442" s="5">
        <v>6441.0</v>
      </c>
      <c r="B6442" s="5" t="s">
        <v>6987</v>
      </c>
      <c r="C6442" s="5" t="s">
        <v>21</v>
      </c>
      <c r="K6442" s="5">
        <v>20.0</v>
      </c>
      <c r="N6442" s="9">
        <v>44149.0</v>
      </c>
    </row>
    <row r="6443">
      <c r="A6443" s="5">
        <v>6442.0</v>
      </c>
      <c r="B6443" s="5" t="s">
        <v>6988</v>
      </c>
      <c r="C6443" s="5" t="s">
        <v>21</v>
      </c>
      <c r="K6443" s="5">
        <v>50.0</v>
      </c>
      <c r="N6443" s="9">
        <v>45593.0</v>
      </c>
    </row>
    <row r="6444">
      <c r="A6444" s="5">
        <v>6443.0</v>
      </c>
      <c r="B6444" s="5" t="s">
        <v>6989</v>
      </c>
      <c r="C6444" s="5" t="s">
        <v>21</v>
      </c>
      <c r="K6444" s="5">
        <v>800.0</v>
      </c>
      <c r="N6444" s="9">
        <v>45052.0</v>
      </c>
    </row>
    <row r="6445">
      <c r="A6445" s="5">
        <v>6444.0</v>
      </c>
      <c r="B6445" s="5" t="s">
        <v>6990</v>
      </c>
      <c r="C6445" s="5" t="s">
        <v>21</v>
      </c>
      <c r="K6445" s="5">
        <v>2600.0</v>
      </c>
      <c r="N6445" s="9">
        <v>44116.0</v>
      </c>
    </row>
    <row r="6446">
      <c r="A6446" s="5">
        <v>6445.0</v>
      </c>
      <c r="B6446" s="5" t="s">
        <v>6991</v>
      </c>
      <c r="C6446" s="5" t="s">
        <v>21</v>
      </c>
      <c r="K6446" s="5">
        <v>400.0</v>
      </c>
      <c r="N6446" s="9">
        <v>45005.0</v>
      </c>
    </row>
    <row r="6447">
      <c r="A6447" s="5">
        <v>6446.0</v>
      </c>
      <c r="B6447" s="5" t="s">
        <v>6992</v>
      </c>
      <c r="C6447" s="5" t="s">
        <v>21</v>
      </c>
      <c r="K6447" s="5">
        <v>80.0</v>
      </c>
      <c r="N6447" s="9">
        <v>45564.0</v>
      </c>
    </row>
    <row r="6448">
      <c r="A6448" s="5">
        <v>6447.0</v>
      </c>
      <c r="B6448" s="5" t="s">
        <v>6993</v>
      </c>
      <c r="C6448" s="5" t="s">
        <v>21</v>
      </c>
      <c r="K6448" s="5">
        <v>200.0</v>
      </c>
      <c r="N6448" s="9">
        <v>44581.0</v>
      </c>
    </row>
    <row r="6449">
      <c r="A6449" s="5">
        <v>6448.0</v>
      </c>
      <c r="B6449" s="5" t="s">
        <v>6994</v>
      </c>
      <c r="C6449" s="5" t="s">
        <v>21</v>
      </c>
      <c r="K6449" s="5">
        <v>1600.0</v>
      </c>
      <c r="N6449" s="9">
        <v>45304.0</v>
      </c>
    </row>
    <row r="6450">
      <c r="A6450" s="5">
        <v>6449.0</v>
      </c>
      <c r="B6450" s="5" t="s">
        <v>6995</v>
      </c>
      <c r="C6450" s="5" t="s">
        <v>21</v>
      </c>
      <c r="K6450" s="5">
        <v>30.0</v>
      </c>
      <c r="N6450" s="9">
        <v>44850.0</v>
      </c>
    </row>
    <row r="6451">
      <c r="A6451" s="5">
        <v>6450.0</v>
      </c>
      <c r="B6451" s="5" t="s">
        <v>6996</v>
      </c>
      <c r="C6451" s="5" t="s">
        <v>21</v>
      </c>
      <c r="K6451" s="5">
        <v>300.0</v>
      </c>
      <c r="N6451" s="9">
        <v>45221.0</v>
      </c>
    </row>
    <row r="6452">
      <c r="A6452" s="5">
        <v>6451.0</v>
      </c>
      <c r="B6452" s="5" t="s">
        <v>6997</v>
      </c>
      <c r="C6452" s="5" t="s">
        <v>21</v>
      </c>
      <c r="K6452" s="5">
        <v>700.0</v>
      </c>
      <c r="N6452" s="9">
        <v>44530.0</v>
      </c>
    </row>
    <row r="6453">
      <c r="A6453" s="5">
        <v>6452.0</v>
      </c>
      <c r="B6453" s="5" t="s">
        <v>6998</v>
      </c>
      <c r="C6453" s="5" t="s">
        <v>21</v>
      </c>
      <c r="K6453" s="5">
        <v>450.0</v>
      </c>
      <c r="N6453" s="9">
        <v>44474.0</v>
      </c>
    </row>
    <row r="6454">
      <c r="A6454" s="5">
        <v>6453.0</v>
      </c>
      <c r="B6454" s="5" t="s">
        <v>6999</v>
      </c>
      <c r="C6454" s="5" t="s">
        <v>21</v>
      </c>
      <c r="K6454" s="5">
        <v>150.0</v>
      </c>
      <c r="N6454" s="9">
        <v>44071.0</v>
      </c>
    </row>
    <row r="6455">
      <c r="A6455" s="5">
        <v>6454.0</v>
      </c>
      <c r="B6455" s="5" t="s">
        <v>7000</v>
      </c>
      <c r="C6455" s="5" t="s">
        <v>21</v>
      </c>
      <c r="K6455" s="5">
        <v>250.0</v>
      </c>
      <c r="N6455" s="9">
        <v>45365.0</v>
      </c>
    </row>
    <row r="6456">
      <c r="A6456" s="5">
        <v>6455.0</v>
      </c>
      <c r="B6456" s="5" t="s">
        <v>7001</v>
      </c>
      <c r="C6456" s="5" t="s">
        <v>21</v>
      </c>
      <c r="K6456" s="5">
        <v>150.0</v>
      </c>
      <c r="N6456" s="9">
        <v>44556.0</v>
      </c>
    </row>
    <row r="6457">
      <c r="A6457" s="5">
        <v>6456.0</v>
      </c>
      <c r="B6457" s="5" t="s">
        <v>7002</v>
      </c>
      <c r="C6457" s="5" t="s">
        <v>21</v>
      </c>
      <c r="K6457" s="5">
        <v>50.0</v>
      </c>
      <c r="N6457" s="9">
        <v>44163.0</v>
      </c>
    </row>
    <row r="6458">
      <c r="A6458" s="5">
        <v>6457.0</v>
      </c>
      <c r="B6458" s="5" t="s">
        <v>7003</v>
      </c>
      <c r="C6458" s="5" t="s">
        <v>21</v>
      </c>
      <c r="K6458" s="5">
        <v>50.0</v>
      </c>
      <c r="N6458" s="9">
        <v>45575.0</v>
      </c>
    </row>
    <row r="6459">
      <c r="A6459" s="5">
        <v>6458.0</v>
      </c>
      <c r="B6459" s="5" t="s">
        <v>7004</v>
      </c>
      <c r="C6459" s="5" t="s">
        <v>21</v>
      </c>
      <c r="K6459" s="5">
        <v>700.0</v>
      </c>
      <c r="N6459" s="9">
        <v>44969.0</v>
      </c>
    </row>
    <row r="6460">
      <c r="A6460" s="5">
        <v>6459.0</v>
      </c>
      <c r="B6460" s="5" t="s">
        <v>7005</v>
      </c>
      <c r="C6460" s="5" t="s">
        <v>21</v>
      </c>
      <c r="K6460" s="5">
        <v>600.0</v>
      </c>
      <c r="N6460" s="9">
        <v>45279.0</v>
      </c>
    </row>
    <row r="6461">
      <c r="A6461" s="5">
        <v>6460.0</v>
      </c>
      <c r="B6461" s="5" t="s">
        <v>7006</v>
      </c>
      <c r="C6461" s="5" t="s">
        <v>21</v>
      </c>
      <c r="K6461" s="5">
        <v>700.0</v>
      </c>
      <c r="N6461" s="9">
        <v>44626.0</v>
      </c>
    </row>
    <row r="6462">
      <c r="A6462" s="5">
        <v>6461.0</v>
      </c>
      <c r="B6462" s="5" t="s">
        <v>7007</v>
      </c>
      <c r="C6462" s="5" t="s">
        <v>21</v>
      </c>
      <c r="K6462" s="5">
        <v>70.0</v>
      </c>
      <c r="N6462" s="9">
        <v>45562.0</v>
      </c>
    </row>
    <row r="6463">
      <c r="A6463" s="5">
        <v>6462.0</v>
      </c>
      <c r="B6463" s="5" t="s">
        <v>7008</v>
      </c>
      <c r="C6463" s="5" t="s">
        <v>21</v>
      </c>
      <c r="K6463" s="5">
        <v>1100.0</v>
      </c>
      <c r="N6463" s="9">
        <v>44588.0</v>
      </c>
    </row>
    <row r="6464">
      <c r="A6464" s="5">
        <v>6463.0</v>
      </c>
      <c r="B6464" s="5" t="s">
        <v>7009</v>
      </c>
      <c r="C6464" s="5" t="s">
        <v>21</v>
      </c>
      <c r="K6464" s="5">
        <v>60.0</v>
      </c>
      <c r="N6464" s="9">
        <v>44590.0</v>
      </c>
    </row>
    <row r="6465">
      <c r="A6465" s="5">
        <v>6464.0</v>
      </c>
      <c r="B6465" s="5" t="s">
        <v>7010</v>
      </c>
      <c r="C6465" s="5" t="s">
        <v>21</v>
      </c>
      <c r="N6465" s="9">
        <v>45199.0</v>
      </c>
    </row>
    <row r="6466">
      <c r="A6466" s="5">
        <v>6465.0</v>
      </c>
      <c r="B6466" s="5" t="s">
        <v>7011</v>
      </c>
      <c r="C6466" s="5" t="s">
        <v>21</v>
      </c>
      <c r="K6466" s="5">
        <v>100.0</v>
      </c>
      <c r="N6466" s="9">
        <v>44471.0</v>
      </c>
    </row>
    <row r="6467">
      <c r="A6467" s="5">
        <v>6466.0</v>
      </c>
      <c r="B6467" s="5" t="s">
        <v>7012</v>
      </c>
      <c r="C6467" s="5" t="s">
        <v>21</v>
      </c>
      <c r="K6467" s="5">
        <v>300.0</v>
      </c>
      <c r="N6467" s="9">
        <v>43879.0</v>
      </c>
    </row>
    <row r="6468">
      <c r="A6468" s="5">
        <v>6467.0</v>
      </c>
      <c r="B6468" s="5" t="s">
        <v>7013</v>
      </c>
      <c r="C6468" s="5" t="s">
        <v>21</v>
      </c>
      <c r="K6468" s="5">
        <v>150.0</v>
      </c>
      <c r="N6468" s="9">
        <v>44538.0</v>
      </c>
    </row>
    <row r="6469">
      <c r="A6469" s="5">
        <v>6468.0</v>
      </c>
      <c r="B6469" s="5" t="s">
        <v>7014</v>
      </c>
      <c r="C6469" s="5" t="s">
        <v>21</v>
      </c>
      <c r="K6469" s="5">
        <v>1000.0</v>
      </c>
      <c r="N6469" s="9">
        <v>44661.0</v>
      </c>
    </row>
    <row r="6470">
      <c r="A6470" s="5">
        <v>6469.0</v>
      </c>
      <c r="B6470" s="5" t="s">
        <v>7015</v>
      </c>
      <c r="C6470" s="5" t="s">
        <v>21</v>
      </c>
      <c r="N6470" s="9">
        <v>44627.0</v>
      </c>
    </row>
    <row r="6471">
      <c r="A6471" s="5">
        <v>6470.0</v>
      </c>
      <c r="B6471" s="5" t="s">
        <v>7016</v>
      </c>
      <c r="C6471" s="5" t="s">
        <v>21</v>
      </c>
      <c r="N6471" s="9">
        <v>44519.0</v>
      </c>
    </row>
    <row r="6472">
      <c r="A6472" s="5">
        <v>6471.0</v>
      </c>
      <c r="B6472" s="5" t="s">
        <v>7017</v>
      </c>
      <c r="C6472" s="5" t="s">
        <v>21</v>
      </c>
      <c r="K6472" s="5">
        <v>1200.0</v>
      </c>
      <c r="N6472" s="9">
        <v>44487.0</v>
      </c>
    </row>
    <row r="6473">
      <c r="A6473" s="5">
        <v>6472.0</v>
      </c>
      <c r="B6473" s="5" t="s">
        <v>7018</v>
      </c>
      <c r="C6473" s="5" t="s">
        <v>21</v>
      </c>
      <c r="K6473" s="5">
        <v>50.0</v>
      </c>
      <c r="N6473" s="9">
        <v>44605.0</v>
      </c>
    </row>
    <row r="6474">
      <c r="A6474" s="5">
        <v>6473.0</v>
      </c>
      <c r="B6474" s="5" t="s">
        <v>7019</v>
      </c>
      <c r="C6474" s="5" t="s">
        <v>21</v>
      </c>
      <c r="K6474" s="5">
        <v>400.0</v>
      </c>
      <c r="N6474" s="9">
        <v>44326.0</v>
      </c>
    </row>
    <row r="6475">
      <c r="A6475" s="5">
        <v>6474.0</v>
      </c>
      <c r="B6475" s="5" t="s">
        <v>7020</v>
      </c>
      <c r="C6475" s="5" t="s">
        <v>21</v>
      </c>
      <c r="K6475" s="5">
        <v>200.0</v>
      </c>
      <c r="N6475" s="9">
        <v>44516.0</v>
      </c>
    </row>
    <row r="6476">
      <c r="A6476" s="5">
        <v>6475.0</v>
      </c>
      <c r="B6476" s="5" t="s">
        <v>7021</v>
      </c>
      <c r="C6476" s="5" t="s">
        <v>21</v>
      </c>
      <c r="K6476" s="5">
        <v>350.0</v>
      </c>
      <c r="N6476" s="9">
        <v>44087.0</v>
      </c>
    </row>
    <row r="6477">
      <c r="A6477" s="5">
        <v>6476.0</v>
      </c>
      <c r="B6477" s="5" t="s">
        <v>7022</v>
      </c>
      <c r="C6477" s="5" t="s">
        <v>21</v>
      </c>
      <c r="K6477" s="5">
        <v>300.0</v>
      </c>
      <c r="N6477" s="9">
        <v>44850.0</v>
      </c>
    </row>
    <row r="6478">
      <c r="A6478" s="5">
        <v>6477.0</v>
      </c>
      <c r="B6478" s="5" t="s">
        <v>7023</v>
      </c>
      <c r="C6478" s="5" t="s">
        <v>21</v>
      </c>
      <c r="K6478" s="5">
        <v>90.0</v>
      </c>
      <c r="N6478" s="9">
        <v>44560.0</v>
      </c>
    </row>
    <row r="6479">
      <c r="A6479" s="5">
        <v>6478.0</v>
      </c>
      <c r="B6479" s="5" t="s">
        <v>7024</v>
      </c>
      <c r="C6479" s="5" t="s">
        <v>21</v>
      </c>
      <c r="K6479" s="5">
        <v>500.0</v>
      </c>
      <c r="N6479" s="9">
        <v>45594.0</v>
      </c>
    </row>
    <row r="6480">
      <c r="A6480" s="5">
        <v>6479.0</v>
      </c>
      <c r="B6480" s="5" t="s">
        <v>7025</v>
      </c>
      <c r="C6480" s="5" t="s">
        <v>21</v>
      </c>
      <c r="K6480" s="5">
        <v>3000.0</v>
      </c>
      <c r="N6480" s="9">
        <v>44721.0</v>
      </c>
    </row>
    <row r="6481">
      <c r="A6481" s="5">
        <v>6480.0</v>
      </c>
      <c r="B6481" s="5" t="s">
        <v>7026</v>
      </c>
      <c r="C6481" s="5" t="s">
        <v>21</v>
      </c>
      <c r="K6481" s="5">
        <v>200.0</v>
      </c>
      <c r="N6481" s="9">
        <v>44681.0</v>
      </c>
    </row>
    <row r="6482">
      <c r="A6482" s="5">
        <v>6481.0</v>
      </c>
      <c r="B6482" s="5" t="s">
        <v>7027</v>
      </c>
      <c r="C6482" s="5" t="s">
        <v>21</v>
      </c>
      <c r="N6482" s="9">
        <v>43879.0</v>
      </c>
    </row>
    <row r="6483">
      <c r="A6483" s="5">
        <v>6482.0</v>
      </c>
      <c r="B6483" s="5" t="s">
        <v>7028</v>
      </c>
      <c r="C6483" s="5" t="s">
        <v>21</v>
      </c>
      <c r="K6483" s="5">
        <v>20.0</v>
      </c>
      <c r="N6483" s="9">
        <v>44968.0</v>
      </c>
    </row>
    <row r="6484">
      <c r="A6484" s="5">
        <v>6483.0</v>
      </c>
      <c r="B6484" s="5" t="s">
        <v>7029</v>
      </c>
      <c r="C6484" s="5" t="s">
        <v>21</v>
      </c>
      <c r="K6484" s="5">
        <v>450.0</v>
      </c>
      <c r="N6484" s="9">
        <v>43918.0</v>
      </c>
    </row>
    <row r="6485">
      <c r="A6485" s="5">
        <v>6484.0</v>
      </c>
      <c r="B6485" s="5" t="s">
        <v>7030</v>
      </c>
      <c r="C6485" s="5" t="s">
        <v>21</v>
      </c>
      <c r="K6485" s="5">
        <v>1500.0</v>
      </c>
      <c r="N6485" s="9">
        <v>44038.0</v>
      </c>
    </row>
    <row r="6486">
      <c r="A6486" s="5">
        <v>6485.0</v>
      </c>
      <c r="B6486" s="5" t="s">
        <v>7031</v>
      </c>
      <c r="C6486" s="5" t="s">
        <v>21</v>
      </c>
      <c r="K6486" s="5">
        <v>300.0</v>
      </c>
      <c r="N6486" s="9">
        <v>43856.0</v>
      </c>
    </row>
    <row r="6487">
      <c r="A6487" s="5">
        <v>6486.0</v>
      </c>
      <c r="B6487" s="5" t="s">
        <v>7032</v>
      </c>
      <c r="C6487" s="5" t="s">
        <v>21</v>
      </c>
      <c r="K6487" s="5">
        <v>11000.0</v>
      </c>
      <c r="N6487" s="9">
        <v>44291.0</v>
      </c>
    </row>
    <row r="6488">
      <c r="A6488" s="5">
        <v>6487.0</v>
      </c>
      <c r="B6488" s="5" t="s">
        <v>7033</v>
      </c>
      <c r="C6488" s="5" t="s">
        <v>21</v>
      </c>
      <c r="K6488" s="5">
        <v>1500.0</v>
      </c>
      <c r="N6488" s="9">
        <v>44550.0</v>
      </c>
    </row>
    <row r="6489">
      <c r="A6489" s="5">
        <v>6488.0</v>
      </c>
      <c r="B6489" s="5" t="s">
        <v>7034</v>
      </c>
      <c r="C6489" s="5" t="s">
        <v>21</v>
      </c>
      <c r="K6489" s="5">
        <v>450.0</v>
      </c>
      <c r="N6489" s="9">
        <v>44785.0</v>
      </c>
    </row>
    <row r="6490">
      <c r="A6490" s="5">
        <v>6489.0</v>
      </c>
      <c r="B6490" s="5" t="s">
        <v>237</v>
      </c>
      <c r="C6490" s="5" t="s">
        <v>21</v>
      </c>
      <c r="K6490" s="5">
        <v>2000.0</v>
      </c>
      <c r="N6490" s="9">
        <v>44009.0</v>
      </c>
    </row>
    <row r="6491">
      <c r="A6491" s="5">
        <v>6490.0</v>
      </c>
      <c r="B6491" s="5" t="s">
        <v>7035</v>
      </c>
      <c r="C6491" s="5" t="s">
        <v>21</v>
      </c>
      <c r="K6491" s="5">
        <v>700.0</v>
      </c>
      <c r="N6491" s="9">
        <v>44948.0</v>
      </c>
    </row>
    <row r="6492">
      <c r="A6492" s="5">
        <v>6491.0</v>
      </c>
      <c r="B6492" s="5" t="s">
        <v>7036</v>
      </c>
      <c r="C6492" s="5" t="s">
        <v>21</v>
      </c>
      <c r="N6492" s="9">
        <v>45068.0</v>
      </c>
    </row>
    <row r="6493">
      <c r="A6493" s="5">
        <v>6492.0</v>
      </c>
      <c r="B6493" s="5" t="s">
        <v>7037</v>
      </c>
      <c r="C6493" s="5" t="s">
        <v>21</v>
      </c>
      <c r="K6493" s="5">
        <v>1300.0</v>
      </c>
      <c r="N6493" s="9">
        <v>43953.0</v>
      </c>
    </row>
    <row r="6494">
      <c r="A6494" s="5">
        <v>6493.0</v>
      </c>
      <c r="B6494" s="5" t="s">
        <v>7038</v>
      </c>
      <c r="C6494" s="5" t="s">
        <v>21</v>
      </c>
      <c r="K6494" s="5">
        <v>300.0</v>
      </c>
      <c r="N6494" s="9">
        <v>44561.0</v>
      </c>
    </row>
    <row r="6495">
      <c r="A6495" s="5">
        <v>6494.0</v>
      </c>
      <c r="B6495" s="5" t="s">
        <v>7039</v>
      </c>
      <c r="C6495" s="5" t="s">
        <v>21</v>
      </c>
      <c r="K6495" s="5">
        <v>215000.0</v>
      </c>
      <c r="N6495" s="9">
        <v>46085.0</v>
      </c>
    </row>
    <row r="6496">
      <c r="A6496" s="5">
        <v>6495.0</v>
      </c>
      <c r="B6496" s="5" t="s">
        <v>7040</v>
      </c>
      <c r="C6496" s="5" t="s">
        <v>21</v>
      </c>
      <c r="K6496" s="5">
        <v>90.0</v>
      </c>
      <c r="N6496" s="9">
        <v>44659.0</v>
      </c>
    </row>
    <row r="6497">
      <c r="A6497" s="5">
        <v>6496.0</v>
      </c>
      <c r="B6497" s="5" t="s">
        <v>7041</v>
      </c>
      <c r="C6497" s="5" t="s">
        <v>21</v>
      </c>
      <c r="K6497" s="5">
        <v>300.0</v>
      </c>
      <c r="N6497" s="9">
        <v>44546.0</v>
      </c>
    </row>
    <row r="6498">
      <c r="A6498" s="5">
        <v>6497.0</v>
      </c>
      <c r="B6498" s="5" t="s">
        <v>7042</v>
      </c>
      <c r="C6498" s="5" t="s">
        <v>21</v>
      </c>
      <c r="K6498" s="5">
        <v>1600.0</v>
      </c>
      <c r="N6498" s="9">
        <v>44705.0</v>
      </c>
    </row>
    <row r="6499">
      <c r="A6499" s="5">
        <v>6498.0</v>
      </c>
      <c r="B6499" s="5" t="s">
        <v>7043</v>
      </c>
      <c r="C6499" s="5" t="s">
        <v>21</v>
      </c>
      <c r="K6499" s="5">
        <v>400.0</v>
      </c>
      <c r="N6499" s="9">
        <v>45548.0</v>
      </c>
    </row>
    <row r="6500">
      <c r="A6500" s="5">
        <v>6499.0</v>
      </c>
      <c r="B6500" s="5" t="s">
        <v>7044</v>
      </c>
      <c r="C6500" s="5" t="s">
        <v>21</v>
      </c>
      <c r="K6500" s="5">
        <v>450.0</v>
      </c>
      <c r="N6500" s="9">
        <v>44908.0</v>
      </c>
    </row>
    <row r="6501">
      <c r="A6501" s="5">
        <v>6500.0</v>
      </c>
      <c r="B6501" s="5" t="s">
        <v>7045</v>
      </c>
      <c r="C6501" s="5" t="s">
        <v>21</v>
      </c>
      <c r="K6501" s="5">
        <v>1100.0</v>
      </c>
      <c r="N6501" s="9">
        <v>44510.0</v>
      </c>
    </row>
    <row r="6502">
      <c r="A6502" s="5">
        <v>6501.0</v>
      </c>
      <c r="B6502" s="5" t="s">
        <v>7046</v>
      </c>
      <c r="C6502" s="5" t="s">
        <v>21</v>
      </c>
      <c r="K6502" s="5">
        <v>50.0</v>
      </c>
      <c r="N6502" s="9">
        <v>44762.0</v>
      </c>
    </row>
    <row r="6503">
      <c r="A6503" s="5">
        <v>6502.0</v>
      </c>
      <c r="B6503" s="5" t="s">
        <v>7047</v>
      </c>
      <c r="C6503" s="5" t="s">
        <v>21</v>
      </c>
      <c r="K6503" s="5">
        <v>2100.0</v>
      </c>
      <c r="N6503" s="9">
        <v>44279.0</v>
      </c>
    </row>
    <row r="6504">
      <c r="A6504" s="5">
        <v>6503.0</v>
      </c>
      <c r="B6504" s="5" t="s">
        <v>7048</v>
      </c>
      <c r="C6504" s="5" t="s">
        <v>21</v>
      </c>
      <c r="K6504" s="5">
        <v>200.0</v>
      </c>
      <c r="N6504" s="9">
        <v>44497.0</v>
      </c>
    </row>
    <row r="6505">
      <c r="A6505" s="5">
        <v>6504.0</v>
      </c>
      <c r="B6505" s="5" t="s">
        <v>7049</v>
      </c>
      <c r="C6505" s="5" t="s">
        <v>21</v>
      </c>
      <c r="K6505" s="5">
        <v>2200.0</v>
      </c>
      <c r="N6505" s="9">
        <v>43908.0</v>
      </c>
    </row>
    <row r="6506">
      <c r="A6506" s="5">
        <v>6505.0</v>
      </c>
      <c r="B6506" s="5" t="s">
        <v>7050</v>
      </c>
      <c r="C6506" s="5" t="s">
        <v>21</v>
      </c>
      <c r="K6506" s="5">
        <v>600.0</v>
      </c>
      <c r="N6506" s="9">
        <v>44179.0</v>
      </c>
    </row>
    <row r="6507">
      <c r="A6507" s="5">
        <v>6506.0</v>
      </c>
      <c r="B6507" s="5" t="s">
        <v>7051</v>
      </c>
      <c r="C6507" s="5" t="s">
        <v>21</v>
      </c>
      <c r="K6507" s="5">
        <v>50.0</v>
      </c>
      <c r="N6507" s="9">
        <v>44436.0</v>
      </c>
    </row>
    <row r="6508">
      <c r="A6508" s="5">
        <v>6507.0</v>
      </c>
      <c r="B6508" s="5" t="s">
        <v>7052</v>
      </c>
      <c r="C6508" s="5" t="s">
        <v>21</v>
      </c>
      <c r="N6508" s="9">
        <v>44538.0</v>
      </c>
    </row>
    <row r="6509">
      <c r="A6509" s="5">
        <v>6508.0</v>
      </c>
      <c r="B6509" s="5" t="s">
        <v>7053</v>
      </c>
      <c r="C6509" s="5" t="s">
        <v>21</v>
      </c>
      <c r="K6509" s="5">
        <v>300.0</v>
      </c>
      <c r="N6509" s="9">
        <v>43867.0</v>
      </c>
    </row>
    <row r="6510">
      <c r="A6510" s="5">
        <v>6509.0</v>
      </c>
      <c r="B6510" s="5" t="s">
        <v>7054</v>
      </c>
      <c r="C6510" s="5" t="s">
        <v>21</v>
      </c>
      <c r="K6510" s="5">
        <v>250.0</v>
      </c>
      <c r="N6510" s="9">
        <v>44542.0</v>
      </c>
    </row>
    <row r="6511">
      <c r="A6511" s="5">
        <v>6510.0</v>
      </c>
      <c r="B6511" s="5" t="s">
        <v>7055</v>
      </c>
      <c r="C6511" s="5" t="s">
        <v>21</v>
      </c>
      <c r="K6511" s="5">
        <v>1500.0</v>
      </c>
      <c r="N6511" s="9">
        <v>44319.0</v>
      </c>
    </row>
    <row r="6512">
      <c r="A6512" s="5">
        <v>6511.0</v>
      </c>
      <c r="B6512" s="5" t="s">
        <v>7056</v>
      </c>
      <c r="C6512" s="5" t="s">
        <v>21</v>
      </c>
      <c r="K6512" s="5">
        <v>45000.0</v>
      </c>
      <c r="N6512" s="9">
        <v>44006.0</v>
      </c>
    </row>
    <row r="6513">
      <c r="A6513" s="5">
        <v>6512.0</v>
      </c>
      <c r="B6513" s="5" t="s">
        <v>7057</v>
      </c>
      <c r="C6513" s="5" t="s">
        <v>21</v>
      </c>
      <c r="K6513" s="5">
        <v>450.0</v>
      </c>
      <c r="N6513" s="9">
        <v>45075.0</v>
      </c>
    </row>
    <row r="6514">
      <c r="A6514" s="5">
        <v>6513.0</v>
      </c>
      <c r="B6514" s="5" t="s">
        <v>7058</v>
      </c>
      <c r="C6514" s="5" t="s">
        <v>21</v>
      </c>
      <c r="K6514" s="5">
        <v>2700.0</v>
      </c>
      <c r="N6514" s="9">
        <v>43867.0</v>
      </c>
    </row>
    <row r="6515">
      <c r="A6515" s="5">
        <v>6514.0</v>
      </c>
      <c r="B6515" s="5" t="s">
        <v>7059</v>
      </c>
      <c r="C6515" s="5" t="s">
        <v>21</v>
      </c>
      <c r="K6515" s="5">
        <v>1600.0</v>
      </c>
      <c r="N6515" s="9">
        <v>44555.0</v>
      </c>
    </row>
    <row r="6516">
      <c r="A6516" s="5">
        <v>6515.0</v>
      </c>
      <c r="B6516" s="5" t="s">
        <v>7060</v>
      </c>
      <c r="C6516" s="5" t="s">
        <v>21</v>
      </c>
      <c r="K6516" s="5">
        <v>500.0</v>
      </c>
      <c r="N6516" s="9">
        <v>44540.0</v>
      </c>
    </row>
    <row r="6517">
      <c r="A6517" s="5">
        <v>6516.0</v>
      </c>
      <c r="B6517" s="5" t="s">
        <v>7061</v>
      </c>
      <c r="C6517" s="5" t="s">
        <v>21</v>
      </c>
      <c r="K6517" s="5">
        <v>1700.0</v>
      </c>
      <c r="N6517" s="9">
        <v>43911.0</v>
      </c>
    </row>
    <row r="6518">
      <c r="A6518" s="5">
        <v>6517.0</v>
      </c>
      <c r="B6518" s="5" t="s">
        <v>7062</v>
      </c>
      <c r="C6518" s="5" t="s">
        <v>21</v>
      </c>
      <c r="K6518" s="5">
        <v>150.0</v>
      </c>
      <c r="N6518" s="9">
        <v>44878.0</v>
      </c>
    </row>
    <row r="6519">
      <c r="A6519" s="5">
        <v>6518.0</v>
      </c>
      <c r="B6519" s="5" t="s">
        <v>7063</v>
      </c>
      <c r="C6519" s="5" t="s">
        <v>21</v>
      </c>
      <c r="K6519" s="5">
        <v>30.0</v>
      </c>
      <c r="N6519" s="9">
        <v>44780.0</v>
      </c>
    </row>
    <row r="6520">
      <c r="A6520" s="5">
        <v>6519.0</v>
      </c>
      <c r="B6520" s="5" t="s">
        <v>7064</v>
      </c>
      <c r="C6520" s="5" t="s">
        <v>21</v>
      </c>
      <c r="K6520" s="5">
        <v>13000.0</v>
      </c>
      <c r="N6520" s="9">
        <v>43887.0</v>
      </c>
    </row>
    <row r="6521">
      <c r="A6521" s="5">
        <v>6520.0</v>
      </c>
      <c r="B6521" s="5" t="s">
        <v>7065</v>
      </c>
      <c r="C6521" s="5" t="s">
        <v>21</v>
      </c>
      <c r="K6521" s="5">
        <v>700.0</v>
      </c>
      <c r="N6521" s="9">
        <v>44358.0</v>
      </c>
    </row>
    <row r="6522">
      <c r="A6522" s="5">
        <v>6521.0</v>
      </c>
      <c r="B6522" s="5" t="s">
        <v>7066</v>
      </c>
      <c r="C6522" s="5" t="s">
        <v>21</v>
      </c>
      <c r="K6522" s="5">
        <v>900.0</v>
      </c>
      <c r="N6522" s="9">
        <v>44518.0</v>
      </c>
    </row>
    <row r="6523">
      <c r="A6523" s="5">
        <v>6522.0</v>
      </c>
      <c r="B6523" s="5" t="s">
        <v>7067</v>
      </c>
      <c r="C6523" s="5" t="s">
        <v>21</v>
      </c>
      <c r="K6523" s="5">
        <v>450.0</v>
      </c>
      <c r="N6523" s="9">
        <v>45242.0</v>
      </c>
    </row>
    <row r="6524">
      <c r="A6524" s="5">
        <v>6523.0</v>
      </c>
      <c r="B6524" s="5" t="s">
        <v>7068</v>
      </c>
      <c r="C6524" s="5" t="s">
        <v>21</v>
      </c>
      <c r="K6524" s="5">
        <v>400.0</v>
      </c>
      <c r="N6524" s="9">
        <v>45382.0</v>
      </c>
    </row>
    <row r="6525">
      <c r="A6525" s="5">
        <v>6524.0</v>
      </c>
      <c r="B6525" s="5" t="s">
        <v>7069</v>
      </c>
      <c r="C6525" s="5" t="s">
        <v>21</v>
      </c>
      <c r="K6525" s="5">
        <v>600.0</v>
      </c>
      <c r="N6525" s="9">
        <v>45148.0</v>
      </c>
    </row>
    <row r="6526">
      <c r="A6526" s="5">
        <v>6525.0</v>
      </c>
      <c r="B6526" s="5" t="s">
        <v>7070</v>
      </c>
      <c r="C6526" s="5" t="s">
        <v>21</v>
      </c>
      <c r="K6526" s="5">
        <v>2600.0</v>
      </c>
      <c r="N6526" s="9">
        <v>44117.0</v>
      </c>
    </row>
    <row r="6527">
      <c r="A6527" s="5">
        <v>6526.0</v>
      </c>
      <c r="B6527" s="5" t="s">
        <v>7071</v>
      </c>
      <c r="C6527" s="5" t="s">
        <v>21</v>
      </c>
      <c r="K6527" s="5">
        <v>90.0</v>
      </c>
      <c r="N6527" s="9">
        <v>44542.0</v>
      </c>
    </row>
    <row r="6528">
      <c r="A6528" s="5">
        <v>6527.0</v>
      </c>
      <c r="B6528" s="5" t="s">
        <v>7072</v>
      </c>
      <c r="C6528" s="5" t="s">
        <v>21</v>
      </c>
      <c r="K6528" s="5">
        <v>100.0</v>
      </c>
      <c r="N6528" s="9">
        <v>44554.0</v>
      </c>
    </row>
    <row r="6529">
      <c r="A6529" s="5">
        <v>6528.0</v>
      </c>
      <c r="B6529" s="5" t="s">
        <v>7073</v>
      </c>
      <c r="C6529" s="5" t="s">
        <v>21</v>
      </c>
      <c r="K6529" s="5">
        <v>200.0</v>
      </c>
      <c r="N6529" s="9">
        <v>44730.0</v>
      </c>
    </row>
    <row r="6530">
      <c r="A6530" s="5">
        <v>6529.0</v>
      </c>
      <c r="B6530" s="5" t="s">
        <v>7074</v>
      </c>
      <c r="C6530" s="5" t="s">
        <v>21</v>
      </c>
      <c r="K6530" s="5">
        <v>350.0</v>
      </c>
      <c r="N6530" s="9">
        <v>44742.0</v>
      </c>
    </row>
    <row r="6531">
      <c r="A6531" s="5">
        <v>6530.0</v>
      </c>
      <c r="B6531" s="5" t="s">
        <v>7075</v>
      </c>
      <c r="C6531" s="5" t="s">
        <v>21</v>
      </c>
      <c r="K6531" s="5">
        <v>600.0</v>
      </c>
      <c r="N6531" s="9">
        <v>44532.0</v>
      </c>
    </row>
    <row r="6532">
      <c r="A6532" s="5">
        <v>6531.0</v>
      </c>
      <c r="B6532" s="5" t="s">
        <v>7076</v>
      </c>
      <c r="C6532" s="5" t="s">
        <v>21</v>
      </c>
      <c r="K6532" s="5">
        <v>70.0</v>
      </c>
      <c r="N6532" s="9">
        <v>44406.0</v>
      </c>
    </row>
    <row r="6533">
      <c r="A6533" s="5">
        <v>6532.0</v>
      </c>
      <c r="B6533" s="5" t="s">
        <v>7077</v>
      </c>
      <c r="C6533" s="5" t="s">
        <v>21</v>
      </c>
      <c r="K6533" s="5">
        <v>250.0</v>
      </c>
      <c r="N6533" s="9">
        <v>44572.0</v>
      </c>
    </row>
    <row r="6534">
      <c r="A6534" s="5">
        <v>6533.0</v>
      </c>
      <c r="B6534" s="5" t="s">
        <v>7078</v>
      </c>
      <c r="C6534" s="5" t="s">
        <v>21</v>
      </c>
      <c r="K6534" s="5">
        <v>50.0</v>
      </c>
      <c r="N6534" s="9">
        <v>45004.0</v>
      </c>
    </row>
    <row r="6535">
      <c r="A6535" s="5">
        <v>6534.0</v>
      </c>
      <c r="B6535" s="5" t="s">
        <v>7079</v>
      </c>
      <c r="C6535" s="5" t="s">
        <v>21</v>
      </c>
      <c r="K6535" s="5">
        <v>350.0</v>
      </c>
      <c r="N6535" s="9">
        <v>45484.0</v>
      </c>
    </row>
    <row r="6536">
      <c r="A6536" s="5">
        <v>6535.0</v>
      </c>
      <c r="B6536" s="5" t="s">
        <v>7080</v>
      </c>
      <c r="C6536" s="5" t="s">
        <v>21</v>
      </c>
      <c r="K6536" s="5">
        <v>2000.0</v>
      </c>
      <c r="N6536" s="9">
        <v>44400.0</v>
      </c>
    </row>
    <row r="6537">
      <c r="A6537" s="5">
        <v>6536.0</v>
      </c>
      <c r="B6537" s="5" t="s">
        <v>7081</v>
      </c>
      <c r="C6537" s="5" t="s">
        <v>21</v>
      </c>
      <c r="K6537" s="5">
        <v>1400.0</v>
      </c>
      <c r="N6537" s="9">
        <v>44319.0</v>
      </c>
    </row>
    <row r="6538">
      <c r="A6538" s="5">
        <v>6537.0</v>
      </c>
      <c r="B6538" s="5" t="s">
        <v>7082</v>
      </c>
      <c r="C6538" s="5" t="s">
        <v>21</v>
      </c>
      <c r="N6538" s="9">
        <v>44550.0</v>
      </c>
    </row>
    <row r="6539">
      <c r="A6539" s="5">
        <v>6538.0</v>
      </c>
      <c r="B6539" s="5" t="s">
        <v>7083</v>
      </c>
      <c r="C6539" s="5" t="s">
        <v>21</v>
      </c>
      <c r="K6539" s="5">
        <v>600.0</v>
      </c>
      <c r="N6539" s="9">
        <v>44589.0</v>
      </c>
    </row>
    <row r="6540">
      <c r="A6540" s="5">
        <v>6539.0</v>
      </c>
      <c r="B6540" s="5" t="s">
        <v>7084</v>
      </c>
      <c r="C6540" s="5" t="s">
        <v>21</v>
      </c>
      <c r="K6540" s="5">
        <v>300.0</v>
      </c>
      <c r="N6540" s="9">
        <v>44645.0</v>
      </c>
    </row>
    <row r="6541">
      <c r="A6541" s="5">
        <v>6540.0</v>
      </c>
      <c r="B6541" s="5" t="s">
        <v>7085</v>
      </c>
      <c r="C6541" s="5" t="s">
        <v>21</v>
      </c>
      <c r="K6541" s="5">
        <v>800.0</v>
      </c>
      <c r="N6541" s="9">
        <v>44425.0</v>
      </c>
    </row>
    <row r="6542">
      <c r="A6542" s="5">
        <v>6541.0</v>
      </c>
      <c r="B6542" s="5" t="s">
        <v>7086</v>
      </c>
      <c r="C6542" s="5" t="s">
        <v>21</v>
      </c>
      <c r="K6542" s="5">
        <v>200.0</v>
      </c>
      <c r="N6542" s="9">
        <v>44100.0</v>
      </c>
    </row>
    <row r="6543">
      <c r="A6543" s="5">
        <v>6542.0</v>
      </c>
      <c r="B6543" s="5" t="s">
        <v>7087</v>
      </c>
      <c r="C6543" s="5" t="s">
        <v>21</v>
      </c>
      <c r="K6543" s="5">
        <v>10.0</v>
      </c>
      <c r="N6543" s="9">
        <v>44426.0</v>
      </c>
    </row>
    <row r="6544">
      <c r="A6544" s="5">
        <v>6543.0</v>
      </c>
      <c r="B6544" s="5" t="s">
        <v>7088</v>
      </c>
      <c r="C6544" s="5" t="s">
        <v>21</v>
      </c>
      <c r="K6544" s="5">
        <v>150.0</v>
      </c>
      <c r="N6544" s="9">
        <v>45565.0</v>
      </c>
    </row>
    <row r="6545">
      <c r="A6545" s="5">
        <v>6544.0</v>
      </c>
      <c r="B6545" s="5" t="s">
        <v>7089</v>
      </c>
      <c r="C6545" s="5" t="s">
        <v>21</v>
      </c>
      <c r="K6545" s="5">
        <v>200.0</v>
      </c>
      <c r="N6545" s="9">
        <v>44444.0</v>
      </c>
    </row>
    <row r="6546">
      <c r="A6546" s="5">
        <v>6545.0</v>
      </c>
      <c r="B6546" s="5" t="s">
        <v>7090</v>
      </c>
      <c r="C6546" s="5" t="s">
        <v>21</v>
      </c>
      <c r="K6546" s="5">
        <v>500.0</v>
      </c>
      <c r="N6546" s="9">
        <v>44539.0</v>
      </c>
    </row>
    <row r="6547">
      <c r="A6547" s="5">
        <v>6546.0</v>
      </c>
      <c r="B6547" s="5" t="s">
        <v>7091</v>
      </c>
      <c r="C6547" s="5" t="s">
        <v>21</v>
      </c>
      <c r="K6547" s="5">
        <v>200.0</v>
      </c>
      <c r="N6547" s="9">
        <v>44568.0</v>
      </c>
    </row>
    <row r="6548">
      <c r="A6548" s="5">
        <v>6547.0</v>
      </c>
      <c r="B6548" s="5" t="s">
        <v>7092</v>
      </c>
      <c r="C6548" s="5" t="s">
        <v>21</v>
      </c>
      <c r="K6548" s="5">
        <v>450.0</v>
      </c>
      <c r="N6548" s="9">
        <v>44535.0</v>
      </c>
    </row>
    <row r="6549">
      <c r="A6549" s="5">
        <v>6548.0</v>
      </c>
      <c r="B6549" s="5" t="s">
        <v>7093</v>
      </c>
      <c r="C6549" s="5" t="s">
        <v>21</v>
      </c>
      <c r="K6549" s="5">
        <v>450.0</v>
      </c>
      <c r="N6549" s="9">
        <v>44430.0</v>
      </c>
    </row>
    <row r="6550">
      <c r="A6550" s="5">
        <v>6549.0</v>
      </c>
      <c r="B6550" s="5" t="s">
        <v>7094</v>
      </c>
      <c r="C6550" s="5" t="s">
        <v>21</v>
      </c>
      <c r="N6550" s="9">
        <v>44566.0</v>
      </c>
    </row>
    <row r="6551">
      <c r="A6551" s="5">
        <v>6550.0</v>
      </c>
      <c r="B6551" s="5" t="s">
        <v>7095</v>
      </c>
      <c r="C6551" s="5" t="s">
        <v>21</v>
      </c>
      <c r="K6551" s="5">
        <v>50.0</v>
      </c>
      <c r="N6551" s="9">
        <v>45200.0</v>
      </c>
    </row>
    <row r="6552">
      <c r="A6552" s="5">
        <v>6551.0</v>
      </c>
      <c r="B6552" s="5" t="s">
        <v>7096</v>
      </c>
      <c r="C6552" s="5" t="s">
        <v>21</v>
      </c>
      <c r="K6552" s="5">
        <v>5900.0</v>
      </c>
      <c r="N6552" s="9">
        <v>45755.0</v>
      </c>
    </row>
    <row r="6553">
      <c r="A6553" s="5">
        <v>6552.0</v>
      </c>
      <c r="B6553" s="5" t="s">
        <v>7097</v>
      </c>
      <c r="C6553" s="5" t="s">
        <v>21</v>
      </c>
      <c r="K6553" s="5">
        <v>300.0</v>
      </c>
      <c r="N6553" s="9">
        <v>44511.0</v>
      </c>
    </row>
    <row r="6554">
      <c r="A6554" s="5">
        <v>6553.0</v>
      </c>
      <c r="B6554" s="5" t="s">
        <v>7098</v>
      </c>
      <c r="C6554" s="5" t="s">
        <v>21</v>
      </c>
      <c r="K6554" s="5">
        <v>1300.0</v>
      </c>
      <c r="N6554" s="9">
        <v>44527.0</v>
      </c>
    </row>
    <row r="6555">
      <c r="A6555" s="5">
        <v>6554.0</v>
      </c>
      <c r="B6555" s="5" t="s">
        <v>7099</v>
      </c>
      <c r="C6555" s="5" t="s">
        <v>21</v>
      </c>
      <c r="K6555" s="5">
        <v>200.0</v>
      </c>
      <c r="N6555" s="9">
        <v>44621.0</v>
      </c>
    </row>
    <row r="6556">
      <c r="A6556" s="5">
        <v>6555.0</v>
      </c>
      <c r="B6556" s="5" t="s">
        <v>7100</v>
      </c>
      <c r="C6556" s="5" t="s">
        <v>21</v>
      </c>
      <c r="K6556" s="5">
        <v>400.0</v>
      </c>
      <c r="N6556" s="9">
        <v>44174.0</v>
      </c>
    </row>
    <row r="6557">
      <c r="A6557" s="5">
        <v>6556.0</v>
      </c>
      <c r="B6557" s="5" t="s">
        <v>7101</v>
      </c>
      <c r="C6557" s="5" t="s">
        <v>21</v>
      </c>
      <c r="K6557" s="5">
        <v>20.0</v>
      </c>
      <c r="N6557" s="9">
        <v>45558.0</v>
      </c>
    </row>
    <row r="6558">
      <c r="A6558" s="5">
        <v>6557.0</v>
      </c>
      <c r="B6558" s="5" t="s">
        <v>7102</v>
      </c>
      <c r="C6558" s="5" t="s">
        <v>21</v>
      </c>
      <c r="K6558" s="5">
        <v>200.0</v>
      </c>
      <c r="N6558" s="9">
        <v>43867.0</v>
      </c>
    </row>
    <row r="6559">
      <c r="A6559" s="5">
        <v>6558.0</v>
      </c>
      <c r="B6559" s="5" t="s">
        <v>7103</v>
      </c>
      <c r="C6559" s="5" t="s">
        <v>21</v>
      </c>
      <c r="K6559" s="5">
        <v>1200.0</v>
      </c>
      <c r="N6559" s="9">
        <v>45725.0</v>
      </c>
    </row>
    <row r="6560">
      <c r="A6560" s="5">
        <v>6559.0</v>
      </c>
      <c r="B6560" s="5" t="s">
        <v>7104</v>
      </c>
      <c r="C6560" s="5" t="s">
        <v>21</v>
      </c>
      <c r="K6560" s="5">
        <v>400.0</v>
      </c>
      <c r="N6560" s="9">
        <v>44963.0</v>
      </c>
    </row>
    <row r="6561">
      <c r="A6561" s="5">
        <v>6560.0</v>
      </c>
      <c r="B6561" s="5" t="s">
        <v>7105</v>
      </c>
      <c r="C6561" s="5" t="s">
        <v>21</v>
      </c>
      <c r="K6561" s="5">
        <v>200.0</v>
      </c>
      <c r="N6561" s="9">
        <v>44533.0</v>
      </c>
    </row>
    <row r="6562">
      <c r="A6562" s="5">
        <v>6561.0</v>
      </c>
      <c r="B6562" s="5" t="s">
        <v>7106</v>
      </c>
      <c r="C6562" s="5" t="s">
        <v>21</v>
      </c>
      <c r="K6562" s="5">
        <v>150.0</v>
      </c>
      <c r="N6562" s="9">
        <v>44595.0</v>
      </c>
    </row>
    <row r="6563">
      <c r="A6563" s="5">
        <v>6562.0</v>
      </c>
      <c r="B6563" s="5" t="s">
        <v>7107</v>
      </c>
      <c r="C6563" s="5" t="s">
        <v>21</v>
      </c>
      <c r="K6563" s="5">
        <v>100.0</v>
      </c>
      <c r="N6563" s="9">
        <v>44743.0</v>
      </c>
    </row>
    <row r="6564">
      <c r="A6564" s="5">
        <v>6563.0</v>
      </c>
      <c r="B6564" s="5" t="s">
        <v>7108</v>
      </c>
      <c r="C6564" s="5" t="s">
        <v>21</v>
      </c>
      <c r="K6564" s="5">
        <v>1300.0</v>
      </c>
      <c r="N6564" s="9">
        <v>44693.0</v>
      </c>
    </row>
    <row r="6565">
      <c r="A6565" s="5">
        <v>6564.0</v>
      </c>
      <c r="B6565" s="5" t="s">
        <v>7109</v>
      </c>
      <c r="C6565" s="5" t="s">
        <v>21</v>
      </c>
      <c r="N6565" s="9">
        <v>43911.0</v>
      </c>
    </row>
    <row r="6566">
      <c r="A6566" s="5">
        <v>6565.0</v>
      </c>
      <c r="B6566" s="5" t="s">
        <v>7110</v>
      </c>
      <c r="C6566" s="5" t="s">
        <v>21</v>
      </c>
      <c r="K6566" s="5">
        <v>1000.0</v>
      </c>
      <c r="N6566" s="9">
        <v>44171.0</v>
      </c>
    </row>
    <row r="6567">
      <c r="A6567" s="5">
        <v>6566.0</v>
      </c>
      <c r="B6567" s="5" t="s">
        <v>7111</v>
      </c>
      <c r="C6567" s="5" t="s">
        <v>21</v>
      </c>
      <c r="K6567" s="5">
        <v>60.0</v>
      </c>
      <c r="N6567" s="9">
        <v>44585.0</v>
      </c>
    </row>
    <row r="6568">
      <c r="A6568" s="5">
        <v>6567.0</v>
      </c>
      <c r="B6568" s="5" t="s">
        <v>7112</v>
      </c>
      <c r="C6568" s="5" t="s">
        <v>21</v>
      </c>
      <c r="K6568" s="5">
        <v>200.0</v>
      </c>
      <c r="N6568" s="9">
        <v>44510.0</v>
      </c>
    </row>
    <row r="6569">
      <c r="A6569" s="5">
        <v>6568.0</v>
      </c>
      <c r="B6569" s="5" t="s">
        <v>7113</v>
      </c>
      <c r="C6569" s="5" t="s">
        <v>21</v>
      </c>
      <c r="K6569" s="5">
        <v>8000.0</v>
      </c>
      <c r="N6569" s="9">
        <v>43905.0</v>
      </c>
    </row>
    <row r="6570">
      <c r="A6570" s="5">
        <v>6569.0</v>
      </c>
      <c r="B6570" s="5" t="s">
        <v>7114</v>
      </c>
      <c r="C6570" s="5" t="s">
        <v>21</v>
      </c>
      <c r="K6570" s="5">
        <v>200.0</v>
      </c>
      <c r="N6570" s="9">
        <v>44690.0</v>
      </c>
    </row>
    <row r="6571">
      <c r="A6571" s="5">
        <v>6570.0</v>
      </c>
      <c r="B6571" s="5" t="s">
        <v>7115</v>
      </c>
      <c r="C6571" s="5" t="s">
        <v>21</v>
      </c>
      <c r="K6571" s="5">
        <v>1600.0</v>
      </c>
      <c r="N6571" s="9">
        <v>43947.0</v>
      </c>
    </row>
    <row r="6572">
      <c r="A6572" s="5">
        <v>6571.0</v>
      </c>
      <c r="B6572" s="5" t="s">
        <v>7116</v>
      </c>
      <c r="C6572" s="5" t="s">
        <v>21</v>
      </c>
      <c r="N6572" s="9">
        <v>44523.0</v>
      </c>
    </row>
    <row r="6573">
      <c r="A6573" s="5">
        <v>6572.0</v>
      </c>
      <c r="B6573" s="5" t="s">
        <v>7117</v>
      </c>
      <c r="C6573" s="5" t="s">
        <v>21</v>
      </c>
      <c r="K6573" s="5">
        <v>600.0</v>
      </c>
      <c r="N6573" s="9">
        <v>44702.0</v>
      </c>
    </row>
    <row r="6574">
      <c r="A6574" s="5">
        <v>6573.0</v>
      </c>
      <c r="B6574" s="5" t="s">
        <v>7118</v>
      </c>
      <c r="C6574" s="5" t="s">
        <v>21</v>
      </c>
      <c r="K6574" s="5">
        <v>200.0</v>
      </c>
      <c r="N6574" s="9">
        <v>44737.0</v>
      </c>
    </row>
    <row r="6575">
      <c r="A6575" s="5">
        <v>6574.0</v>
      </c>
      <c r="B6575" s="5" t="s">
        <v>7119</v>
      </c>
      <c r="C6575" s="5" t="s">
        <v>21</v>
      </c>
      <c r="K6575" s="5">
        <v>2000.0</v>
      </c>
      <c r="N6575" s="9">
        <v>44406.0</v>
      </c>
    </row>
    <row r="6576">
      <c r="A6576" s="5">
        <v>6575.0</v>
      </c>
      <c r="B6576" s="5" t="s">
        <v>7120</v>
      </c>
      <c r="C6576" s="5" t="s">
        <v>21</v>
      </c>
      <c r="K6576" s="5">
        <v>450.0</v>
      </c>
      <c r="N6576" s="9">
        <v>44638.0</v>
      </c>
    </row>
    <row r="6577">
      <c r="A6577" s="5">
        <v>6576.0</v>
      </c>
      <c r="B6577" s="5" t="s">
        <v>7121</v>
      </c>
      <c r="C6577" s="5" t="s">
        <v>21</v>
      </c>
      <c r="K6577" s="5">
        <v>600.0</v>
      </c>
      <c r="N6577" s="9">
        <v>44530.0</v>
      </c>
    </row>
    <row r="6578">
      <c r="A6578" s="5">
        <v>6577.0</v>
      </c>
      <c r="B6578" s="5" t="s">
        <v>7122</v>
      </c>
      <c r="C6578" s="5" t="s">
        <v>21</v>
      </c>
      <c r="K6578" s="5">
        <v>300.0</v>
      </c>
      <c r="N6578" s="9">
        <v>43919.0</v>
      </c>
    </row>
    <row r="6579">
      <c r="A6579" s="5">
        <v>6578.0</v>
      </c>
      <c r="B6579" s="5" t="s">
        <v>7123</v>
      </c>
      <c r="C6579" s="5" t="s">
        <v>21</v>
      </c>
      <c r="K6579" s="5">
        <v>600.0</v>
      </c>
      <c r="N6579" s="9">
        <v>43848.0</v>
      </c>
    </row>
    <row r="6580">
      <c r="A6580" s="5">
        <v>6579.0</v>
      </c>
      <c r="B6580" s="5" t="s">
        <v>7124</v>
      </c>
      <c r="C6580" s="5" t="s">
        <v>21</v>
      </c>
      <c r="K6580" s="5">
        <v>1000.0</v>
      </c>
      <c r="N6580" s="9">
        <v>44540.0</v>
      </c>
    </row>
    <row r="6581">
      <c r="A6581" s="5">
        <v>6580.0</v>
      </c>
      <c r="B6581" s="5" t="s">
        <v>7125</v>
      </c>
      <c r="C6581" s="5" t="s">
        <v>21</v>
      </c>
      <c r="K6581" s="5">
        <v>80.0</v>
      </c>
      <c r="N6581" s="9">
        <v>44847.0</v>
      </c>
    </row>
    <row r="6582">
      <c r="A6582" s="5">
        <v>6581.0</v>
      </c>
      <c r="B6582" s="5" t="s">
        <v>7126</v>
      </c>
      <c r="C6582" s="5" t="s">
        <v>21</v>
      </c>
      <c r="K6582" s="5">
        <v>10.0</v>
      </c>
      <c r="N6582" s="9">
        <v>44652.0</v>
      </c>
    </row>
    <row r="6583">
      <c r="A6583" s="5">
        <v>6582.0</v>
      </c>
      <c r="B6583" s="5" t="s">
        <v>7127</v>
      </c>
      <c r="C6583" s="5" t="s">
        <v>21</v>
      </c>
      <c r="K6583" s="5">
        <v>70.0</v>
      </c>
      <c r="N6583" s="9">
        <v>45039.0</v>
      </c>
    </row>
    <row r="6584">
      <c r="A6584" s="5">
        <v>6583.0</v>
      </c>
      <c r="B6584" s="5" t="s">
        <v>7128</v>
      </c>
      <c r="C6584" s="5" t="s">
        <v>21</v>
      </c>
      <c r="K6584" s="5">
        <v>350.0</v>
      </c>
      <c r="N6584" s="9">
        <v>44967.0</v>
      </c>
    </row>
    <row r="6585">
      <c r="A6585" s="5">
        <v>6584.0</v>
      </c>
      <c r="B6585" s="5" t="s">
        <v>7129</v>
      </c>
      <c r="C6585" s="5" t="s">
        <v>21</v>
      </c>
      <c r="K6585" s="5">
        <v>80.0</v>
      </c>
      <c r="N6585" s="9">
        <v>45040.0</v>
      </c>
    </row>
    <row r="6586">
      <c r="A6586" s="5">
        <v>6585.0</v>
      </c>
      <c r="B6586" s="5" t="s">
        <v>7130</v>
      </c>
      <c r="C6586" s="5" t="s">
        <v>21</v>
      </c>
      <c r="K6586" s="5">
        <v>1100.0</v>
      </c>
      <c r="N6586" s="9">
        <v>44423.0</v>
      </c>
    </row>
    <row r="6587">
      <c r="A6587" s="5">
        <v>6586.0</v>
      </c>
      <c r="B6587" s="5" t="s">
        <v>7131</v>
      </c>
      <c r="C6587" s="5" t="s">
        <v>21</v>
      </c>
      <c r="K6587" s="5">
        <v>700.0</v>
      </c>
      <c r="N6587" s="9">
        <v>44602.0</v>
      </c>
    </row>
    <row r="6588">
      <c r="A6588" s="5">
        <v>6587.0</v>
      </c>
      <c r="B6588" s="5" t="s">
        <v>7132</v>
      </c>
      <c r="C6588" s="5" t="s">
        <v>21</v>
      </c>
      <c r="K6588" s="5">
        <v>1300.0</v>
      </c>
      <c r="N6588" s="9">
        <v>45287.0</v>
      </c>
    </row>
    <row r="6589">
      <c r="A6589" s="5">
        <v>6588.0</v>
      </c>
      <c r="B6589" s="5" t="s">
        <v>7133</v>
      </c>
      <c r="C6589" s="5" t="s">
        <v>21</v>
      </c>
      <c r="K6589" s="5">
        <v>400.0</v>
      </c>
      <c r="N6589" s="9">
        <v>44580.0</v>
      </c>
    </row>
    <row r="6590">
      <c r="A6590" s="5">
        <v>6589.0</v>
      </c>
      <c r="B6590" s="5" t="s">
        <v>7134</v>
      </c>
      <c r="C6590" s="5" t="s">
        <v>21</v>
      </c>
      <c r="K6590" s="5">
        <v>250.0</v>
      </c>
      <c r="N6590" s="9">
        <v>45776.0</v>
      </c>
    </row>
    <row r="6591">
      <c r="A6591" s="5">
        <v>6590.0</v>
      </c>
      <c r="B6591" s="5" t="s">
        <v>218</v>
      </c>
      <c r="C6591" s="5" t="s">
        <v>21</v>
      </c>
      <c r="K6591" s="5">
        <v>150.0</v>
      </c>
      <c r="N6591" s="9">
        <v>44771.0</v>
      </c>
    </row>
    <row r="6592">
      <c r="A6592" s="5">
        <v>6591.0</v>
      </c>
      <c r="B6592" s="5" t="s">
        <v>7135</v>
      </c>
      <c r="C6592" s="5" t="s">
        <v>21</v>
      </c>
      <c r="K6592" s="5">
        <v>6100.0</v>
      </c>
      <c r="N6592" s="9">
        <v>44055.0</v>
      </c>
    </row>
    <row r="6593">
      <c r="A6593" s="5">
        <v>6592.0</v>
      </c>
      <c r="B6593" s="5" t="s">
        <v>7136</v>
      </c>
      <c r="C6593" s="5" t="s">
        <v>21</v>
      </c>
      <c r="K6593" s="5">
        <v>200.0</v>
      </c>
      <c r="N6593" s="9">
        <v>45282.0</v>
      </c>
    </row>
    <row r="6594">
      <c r="A6594" s="5">
        <v>6593.0</v>
      </c>
      <c r="B6594" s="5" t="s">
        <v>7137</v>
      </c>
      <c r="C6594" s="5" t="s">
        <v>21</v>
      </c>
      <c r="K6594" s="5">
        <v>800.0</v>
      </c>
      <c r="N6594" s="9">
        <v>44652.0</v>
      </c>
    </row>
    <row r="6595">
      <c r="A6595" s="5">
        <v>6594.0</v>
      </c>
      <c r="B6595" s="5" t="s">
        <v>7138</v>
      </c>
      <c r="C6595" s="5" t="s">
        <v>21</v>
      </c>
      <c r="K6595" s="5">
        <v>20.0</v>
      </c>
      <c r="N6595" s="9">
        <v>44961.0</v>
      </c>
    </row>
    <row r="6596">
      <c r="A6596" s="5">
        <v>6595.0</v>
      </c>
      <c r="B6596" s="5" t="s">
        <v>7139</v>
      </c>
      <c r="C6596" s="5" t="s">
        <v>21</v>
      </c>
      <c r="K6596" s="5">
        <v>300.0</v>
      </c>
      <c r="N6596" s="9">
        <v>44890.0</v>
      </c>
    </row>
    <row r="6597">
      <c r="A6597" s="5">
        <v>6596.0</v>
      </c>
      <c r="B6597" s="5" t="s">
        <v>7140</v>
      </c>
      <c r="C6597" s="5" t="s">
        <v>21</v>
      </c>
      <c r="K6597" s="5">
        <v>300.0</v>
      </c>
      <c r="N6597" s="9">
        <v>45183.0</v>
      </c>
    </row>
    <row r="6598">
      <c r="A6598" s="5">
        <v>6597.0</v>
      </c>
      <c r="B6598" s="5" t="s">
        <v>7141</v>
      </c>
      <c r="C6598" s="5" t="s">
        <v>21</v>
      </c>
      <c r="K6598" s="5">
        <v>250.0</v>
      </c>
      <c r="N6598" s="9">
        <v>45258.0</v>
      </c>
    </row>
    <row r="6599">
      <c r="A6599" s="5">
        <v>6598.0</v>
      </c>
      <c r="B6599" s="5" t="s">
        <v>7142</v>
      </c>
      <c r="C6599" s="5" t="s">
        <v>21</v>
      </c>
      <c r="K6599" s="5">
        <v>100.0</v>
      </c>
      <c r="N6599" s="9">
        <v>44564.0</v>
      </c>
    </row>
    <row r="6600">
      <c r="A6600" s="5">
        <v>6599.0</v>
      </c>
      <c r="B6600" s="5" t="s">
        <v>7143</v>
      </c>
      <c r="C6600" s="5" t="s">
        <v>21</v>
      </c>
      <c r="K6600" s="5">
        <v>40.0</v>
      </c>
      <c r="N6600" s="9">
        <v>43849.0</v>
      </c>
    </row>
    <row r="6601">
      <c r="A6601" s="5">
        <v>6600.0</v>
      </c>
      <c r="B6601" s="5" t="s">
        <v>7144</v>
      </c>
      <c r="C6601" s="5" t="s">
        <v>21</v>
      </c>
      <c r="K6601" s="5">
        <v>90.0</v>
      </c>
      <c r="N6601" s="9">
        <v>44216.0</v>
      </c>
    </row>
    <row r="6602">
      <c r="A6602" s="5">
        <v>6601.0</v>
      </c>
      <c r="B6602" s="5" t="s">
        <v>7145</v>
      </c>
      <c r="C6602" s="5" t="s">
        <v>21</v>
      </c>
      <c r="K6602" s="5">
        <v>200.0</v>
      </c>
      <c r="N6602" s="9">
        <v>45224.0</v>
      </c>
    </row>
    <row r="6603">
      <c r="A6603" s="5">
        <v>6602.0</v>
      </c>
      <c r="B6603" s="5" t="s">
        <v>7146</v>
      </c>
      <c r="C6603" s="5" t="s">
        <v>21</v>
      </c>
      <c r="K6603" s="5">
        <v>450.0</v>
      </c>
      <c r="N6603" s="9">
        <v>45783.0</v>
      </c>
    </row>
    <row r="6604">
      <c r="A6604" s="5">
        <v>6603.0</v>
      </c>
      <c r="B6604" s="5" t="s">
        <v>7147</v>
      </c>
      <c r="C6604" s="5" t="s">
        <v>21</v>
      </c>
      <c r="K6604" s="5">
        <v>350.0</v>
      </c>
      <c r="N6604" s="9">
        <v>44576.0</v>
      </c>
    </row>
    <row r="6605">
      <c r="A6605" s="5">
        <v>6604.0</v>
      </c>
      <c r="B6605" s="5" t="s">
        <v>7148</v>
      </c>
      <c r="C6605" s="5" t="s">
        <v>21</v>
      </c>
      <c r="K6605" s="5">
        <v>2000.0</v>
      </c>
      <c r="N6605" s="9">
        <v>44183.0</v>
      </c>
    </row>
    <row r="6606">
      <c r="A6606" s="5">
        <v>6605.0</v>
      </c>
      <c r="B6606" s="5" t="s">
        <v>7149</v>
      </c>
      <c r="C6606" s="5" t="s">
        <v>21</v>
      </c>
      <c r="K6606" s="5">
        <v>400.0</v>
      </c>
      <c r="N6606" s="9">
        <v>45172.0</v>
      </c>
    </row>
    <row r="6607">
      <c r="A6607" s="5">
        <v>6606.0</v>
      </c>
      <c r="B6607" s="5" t="s">
        <v>7150</v>
      </c>
      <c r="C6607" s="5" t="s">
        <v>21</v>
      </c>
      <c r="K6607" s="5">
        <v>16000.0</v>
      </c>
      <c r="N6607" s="9">
        <v>43890.0</v>
      </c>
    </row>
    <row r="6608">
      <c r="A6608" s="5">
        <v>6607.0</v>
      </c>
      <c r="B6608" s="5" t="s">
        <v>7151</v>
      </c>
      <c r="C6608" s="5" t="s">
        <v>21</v>
      </c>
      <c r="K6608" s="5">
        <v>1000.0</v>
      </c>
      <c r="N6608" s="9">
        <v>45018.0</v>
      </c>
    </row>
    <row r="6609">
      <c r="A6609" s="5">
        <v>6608.0</v>
      </c>
      <c r="B6609" s="5" t="s">
        <v>7152</v>
      </c>
      <c r="C6609" s="5" t="s">
        <v>21</v>
      </c>
      <c r="K6609" s="5">
        <v>300.0</v>
      </c>
      <c r="N6609" s="9">
        <v>45714.0</v>
      </c>
    </row>
    <row r="6610">
      <c r="A6610" s="5">
        <v>6609.0</v>
      </c>
      <c r="B6610" s="5" t="s">
        <v>7153</v>
      </c>
      <c r="C6610" s="5" t="s">
        <v>21</v>
      </c>
      <c r="K6610" s="5">
        <v>4300.0</v>
      </c>
      <c r="N6610" s="9">
        <v>43847.0</v>
      </c>
    </row>
    <row r="6611">
      <c r="A6611" s="5">
        <v>6610.0</v>
      </c>
      <c r="B6611" s="5" t="s">
        <v>7154</v>
      </c>
      <c r="C6611" s="5" t="s">
        <v>21</v>
      </c>
      <c r="K6611" s="5">
        <v>350.0</v>
      </c>
      <c r="N6611" s="9">
        <v>44583.0</v>
      </c>
    </row>
    <row r="6612">
      <c r="A6612" s="5">
        <v>6611.0</v>
      </c>
      <c r="B6612" s="5" t="s">
        <v>7155</v>
      </c>
      <c r="C6612" s="5" t="s">
        <v>21</v>
      </c>
      <c r="K6612" s="5">
        <v>80.0</v>
      </c>
      <c r="N6612" s="9">
        <v>44677.0</v>
      </c>
    </row>
    <row r="6613">
      <c r="A6613" s="5">
        <v>6612.0</v>
      </c>
      <c r="B6613" s="5" t="s">
        <v>7156</v>
      </c>
      <c r="C6613" s="5" t="s">
        <v>21</v>
      </c>
      <c r="K6613" s="5">
        <v>70.0</v>
      </c>
      <c r="N6613" s="9">
        <v>44326.0</v>
      </c>
    </row>
    <row r="6614">
      <c r="A6614" s="5">
        <v>6613.0</v>
      </c>
      <c r="B6614" s="5" t="s">
        <v>7157</v>
      </c>
      <c r="C6614" s="5" t="s">
        <v>21</v>
      </c>
      <c r="K6614" s="5">
        <v>80.0</v>
      </c>
      <c r="N6614" s="9">
        <v>44641.0</v>
      </c>
    </row>
    <row r="6615">
      <c r="A6615" s="5">
        <v>6614.0</v>
      </c>
      <c r="B6615" s="5" t="s">
        <v>7158</v>
      </c>
      <c r="C6615" s="5" t="s">
        <v>21</v>
      </c>
      <c r="K6615" s="5">
        <v>500.0</v>
      </c>
      <c r="N6615" s="9">
        <v>44593.0</v>
      </c>
    </row>
    <row r="6616">
      <c r="A6616" s="5">
        <v>6615.0</v>
      </c>
      <c r="B6616" s="5" t="s">
        <v>7159</v>
      </c>
      <c r="C6616" s="5" t="s">
        <v>21</v>
      </c>
      <c r="K6616" s="5">
        <v>20.0</v>
      </c>
      <c r="N6616" s="9">
        <v>45097.0</v>
      </c>
    </row>
    <row r="6617">
      <c r="A6617" s="5">
        <v>6616.0</v>
      </c>
      <c r="B6617" s="5" t="s">
        <v>7160</v>
      </c>
      <c r="C6617" s="5" t="s">
        <v>21</v>
      </c>
      <c r="K6617" s="5">
        <v>350.0</v>
      </c>
      <c r="N6617" s="9">
        <v>44290.0</v>
      </c>
    </row>
    <row r="6618">
      <c r="A6618" s="5">
        <v>6617.0</v>
      </c>
      <c r="B6618" s="5" t="s">
        <v>7161</v>
      </c>
      <c r="C6618" s="5" t="s">
        <v>21</v>
      </c>
      <c r="K6618" s="5">
        <v>30.0</v>
      </c>
      <c r="N6618" s="9">
        <v>44925.0</v>
      </c>
    </row>
    <row r="6619">
      <c r="A6619" s="5">
        <v>6618.0</v>
      </c>
      <c r="B6619" s="5" t="s">
        <v>7162</v>
      </c>
      <c r="C6619" s="5" t="s">
        <v>21</v>
      </c>
      <c r="K6619" s="5">
        <v>300.0</v>
      </c>
      <c r="N6619" s="9">
        <v>44555.0</v>
      </c>
    </row>
    <row r="6620">
      <c r="A6620" s="5">
        <v>6619.0</v>
      </c>
      <c r="B6620" s="5" t="s">
        <v>7163</v>
      </c>
      <c r="C6620" s="5" t="s">
        <v>21</v>
      </c>
      <c r="N6620" s="9">
        <v>44611.0</v>
      </c>
    </row>
    <row r="6621">
      <c r="A6621" s="5">
        <v>6620.0</v>
      </c>
      <c r="B6621" s="5" t="s">
        <v>7164</v>
      </c>
      <c r="C6621" s="5" t="s">
        <v>21</v>
      </c>
      <c r="K6621" s="5">
        <v>600.0</v>
      </c>
      <c r="N6621" s="9">
        <v>44586.0</v>
      </c>
    </row>
    <row r="6622">
      <c r="A6622" s="5">
        <v>6621.0</v>
      </c>
      <c r="B6622" s="5" t="s">
        <v>7165</v>
      </c>
      <c r="C6622" s="5" t="s">
        <v>21</v>
      </c>
      <c r="K6622" s="5">
        <v>600.0</v>
      </c>
      <c r="N6622" s="9">
        <v>43936.0</v>
      </c>
    </row>
    <row r="6623">
      <c r="A6623" s="5">
        <v>6622.0</v>
      </c>
      <c r="B6623" s="5" t="s">
        <v>7166</v>
      </c>
      <c r="C6623" s="5" t="s">
        <v>21</v>
      </c>
      <c r="K6623" s="5">
        <v>900.0</v>
      </c>
      <c r="N6623" s="9">
        <v>43859.0</v>
      </c>
    </row>
    <row r="6624">
      <c r="A6624" s="5">
        <v>6623.0</v>
      </c>
      <c r="B6624" s="5" t="s">
        <v>7167</v>
      </c>
      <c r="C6624" s="5" t="s">
        <v>21</v>
      </c>
      <c r="K6624" s="5">
        <v>700.0</v>
      </c>
      <c r="N6624" s="9">
        <v>43958.0</v>
      </c>
    </row>
    <row r="6625">
      <c r="A6625" s="5">
        <v>6624.0</v>
      </c>
      <c r="B6625" s="5" t="s">
        <v>7168</v>
      </c>
      <c r="C6625" s="5" t="s">
        <v>21</v>
      </c>
      <c r="K6625" s="5">
        <v>200.0</v>
      </c>
      <c r="N6625" s="9">
        <v>43887.0</v>
      </c>
    </row>
    <row r="6626">
      <c r="A6626" s="5">
        <v>6625.0</v>
      </c>
      <c r="B6626" s="5" t="s">
        <v>7169</v>
      </c>
      <c r="C6626" s="5" t="s">
        <v>21</v>
      </c>
      <c r="K6626" s="5">
        <v>300.0</v>
      </c>
      <c r="N6626" s="9">
        <v>45708.0</v>
      </c>
    </row>
    <row r="6627">
      <c r="A6627" s="5">
        <v>6626.0</v>
      </c>
      <c r="B6627" s="5" t="s">
        <v>7170</v>
      </c>
      <c r="C6627" s="5" t="s">
        <v>21</v>
      </c>
      <c r="K6627" s="5">
        <v>900.0</v>
      </c>
      <c r="N6627" s="9">
        <v>45634.0</v>
      </c>
    </row>
    <row r="6628">
      <c r="A6628" s="5">
        <v>6627.0</v>
      </c>
      <c r="B6628" s="5" t="s">
        <v>7171</v>
      </c>
      <c r="C6628" s="5" t="s">
        <v>21</v>
      </c>
      <c r="K6628" s="5">
        <v>150.0</v>
      </c>
      <c r="N6628" s="9">
        <v>44525.0</v>
      </c>
    </row>
    <row r="6629">
      <c r="A6629" s="5">
        <v>6628.0</v>
      </c>
      <c r="B6629" s="5" t="s">
        <v>7172</v>
      </c>
      <c r="C6629" s="5" t="s">
        <v>21</v>
      </c>
      <c r="K6629" s="5">
        <v>700.0</v>
      </c>
      <c r="N6629" s="9">
        <v>42933.0</v>
      </c>
    </row>
    <row r="6630">
      <c r="A6630" s="5">
        <v>6629.0</v>
      </c>
      <c r="B6630" s="5" t="s">
        <v>7173</v>
      </c>
      <c r="C6630" s="5" t="s">
        <v>21</v>
      </c>
      <c r="K6630" s="5">
        <v>150.0</v>
      </c>
      <c r="N6630" s="9">
        <v>44575.0</v>
      </c>
    </row>
    <row r="6631">
      <c r="A6631" s="5">
        <v>6630.0</v>
      </c>
      <c r="B6631" s="5" t="s">
        <v>7174</v>
      </c>
      <c r="C6631" s="5" t="s">
        <v>21</v>
      </c>
      <c r="K6631" s="5">
        <v>900.0</v>
      </c>
      <c r="N6631" s="9">
        <v>45564.0</v>
      </c>
    </row>
    <row r="6632">
      <c r="A6632" s="5">
        <v>6631.0</v>
      </c>
      <c r="B6632" s="5" t="s">
        <v>7175</v>
      </c>
      <c r="C6632" s="5" t="s">
        <v>21</v>
      </c>
      <c r="K6632" s="5">
        <v>100.0</v>
      </c>
      <c r="N6632" s="9">
        <v>44732.0</v>
      </c>
    </row>
    <row r="6633">
      <c r="A6633" s="5">
        <v>6632.0</v>
      </c>
      <c r="B6633" s="5" t="s">
        <v>7176</v>
      </c>
      <c r="C6633" s="5" t="s">
        <v>21</v>
      </c>
      <c r="K6633" s="5">
        <v>200.0</v>
      </c>
      <c r="N6633" s="9">
        <v>45487.0</v>
      </c>
    </row>
    <row r="6634">
      <c r="A6634" s="5">
        <v>6633.0</v>
      </c>
      <c r="B6634" s="5" t="s">
        <v>7177</v>
      </c>
      <c r="C6634" s="5" t="s">
        <v>21</v>
      </c>
      <c r="K6634" s="5">
        <v>2900.0</v>
      </c>
      <c r="N6634" s="9">
        <v>43885.0</v>
      </c>
    </row>
    <row r="6635">
      <c r="A6635" s="5">
        <v>6634.0</v>
      </c>
      <c r="B6635" s="5" t="s">
        <v>7178</v>
      </c>
      <c r="C6635" s="5" t="s">
        <v>21</v>
      </c>
      <c r="K6635" s="5">
        <v>100.0</v>
      </c>
      <c r="N6635" s="9">
        <v>44545.0</v>
      </c>
    </row>
    <row r="6636">
      <c r="A6636" s="5">
        <v>6635.0</v>
      </c>
      <c r="B6636" s="5" t="s">
        <v>7179</v>
      </c>
      <c r="C6636" s="5" t="s">
        <v>21</v>
      </c>
      <c r="K6636" s="5">
        <v>200.0</v>
      </c>
      <c r="N6636" s="9">
        <v>44423.0</v>
      </c>
    </row>
    <row r="6637">
      <c r="A6637" s="5">
        <v>6636.0</v>
      </c>
      <c r="B6637" s="5" t="s">
        <v>7180</v>
      </c>
      <c r="C6637" s="5" t="s">
        <v>21</v>
      </c>
      <c r="K6637" s="5">
        <v>450.0</v>
      </c>
      <c r="N6637" s="9">
        <v>43843.0</v>
      </c>
    </row>
    <row r="6638">
      <c r="A6638" s="5">
        <v>6637.0</v>
      </c>
      <c r="B6638" s="5" t="s">
        <v>7181</v>
      </c>
      <c r="C6638" s="5" t="s">
        <v>21</v>
      </c>
      <c r="K6638" s="5">
        <v>200.0</v>
      </c>
      <c r="N6638" s="9">
        <v>44288.0</v>
      </c>
    </row>
    <row r="6639">
      <c r="A6639" s="5">
        <v>6638.0</v>
      </c>
      <c r="B6639" s="5" t="s">
        <v>7182</v>
      </c>
      <c r="C6639" s="5" t="s">
        <v>21</v>
      </c>
      <c r="K6639" s="5">
        <v>7300.0</v>
      </c>
      <c r="N6639" s="9">
        <v>44206.0</v>
      </c>
    </row>
    <row r="6640">
      <c r="A6640" s="5">
        <v>6639.0</v>
      </c>
      <c r="B6640" s="5" t="s">
        <v>7183</v>
      </c>
      <c r="C6640" s="5" t="s">
        <v>21</v>
      </c>
      <c r="K6640" s="5">
        <v>400.0</v>
      </c>
      <c r="N6640" s="9">
        <v>45789.0</v>
      </c>
    </row>
    <row r="6641">
      <c r="A6641" s="5">
        <v>6640.0</v>
      </c>
      <c r="B6641" s="5" t="s">
        <v>7184</v>
      </c>
      <c r="C6641" s="5" t="s">
        <v>21</v>
      </c>
      <c r="N6641" s="9">
        <v>45591.0</v>
      </c>
    </row>
    <row r="6642">
      <c r="A6642" s="5">
        <v>6641.0</v>
      </c>
      <c r="B6642" s="5" t="s">
        <v>7185</v>
      </c>
      <c r="C6642" s="5" t="s">
        <v>21</v>
      </c>
      <c r="K6642" s="5">
        <v>150.0</v>
      </c>
      <c r="N6642" s="9">
        <v>44826.0</v>
      </c>
    </row>
    <row r="6643">
      <c r="A6643" s="5">
        <v>6642.0</v>
      </c>
      <c r="B6643" s="5" t="s">
        <v>7186</v>
      </c>
      <c r="C6643" s="5" t="s">
        <v>21</v>
      </c>
      <c r="K6643" s="5">
        <v>400.0</v>
      </c>
      <c r="N6643" s="9">
        <v>44708.0</v>
      </c>
    </row>
    <row r="6644">
      <c r="A6644" s="5">
        <v>6643.0</v>
      </c>
      <c r="B6644" s="5" t="s">
        <v>7187</v>
      </c>
      <c r="C6644" s="5" t="s">
        <v>21</v>
      </c>
      <c r="K6644" s="5">
        <v>800.0</v>
      </c>
      <c r="N6644" s="9">
        <v>44515.0</v>
      </c>
    </row>
    <row r="6645">
      <c r="A6645" s="5">
        <v>6644.0</v>
      </c>
      <c r="B6645" s="5" t="s">
        <v>7188</v>
      </c>
      <c r="C6645" s="5" t="s">
        <v>21</v>
      </c>
      <c r="N6645" s="9">
        <v>44570.0</v>
      </c>
    </row>
    <row r="6646">
      <c r="A6646" s="5">
        <v>6645.0</v>
      </c>
      <c r="B6646" s="5" t="s">
        <v>7189</v>
      </c>
      <c r="C6646" s="5" t="s">
        <v>21</v>
      </c>
      <c r="K6646" s="5">
        <v>100.0</v>
      </c>
      <c r="N6646" s="9">
        <v>44389.0</v>
      </c>
    </row>
    <row r="6647">
      <c r="A6647" s="5">
        <v>6646.0</v>
      </c>
      <c r="B6647" s="5" t="s">
        <v>7190</v>
      </c>
      <c r="C6647" s="5" t="s">
        <v>21</v>
      </c>
      <c r="K6647" s="5">
        <v>600.0</v>
      </c>
      <c r="N6647" s="9">
        <v>43867.0</v>
      </c>
    </row>
    <row r="6648">
      <c r="A6648" s="5">
        <v>6647.0</v>
      </c>
      <c r="B6648" s="5" t="s">
        <v>7191</v>
      </c>
      <c r="C6648" s="5" t="s">
        <v>21</v>
      </c>
      <c r="K6648" s="5">
        <v>150.0</v>
      </c>
      <c r="N6648" s="9">
        <v>44582.0</v>
      </c>
    </row>
    <row r="6649">
      <c r="A6649" s="5">
        <v>6648.0</v>
      </c>
      <c r="B6649" s="5" t="s">
        <v>7192</v>
      </c>
      <c r="C6649" s="5" t="s">
        <v>21</v>
      </c>
      <c r="N6649" s="9">
        <v>44432.0</v>
      </c>
    </row>
    <row r="6650">
      <c r="A6650" s="5">
        <v>6649.0</v>
      </c>
      <c r="B6650" s="5" t="s">
        <v>7193</v>
      </c>
      <c r="C6650" s="5" t="s">
        <v>21</v>
      </c>
      <c r="K6650" s="5">
        <v>800.0</v>
      </c>
      <c r="N6650" s="9">
        <v>45080.0</v>
      </c>
    </row>
    <row r="6651">
      <c r="A6651" s="5">
        <v>6650.0</v>
      </c>
      <c r="B6651" s="5" t="s">
        <v>7194</v>
      </c>
      <c r="C6651" s="5" t="s">
        <v>21</v>
      </c>
      <c r="K6651" s="5">
        <v>300.0</v>
      </c>
      <c r="N6651" s="9">
        <v>44582.0</v>
      </c>
    </row>
    <row r="6652">
      <c r="A6652" s="5">
        <v>6651.0</v>
      </c>
      <c r="B6652" s="5" t="s">
        <v>7195</v>
      </c>
      <c r="C6652" s="5" t="s">
        <v>21</v>
      </c>
      <c r="K6652" s="5">
        <v>400.0</v>
      </c>
      <c r="N6652" s="9">
        <v>44023.0</v>
      </c>
    </row>
    <row r="6653">
      <c r="A6653" s="5">
        <v>6652.0</v>
      </c>
      <c r="B6653" s="5" t="s">
        <v>7196</v>
      </c>
      <c r="C6653" s="5" t="s">
        <v>21</v>
      </c>
      <c r="K6653" s="5">
        <v>40.0</v>
      </c>
      <c r="N6653" s="9">
        <v>45215.0</v>
      </c>
    </row>
    <row r="6654">
      <c r="A6654" s="5">
        <v>6653.0</v>
      </c>
      <c r="B6654" s="5" t="s">
        <v>7197</v>
      </c>
      <c r="C6654" s="5" t="s">
        <v>21</v>
      </c>
      <c r="K6654" s="5">
        <v>500.0</v>
      </c>
      <c r="N6654" s="9">
        <v>43863.0</v>
      </c>
    </row>
    <row r="6655">
      <c r="A6655" s="5">
        <v>6654.0</v>
      </c>
      <c r="B6655" s="5" t="s">
        <v>7198</v>
      </c>
      <c r="C6655" s="5" t="s">
        <v>21</v>
      </c>
      <c r="K6655" s="5">
        <v>1900.0</v>
      </c>
      <c r="N6655" s="9">
        <v>45195.0</v>
      </c>
    </row>
    <row r="6656">
      <c r="A6656" s="5">
        <v>6655.0</v>
      </c>
      <c r="B6656" s="5" t="s">
        <v>7199</v>
      </c>
      <c r="C6656" s="5" t="s">
        <v>21</v>
      </c>
      <c r="K6656" s="5">
        <v>90.0</v>
      </c>
      <c r="N6656" s="9">
        <v>44566.0</v>
      </c>
    </row>
    <row r="6657">
      <c r="A6657" s="5">
        <v>6656.0</v>
      </c>
      <c r="B6657" s="5" t="s">
        <v>7200</v>
      </c>
      <c r="C6657" s="5" t="s">
        <v>21</v>
      </c>
      <c r="K6657" s="5">
        <v>1300.0</v>
      </c>
      <c r="N6657" s="9">
        <v>44193.0</v>
      </c>
    </row>
    <row r="6658">
      <c r="A6658" s="5">
        <v>6657.0</v>
      </c>
      <c r="B6658" s="5" t="s">
        <v>7201</v>
      </c>
      <c r="C6658" s="5" t="s">
        <v>21</v>
      </c>
      <c r="K6658" s="5">
        <v>1500.0</v>
      </c>
      <c r="N6658" s="9">
        <v>44030.0</v>
      </c>
    </row>
    <row r="6659">
      <c r="A6659" s="5">
        <v>6658.0</v>
      </c>
      <c r="B6659" s="5" t="s">
        <v>7202</v>
      </c>
      <c r="C6659" s="5" t="s">
        <v>21</v>
      </c>
      <c r="K6659" s="5">
        <v>700.0</v>
      </c>
      <c r="N6659" s="9">
        <v>44670.0</v>
      </c>
    </row>
    <row r="6660">
      <c r="A6660" s="5">
        <v>6659.0</v>
      </c>
      <c r="B6660" s="5" t="s">
        <v>7203</v>
      </c>
      <c r="C6660" s="5" t="s">
        <v>21</v>
      </c>
      <c r="K6660" s="5">
        <v>10.0</v>
      </c>
      <c r="N6660" s="9">
        <v>44541.0</v>
      </c>
    </row>
    <row r="6661">
      <c r="A6661" s="5">
        <v>6660.0</v>
      </c>
      <c r="B6661" s="5" t="s">
        <v>7204</v>
      </c>
      <c r="C6661" s="5" t="s">
        <v>21</v>
      </c>
      <c r="K6661" s="5">
        <v>4500.0</v>
      </c>
      <c r="N6661" s="9">
        <v>45085.0</v>
      </c>
    </row>
    <row r="6662">
      <c r="A6662" s="5">
        <v>6661.0</v>
      </c>
      <c r="B6662" s="5" t="s">
        <v>7205</v>
      </c>
      <c r="C6662" s="5" t="s">
        <v>21</v>
      </c>
      <c r="K6662" s="5">
        <v>3900.0</v>
      </c>
      <c r="N6662" s="9">
        <v>44550.0</v>
      </c>
    </row>
    <row r="6663">
      <c r="A6663" s="5">
        <v>6662.0</v>
      </c>
      <c r="B6663" s="5" t="s">
        <v>7206</v>
      </c>
      <c r="C6663" s="5" t="s">
        <v>21</v>
      </c>
      <c r="K6663" s="5">
        <v>700.0</v>
      </c>
      <c r="N6663" s="9">
        <v>44486.0</v>
      </c>
    </row>
    <row r="6664">
      <c r="A6664" s="5">
        <v>6663.0</v>
      </c>
      <c r="B6664" s="5" t="s">
        <v>7207</v>
      </c>
      <c r="C6664" s="5" t="s">
        <v>21</v>
      </c>
      <c r="K6664" s="5">
        <v>300.0</v>
      </c>
      <c r="N6664" s="9">
        <v>44817.0</v>
      </c>
    </row>
    <row r="6665">
      <c r="A6665" s="5">
        <v>6664.0</v>
      </c>
      <c r="B6665" s="5" t="s">
        <v>7208</v>
      </c>
      <c r="C6665" s="5" t="s">
        <v>21</v>
      </c>
      <c r="K6665" s="5">
        <v>600.0</v>
      </c>
      <c r="N6665" s="9">
        <v>44831.0</v>
      </c>
    </row>
    <row r="6666">
      <c r="A6666" s="5">
        <v>6665.0</v>
      </c>
      <c r="B6666" s="5" t="s">
        <v>7209</v>
      </c>
      <c r="C6666" s="5" t="s">
        <v>21</v>
      </c>
      <c r="N6666" s="9">
        <v>44507.0</v>
      </c>
    </row>
    <row r="6667">
      <c r="A6667" s="5">
        <v>6666.0</v>
      </c>
      <c r="B6667" s="5" t="s">
        <v>221</v>
      </c>
      <c r="C6667" s="5" t="s">
        <v>21</v>
      </c>
      <c r="K6667" s="5">
        <v>700.0</v>
      </c>
      <c r="N6667" s="9">
        <v>44521.0</v>
      </c>
    </row>
    <row r="6668">
      <c r="A6668" s="5">
        <v>6667.0</v>
      </c>
      <c r="B6668" s="5" t="s">
        <v>7210</v>
      </c>
      <c r="C6668" s="5" t="s">
        <v>21</v>
      </c>
      <c r="K6668" s="5">
        <v>200.0</v>
      </c>
      <c r="N6668" s="9">
        <v>44657.0</v>
      </c>
    </row>
    <row r="6669">
      <c r="A6669" s="5">
        <v>6668.0</v>
      </c>
      <c r="B6669" s="5" t="s">
        <v>7211</v>
      </c>
      <c r="C6669" s="5" t="s">
        <v>21</v>
      </c>
      <c r="K6669" s="5">
        <v>300.0</v>
      </c>
      <c r="N6669" s="9">
        <v>44518.0</v>
      </c>
    </row>
    <row r="6670">
      <c r="A6670" s="5">
        <v>6669.0</v>
      </c>
      <c r="B6670" s="5" t="s">
        <v>7212</v>
      </c>
      <c r="C6670" s="5" t="s">
        <v>21</v>
      </c>
      <c r="K6670" s="5">
        <v>300.0</v>
      </c>
      <c r="N6670" s="9">
        <v>45146.0</v>
      </c>
    </row>
    <row r="6671">
      <c r="A6671" s="5">
        <v>6670.0</v>
      </c>
      <c r="B6671" s="5" t="s">
        <v>7213</v>
      </c>
      <c r="C6671" s="5" t="s">
        <v>21</v>
      </c>
      <c r="K6671" s="5">
        <v>70.0</v>
      </c>
      <c r="N6671" s="9">
        <v>44622.0</v>
      </c>
    </row>
    <row r="6672">
      <c r="A6672" s="5">
        <v>6671.0</v>
      </c>
      <c r="B6672" s="5" t="s">
        <v>7214</v>
      </c>
      <c r="C6672" s="5" t="s">
        <v>21</v>
      </c>
      <c r="K6672" s="5">
        <v>300.0</v>
      </c>
      <c r="N6672" s="9">
        <v>44648.0</v>
      </c>
    </row>
    <row r="6673">
      <c r="A6673" s="5">
        <v>6672.0</v>
      </c>
      <c r="B6673" s="5" t="s">
        <v>7215</v>
      </c>
      <c r="C6673" s="5" t="s">
        <v>21</v>
      </c>
      <c r="K6673" s="5">
        <v>500.0</v>
      </c>
      <c r="N6673" s="9">
        <v>45120.0</v>
      </c>
    </row>
    <row r="6674">
      <c r="A6674" s="5">
        <v>6673.0</v>
      </c>
      <c r="B6674" s="5" t="s">
        <v>7216</v>
      </c>
      <c r="C6674" s="5" t="s">
        <v>21</v>
      </c>
      <c r="K6674" s="5">
        <v>30.0</v>
      </c>
      <c r="N6674" s="9">
        <v>45846.0</v>
      </c>
    </row>
    <row r="6675">
      <c r="A6675" s="5">
        <v>6674.0</v>
      </c>
      <c r="B6675" s="5" t="s">
        <v>7217</v>
      </c>
      <c r="C6675" s="5" t="s">
        <v>21</v>
      </c>
      <c r="K6675" s="5">
        <v>900.0</v>
      </c>
      <c r="N6675" s="9">
        <v>44582.0</v>
      </c>
    </row>
    <row r="6676">
      <c r="A6676" s="5">
        <v>6675.0</v>
      </c>
      <c r="B6676" s="5" t="s">
        <v>7218</v>
      </c>
      <c r="C6676" s="5" t="s">
        <v>21</v>
      </c>
      <c r="K6676" s="5">
        <v>900.0</v>
      </c>
      <c r="N6676" s="9">
        <v>44250.0</v>
      </c>
    </row>
    <row r="6677">
      <c r="A6677" s="5">
        <v>6676.0</v>
      </c>
      <c r="B6677" s="5" t="s">
        <v>7219</v>
      </c>
      <c r="C6677" s="5" t="s">
        <v>21</v>
      </c>
      <c r="K6677" s="5">
        <v>500.0</v>
      </c>
      <c r="N6677" s="9">
        <v>44533.0</v>
      </c>
    </row>
    <row r="6678">
      <c r="A6678" s="5">
        <v>6677.0</v>
      </c>
      <c r="B6678" s="5" t="s">
        <v>7220</v>
      </c>
      <c r="C6678" s="5" t="s">
        <v>21</v>
      </c>
      <c r="K6678" s="5">
        <v>200.0</v>
      </c>
      <c r="N6678" s="9">
        <v>44682.0</v>
      </c>
    </row>
    <row r="6679">
      <c r="A6679" s="5">
        <v>6678.0</v>
      </c>
      <c r="B6679" s="5" t="s">
        <v>7221</v>
      </c>
      <c r="C6679" s="5" t="s">
        <v>21</v>
      </c>
      <c r="K6679" s="5">
        <v>700.0</v>
      </c>
      <c r="N6679" s="9">
        <v>45488.0</v>
      </c>
    </row>
    <row r="6680">
      <c r="A6680" s="5">
        <v>6679.0</v>
      </c>
      <c r="B6680" s="5" t="s">
        <v>7222</v>
      </c>
      <c r="C6680" s="5" t="s">
        <v>21</v>
      </c>
      <c r="K6680" s="5">
        <v>200.0</v>
      </c>
      <c r="N6680" s="9">
        <v>44629.0</v>
      </c>
    </row>
    <row r="6681">
      <c r="A6681" s="5">
        <v>6680.0</v>
      </c>
      <c r="B6681" s="5" t="s">
        <v>7223</v>
      </c>
      <c r="C6681" s="5" t="s">
        <v>21</v>
      </c>
      <c r="K6681" s="5">
        <v>90.0</v>
      </c>
      <c r="N6681" s="9">
        <v>44609.0</v>
      </c>
    </row>
    <row r="6682">
      <c r="A6682" s="5">
        <v>6681.0</v>
      </c>
      <c r="B6682" s="5" t="s">
        <v>7224</v>
      </c>
      <c r="C6682" s="5" t="s">
        <v>21</v>
      </c>
      <c r="K6682" s="5">
        <v>700.0</v>
      </c>
      <c r="N6682" s="9">
        <v>45267.0</v>
      </c>
    </row>
    <row r="6683">
      <c r="A6683" s="5">
        <v>6682.0</v>
      </c>
      <c r="B6683" s="5" t="s">
        <v>7225</v>
      </c>
      <c r="C6683" s="5" t="s">
        <v>21</v>
      </c>
      <c r="K6683" s="5">
        <v>250.0</v>
      </c>
      <c r="N6683" s="9">
        <v>44886.0</v>
      </c>
    </row>
    <row r="6684">
      <c r="A6684" s="5">
        <v>6683.0</v>
      </c>
      <c r="B6684" s="5" t="s">
        <v>7226</v>
      </c>
      <c r="C6684" s="5" t="s">
        <v>21</v>
      </c>
      <c r="K6684" s="5">
        <v>800.0</v>
      </c>
      <c r="N6684" s="9">
        <v>44608.0</v>
      </c>
    </row>
    <row r="6685">
      <c r="A6685" s="5">
        <v>6684.0</v>
      </c>
      <c r="B6685" s="5" t="s">
        <v>7227</v>
      </c>
      <c r="C6685" s="5" t="s">
        <v>21</v>
      </c>
      <c r="N6685" s="9">
        <v>44518.0</v>
      </c>
    </row>
    <row r="6686">
      <c r="A6686" s="5">
        <v>6685.0</v>
      </c>
      <c r="B6686" s="5" t="s">
        <v>7228</v>
      </c>
      <c r="C6686" s="5" t="s">
        <v>21</v>
      </c>
      <c r="K6686" s="5">
        <v>250.0</v>
      </c>
      <c r="N6686" s="9">
        <v>43854.0</v>
      </c>
    </row>
    <row r="6687">
      <c r="A6687" s="5">
        <v>6686.0</v>
      </c>
      <c r="B6687" s="5" t="s">
        <v>7229</v>
      </c>
      <c r="C6687" s="5" t="s">
        <v>21</v>
      </c>
      <c r="K6687" s="5">
        <v>150.0</v>
      </c>
      <c r="N6687" s="9">
        <v>44613.0</v>
      </c>
    </row>
    <row r="6688">
      <c r="A6688" s="5">
        <v>6687.0</v>
      </c>
      <c r="B6688" s="5" t="s">
        <v>7230</v>
      </c>
      <c r="C6688" s="5" t="s">
        <v>21</v>
      </c>
      <c r="K6688" s="5">
        <v>1000.0</v>
      </c>
      <c r="N6688" s="9">
        <v>44542.0</v>
      </c>
    </row>
    <row r="6689">
      <c r="A6689" s="5">
        <v>6688.0</v>
      </c>
      <c r="B6689" s="5" t="s">
        <v>7231</v>
      </c>
      <c r="C6689" s="5" t="s">
        <v>21</v>
      </c>
      <c r="K6689" s="5">
        <v>12000.0</v>
      </c>
      <c r="N6689" s="9">
        <v>43871.0</v>
      </c>
    </row>
    <row r="6690">
      <c r="A6690" s="5">
        <v>6689.0</v>
      </c>
      <c r="B6690" s="5" t="s">
        <v>7232</v>
      </c>
      <c r="C6690" s="5" t="s">
        <v>21</v>
      </c>
      <c r="K6690" s="5">
        <v>600.0</v>
      </c>
      <c r="N6690" s="9">
        <v>43890.0</v>
      </c>
    </row>
    <row r="6691">
      <c r="A6691" s="5">
        <v>6690.0</v>
      </c>
      <c r="B6691" s="5" t="s">
        <v>7233</v>
      </c>
      <c r="C6691" s="5" t="s">
        <v>21</v>
      </c>
      <c r="K6691" s="5">
        <v>250.0</v>
      </c>
      <c r="N6691" s="9">
        <v>44519.0</v>
      </c>
    </row>
    <row r="6692">
      <c r="A6692" s="5">
        <v>6691.0</v>
      </c>
      <c r="B6692" s="5" t="s">
        <v>7234</v>
      </c>
      <c r="C6692" s="5" t="s">
        <v>21</v>
      </c>
      <c r="K6692" s="5">
        <v>10.0</v>
      </c>
      <c r="N6692" s="9">
        <v>44689.0</v>
      </c>
    </row>
    <row r="6693">
      <c r="A6693" s="5">
        <v>6692.0</v>
      </c>
      <c r="B6693" s="5" t="s">
        <v>7235</v>
      </c>
      <c r="C6693" s="5" t="s">
        <v>21</v>
      </c>
      <c r="K6693" s="5">
        <v>3700.0</v>
      </c>
      <c r="N6693" s="9">
        <v>44945.0</v>
      </c>
    </row>
    <row r="6694">
      <c r="A6694" s="5">
        <v>6693.0</v>
      </c>
      <c r="B6694" s="5" t="s">
        <v>7236</v>
      </c>
      <c r="C6694" s="5" t="s">
        <v>21</v>
      </c>
      <c r="N6694" s="9">
        <v>44539.0</v>
      </c>
    </row>
    <row r="6695">
      <c r="A6695" s="5">
        <v>6694.0</v>
      </c>
      <c r="B6695" s="5" t="s">
        <v>7237</v>
      </c>
      <c r="C6695" s="5" t="s">
        <v>21</v>
      </c>
      <c r="K6695" s="5">
        <v>60.0</v>
      </c>
      <c r="N6695" s="9">
        <v>44806.0</v>
      </c>
    </row>
    <row r="6696">
      <c r="A6696" s="5">
        <v>6695.0</v>
      </c>
      <c r="B6696" s="5" t="s">
        <v>7238</v>
      </c>
      <c r="C6696" s="5" t="s">
        <v>21</v>
      </c>
      <c r="K6696" s="5">
        <v>40.0</v>
      </c>
      <c r="N6696" s="9">
        <v>44733.0</v>
      </c>
    </row>
    <row r="6697">
      <c r="A6697" s="5">
        <v>6696.0</v>
      </c>
      <c r="B6697" s="5" t="s">
        <v>7239</v>
      </c>
      <c r="C6697" s="5" t="s">
        <v>21</v>
      </c>
      <c r="K6697" s="5">
        <v>300.0</v>
      </c>
      <c r="N6697" s="9">
        <v>44541.0</v>
      </c>
    </row>
    <row r="6698">
      <c r="A6698" s="5">
        <v>6697.0</v>
      </c>
      <c r="B6698" s="5" t="s">
        <v>7240</v>
      </c>
      <c r="C6698" s="5" t="s">
        <v>21</v>
      </c>
      <c r="K6698" s="5">
        <v>100.0</v>
      </c>
      <c r="N6698" s="9">
        <v>44729.0</v>
      </c>
    </row>
    <row r="6699">
      <c r="A6699" s="5">
        <v>6698.0</v>
      </c>
      <c r="B6699" s="5" t="s">
        <v>7241</v>
      </c>
      <c r="C6699" s="5" t="s">
        <v>21</v>
      </c>
      <c r="K6699" s="5">
        <v>5300.0</v>
      </c>
      <c r="N6699" s="9">
        <v>43960.0</v>
      </c>
    </row>
    <row r="6700">
      <c r="A6700" s="5">
        <v>6699.0</v>
      </c>
      <c r="B6700" s="5" t="s">
        <v>7242</v>
      </c>
      <c r="C6700" s="5" t="s">
        <v>21</v>
      </c>
      <c r="K6700" s="5">
        <v>200.0</v>
      </c>
      <c r="N6700" s="9">
        <v>44629.0</v>
      </c>
    </row>
    <row r="6701">
      <c r="A6701" s="5">
        <v>6700.0</v>
      </c>
      <c r="B6701" s="5" t="s">
        <v>7243</v>
      </c>
      <c r="C6701" s="5" t="s">
        <v>21</v>
      </c>
      <c r="K6701" s="5">
        <v>800.0</v>
      </c>
      <c r="N6701" s="9">
        <v>45317.0</v>
      </c>
    </row>
    <row r="6702">
      <c r="A6702" s="5">
        <v>6701.0</v>
      </c>
      <c r="B6702" s="5" t="s">
        <v>7244</v>
      </c>
      <c r="C6702" s="5" t="s">
        <v>21</v>
      </c>
      <c r="K6702" s="5">
        <v>1800.0</v>
      </c>
      <c r="N6702" s="9">
        <v>44547.0</v>
      </c>
    </row>
    <row r="6703">
      <c r="A6703" s="5">
        <v>6702.0</v>
      </c>
      <c r="B6703" s="5" t="s">
        <v>7245</v>
      </c>
      <c r="C6703" s="5" t="s">
        <v>21</v>
      </c>
      <c r="K6703" s="5">
        <v>200.0</v>
      </c>
      <c r="N6703" s="9">
        <v>45330.0</v>
      </c>
    </row>
    <row r="6704">
      <c r="A6704" s="5">
        <v>6703.0</v>
      </c>
      <c r="B6704" s="5" t="s">
        <v>7246</v>
      </c>
      <c r="C6704" s="5" t="s">
        <v>21</v>
      </c>
      <c r="K6704" s="5">
        <v>2100.0</v>
      </c>
      <c r="N6704" s="9">
        <v>44477.0</v>
      </c>
    </row>
    <row r="6705">
      <c r="A6705" s="5">
        <v>6704.0</v>
      </c>
      <c r="B6705" s="5" t="s">
        <v>7247</v>
      </c>
      <c r="C6705" s="5" t="s">
        <v>21</v>
      </c>
      <c r="K6705" s="5">
        <v>450.0</v>
      </c>
      <c r="N6705" s="9">
        <v>44580.0</v>
      </c>
    </row>
    <row r="6706">
      <c r="A6706" s="5">
        <v>6705.0</v>
      </c>
      <c r="B6706" s="5" t="s">
        <v>7248</v>
      </c>
      <c r="C6706" s="5" t="s">
        <v>21</v>
      </c>
      <c r="K6706" s="5">
        <v>500.0</v>
      </c>
      <c r="N6706" s="9">
        <v>44765.0</v>
      </c>
    </row>
    <row r="6707">
      <c r="A6707" s="5">
        <v>6706.0</v>
      </c>
      <c r="B6707" s="5" t="s">
        <v>7249</v>
      </c>
      <c r="C6707" s="5" t="s">
        <v>21</v>
      </c>
      <c r="K6707" s="5">
        <v>2100.0</v>
      </c>
      <c r="N6707" s="9">
        <v>44557.0</v>
      </c>
    </row>
    <row r="6708">
      <c r="A6708" s="5">
        <v>6707.0</v>
      </c>
      <c r="B6708" s="5" t="s">
        <v>7250</v>
      </c>
      <c r="C6708" s="5" t="s">
        <v>21</v>
      </c>
      <c r="K6708" s="5">
        <v>2100.0</v>
      </c>
      <c r="N6708" s="9">
        <v>44294.0</v>
      </c>
    </row>
    <row r="6709">
      <c r="A6709" s="5">
        <v>6708.0</v>
      </c>
      <c r="B6709" s="5" t="s">
        <v>7251</v>
      </c>
      <c r="C6709" s="5" t="s">
        <v>21</v>
      </c>
      <c r="K6709" s="5">
        <v>200.0</v>
      </c>
      <c r="N6709" s="9">
        <v>45222.0</v>
      </c>
    </row>
    <row r="6710">
      <c r="A6710" s="5">
        <v>6709.0</v>
      </c>
      <c r="B6710" s="5" t="s">
        <v>7252</v>
      </c>
      <c r="C6710" s="5" t="s">
        <v>21</v>
      </c>
      <c r="K6710" s="5">
        <v>200.0</v>
      </c>
      <c r="N6710" s="9">
        <v>44696.0</v>
      </c>
    </row>
    <row r="6711">
      <c r="A6711" s="5">
        <v>6710.0</v>
      </c>
      <c r="B6711" s="5" t="s">
        <v>7253</v>
      </c>
      <c r="C6711" s="5" t="s">
        <v>21</v>
      </c>
      <c r="N6711" s="9">
        <v>44538.0</v>
      </c>
    </row>
    <row r="6712">
      <c r="A6712" s="5">
        <v>6711.0</v>
      </c>
      <c r="B6712" s="5" t="s">
        <v>7254</v>
      </c>
      <c r="C6712" s="5" t="s">
        <v>21</v>
      </c>
      <c r="N6712" s="9">
        <v>44518.0</v>
      </c>
    </row>
    <row r="6713">
      <c r="A6713" s="5">
        <v>6712.0</v>
      </c>
      <c r="B6713" s="5" t="s">
        <v>245</v>
      </c>
      <c r="C6713" s="5" t="s">
        <v>21</v>
      </c>
      <c r="K6713" s="5">
        <v>2800.0</v>
      </c>
      <c r="N6713" s="9">
        <v>43882.0</v>
      </c>
    </row>
    <row r="6714">
      <c r="A6714" s="5">
        <v>6713.0</v>
      </c>
      <c r="B6714" s="5" t="s">
        <v>7255</v>
      </c>
      <c r="C6714" s="5" t="s">
        <v>21</v>
      </c>
      <c r="N6714" s="9">
        <v>44524.0</v>
      </c>
    </row>
    <row r="6715">
      <c r="A6715" s="5">
        <v>6714.0</v>
      </c>
      <c r="B6715" s="5" t="s">
        <v>7256</v>
      </c>
      <c r="C6715" s="5" t="s">
        <v>21</v>
      </c>
      <c r="K6715" s="5">
        <v>200.0</v>
      </c>
      <c r="N6715" s="9">
        <v>45221.0</v>
      </c>
    </row>
    <row r="6716">
      <c r="A6716" s="5">
        <v>6715.0</v>
      </c>
      <c r="B6716" s="5" t="s">
        <v>7257</v>
      </c>
      <c r="C6716" s="5" t="s">
        <v>21</v>
      </c>
      <c r="K6716" s="5">
        <v>100.0</v>
      </c>
      <c r="N6716" s="9">
        <v>44482.0</v>
      </c>
    </row>
    <row r="6717">
      <c r="A6717" s="5">
        <v>6716.0</v>
      </c>
      <c r="B6717" s="5" t="s">
        <v>7258</v>
      </c>
      <c r="C6717" s="5" t="s">
        <v>21</v>
      </c>
      <c r="K6717" s="5">
        <v>700.0</v>
      </c>
      <c r="N6717" s="9">
        <v>44000.0</v>
      </c>
    </row>
    <row r="6718">
      <c r="A6718" s="5">
        <v>6717.0</v>
      </c>
      <c r="B6718" s="5" t="s">
        <v>7259</v>
      </c>
      <c r="C6718" s="5" t="s">
        <v>21</v>
      </c>
      <c r="K6718" s="5">
        <v>200.0</v>
      </c>
      <c r="N6718" s="9">
        <v>44587.0</v>
      </c>
    </row>
    <row r="6719">
      <c r="A6719" s="5">
        <v>6718.0</v>
      </c>
      <c r="B6719" s="5" t="s">
        <v>7260</v>
      </c>
      <c r="C6719" s="5" t="s">
        <v>21</v>
      </c>
      <c r="K6719" s="5">
        <v>450.0</v>
      </c>
      <c r="N6719" s="9">
        <v>45293.0</v>
      </c>
    </row>
    <row r="6720">
      <c r="A6720" s="5">
        <v>6719.0</v>
      </c>
      <c r="B6720" s="5" t="s">
        <v>7261</v>
      </c>
      <c r="C6720" s="5" t="s">
        <v>21</v>
      </c>
      <c r="K6720" s="5">
        <v>100.0</v>
      </c>
      <c r="N6720" s="9">
        <v>45528.0</v>
      </c>
    </row>
    <row r="6721">
      <c r="A6721" s="5">
        <v>6720.0</v>
      </c>
      <c r="B6721" s="5" t="s">
        <v>7262</v>
      </c>
      <c r="C6721" s="5" t="s">
        <v>21</v>
      </c>
      <c r="N6721" s="9">
        <v>44222.0</v>
      </c>
    </row>
    <row r="6722">
      <c r="A6722" s="5">
        <v>6721.0</v>
      </c>
      <c r="B6722" s="5" t="s">
        <v>7263</v>
      </c>
      <c r="C6722" s="5" t="s">
        <v>21</v>
      </c>
      <c r="K6722" s="5">
        <v>400.0</v>
      </c>
      <c r="N6722" s="9">
        <v>44526.0</v>
      </c>
    </row>
    <row r="6723">
      <c r="A6723" s="5">
        <v>6722.0</v>
      </c>
      <c r="B6723" s="5" t="s">
        <v>7264</v>
      </c>
      <c r="C6723" s="5" t="s">
        <v>21</v>
      </c>
      <c r="K6723" s="5">
        <v>1500.0</v>
      </c>
      <c r="N6723" s="9">
        <v>43841.0</v>
      </c>
    </row>
    <row r="6724">
      <c r="A6724" s="5">
        <v>6723.0</v>
      </c>
      <c r="B6724" s="5" t="s">
        <v>7265</v>
      </c>
      <c r="C6724" s="5" t="s">
        <v>21</v>
      </c>
      <c r="K6724" s="5">
        <v>350.0</v>
      </c>
      <c r="N6724" s="9">
        <v>45587.0</v>
      </c>
    </row>
    <row r="6725">
      <c r="A6725" s="5">
        <v>6724.0</v>
      </c>
      <c r="B6725" s="5" t="s">
        <v>7266</v>
      </c>
      <c r="C6725" s="5" t="s">
        <v>21</v>
      </c>
      <c r="K6725" s="5">
        <v>450.0</v>
      </c>
      <c r="N6725" s="9">
        <v>44590.0</v>
      </c>
    </row>
    <row r="6726">
      <c r="A6726" s="5">
        <v>6725.0</v>
      </c>
      <c r="B6726" s="5" t="s">
        <v>7267</v>
      </c>
      <c r="C6726" s="5" t="s">
        <v>21</v>
      </c>
      <c r="K6726" s="5">
        <v>10.0</v>
      </c>
      <c r="N6726" s="9">
        <v>44577.0</v>
      </c>
    </row>
    <row r="6727">
      <c r="A6727" s="5">
        <v>6726.0</v>
      </c>
      <c r="B6727" s="5" t="s">
        <v>7268</v>
      </c>
      <c r="C6727" s="5" t="s">
        <v>21</v>
      </c>
      <c r="K6727" s="5">
        <v>450.0</v>
      </c>
      <c r="N6727" s="9">
        <v>44359.0</v>
      </c>
    </row>
    <row r="6728">
      <c r="A6728" s="5">
        <v>6727.0</v>
      </c>
      <c r="B6728" s="5" t="s">
        <v>7269</v>
      </c>
      <c r="C6728" s="5" t="s">
        <v>21</v>
      </c>
      <c r="K6728" s="5">
        <v>2600.0</v>
      </c>
      <c r="N6728" s="9">
        <v>44386.0</v>
      </c>
    </row>
    <row r="6729">
      <c r="A6729" s="5">
        <v>6728.0</v>
      </c>
      <c r="B6729" s="5" t="s">
        <v>7270</v>
      </c>
      <c r="C6729" s="5" t="s">
        <v>21</v>
      </c>
      <c r="K6729" s="5">
        <v>500.0</v>
      </c>
      <c r="N6729" s="9">
        <v>44612.0</v>
      </c>
    </row>
    <row r="6730">
      <c r="A6730" s="5">
        <v>6729.0</v>
      </c>
      <c r="B6730" s="5" t="s">
        <v>7271</v>
      </c>
      <c r="C6730" s="5" t="s">
        <v>21</v>
      </c>
      <c r="K6730" s="5">
        <v>7400.0</v>
      </c>
      <c r="N6730" s="9">
        <v>44237.0</v>
      </c>
    </row>
    <row r="6731">
      <c r="A6731" s="5">
        <v>6730.0</v>
      </c>
      <c r="B6731" s="5" t="s">
        <v>7272</v>
      </c>
      <c r="C6731" s="5" t="s">
        <v>21</v>
      </c>
      <c r="K6731" s="5">
        <v>90.0</v>
      </c>
      <c r="N6731" s="9">
        <v>44853.0</v>
      </c>
    </row>
    <row r="6732">
      <c r="A6732" s="5">
        <v>6731.0</v>
      </c>
      <c r="B6732" s="5" t="s">
        <v>7273</v>
      </c>
      <c r="C6732" s="5" t="s">
        <v>21</v>
      </c>
      <c r="K6732" s="5">
        <v>2200.0</v>
      </c>
      <c r="N6732" s="9">
        <v>44542.0</v>
      </c>
    </row>
    <row r="6733">
      <c r="A6733" s="5">
        <v>6732.0</v>
      </c>
      <c r="B6733" s="5" t="s">
        <v>7274</v>
      </c>
      <c r="C6733" s="5" t="s">
        <v>21</v>
      </c>
      <c r="K6733" s="5">
        <v>150.0</v>
      </c>
      <c r="N6733" s="9">
        <v>44722.0</v>
      </c>
    </row>
    <row r="6734">
      <c r="A6734" s="5">
        <v>6733.0</v>
      </c>
      <c r="B6734" s="5" t="s">
        <v>7275</v>
      </c>
      <c r="C6734" s="5" t="s">
        <v>21</v>
      </c>
      <c r="N6734" s="9">
        <v>44143.0</v>
      </c>
    </row>
    <row r="6735">
      <c r="A6735" s="5">
        <v>6734.0</v>
      </c>
      <c r="B6735" s="5" t="s">
        <v>7276</v>
      </c>
      <c r="C6735" s="5" t="s">
        <v>21</v>
      </c>
      <c r="K6735" s="5">
        <v>150.0</v>
      </c>
      <c r="N6735" s="9">
        <v>44271.0</v>
      </c>
    </row>
    <row r="6736">
      <c r="A6736" s="5">
        <v>6735.0</v>
      </c>
      <c r="B6736" s="5" t="s">
        <v>7277</v>
      </c>
      <c r="C6736" s="5" t="s">
        <v>21</v>
      </c>
      <c r="K6736" s="5">
        <v>100.0</v>
      </c>
      <c r="N6736" s="9">
        <v>45603.0</v>
      </c>
    </row>
    <row r="6737">
      <c r="A6737" s="5">
        <v>6736.0</v>
      </c>
      <c r="B6737" s="5" t="s">
        <v>7278</v>
      </c>
      <c r="C6737" s="5" t="s">
        <v>21</v>
      </c>
      <c r="N6737" s="9">
        <v>44597.0</v>
      </c>
    </row>
    <row r="6738">
      <c r="A6738" s="5">
        <v>6737.0</v>
      </c>
      <c r="B6738" s="5" t="s">
        <v>7279</v>
      </c>
      <c r="C6738" s="5" t="s">
        <v>21</v>
      </c>
      <c r="K6738" s="5">
        <v>450.0</v>
      </c>
      <c r="N6738" s="9">
        <v>44542.0</v>
      </c>
    </row>
    <row r="6739">
      <c r="A6739" s="5">
        <v>6738.0</v>
      </c>
      <c r="B6739" s="5" t="s">
        <v>7280</v>
      </c>
      <c r="C6739" s="5" t="s">
        <v>21</v>
      </c>
      <c r="K6739" s="5">
        <v>450.0</v>
      </c>
      <c r="N6739" s="9">
        <v>45081.0</v>
      </c>
    </row>
    <row r="6740">
      <c r="A6740" s="5">
        <v>6739.0</v>
      </c>
      <c r="B6740" s="5" t="s">
        <v>7281</v>
      </c>
      <c r="C6740" s="5" t="s">
        <v>21</v>
      </c>
      <c r="K6740" s="5">
        <v>150.0</v>
      </c>
      <c r="N6740" s="9">
        <v>44976.0</v>
      </c>
    </row>
    <row r="6741">
      <c r="A6741" s="5">
        <v>6740.0</v>
      </c>
      <c r="B6741" s="5" t="s">
        <v>7282</v>
      </c>
      <c r="C6741" s="5" t="s">
        <v>21</v>
      </c>
      <c r="K6741" s="5">
        <v>700.0</v>
      </c>
      <c r="N6741" s="9">
        <v>45353.0</v>
      </c>
    </row>
    <row r="6742">
      <c r="A6742" s="5">
        <v>6741.0</v>
      </c>
      <c r="B6742" s="5" t="s">
        <v>7283</v>
      </c>
      <c r="C6742" s="5" t="s">
        <v>21</v>
      </c>
      <c r="K6742" s="5">
        <v>1000.0</v>
      </c>
      <c r="N6742" s="9">
        <v>44301.0</v>
      </c>
    </row>
    <row r="6743">
      <c r="A6743" s="5">
        <v>6742.0</v>
      </c>
      <c r="B6743" s="5" t="s">
        <v>7284</v>
      </c>
      <c r="C6743" s="5" t="s">
        <v>21</v>
      </c>
      <c r="K6743" s="5">
        <v>70.0</v>
      </c>
      <c r="N6743" s="9">
        <v>44931.0</v>
      </c>
    </row>
    <row r="6744">
      <c r="A6744" s="5">
        <v>6743.0</v>
      </c>
      <c r="B6744" s="5" t="s">
        <v>7285</v>
      </c>
      <c r="C6744" s="5" t="s">
        <v>21</v>
      </c>
      <c r="K6744" s="5">
        <v>1500.0</v>
      </c>
      <c r="N6744" s="9">
        <v>45630.0</v>
      </c>
    </row>
    <row r="6745">
      <c r="A6745" s="5">
        <v>6744.0</v>
      </c>
      <c r="B6745" s="5" t="s">
        <v>7286</v>
      </c>
      <c r="C6745" s="5" t="s">
        <v>21</v>
      </c>
      <c r="K6745" s="5">
        <v>150.0</v>
      </c>
      <c r="N6745" s="9">
        <v>44356.0</v>
      </c>
    </row>
    <row r="6746">
      <c r="A6746" s="5">
        <v>6745.0</v>
      </c>
      <c r="B6746" s="5" t="s">
        <v>7287</v>
      </c>
      <c r="C6746" s="5" t="s">
        <v>21</v>
      </c>
      <c r="K6746" s="5">
        <v>1100.0</v>
      </c>
      <c r="N6746" s="9">
        <v>45476.0</v>
      </c>
    </row>
    <row r="6747">
      <c r="A6747" s="5">
        <v>6746.0</v>
      </c>
      <c r="B6747" s="5" t="s">
        <v>7288</v>
      </c>
      <c r="C6747" s="5" t="s">
        <v>21</v>
      </c>
      <c r="K6747" s="5">
        <v>60.0</v>
      </c>
      <c r="N6747" s="9">
        <v>45001.0</v>
      </c>
    </row>
    <row r="6748">
      <c r="A6748" s="5">
        <v>6747.0</v>
      </c>
      <c r="B6748" s="5" t="s">
        <v>7289</v>
      </c>
      <c r="C6748" s="5" t="s">
        <v>21</v>
      </c>
      <c r="K6748" s="5">
        <v>100.0</v>
      </c>
      <c r="N6748" s="9">
        <v>44026.0</v>
      </c>
    </row>
    <row r="6749">
      <c r="A6749" s="5">
        <v>6748.0</v>
      </c>
      <c r="B6749" s="5" t="s">
        <v>7290</v>
      </c>
      <c r="C6749" s="5" t="s">
        <v>21</v>
      </c>
      <c r="K6749" s="5">
        <v>250.0</v>
      </c>
      <c r="N6749" s="9">
        <v>44580.0</v>
      </c>
    </row>
    <row r="6750">
      <c r="A6750" s="5">
        <v>6749.0</v>
      </c>
      <c r="B6750" s="5" t="s">
        <v>7291</v>
      </c>
      <c r="C6750" s="5" t="s">
        <v>21</v>
      </c>
      <c r="K6750" s="5">
        <v>2300.0</v>
      </c>
      <c r="N6750" s="9">
        <v>44523.0</v>
      </c>
    </row>
    <row r="6751">
      <c r="A6751" s="5">
        <v>6750.0</v>
      </c>
      <c r="B6751" s="5" t="s">
        <v>7292</v>
      </c>
      <c r="C6751" s="5" t="s">
        <v>21</v>
      </c>
      <c r="K6751" s="5">
        <v>800.0</v>
      </c>
      <c r="N6751" s="9">
        <v>44570.0</v>
      </c>
    </row>
    <row r="6752">
      <c r="A6752" s="5">
        <v>6751.0</v>
      </c>
      <c r="B6752" s="5" t="s">
        <v>7293</v>
      </c>
      <c r="C6752" s="5" t="s">
        <v>21</v>
      </c>
      <c r="K6752" s="5">
        <v>1100.0</v>
      </c>
      <c r="N6752" s="9">
        <v>44611.0</v>
      </c>
    </row>
    <row r="6753">
      <c r="A6753" s="5">
        <v>6752.0</v>
      </c>
      <c r="B6753" s="5" t="s">
        <v>7294</v>
      </c>
      <c r="C6753" s="5" t="s">
        <v>21</v>
      </c>
      <c r="K6753" s="5">
        <v>1000.0</v>
      </c>
      <c r="N6753" s="9">
        <v>44009.0</v>
      </c>
    </row>
    <row r="6754">
      <c r="A6754" s="5">
        <v>6753.0</v>
      </c>
      <c r="B6754" s="5" t="s">
        <v>7295</v>
      </c>
      <c r="C6754" s="5" t="s">
        <v>21</v>
      </c>
      <c r="K6754" s="5">
        <v>500.0</v>
      </c>
      <c r="N6754" s="9">
        <v>45163.0</v>
      </c>
    </row>
    <row r="6755">
      <c r="A6755" s="5">
        <v>6754.0</v>
      </c>
      <c r="B6755" s="5" t="s">
        <v>7296</v>
      </c>
      <c r="C6755" s="5" t="s">
        <v>21</v>
      </c>
      <c r="K6755" s="5">
        <v>200.0</v>
      </c>
      <c r="N6755" s="9">
        <v>43880.0</v>
      </c>
    </row>
    <row r="6756">
      <c r="A6756" s="5">
        <v>6755.0</v>
      </c>
      <c r="B6756" s="5" t="s">
        <v>7297</v>
      </c>
      <c r="C6756" s="5" t="s">
        <v>21</v>
      </c>
      <c r="K6756" s="5">
        <v>500.0</v>
      </c>
      <c r="N6756" s="9">
        <v>44582.0</v>
      </c>
    </row>
    <row r="6757">
      <c r="A6757" s="5">
        <v>6756.0</v>
      </c>
      <c r="B6757" s="5" t="s">
        <v>7298</v>
      </c>
      <c r="C6757" s="5" t="s">
        <v>21</v>
      </c>
      <c r="K6757" s="5">
        <v>1400.0</v>
      </c>
      <c r="N6757" s="9">
        <v>44615.0</v>
      </c>
    </row>
    <row r="6758">
      <c r="A6758" s="5">
        <v>6757.0</v>
      </c>
      <c r="B6758" s="5" t="s">
        <v>7299</v>
      </c>
      <c r="C6758" s="5" t="s">
        <v>21</v>
      </c>
      <c r="K6758" s="5">
        <v>700.0</v>
      </c>
      <c r="N6758" s="9">
        <v>44540.0</v>
      </c>
    </row>
    <row r="6759">
      <c r="A6759" s="5">
        <v>6758.0</v>
      </c>
      <c r="B6759" s="5" t="s">
        <v>7300</v>
      </c>
      <c r="C6759" s="5" t="s">
        <v>21</v>
      </c>
      <c r="K6759" s="5">
        <v>9400.0</v>
      </c>
      <c r="N6759" s="9">
        <v>46085.0</v>
      </c>
    </row>
    <row r="6760">
      <c r="A6760" s="5">
        <v>6759.0</v>
      </c>
      <c r="B6760" s="5" t="s">
        <v>7301</v>
      </c>
      <c r="C6760" s="5" t="s">
        <v>21</v>
      </c>
      <c r="K6760" s="5">
        <v>200.0</v>
      </c>
      <c r="N6760" s="9">
        <v>45235.0</v>
      </c>
    </row>
    <row r="6761">
      <c r="A6761" s="5">
        <v>6760.0</v>
      </c>
      <c r="B6761" s="5" t="s">
        <v>7302</v>
      </c>
      <c r="C6761" s="5" t="s">
        <v>21</v>
      </c>
      <c r="K6761" s="5">
        <v>500.0</v>
      </c>
      <c r="N6761" s="9">
        <v>44527.0</v>
      </c>
    </row>
    <row r="6762">
      <c r="A6762" s="5">
        <v>6761.0</v>
      </c>
      <c r="B6762" s="5" t="s">
        <v>7303</v>
      </c>
      <c r="C6762" s="5" t="s">
        <v>21</v>
      </c>
      <c r="K6762" s="5">
        <v>700.0</v>
      </c>
      <c r="N6762" s="9">
        <v>44522.0</v>
      </c>
    </row>
    <row r="6763">
      <c r="A6763" s="5">
        <v>6762.0</v>
      </c>
      <c r="B6763" s="5" t="s">
        <v>7304</v>
      </c>
      <c r="C6763" s="5" t="s">
        <v>21</v>
      </c>
      <c r="K6763" s="5">
        <v>90.0</v>
      </c>
      <c r="N6763" s="9">
        <v>44592.0</v>
      </c>
    </row>
    <row r="6764">
      <c r="A6764" s="5">
        <v>6763.0</v>
      </c>
      <c r="B6764" s="5" t="s">
        <v>7305</v>
      </c>
      <c r="C6764" s="5" t="s">
        <v>21</v>
      </c>
      <c r="K6764" s="5">
        <v>70.0</v>
      </c>
      <c r="N6764" s="9">
        <v>44674.0</v>
      </c>
    </row>
    <row r="6765">
      <c r="A6765" s="5">
        <v>6764.0</v>
      </c>
      <c r="B6765" s="5" t="s">
        <v>7306</v>
      </c>
      <c r="C6765" s="5" t="s">
        <v>21</v>
      </c>
      <c r="K6765" s="5">
        <v>350.0</v>
      </c>
      <c r="N6765" s="9">
        <v>44382.0</v>
      </c>
    </row>
    <row r="6766">
      <c r="A6766" s="5">
        <v>6765.0</v>
      </c>
      <c r="B6766" s="5" t="s">
        <v>7307</v>
      </c>
      <c r="C6766" s="5" t="s">
        <v>21</v>
      </c>
      <c r="K6766" s="5">
        <v>350.0</v>
      </c>
      <c r="N6766" s="9">
        <v>44720.0</v>
      </c>
    </row>
    <row r="6767">
      <c r="A6767" s="5">
        <v>6766.0</v>
      </c>
      <c r="B6767" s="5" t="s">
        <v>7308</v>
      </c>
      <c r="C6767" s="5" t="s">
        <v>21</v>
      </c>
      <c r="K6767" s="5">
        <v>200.0</v>
      </c>
      <c r="N6767" s="9">
        <v>45194.0</v>
      </c>
    </row>
    <row r="6768">
      <c r="A6768" s="5">
        <v>6767.0</v>
      </c>
      <c r="B6768" s="5" t="s">
        <v>7309</v>
      </c>
      <c r="C6768" s="5" t="s">
        <v>21</v>
      </c>
      <c r="K6768" s="5">
        <v>250.0</v>
      </c>
      <c r="N6768" s="9">
        <v>44754.0</v>
      </c>
    </row>
    <row r="6769">
      <c r="A6769" s="5">
        <v>6768.0</v>
      </c>
      <c r="B6769" s="5" t="s">
        <v>7310</v>
      </c>
      <c r="C6769" s="5" t="s">
        <v>21</v>
      </c>
      <c r="K6769" s="5">
        <v>150.0</v>
      </c>
      <c r="N6769" s="9">
        <v>44012.0</v>
      </c>
    </row>
    <row r="6770">
      <c r="A6770" s="5">
        <v>6769.0</v>
      </c>
      <c r="B6770" s="5" t="s">
        <v>7311</v>
      </c>
      <c r="C6770" s="5" t="s">
        <v>21</v>
      </c>
      <c r="K6770" s="5">
        <v>700.0</v>
      </c>
      <c r="N6770" s="9">
        <v>44585.0</v>
      </c>
    </row>
    <row r="6771">
      <c r="A6771" s="5">
        <v>6770.0</v>
      </c>
      <c r="B6771" s="5" t="s">
        <v>7312</v>
      </c>
      <c r="C6771" s="5" t="s">
        <v>21</v>
      </c>
      <c r="K6771" s="5">
        <v>250.0</v>
      </c>
      <c r="N6771" s="9">
        <v>44271.0</v>
      </c>
    </row>
    <row r="6772">
      <c r="A6772" s="5">
        <v>6771.0</v>
      </c>
      <c r="B6772" s="5" t="s">
        <v>7313</v>
      </c>
      <c r="C6772" s="5" t="s">
        <v>21</v>
      </c>
      <c r="K6772" s="5">
        <v>300.0</v>
      </c>
      <c r="N6772" s="9">
        <v>44583.0</v>
      </c>
    </row>
    <row r="6773">
      <c r="A6773" s="5">
        <v>6772.0</v>
      </c>
      <c r="B6773" s="5" t="s">
        <v>7314</v>
      </c>
      <c r="C6773" s="5" t="s">
        <v>21</v>
      </c>
      <c r="K6773" s="5">
        <v>700.0</v>
      </c>
      <c r="N6773" s="9">
        <v>44131.0</v>
      </c>
    </row>
    <row r="6774">
      <c r="A6774" s="5">
        <v>6773.0</v>
      </c>
      <c r="B6774" s="5" t="s">
        <v>7315</v>
      </c>
      <c r="C6774" s="5" t="s">
        <v>21</v>
      </c>
      <c r="K6774" s="5">
        <v>600.0</v>
      </c>
      <c r="N6774" s="9">
        <v>44454.0</v>
      </c>
    </row>
    <row r="6775">
      <c r="A6775" s="5">
        <v>6774.0</v>
      </c>
      <c r="B6775" s="5" t="s">
        <v>7316</v>
      </c>
      <c r="C6775" s="5" t="s">
        <v>21</v>
      </c>
      <c r="K6775" s="5">
        <v>1100.0</v>
      </c>
      <c r="N6775" s="9">
        <v>43901.0</v>
      </c>
    </row>
    <row r="6776">
      <c r="A6776" s="5">
        <v>6775.0</v>
      </c>
      <c r="B6776" s="5" t="s">
        <v>7317</v>
      </c>
      <c r="C6776" s="5" t="s">
        <v>21</v>
      </c>
      <c r="K6776" s="5">
        <v>1600.0</v>
      </c>
      <c r="N6776" s="9">
        <v>44549.0</v>
      </c>
    </row>
    <row r="6777">
      <c r="A6777" s="5">
        <v>6776.0</v>
      </c>
      <c r="B6777" s="5" t="s">
        <v>7318</v>
      </c>
      <c r="C6777" s="5" t="s">
        <v>21</v>
      </c>
      <c r="K6777" s="5">
        <v>300.0</v>
      </c>
      <c r="N6777" s="9">
        <v>43878.0</v>
      </c>
    </row>
    <row r="6778">
      <c r="A6778" s="5">
        <v>6777.0</v>
      </c>
      <c r="B6778" s="5" t="s">
        <v>7319</v>
      </c>
      <c r="C6778" s="5" t="s">
        <v>21</v>
      </c>
      <c r="K6778" s="5">
        <v>30.0</v>
      </c>
      <c r="N6778" s="9">
        <v>44687.0</v>
      </c>
    </row>
    <row r="6779">
      <c r="A6779" s="5">
        <v>6778.0</v>
      </c>
      <c r="B6779" s="5" t="s">
        <v>7320</v>
      </c>
      <c r="C6779" s="5" t="s">
        <v>21</v>
      </c>
      <c r="K6779" s="5">
        <v>450.0</v>
      </c>
      <c r="N6779" s="9">
        <v>45072.0</v>
      </c>
    </row>
    <row r="6780">
      <c r="A6780" s="5">
        <v>6779.0</v>
      </c>
      <c r="B6780" s="5" t="s">
        <v>7321</v>
      </c>
      <c r="C6780" s="5" t="s">
        <v>21</v>
      </c>
      <c r="K6780" s="5">
        <v>450.0</v>
      </c>
      <c r="N6780" s="9">
        <v>44482.0</v>
      </c>
    </row>
    <row r="6781">
      <c r="A6781" s="5">
        <v>6780.0</v>
      </c>
      <c r="B6781" s="5" t="s">
        <v>7322</v>
      </c>
      <c r="C6781" s="5" t="s">
        <v>21</v>
      </c>
      <c r="K6781" s="5">
        <v>4200.0</v>
      </c>
      <c r="N6781" s="9">
        <v>44045.0</v>
      </c>
    </row>
    <row r="6782">
      <c r="A6782" s="5">
        <v>6781.0</v>
      </c>
      <c r="B6782" s="5" t="s">
        <v>7323</v>
      </c>
      <c r="C6782" s="5" t="s">
        <v>21</v>
      </c>
      <c r="K6782" s="5">
        <v>450.0</v>
      </c>
      <c r="N6782" s="9">
        <v>44214.0</v>
      </c>
    </row>
    <row r="6783">
      <c r="A6783" s="5">
        <v>6782.0</v>
      </c>
      <c r="B6783" s="5" t="s">
        <v>7324</v>
      </c>
      <c r="C6783" s="5" t="s">
        <v>21</v>
      </c>
      <c r="K6783" s="5">
        <v>90.0</v>
      </c>
      <c r="N6783" s="9">
        <v>44696.0</v>
      </c>
    </row>
    <row r="6784">
      <c r="A6784" s="5">
        <v>6783.0</v>
      </c>
      <c r="B6784" s="5" t="s">
        <v>7325</v>
      </c>
      <c r="C6784" s="5" t="s">
        <v>21</v>
      </c>
      <c r="K6784" s="5">
        <v>100.0</v>
      </c>
      <c r="N6784" s="9">
        <v>44360.0</v>
      </c>
    </row>
    <row r="6785">
      <c r="A6785" s="5">
        <v>6784.0</v>
      </c>
      <c r="B6785" s="5" t="s">
        <v>7326</v>
      </c>
      <c r="C6785" s="5" t="s">
        <v>21</v>
      </c>
      <c r="K6785" s="5">
        <v>30.0</v>
      </c>
      <c r="N6785" s="9">
        <v>44577.0</v>
      </c>
    </row>
    <row r="6786">
      <c r="A6786" s="5">
        <v>6785.0</v>
      </c>
      <c r="B6786" s="5" t="s">
        <v>7327</v>
      </c>
      <c r="C6786" s="5" t="s">
        <v>21</v>
      </c>
      <c r="K6786" s="5">
        <v>150.0</v>
      </c>
      <c r="N6786" s="9">
        <v>44681.0</v>
      </c>
    </row>
    <row r="6787">
      <c r="A6787" s="5">
        <v>6786.0</v>
      </c>
      <c r="B6787" s="5" t="s">
        <v>7328</v>
      </c>
      <c r="C6787" s="5" t="s">
        <v>21</v>
      </c>
      <c r="N6787" s="9">
        <v>44397.0</v>
      </c>
    </row>
    <row r="6788">
      <c r="A6788" s="5">
        <v>6787.0</v>
      </c>
      <c r="B6788" s="5" t="s">
        <v>7329</v>
      </c>
      <c r="C6788" s="5" t="s">
        <v>21</v>
      </c>
      <c r="K6788" s="5">
        <v>800.0</v>
      </c>
      <c r="N6788" s="9">
        <v>44176.0</v>
      </c>
    </row>
    <row r="6789">
      <c r="A6789" s="5">
        <v>6788.0</v>
      </c>
      <c r="B6789" s="5" t="s">
        <v>7330</v>
      </c>
      <c r="C6789" s="5" t="s">
        <v>21</v>
      </c>
      <c r="K6789" s="5">
        <v>30.0</v>
      </c>
      <c r="N6789" s="9">
        <v>44551.0</v>
      </c>
    </row>
    <row r="6790">
      <c r="A6790" s="5">
        <v>6789.0</v>
      </c>
      <c r="B6790" s="5" t="s">
        <v>7331</v>
      </c>
      <c r="C6790" s="5" t="s">
        <v>21</v>
      </c>
      <c r="K6790" s="5">
        <v>40.0</v>
      </c>
      <c r="N6790" s="9">
        <v>44544.0</v>
      </c>
    </row>
    <row r="6791">
      <c r="A6791" s="5">
        <v>6790.0</v>
      </c>
      <c r="B6791" s="5" t="s">
        <v>7332</v>
      </c>
      <c r="C6791" s="5" t="s">
        <v>21</v>
      </c>
      <c r="K6791" s="5">
        <v>800.0</v>
      </c>
      <c r="N6791" s="9">
        <v>44323.0</v>
      </c>
    </row>
    <row r="6792">
      <c r="A6792" s="5">
        <v>6791.0</v>
      </c>
      <c r="B6792" s="5" t="s">
        <v>7333</v>
      </c>
      <c r="C6792" s="5" t="s">
        <v>21</v>
      </c>
      <c r="K6792" s="5">
        <v>250.0</v>
      </c>
      <c r="N6792" s="9">
        <v>44839.0</v>
      </c>
    </row>
    <row r="6793">
      <c r="A6793" s="5">
        <v>6792.0</v>
      </c>
      <c r="B6793" s="5" t="s">
        <v>7334</v>
      </c>
      <c r="C6793" s="5" t="s">
        <v>21</v>
      </c>
      <c r="K6793" s="5">
        <v>500.0</v>
      </c>
      <c r="N6793" s="9">
        <v>43878.0</v>
      </c>
    </row>
    <row r="6794">
      <c r="A6794" s="5">
        <v>6793.0</v>
      </c>
      <c r="B6794" s="5" t="s">
        <v>7335</v>
      </c>
      <c r="C6794" s="5" t="s">
        <v>21</v>
      </c>
      <c r="K6794" s="5">
        <v>300.0</v>
      </c>
      <c r="N6794" s="9">
        <v>44649.0</v>
      </c>
    </row>
    <row r="6795">
      <c r="A6795" s="5">
        <v>6794.0</v>
      </c>
      <c r="B6795" s="5" t="s">
        <v>7336</v>
      </c>
      <c r="C6795" s="5" t="s">
        <v>21</v>
      </c>
      <c r="K6795" s="5">
        <v>200.0</v>
      </c>
      <c r="N6795" s="9">
        <v>43922.0</v>
      </c>
    </row>
    <row r="6796">
      <c r="A6796" s="5">
        <v>6795.0</v>
      </c>
      <c r="B6796" s="5" t="s">
        <v>7337</v>
      </c>
      <c r="C6796" s="5" t="s">
        <v>21</v>
      </c>
      <c r="K6796" s="5">
        <v>350.0</v>
      </c>
      <c r="N6796" s="9">
        <v>44362.0</v>
      </c>
    </row>
    <row r="6797">
      <c r="A6797" s="5">
        <v>6796.0</v>
      </c>
      <c r="B6797" s="5" t="s">
        <v>7338</v>
      </c>
      <c r="C6797" s="5" t="s">
        <v>21</v>
      </c>
      <c r="K6797" s="5">
        <v>250.0</v>
      </c>
      <c r="N6797" s="9">
        <v>44173.0</v>
      </c>
    </row>
    <row r="6798">
      <c r="A6798" s="5">
        <v>6797.0</v>
      </c>
      <c r="B6798" s="5" t="s">
        <v>7339</v>
      </c>
      <c r="C6798" s="5" t="s">
        <v>21</v>
      </c>
      <c r="N6798" s="9">
        <v>44519.0</v>
      </c>
    </row>
    <row r="6799">
      <c r="A6799" s="5">
        <v>6798.0</v>
      </c>
      <c r="B6799" s="5" t="s">
        <v>7340</v>
      </c>
      <c r="C6799" s="5" t="s">
        <v>21</v>
      </c>
      <c r="K6799" s="5">
        <v>150.0</v>
      </c>
      <c r="N6799" s="9">
        <v>44752.0</v>
      </c>
    </row>
    <row r="6800">
      <c r="A6800" s="5">
        <v>6799.0</v>
      </c>
      <c r="B6800" s="5" t="s">
        <v>223</v>
      </c>
      <c r="C6800" s="5" t="s">
        <v>21</v>
      </c>
      <c r="K6800" s="5">
        <v>400.0</v>
      </c>
      <c r="N6800" s="9">
        <v>42848.0</v>
      </c>
    </row>
    <row r="6801">
      <c r="A6801" s="5">
        <v>6800.0</v>
      </c>
      <c r="B6801" s="5" t="s">
        <v>7341</v>
      </c>
      <c r="C6801" s="5" t="s">
        <v>21</v>
      </c>
      <c r="K6801" s="5">
        <v>300.0</v>
      </c>
      <c r="N6801" s="9">
        <v>45057.0</v>
      </c>
    </row>
    <row r="6802">
      <c r="A6802" s="5">
        <v>6801.0</v>
      </c>
      <c r="B6802" s="5" t="s">
        <v>7342</v>
      </c>
      <c r="C6802" s="5" t="s">
        <v>21</v>
      </c>
      <c r="N6802" s="9">
        <v>44583.0</v>
      </c>
    </row>
    <row r="6803">
      <c r="A6803" s="5">
        <v>6802.0</v>
      </c>
      <c r="B6803" s="5" t="s">
        <v>7343</v>
      </c>
      <c r="C6803" s="5" t="s">
        <v>21</v>
      </c>
      <c r="K6803" s="5">
        <v>1500.0</v>
      </c>
      <c r="N6803" s="9">
        <v>43847.0</v>
      </c>
    </row>
    <row r="6804">
      <c r="A6804" s="5">
        <v>6803.0</v>
      </c>
      <c r="B6804" s="5" t="s">
        <v>7344</v>
      </c>
      <c r="C6804" s="5" t="s">
        <v>21</v>
      </c>
      <c r="N6804" s="9">
        <v>44538.0</v>
      </c>
    </row>
    <row r="6805">
      <c r="A6805" s="5">
        <v>6804.0</v>
      </c>
      <c r="B6805" s="5" t="s">
        <v>7345</v>
      </c>
      <c r="C6805" s="5" t="s">
        <v>21</v>
      </c>
      <c r="K6805" s="5">
        <v>100.0</v>
      </c>
      <c r="N6805" s="9">
        <v>44626.0</v>
      </c>
    </row>
    <row r="6806">
      <c r="A6806" s="5">
        <v>6805.0</v>
      </c>
      <c r="B6806" s="5" t="s">
        <v>7346</v>
      </c>
      <c r="C6806" s="5" t="s">
        <v>21</v>
      </c>
      <c r="K6806" s="5">
        <v>90.0</v>
      </c>
      <c r="N6806" s="9">
        <v>45583.0</v>
      </c>
    </row>
    <row r="6807">
      <c r="A6807" s="5">
        <v>6806.0</v>
      </c>
      <c r="B6807" s="5" t="s">
        <v>7347</v>
      </c>
      <c r="C6807" s="5" t="s">
        <v>21</v>
      </c>
      <c r="K6807" s="5">
        <v>80.0</v>
      </c>
      <c r="N6807" s="9">
        <v>43903.0</v>
      </c>
    </row>
    <row r="6808">
      <c r="A6808" s="5">
        <v>6807.0</v>
      </c>
      <c r="B6808" s="5" t="s">
        <v>7348</v>
      </c>
      <c r="C6808" s="5" t="s">
        <v>21</v>
      </c>
      <c r="K6808" s="5">
        <v>700.0</v>
      </c>
      <c r="N6808" s="9">
        <v>45175.0</v>
      </c>
    </row>
    <row r="6809">
      <c r="A6809" s="5">
        <v>6808.0</v>
      </c>
      <c r="B6809" s="5" t="s">
        <v>7349</v>
      </c>
      <c r="C6809" s="5" t="s">
        <v>21</v>
      </c>
      <c r="K6809" s="5">
        <v>200.0</v>
      </c>
      <c r="N6809" s="9">
        <v>44380.0</v>
      </c>
    </row>
    <row r="6810">
      <c r="A6810" s="5">
        <v>6809.0</v>
      </c>
      <c r="B6810" s="5" t="s">
        <v>7350</v>
      </c>
      <c r="C6810" s="5" t="s">
        <v>21</v>
      </c>
      <c r="N6810" s="9">
        <v>45107.0</v>
      </c>
    </row>
    <row r="6811">
      <c r="A6811" s="5">
        <v>6810.0</v>
      </c>
      <c r="B6811" s="5" t="s">
        <v>7351</v>
      </c>
      <c r="C6811" s="5" t="s">
        <v>21</v>
      </c>
      <c r="K6811" s="5">
        <v>150.0</v>
      </c>
      <c r="N6811" s="9">
        <v>45377.0</v>
      </c>
    </row>
    <row r="6812">
      <c r="A6812" s="5">
        <v>6811.0</v>
      </c>
      <c r="B6812" s="5" t="s">
        <v>7352</v>
      </c>
      <c r="C6812" s="5" t="s">
        <v>21</v>
      </c>
      <c r="K6812" s="5">
        <v>200.0</v>
      </c>
      <c r="N6812" s="9">
        <v>44541.0</v>
      </c>
    </row>
    <row r="6813">
      <c r="A6813" s="5">
        <v>6812.0</v>
      </c>
      <c r="B6813" s="5" t="s">
        <v>7353</v>
      </c>
      <c r="C6813" s="5" t="s">
        <v>21</v>
      </c>
      <c r="K6813" s="5">
        <v>700.0</v>
      </c>
      <c r="N6813" s="9">
        <v>44890.0</v>
      </c>
    </row>
    <row r="6814">
      <c r="A6814" s="5">
        <v>6813.0</v>
      </c>
      <c r="B6814" s="5" t="s">
        <v>7354</v>
      </c>
      <c r="C6814" s="5" t="s">
        <v>21</v>
      </c>
      <c r="K6814" s="5">
        <v>250.0</v>
      </c>
      <c r="N6814" s="9">
        <v>44473.0</v>
      </c>
    </row>
    <row r="6815">
      <c r="A6815" s="5">
        <v>6814.0</v>
      </c>
      <c r="B6815" s="5" t="s">
        <v>7355</v>
      </c>
      <c r="C6815" s="5" t="s">
        <v>21</v>
      </c>
      <c r="K6815" s="5">
        <v>1700.0</v>
      </c>
      <c r="N6815" s="9">
        <v>43903.0</v>
      </c>
    </row>
    <row r="6816">
      <c r="A6816" s="5">
        <v>6815.0</v>
      </c>
      <c r="B6816" s="5" t="s">
        <v>7356</v>
      </c>
      <c r="C6816" s="5" t="s">
        <v>21</v>
      </c>
      <c r="K6816" s="5">
        <v>600.0</v>
      </c>
      <c r="N6816" s="9">
        <v>44885.0</v>
      </c>
    </row>
    <row r="6817">
      <c r="A6817" s="5">
        <v>6816.0</v>
      </c>
      <c r="B6817" s="5" t="s">
        <v>7357</v>
      </c>
      <c r="C6817" s="5" t="s">
        <v>21</v>
      </c>
      <c r="N6817" s="9">
        <v>44523.0</v>
      </c>
    </row>
    <row r="6818">
      <c r="A6818" s="5">
        <v>6817.0</v>
      </c>
      <c r="B6818" s="5" t="s">
        <v>7358</v>
      </c>
      <c r="C6818" s="5" t="s">
        <v>21</v>
      </c>
      <c r="K6818" s="5">
        <v>250.0</v>
      </c>
      <c r="N6818" s="9">
        <v>45191.0</v>
      </c>
    </row>
    <row r="6819">
      <c r="A6819" s="5">
        <v>6818.0</v>
      </c>
      <c r="B6819" s="5" t="s">
        <v>7359</v>
      </c>
      <c r="C6819" s="5" t="s">
        <v>21</v>
      </c>
      <c r="K6819" s="5">
        <v>500.0</v>
      </c>
      <c r="N6819" s="9">
        <v>44368.0</v>
      </c>
    </row>
    <row r="6820">
      <c r="A6820" s="5">
        <v>6819.0</v>
      </c>
      <c r="B6820" s="5" t="s">
        <v>225</v>
      </c>
      <c r="C6820" s="5" t="s">
        <v>21</v>
      </c>
      <c r="K6820" s="5">
        <v>300.0</v>
      </c>
      <c r="N6820" s="9">
        <v>44149.0</v>
      </c>
    </row>
    <row r="6821">
      <c r="A6821" s="5">
        <v>6820.0</v>
      </c>
      <c r="B6821" s="5" t="s">
        <v>7360</v>
      </c>
      <c r="C6821" s="5" t="s">
        <v>21</v>
      </c>
      <c r="K6821" s="5">
        <v>250.0</v>
      </c>
      <c r="N6821" s="9">
        <v>43974.0</v>
      </c>
    </row>
    <row r="6822">
      <c r="A6822" s="5">
        <v>6821.0</v>
      </c>
      <c r="B6822" s="5" t="s">
        <v>7361</v>
      </c>
      <c r="C6822" s="5" t="s">
        <v>21</v>
      </c>
      <c r="K6822" s="5">
        <v>150.0</v>
      </c>
      <c r="N6822" s="9">
        <v>44010.0</v>
      </c>
    </row>
    <row r="6823">
      <c r="A6823" s="5">
        <v>6822.0</v>
      </c>
      <c r="B6823" s="5" t="s">
        <v>7362</v>
      </c>
      <c r="C6823" s="5" t="s">
        <v>21</v>
      </c>
      <c r="K6823" s="5">
        <v>700.0</v>
      </c>
      <c r="N6823" s="9">
        <v>43928.0</v>
      </c>
    </row>
    <row r="6824">
      <c r="A6824" s="5">
        <v>6823.0</v>
      </c>
      <c r="B6824" s="5" t="s">
        <v>7363</v>
      </c>
      <c r="C6824" s="5" t="s">
        <v>21</v>
      </c>
      <c r="K6824" s="5">
        <v>250.0</v>
      </c>
      <c r="N6824" s="9">
        <v>44360.0</v>
      </c>
    </row>
    <row r="6825">
      <c r="A6825" s="5">
        <v>6824.0</v>
      </c>
      <c r="B6825" s="5" t="s">
        <v>7364</v>
      </c>
      <c r="C6825" s="5" t="s">
        <v>21</v>
      </c>
      <c r="K6825" s="5">
        <v>700.0</v>
      </c>
      <c r="N6825" s="9">
        <v>44185.0</v>
      </c>
    </row>
    <row r="6826">
      <c r="A6826" s="5">
        <v>6825.0</v>
      </c>
      <c r="B6826" s="5" t="s">
        <v>7365</v>
      </c>
      <c r="C6826" s="5" t="s">
        <v>21</v>
      </c>
      <c r="K6826" s="5">
        <v>500.0</v>
      </c>
      <c r="N6826" s="9">
        <v>44720.0</v>
      </c>
    </row>
    <row r="6827">
      <c r="A6827" s="5">
        <v>6826.0</v>
      </c>
      <c r="B6827" s="5" t="s">
        <v>7366</v>
      </c>
      <c r="C6827" s="5" t="s">
        <v>21</v>
      </c>
      <c r="K6827" s="5">
        <v>4200.0</v>
      </c>
      <c r="N6827" s="9">
        <v>44189.0</v>
      </c>
    </row>
    <row r="6828">
      <c r="A6828" s="5">
        <v>6827.0</v>
      </c>
      <c r="B6828" s="5" t="s">
        <v>7367</v>
      </c>
      <c r="C6828" s="5" t="s">
        <v>21</v>
      </c>
      <c r="K6828" s="5">
        <v>400.0</v>
      </c>
      <c r="N6828" s="9">
        <v>44532.0</v>
      </c>
    </row>
    <row r="6829">
      <c r="A6829" s="5">
        <v>6828.0</v>
      </c>
      <c r="B6829" s="5" t="s">
        <v>7368</v>
      </c>
      <c r="C6829" s="5" t="s">
        <v>21</v>
      </c>
      <c r="K6829" s="5">
        <v>50.0</v>
      </c>
      <c r="N6829" s="9">
        <v>43856.0</v>
      </c>
    </row>
    <row r="6830">
      <c r="A6830" s="5">
        <v>6829.0</v>
      </c>
      <c r="B6830" s="5" t="s">
        <v>7369</v>
      </c>
      <c r="C6830" s="5" t="s">
        <v>21</v>
      </c>
      <c r="K6830" s="5">
        <v>100.0</v>
      </c>
      <c r="N6830" s="9">
        <v>43899.0</v>
      </c>
    </row>
    <row r="6831">
      <c r="A6831" s="5">
        <v>6830.0</v>
      </c>
      <c r="B6831" s="5" t="s">
        <v>7370</v>
      </c>
      <c r="C6831" s="5" t="s">
        <v>21</v>
      </c>
      <c r="K6831" s="5">
        <v>150.0</v>
      </c>
      <c r="N6831" s="9">
        <v>44524.0</v>
      </c>
    </row>
    <row r="6832">
      <c r="A6832" s="5">
        <v>6831.0</v>
      </c>
      <c r="B6832" s="5" t="s">
        <v>7371</v>
      </c>
      <c r="C6832" s="5" t="s">
        <v>21</v>
      </c>
      <c r="K6832" s="5">
        <v>900.0</v>
      </c>
      <c r="N6832" s="9">
        <v>43894.0</v>
      </c>
    </row>
    <row r="6833">
      <c r="A6833" s="5">
        <v>6832.0</v>
      </c>
      <c r="B6833" s="5" t="s">
        <v>7372</v>
      </c>
      <c r="C6833" s="5" t="s">
        <v>21</v>
      </c>
      <c r="K6833" s="5">
        <v>127000.0</v>
      </c>
      <c r="N6833" s="9">
        <v>46112.0</v>
      </c>
    </row>
    <row r="6834">
      <c r="A6834" s="5">
        <v>6833.0</v>
      </c>
      <c r="B6834" s="5" t="s">
        <v>227</v>
      </c>
      <c r="C6834" s="5" t="s">
        <v>21</v>
      </c>
      <c r="K6834" s="5">
        <v>3900.0</v>
      </c>
      <c r="N6834" s="9">
        <v>45687.0</v>
      </c>
    </row>
    <row r="6835">
      <c r="A6835" s="5">
        <v>6834.0</v>
      </c>
      <c r="B6835" s="5" t="s">
        <v>7373</v>
      </c>
      <c r="C6835" s="5" t="s">
        <v>21</v>
      </c>
      <c r="K6835" s="5">
        <v>350.0</v>
      </c>
      <c r="N6835" s="9">
        <v>44581.0</v>
      </c>
    </row>
    <row r="6836">
      <c r="A6836" s="5">
        <v>6835.0</v>
      </c>
      <c r="B6836" s="5" t="s">
        <v>251</v>
      </c>
      <c r="C6836" s="5" t="s">
        <v>21</v>
      </c>
      <c r="K6836" s="5">
        <v>13000.0</v>
      </c>
      <c r="N6836" s="9">
        <v>44001.0</v>
      </c>
    </row>
    <row r="6837">
      <c r="A6837" s="5">
        <v>6836.0</v>
      </c>
      <c r="B6837" s="5" t="s">
        <v>248</v>
      </c>
      <c r="C6837" s="5" t="s">
        <v>21</v>
      </c>
      <c r="K6837" s="5">
        <v>1200.0</v>
      </c>
      <c r="N6837" s="9">
        <v>44072.0</v>
      </c>
    </row>
    <row r="6838">
      <c r="A6838" s="5">
        <v>6837.0</v>
      </c>
      <c r="B6838" s="5" t="s">
        <v>7374</v>
      </c>
      <c r="C6838" s="5" t="s">
        <v>21</v>
      </c>
      <c r="K6838" s="5">
        <v>50.0</v>
      </c>
      <c r="N6838" s="9">
        <v>44675.0</v>
      </c>
    </row>
    <row r="6839">
      <c r="A6839" s="5">
        <v>6838.0</v>
      </c>
      <c r="B6839" s="5" t="s">
        <v>7375</v>
      </c>
      <c r="C6839" s="5" t="s">
        <v>21</v>
      </c>
      <c r="K6839" s="5">
        <v>30.0</v>
      </c>
      <c r="N6839" s="9">
        <v>45301.0</v>
      </c>
    </row>
    <row r="6840">
      <c r="A6840" s="5">
        <v>6839.0</v>
      </c>
      <c r="B6840" s="5" t="s">
        <v>7376</v>
      </c>
      <c r="C6840" s="5" t="s">
        <v>21</v>
      </c>
      <c r="K6840" s="5">
        <v>90.0</v>
      </c>
      <c r="N6840" s="9">
        <v>44410.0</v>
      </c>
    </row>
    <row r="6841">
      <c r="A6841" s="5">
        <v>6840.0</v>
      </c>
      <c r="B6841" s="5" t="s">
        <v>7377</v>
      </c>
      <c r="C6841" s="5" t="s">
        <v>21</v>
      </c>
      <c r="K6841" s="5">
        <v>150.0</v>
      </c>
      <c r="N6841" s="9">
        <v>44585.0</v>
      </c>
    </row>
    <row r="6842">
      <c r="A6842" s="5">
        <v>6841.0</v>
      </c>
      <c r="B6842" s="5" t="s">
        <v>7378</v>
      </c>
      <c r="C6842" s="5" t="s">
        <v>21</v>
      </c>
      <c r="K6842" s="5">
        <v>40.0</v>
      </c>
      <c r="N6842" s="9">
        <v>44676.0</v>
      </c>
    </row>
    <row r="6843">
      <c r="A6843" s="5">
        <v>6842.0</v>
      </c>
      <c r="B6843" s="5" t="s">
        <v>7379</v>
      </c>
      <c r="C6843" s="5" t="s">
        <v>21</v>
      </c>
      <c r="K6843" s="5">
        <v>400.0</v>
      </c>
      <c r="N6843" s="9">
        <v>44544.0</v>
      </c>
    </row>
    <row r="6844">
      <c r="A6844" s="5">
        <v>6843.0</v>
      </c>
      <c r="B6844" s="5" t="s">
        <v>7380</v>
      </c>
      <c r="C6844" s="5" t="s">
        <v>21</v>
      </c>
      <c r="K6844" s="5">
        <v>10.0</v>
      </c>
      <c r="N6844" s="9">
        <v>44561.0</v>
      </c>
    </row>
    <row r="6845">
      <c r="A6845" s="5">
        <v>6844.0</v>
      </c>
      <c r="B6845" s="5" t="s">
        <v>7381</v>
      </c>
      <c r="C6845" s="5" t="s">
        <v>21</v>
      </c>
      <c r="K6845" s="5">
        <v>90.0</v>
      </c>
      <c r="N6845" s="9">
        <v>44582.0</v>
      </c>
    </row>
    <row r="6846">
      <c r="A6846" s="5">
        <v>6845.0</v>
      </c>
      <c r="B6846" s="5" t="s">
        <v>7382</v>
      </c>
      <c r="C6846" s="5" t="s">
        <v>21</v>
      </c>
      <c r="K6846" s="5">
        <v>40.0</v>
      </c>
      <c r="N6846" s="9">
        <v>44465.0</v>
      </c>
    </row>
    <row r="6847">
      <c r="A6847" s="5">
        <v>6846.0</v>
      </c>
      <c r="B6847" s="5" t="s">
        <v>7383</v>
      </c>
      <c r="C6847" s="5" t="s">
        <v>21</v>
      </c>
      <c r="K6847" s="5">
        <v>150.0</v>
      </c>
      <c r="N6847" s="9">
        <v>44935.0</v>
      </c>
    </row>
    <row r="6848">
      <c r="A6848" s="5">
        <v>6847.0</v>
      </c>
      <c r="B6848" s="5" t="s">
        <v>7384</v>
      </c>
      <c r="C6848" s="5" t="s">
        <v>21</v>
      </c>
      <c r="K6848" s="5">
        <v>200.0</v>
      </c>
      <c r="N6848" s="9">
        <v>45244.0</v>
      </c>
    </row>
    <row r="6849">
      <c r="A6849" s="5">
        <v>6848.0</v>
      </c>
      <c r="B6849" s="5" t="s">
        <v>7385</v>
      </c>
      <c r="C6849" s="5" t="s">
        <v>21</v>
      </c>
      <c r="K6849" s="5">
        <v>350.0</v>
      </c>
      <c r="N6849" s="9">
        <v>43986.0</v>
      </c>
    </row>
    <row r="6850">
      <c r="A6850" s="5">
        <v>6849.0</v>
      </c>
      <c r="B6850" s="5" t="s">
        <v>7386</v>
      </c>
      <c r="C6850" s="5" t="s">
        <v>21</v>
      </c>
      <c r="K6850" s="5">
        <v>26000.0</v>
      </c>
      <c r="N6850" s="9">
        <v>43879.0</v>
      </c>
    </row>
    <row r="6851">
      <c r="A6851" s="5">
        <v>6850.0</v>
      </c>
      <c r="B6851" s="5" t="s">
        <v>7387</v>
      </c>
      <c r="C6851" s="5" t="s">
        <v>21</v>
      </c>
      <c r="K6851" s="5">
        <v>1500.0</v>
      </c>
      <c r="N6851" s="9">
        <v>44430.0</v>
      </c>
    </row>
    <row r="6852">
      <c r="A6852" s="5">
        <v>6851.0</v>
      </c>
      <c r="B6852" s="5" t="s">
        <v>7388</v>
      </c>
      <c r="C6852" s="5" t="s">
        <v>21</v>
      </c>
      <c r="K6852" s="5">
        <v>2600.0</v>
      </c>
      <c r="N6852" s="9">
        <v>44296.0</v>
      </c>
    </row>
    <row r="6853">
      <c r="A6853" s="5">
        <v>6852.0</v>
      </c>
      <c r="B6853" s="5" t="s">
        <v>7389</v>
      </c>
      <c r="C6853" s="5" t="s">
        <v>21</v>
      </c>
      <c r="K6853" s="5">
        <v>37000.0</v>
      </c>
      <c r="N6853" s="9">
        <v>43893.0</v>
      </c>
    </row>
    <row r="6854">
      <c r="A6854" s="5">
        <v>6853.0</v>
      </c>
      <c r="B6854" s="5" t="s">
        <v>7390</v>
      </c>
      <c r="C6854" s="5" t="s">
        <v>21</v>
      </c>
      <c r="K6854" s="5">
        <v>1300.0</v>
      </c>
      <c r="N6854" s="9">
        <v>44534.0</v>
      </c>
    </row>
    <row r="6855">
      <c r="A6855" s="5">
        <v>6854.0</v>
      </c>
      <c r="B6855" s="5" t="s">
        <v>7391</v>
      </c>
      <c r="C6855" s="5" t="s">
        <v>21</v>
      </c>
      <c r="K6855" s="5">
        <v>150.0</v>
      </c>
      <c r="N6855" s="9">
        <v>44743.0</v>
      </c>
    </row>
    <row r="6856">
      <c r="A6856" s="5">
        <v>6855.0</v>
      </c>
      <c r="B6856" s="5" t="s">
        <v>7392</v>
      </c>
      <c r="C6856" s="5" t="s">
        <v>21</v>
      </c>
      <c r="K6856" s="5">
        <v>1300.0</v>
      </c>
      <c r="N6856" s="9">
        <v>44532.0</v>
      </c>
    </row>
    <row r="6857">
      <c r="A6857" s="5">
        <v>6856.0</v>
      </c>
      <c r="B6857" s="5" t="s">
        <v>7393</v>
      </c>
      <c r="C6857" s="5" t="s">
        <v>21</v>
      </c>
      <c r="K6857" s="5">
        <v>100.0</v>
      </c>
      <c r="N6857" s="9">
        <v>44875.0</v>
      </c>
    </row>
    <row r="6858">
      <c r="A6858" s="5">
        <v>6857.0</v>
      </c>
      <c r="B6858" s="5" t="s">
        <v>7394</v>
      </c>
      <c r="C6858" s="5" t="s">
        <v>21</v>
      </c>
      <c r="K6858" s="5">
        <v>900.0</v>
      </c>
      <c r="N6858" s="9">
        <v>45247.0</v>
      </c>
    </row>
    <row r="6859">
      <c r="A6859" s="5">
        <v>6858.0</v>
      </c>
      <c r="B6859" s="5" t="s">
        <v>7395</v>
      </c>
      <c r="C6859" s="5" t="s">
        <v>21</v>
      </c>
      <c r="K6859" s="5">
        <v>250.0</v>
      </c>
      <c r="N6859" s="9">
        <v>45732.0</v>
      </c>
    </row>
    <row r="6860">
      <c r="A6860" s="5">
        <v>6859.0</v>
      </c>
      <c r="B6860" s="5" t="s">
        <v>7396</v>
      </c>
      <c r="C6860" s="5" t="s">
        <v>21</v>
      </c>
      <c r="K6860" s="5">
        <v>300.0</v>
      </c>
      <c r="N6860" s="9">
        <v>44823.0</v>
      </c>
    </row>
    <row r="6861">
      <c r="A6861" s="5">
        <v>6860.0</v>
      </c>
      <c r="B6861" s="5" t="s">
        <v>7397</v>
      </c>
      <c r="C6861" s="5" t="s">
        <v>21</v>
      </c>
      <c r="K6861" s="5">
        <v>800.0</v>
      </c>
      <c r="N6861" s="9">
        <v>44590.0</v>
      </c>
    </row>
    <row r="6862">
      <c r="A6862" s="5">
        <v>6861.0</v>
      </c>
      <c r="B6862" s="5" t="s">
        <v>7398</v>
      </c>
      <c r="C6862" s="5" t="s">
        <v>21</v>
      </c>
      <c r="K6862" s="5">
        <v>350.0</v>
      </c>
      <c r="N6862" s="9">
        <v>44543.0</v>
      </c>
    </row>
    <row r="6863">
      <c r="A6863" s="5">
        <v>6862.0</v>
      </c>
      <c r="B6863" s="5" t="s">
        <v>7399</v>
      </c>
      <c r="C6863" s="5" t="s">
        <v>21</v>
      </c>
      <c r="K6863" s="5">
        <v>450.0</v>
      </c>
      <c r="N6863" s="9">
        <v>45050.0</v>
      </c>
    </row>
    <row r="6864">
      <c r="A6864" s="5">
        <v>6863.0</v>
      </c>
      <c r="B6864" s="5" t="s">
        <v>7400</v>
      </c>
      <c r="C6864" s="5" t="s">
        <v>21</v>
      </c>
      <c r="K6864" s="5">
        <v>1300.0</v>
      </c>
      <c r="N6864" s="9">
        <v>43885.0</v>
      </c>
    </row>
    <row r="6865">
      <c r="A6865" s="5">
        <v>6864.0</v>
      </c>
      <c r="B6865" s="5" t="s">
        <v>7401</v>
      </c>
      <c r="C6865" s="5" t="s">
        <v>21</v>
      </c>
      <c r="K6865" s="5">
        <v>60.0</v>
      </c>
      <c r="N6865" s="9">
        <v>45082.0</v>
      </c>
    </row>
    <row r="6866">
      <c r="A6866" s="5">
        <v>6865.0</v>
      </c>
      <c r="B6866" s="5" t="s">
        <v>7402</v>
      </c>
      <c r="C6866" s="5" t="s">
        <v>21</v>
      </c>
      <c r="K6866" s="5">
        <v>2600.0</v>
      </c>
      <c r="N6866" s="9">
        <v>43840.0</v>
      </c>
    </row>
    <row r="6867">
      <c r="A6867" s="5">
        <v>6866.0</v>
      </c>
      <c r="B6867" s="5" t="s">
        <v>7403</v>
      </c>
      <c r="C6867" s="5" t="s">
        <v>21</v>
      </c>
      <c r="K6867" s="5">
        <v>500.0</v>
      </c>
      <c r="N6867" s="9">
        <v>44640.0</v>
      </c>
    </row>
    <row r="6868">
      <c r="A6868" s="5">
        <v>6867.0</v>
      </c>
      <c r="B6868" s="5" t="s">
        <v>7404</v>
      </c>
      <c r="C6868" s="5" t="s">
        <v>21</v>
      </c>
      <c r="K6868" s="5">
        <v>150.0</v>
      </c>
      <c r="N6868" s="9">
        <v>44678.0</v>
      </c>
    </row>
    <row r="6869">
      <c r="A6869" s="5">
        <v>6868.0</v>
      </c>
      <c r="B6869" s="5" t="s">
        <v>7405</v>
      </c>
      <c r="C6869" s="5" t="s">
        <v>21</v>
      </c>
      <c r="K6869" s="5">
        <v>300.0</v>
      </c>
      <c r="N6869" s="9">
        <v>45186.0</v>
      </c>
    </row>
    <row r="6870">
      <c r="A6870" s="5">
        <v>6869.0</v>
      </c>
      <c r="B6870" s="5" t="s">
        <v>229</v>
      </c>
      <c r="C6870" s="5" t="s">
        <v>21</v>
      </c>
      <c r="K6870" s="5">
        <v>5700.0</v>
      </c>
      <c r="N6870" s="9">
        <v>45686.0</v>
      </c>
    </row>
    <row r="6871">
      <c r="A6871" s="5">
        <v>6870.0</v>
      </c>
      <c r="B6871" s="5" t="s">
        <v>7406</v>
      </c>
      <c r="C6871" s="5" t="s">
        <v>21</v>
      </c>
      <c r="K6871" s="5">
        <v>100.0</v>
      </c>
      <c r="N6871" s="9">
        <v>45066.0</v>
      </c>
    </row>
    <row r="6872">
      <c r="A6872" s="5">
        <v>6871.0</v>
      </c>
      <c r="B6872" s="5" t="s">
        <v>7407</v>
      </c>
      <c r="C6872" s="5" t="s">
        <v>21</v>
      </c>
      <c r="K6872" s="5">
        <v>150.0</v>
      </c>
      <c r="N6872" s="9">
        <v>44403.0</v>
      </c>
    </row>
    <row r="6873">
      <c r="A6873" s="5">
        <v>6872.0</v>
      </c>
      <c r="B6873" s="5" t="s">
        <v>7408</v>
      </c>
      <c r="C6873" s="5" t="s">
        <v>21</v>
      </c>
      <c r="K6873" s="5">
        <v>250.0</v>
      </c>
      <c r="N6873" s="9">
        <v>44972.0</v>
      </c>
    </row>
    <row r="6874">
      <c r="A6874" s="5">
        <v>6873.0</v>
      </c>
      <c r="B6874" s="5" t="s">
        <v>7409</v>
      </c>
      <c r="C6874" s="5" t="s">
        <v>21</v>
      </c>
      <c r="K6874" s="5">
        <v>600.0</v>
      </c>
      <c r="N6874" s="9">
        <v>44559.0</v>
      </c>
    </row>
    <row r="6875">
      <c r="A6875" s="5">
        <v>6874.0</v>
      </c>
      <c r="B6875" s="5" t="s">
        <v>7410</v>
      </c>
      <c r="C6875" s="5" t="s">
        <v>21</v>
      </c>
      <c r="K6875" s="5">
        <v>250.0</v>
      </c>
      <c r="N6875" s="9">
        <v>44843.0</v>
      </c>
    </row>
    <row r="6876">
      <c r="A6876" s="5">
        <v>6875.0</v>
      </c>
      <c r="B6876" s="5" t="s">
        <v>7411</v>
      </c>
      <c r="C6876" s="5" t="s">
        <v>21</v>
      </c>
      <c r="K6876" s="5">
        <v>600.0</v>
      </c>
      <c r="N6876" s="9">
        <v>44014.0</v>
      </c>
    </row>
    <row r="6877">
      <c r="A6877" s="5">
        <v>6876.0</v>
      </c>
      <c r="B6877" s="5" t="s">
        <v>7412</v>
      </c>
      <c r="C6877" s="5" t="s">
        <v>21</v>
      </c>
      <c r="K6877" s="5">
        <v>1600.0</v>
      </c>
      <c r="N6877" s="9">
        <v>44716.0</v>
      </c>
    </row>
    <row r="6878">
      <c r="A6878" s="5">
        <v>6877.0</v>
      </c>
      <c r="B6878" s="5" t="s">
        <v>7413</v>
      </c>
      <c r="C6878" s="5" t="s">
        <v>21</v>
      </c>
      <c r="K6878" s="5">
        <v>1600.0</v>
      </c>
      <c r="N6878" s="9">
        <v>44442.0</v>
      </c>
    </row>
    <row r="6879">
      <c r="A6879" s="5">
        <v>6878.0</v>
      </c>
      <c r="B6879" s="5" t="s">
        <v>7414</v>
      </c>
      <c r="C6879" s="5" t="s">
        <v>21</v>
      </c>
      <c r="K6879" s="5">
        <v>5600.0</v>
      </c>
      <c r="N6879" s="9">
        <v>43841.0</v>
      </c>
    </row>
    <row r="6880">
      <c r="A6880" s="5">
        <v>6879.0</v>
      </c>
      <c r="B6880" s="5" t="s">
        <v>7415</v>
      </c>
      <c r="C6880" s="5" t="s">
        <v>21</v>
      </c>
      <c r="K6880" s="5">
        <v>20.0</v>
      </c>
      <c r="N6880" s="9">
        <v>45461.0</v>
      </c>
    </row>
    <row r="6881">
      <c r="A6881" s="5">
        <v>6880.0</v>
      </c>
      <c r="B6881" s="5" t="s">
        <v>7416</v>
      </c>
      <c r="C6881" s="5" t="s">
        <v>21</v>
      </c>
      <c r="K6881" s="5">
        <v>150.0</v>
      </c>
      <c r="N6881" s="9">
        <v>45428.0</v>
      </c>
    </row>
    <row r="6882">
      <c r="A6882" s="5">
        <v>6881.0</v>
      </c>
      <c r="B6882" s="5" t="s">
        <v>7417</v>
      </c>
      <c r="C6882" s="5" t="s">
        <v>21</v>
      </c>
      <c r="K6882" s="5">
        <v>90.0</v>
      </c>
      <c r="N6882" s="9">
        <v>45750.0</v>
      </c>
    </row>
    <row r="6883">
      <c r="A6883" s="5">
        <v>6882.0</v>
      </c>
      <c r="B6883" s="5" t="s">
        <v>7418</v>
      </c>
      <c r="C6883" s="5" t="s">
        <v>21</v>
      </c>
      <c r="K6883" s="5">
        <v>90.0</v>
      </c>
      <c r="N6883" s="9">
        <v>44294.0</v>
      </c>
    </row>
    <row r="6884">
      <c r="A6884" s="5">
        <v>6883.0</v>
      </c>
      <c r="B6884" s="5" t="s">
        <v>7419</v>
      </c>
      <c r="C6884" s="5" t="s">
        <v>21</v>
      </c>
      <c r="K6884" s="5">
        <v>300.0</v>
      </c>
      <c r="N6884" s="9">
        <v>45412.0</v>
      </c>
    </row>
    <row r="6885">
      <c r="A6885" s="5">
        <v>6884.0</v>
      </c>
      <c r="B6885" s="5" t="s">
        <v>231</v>
      </c>
      <c r="C6885" s="5" t="s">
        <v>21</v>
      </c>
      <c r="K6885" s="5">
        <v>100.0</v>
      </c>
      <c r="N6885" s="9">
        <v>43989.0</v>
      </c>
    </row>
    <row r="6886">
      <c r="A6886" s="5">
        <v>6885.0</v>
      </c>
      <c r="B6886" s="5" t="s">
        <v>7420</v>
      </c>
      <c r="C6886" s="5" t="s">
        <v>21</v>
      </c>
      <c r="K6886" s="5">
        <v>700.0</v>
      </c>
      <c r="N6886" s="9">
        <v>44428.0</v>
      </c>
    </row>
    <row r="6887">
      <c r="A6887" s="5">
        <v>6886.0</v>
      </c>
      <c r="B6887" s="5" t="s">
        <v>7421</v>
      </c>
      <c r="C6887" s="5" t="s">
        <v>21</v>
      </c>
      <c r="K6887" s="5">
        <v>700.0</v>
      </c>
      <c r="N6887" s="9">
        <v>44291.0</v>
      </c>
    </row>
    <row r="6888">
      <c r="A6888" s="5">
        <v>6887.0</v>
      </c>
      <c r="B6888" s="5" t="s">
        <v>7422</v>
      </c>
      <c r="C6888" s="5" t="s">
        <v>21</v>
      </c>
      <c r="K6888" s="5">
        <v>1200.0</v>
      </c>
      <c r="N6888" s="9">
        <v>44734.0</v>
      </c>
    </row>
    <row r="6889">
      <c r="A6889" s="5">
        <v>6888.0</v>
      </c>
      <c r="B6889" s="5" t="s">
        <v>7423</v>
      </c>
      <c r="C6889" s="5" t="s">
        <v>21</v>
      </c>
      <c r="K6889" s="5">
        <v>50.0</v>
      </c>
      <c r="N6889" s="9">
        <v>44534.0</v>
      </c>
    </row>
    <row r="6890">
      <c r="A6890" s="5">
        <v>6889.0</v>
      </c>
      <c r="B6890" s="5" t="s">
        <v>254</v>
      </c>
      <c r="C6890" s="5" t="s">
        <v>21</v>
      </c>
      <c r="K6890" s="5">
        <v>800.0</v>
      </c>
      <c r="N6890" s="9">
        <v>44567.0</v>
      </c>
    </row>
    <row r="6891">
      <c r="A6891" s="5">
        <v>6890.0</v>
      </c>
      <c r="B6891" s="5" t="s">
        <v>7424</v>
      </c>
      <c r="C6891" s="5" t="s">
        <v>21</v>
      </c>
      <c r="K6891" s="5">
        <v>350.0</v>
      </c>
      <c r="N6891" s="9">
        <v>45081.0</v>
      </c>
    </row>
    <row r="6892">
      <c r="A6892" s="5">
        <v>6891.0</v>
      </c>
      <c r="B6892" s="5" t="s">
        <v>7425</v>
      </c>
      <c r="C6892" s="5" t="s">
        <v>21</v>
      </c>
      <c r="K6892" s="5">
        <v>80.0</v>
      </c>
      <c r="N6892" s="9">
        <v>44612.0</v>
      </c>
    </row>
    <row r="6893">
      <c r="A6893" s="5">
        <v>6892.0</v>
      </c>
      <c r="B6893" s="5" t="s">
        <v>7426</v>
      </c>
      <c r="C6893" s="5" t="s">
        <v>21</v>
      </c>
      <c r="K6893" s="5">
        <v>20.0</v>
      </c>
      <c r="N6893" s="9">
        <v>44981.0</v>
      </c>
    </row>
    <row r="6894">
      <c r="A6894" s="5">
        <v>6893.0</v>
      </c>
      <c r="B6894" s="5" t="s">
        <v>7427</v>
      </c>
      <c r="C6894" s="5" t="s">
        <v>21</v>
      </c>
      <c r="K6894" s="5">
        <v>26000.0</v>
      </c>
      <c r="N6894" s="9">
        <v>45816.0</v>
      </c>
    </row>
    <row r="6895">
      <c r="A6895" s="5">
        <v>6894.0</v>
      </c>
      <c r="B6895" s="5" t="s">
        <v>7428</v>
      </c>
      <c r="C6895" s="5" t="s">
        <v>21</v>
      </c>
      <c r="K6895" s="5">
        <v>1500.0</v>
      </c>
      <c r="N6895" s="9">
        <v>44229.0</v>
      </c>
    </row>
    <row r="6896">
      <c r="A6896" s="5">
        <v>6895.0</v>
      </c>
      <c r="B6896" s="5" t="s">
        <v>7429</v>
      </c>
      <c r="C6896" s="5" t="s">
        <v>21</v>
      </c>
      <c r="K6896" s="5">
        <v>2300.0</v>
      </c>
      <c r="N6896" s="9">
        <v>44969.0</v>
      </c>
    </row>
    <row r="6897">
      <c r="A6897" s="5">
        <v>6896.0</v>
      </c>
      <c r="B6897" s="5" t="s">
        <v>7430</v>
      </c>
      <c r="C6897" s="5" t="s">
        <v>21</v>
      </c>
      <c r="K6897" s="5">
        <v>100.0</v>
      </c>
      <c r="N6897" s="9">
        <v>44580.0</v>
      </c>
    </row>
    <row r="6898">
      <c r="A6898" s="5">
        <v>6897.0</v>
      </c>
      <c r="B6898" s="5" t="s">
        <v>7431</v>
      </c>
      <c r="C6898" s="5" t="s">
        <v>21</v>
      </c>
      <c r="K6898" s="5">
        <v>150.0</v>
      </c>
      <c r="N6898" s="9">
        <v>44784.0</v>
      </c>
    </row>
    <row r="6899">
      <c r="A6899" s="5">
        <v>6898.0</v>
      </c>
      <c r="B6899" s="5" t="s">
        <v>7432</v>
      </c>
      <c r="C6899" s="5" t="s">
        <v>21</v>
      </c>
      <c r="K6899" s="5">
        <v>1200.0</v>
      </c>
      <c r="N6899" s="9">
        <v>45029.0</v>
      </c>
    </row>
    <row r="6900">
      <c r="A6900" s="5">
        <v>6899.0</v>
      </c>
      <c r="B6900" s="5" t="s">
        <v>7433</v>
      </c>
      <c r="C6900" s="5" t="s">
        <v>21</v>
      </c>
      <c r="K6900" s="5">
        <v>400.0</v>
      </c>
      <c r="N6900" s="9">
        <v>44159.0</v>
      </c>
    </row>
    <row r="6901">
      <c r="A6901" s="5">
        <v>6900.0</v>
      </c>
      <c r="B6901" s="5" t="s">
        <v>7434</v>
      </c>
      <c r="C6901" s="5" t="s">
        <v>21</v>
      </c>
      <c r="K6901" s="5">
        <v>400.0</v>
      </c>
      <c r="N6901" s="9">
        <v>44548.0</v>
      </c>
    </row>
    <row r="6902">
      <c r="A6902" s="5">
        <v>6901.0</v>
      </c>
      <c r="B6902" s="5" t="s">
        <v>7435</v>
      </c>
      <c r="C6902" s="5" t="s">
        <v>21</v>
      </c>
      <c r="K6902" s="5">
        <v>1000.0</v>
      </c>
      <c r="N6902" s="9">
        <v>44609.0</v>
      </c>
    </row>
    <row r="6903">
      <c r="A6903" s="5">
        <v>6902.0</v>
      </c>
      <c r="B6903" s="5" t="s">
        <v>7436</v>
      </c>
      <c r="C6903" s="5" t="s">
        <v>21</v>
      </c>
      <c r="K6903" s="5">
        <v>450.0</v>
      </c>
      <c r="N6903" s="9">
        <v>44181.0</v>
      </c>
    </row>
    <row r="6904">
      <c r="A6904" s="5">
        <v>6903.0</v>
      </c>
      <c r="B6904" s="5" t="s">
        <v>7437</v>
      </c>
      <c r="C6904" s="5" t="s">
        <v>21</v>
      </c>
      <c r="K6904" s="5">
        <v>250.0</v>
      </c>
      <c r="N6904" s="9">
        <v>44744.0</v>
      </c>
    </row>
    <row r="6905">
      <c r="A6905" s="5">
        <v>6904.0</v>
      </c>
      <c r="B6905" s="5" t="s">
        <v>7438</v>
      </c>
      <c r="C6905" s="5" t="s">
        <v>21</v>
      </c>
      <c r="K6905" s="5">
        <v>2200.0</v>
      </c>
      <c r="N6905" s="9">
        <v>43875.0</v>
      </c>
    </row>
    <row r="6906">
      <c r="A6906" s="5">
        <v>6905.0</v>
      </c>
      <c r="B6906" s="5" t="s">
        <v>7439</v>
      </c>
      <c r="C6906" s="5" t="s">
        <v>21</v>
      </c>
      <c r="K6906" s="5">
        <v>200.0</v>
      </c>
      <c r="N6906" s="9">
        <v>44778.0</v>
      </c>
    </row>
    <row r="6907">
      <c r="A6907" s="5">
        <v>6906.0</v>
      </c>
      <c r="B6907" s="5" t="s">
        <v>7440</v>
      </c>
      <c r="C6907" s="5" t="s">
        <v>21</v>
      </c>
      <c r="K6907" s="5">
        <v>150.0</v>
      </c>
      <c r="N6907" s="9">
        <v>45536.0</v>
      </c>
    </row>
    <row r="6908">
      <c r="A6908" s="5">
        <v>6907.0</v>
      </c>
      <c r="B6908" s="5" t="s">
        <v>7441</v>
      </c>
      <c r="C6908" s="5" t="s">
        <v>21</v>
      </c>
      <c r="K6908" s="5">
        <v>300.0</v>
      </c>
      <c r="N6908" s="9">
        <v>44403.0</v>
      </c>
    </row>
    <row r="6909">
      <c r="A6909" s="5">
        <v>6908.0</v>
      </c>
      <c r="B6909" s="5" t="s">
        <v>7442</v>
      </c>
      <c r="C6909" s="5" t="s">
        <v>21</v>
      </c>
      <c r="K6909" s="5">
        <v>100.0</v>
      </c>
      <c r="N6909" s="9">
        <v>45271.0</v>
      </c>
    </row>
    <row r="6910">
      <c r="A6910" s="5">
        <v>6909.0</v>
      </c>
      <c r="B6910" s="5" t="s">
        <v>7443</v>
      </c>
      <c r="C6910" s="5" t="s">
        <v>21</v>
      </c>
      <c r="K6910" s="5">
        <v>1000.0</v>
      </c>
      <c r="N6910" s="9">
        <v>43957.0</v>
      </c>
    </row>
    <row r="6911">
      <c r="A6911" s="5">
        <v>6910.0</v>
      </c>
      <c r="B6911" s="5" t="s">
        <v>7444</v>
      </c>
      <c r="C6911" s="5" t="s">
        <v>21</v>
      </c>
      <c r="K6911" s="5">
        <v>150.0</v>
      </c>
      <c r="N6911" s="9">
        <v>44725.0</v>
      </c>
    </row>
    <row r="6912">
      <c r="A6912" s="5">
        <v>6911.0</v>
      </c>
      <c r="B6912" s="5" t="s">
        <v>7445</v>
      </c>
      <c r="C6912" s="5" t="s">
        <v>21</v>
      </c>
      <c r="K6912" s="5">
        <v>450.0</v>
      </c>
      <c r="N6912" s="9">
        <v>44593.0</v>
      </c>
    </row>
    <row r="6913">
      <c r="A6913" s="5">
        <v>6912.0</v>
      </c>
      <c r="B6913" s="5" t="s">
        <v>7446</v>
      </c>
      <c r="C6913" s="5" t="s">
        <v>21</v>
      </c>
      <c r="K6913" s="5">
        <v>80.0</v>
      </c>
      <c r="N6913" s="9">
        <v>44625.0</v>
      </c>
    </row>
    <row r="6914">
      <c r="A6914" s="5">
        <v>6913.0</v>
      </c>
      <c r="B6914" s="5" t="s">
        <v>7447</v>
      </c>
      <c r="C6914" s="5" t="s">
        <v>21</v>
      </c>
      <c r="K6914" s="5">
        <v>80.0</v>
      </c>
      <c r="N6914" s="9">
        <v>44558.0</v>
      </c>
    </row>
    <row r="6915">
      <c r="A6915" s="5">
        <v>6914.0</v>
      </c>
      <c r="B6915" s="5" t="s">
        <v>7448</v>
      </c>
      <c r="C6915" s="5" t="s">
        <v>21</v>
      </c>
      <c r="K6915" s="5">
        <v>800.0</v>
      </c>
      <c r="N6915" s="9">
        <v>44530.0</v>
      </c>
    </row>
    <row r="6916">
      <c r="A6916" s="5">
        <v>6915.0</v>
      </c>
      <c r="B6916" s="5" t="s">
        <v>7449</v>
      </c>
      <c r="C6916" s="5" t="s">
        <v>21</v>
      </c>
      <c r="N6916" s="9">
        <v>44576.0</v>
      </c>
    </row>
    <row r="6917">
      <c r="A6917" s="5">
        <v>6916.0</v>
      </c>
      <c r="B6917" s="5" t="s">
        <v>7450</v>
      </c>
      <c r="C6917" s="5" t="s">
        <v>21</v>
      </c>
      <c r="K6917" s="5">
        <v>300.0</v>
      </c>
      <c r="N6917" s="9">
        <v>44587.0</v>
      </c>
    </row>
    <row r="6918">
      <c r="A6918" s="5">
        <v>6917.0</v>
      </c>
      <c r="B6918" s="5" t="s">
        <v>7451</v>
      </c>
      <c r="C6918" s="5" t="s">
        <v>21</v>
      </c>
      <c r="K6918" s="5">
        <v>200.0</v>
      </c>
      <c r="N6918" s="9">
        <v>44605.0</v>
      </c>
    </row>
    <row r="6919">
      <c r="A6919" s="5">
        <v>6918.0</v>
      </c>
      <c r="B6919" s="5" t="s">
        <v>257</v>
      </c>
      <c r="C6919" s="5" t="s">
        <v>21</v>
      </c>
      <c r="K6919" s="5">
        <v>450.0</v>
      </c>
      <c r="N6919" s="9">
        <v>44315.0</v>
      </c>
    </row>
    <row r="6920">
      <c r="A6920" s="5">
        <v>6919.0</v>
      </c>
      <c r="B6920" s="5" t="s">
        <v>7452</v>
      </c>
      <c r="C6920" s="5" t="s">
        <v>21</v>
      </c>
      <c r="K6920" s="5">
        <v>400.0</v>
      </c>
      <c r="N6920" s="9">
        <v>44949.0</v>
      </c>
    </row>
    <row r="6921">
      <c r="A6921" s="5">
        <v>6920.0</v>
      </c>
      <c r="B6921" s="5" t="s">
        <v>7453</v>
      </c>
      <c r="C6921" s="5" t="s">
        <v>21</v>
      </c>
      <c r="K6921" s="5">
        <v>1000.0</v>
      </c>
      <c r="N6921" s="9">
        <v>44522.0</v>
      </c>
    </row>
    <row r="6922">
      <c r="A6922" s="5">
        <v>6921.0</v>
      </c>
      <c r="B6922" s="5" t="s">
        <v>7454</v>
      </c>
      <c r="C6922" s="5" t="s">
        <v>21</v>
      </c>
      <c r="K6922" s="5">
        <v>150.0</v>
      </c>
      <c r="N6922" s="9">
        <v>43840.0</v>
      </c>
    </row>
    <row r="6923">
      <c r="A6923" s="5">
        <v>6922.0</v>
      </c>
      <c r="B6923" s="5" t="s">
        <v>7455</v>
      </c>
      <c r="C6923" s="5" t="s">
        <v>21</v>
      </c>
      <c r="K6923" s="5">
        <v>250.0</v>
      </c>
      <c r="N6923" s="9">
        <v>44586.0</v>
      </c>
    </row>
    <row r="6924">
      <c r="A6924" s="5">
        <v>6923.0</v>
      </c>
      <c r="B6924" s="5" t="s">
        <v>7456</v>
      </c>
      <c r="C6924" s="5" t="s">
        <v>21</v>
      </c>
      <c r="K6924" s="5">
        <v>800.0</v>
      </c>
      <c r="N6924" s="9">
        <v>45264.0</v>
      </c>
    </row>
    <row r="6925">
      <c r="A6925" s="5">
        <v>6924.0</v>
      </c>
      <c r="B6925" s="5" t="s">
        <v>7457</v>
      </c>
      <c r="C6925" s="5" t="s">
        <v>21</v>
      </c>
      <c r="K6925" s="5">
        <v>100.0</v>
      </c>
      <c r="N6925" s="9">
        <v>44591.0</v>
      </c>
    </row>
    <row r="6926">
      <c r="A6926" s="5">
        <v>6925.0</v>
      </c>
      <c r="B6926" s="5" t="s">
        <v>7458</v>
      </c>
      <c r="C6926" s="5" t="s">
        <v>21</v>
      </c>
      <c r="K6926" s="5">
        <v>350.0</v>
      </c>
      <c r="N6926" s="9">
        <v>44652.0</v>
      </c>
    </row>
    <row r="6927">
      <c r="A6927" s="5">
        <v>6926.0</v>
      </c>
      <c r="B6927" s="5" t="s">
        <v>7459</v>
      </c>
      <c r="C6927" s="5" t="s">
        <v>21</v>
      </c>
      <c r="K6927" s="5">
        <v>1500.0</v>
      </c>
      <c r="N6927" s="9">
        <v>44121.0</v>
      </c>
    </row>
    <row r="6928">
      <c r="A6928" s="5">
        <v>6927.0</v>
      </c>
      <c r="B6928" s="5" t="s">
        <v>7460</v>
      </c>
      <c r="C6928" s="5" t="s">
        <v>21</v>
      </c>
      <c r="K6928" s="5">
        <v>300.0</v>
      </c>
      <c r="N6928" s="9">
        <v>44570.0</v>
      </c>
    </row>
    <row r="6929">
      <c r="A6929" s="5">
        <v>6928.0</v>
      </c>
      <c r="B6929" s="5" t="s">
        <v>7461</v>
      </c>
      <c r="C6929" s="5" t="s">
        <v>21</v>
      </c>
      <c r="K6929" s="5">
        <v>400.0</v>
      </c>
      <c r="N6929" s="9">
        <v>44430.0</v>
      </c>
    </row>
    <row r="6930">
      <c r="A6930" s="5">
        <v>6929.0</v>
      </c>
      <c r="B6930" s="5" t="s">
        <v>7462</v>
      </c>
      <c r="C6930" s="5" t="s">
        <v>21</v>
      </c>
      <c r="K6930" s="5">
        <v>1100.0</v>
      </c>
      <c r="N6930" s="9">
        <v>45207.0</v>
      </c>
    </row>
    <row r="6931">
      <c r="A6931" s="5">
        <v>6930.0</v>
      </c>
      <c r="B6931" s="5" t="s">
        <v>7463</v>
      </c>
      <c r="C6931" s="5" t="s">
        <v>21</v>
      </c>
      <c r="K6931" s="5">
        <v>800.0</v>
      </c>
      <c r="N6931" s="9">
        <v>44081.0</v>
      </c>
    </row>
    <row r="6932">
      <c r="A6932" s="5">
        <v>6931.0</v>
      </c>
      <c r="B6932" s="5" t="s">
        <v>7464</v>
      </c>
      <c r="C6932" s="5" t="s">
        <v>21</v>
      </c>
      <c r="K6932" s="5">
        <v>90.0</v>
      </c>
      <c r="N6932" s="9">
        <v>44531.0</v>
      </c>
    </row>
    <row r="6933">
      <c r="A6933" s="5">
        <v>6932.0</v>
      </c>
      <c r="B6933" s="5" t="s">
        <v>7465</v>
      </c>
      <c r="C6933" s="5" t="s">
        <v>21</v>
      </c>
      <c r="K6933" s="5">
        <v>400.0</v>
      </c>
      <c r="N6933" s="9">
        <v>44029.0</v>
      </c>
    </row>
    <row r="6934">
      <c r="A6934" s="5">
        <v>6933.0</v>
      </c>
      <c r="B6934" s="5" t="s">
        <v>7466</v>
      </c>
      <c r="C6934" s="5" t="s">
        <v>21</v>
      </c>
      <c r="K6934" s="5">
        <v>300.0</v>
      </c>
      <c r="N6934" s="9">
        <v>44449.0</v>
      </c>
    </row>
    <row r="6935">
      <c r="A6935" s="5">
        <v>6934.0</v>
      </c>
      <c r="B6935" s="5" t="s">
        <v>7467</v>
      </c>
      <c r="C6935" s="5" t="s">
        <v>21</v>
      </c>
      <c r="K6935" s="5">
        <v>200.0</v>
      </c>
      <c r="N6935" s="9">
        <v>44882.0</v>
      </c>
    </row>
    <row r="6936">
      <c r="A6936" s="5">
        <v>6935.0</v>
      </c>
      <c r="B6936" s="5" t="s">
        <v>7468</v>
      </c>
      <c r="C6936" s="5" t="s">
        <v>21</v>
      </c>
      <c r="K6936" s="5">
        <v>70.0</v>
      </c>
      <c r="N6936" s="9">
        <v>44662.0</v>
      </c>
    </row>
    <row r="6937">
      <c r="A6937" s="5">
        <v>6936.0</v>
      </c>
      <c r="B6937" s="5" t="s">
        <v>7469</v>
      </c>
      <c r="C6937" s="5" t="s">
        <v>21</v>
      </c>
      <c r="K6937" s="5">
        <v>350.0</v>
      </c>
      <c r="N6937" s="9">
        <v>44648.0</v>
      </c>
    </row>
    <row r="6938">
      <c r="A6938" s="5">
        <v>6937.0</v>
      </c>
      <c r="B6938" s="5" t="s">
        <v>7470</v>
      </c>
      <c r="C6938" s="5" t="s">
        <v>21</v>
      </c>
      <c r="K6938" s="5">
        <v>4400.0</v>
      </c>
      <c r="N6938" s="9">
        <v>44345.0</v>
      </c>
    </row>
    <row r="6939">
      <c r="A6939" s="5">
        <v>6938.0</v>
      </c>
      <c r="B6939" s="5" t="s">
        <v>7471</v>
      </c>
      <c r="C6939" s="5" t="s">
        <v>21</v>
      </c>
      <c r="K6939" s="5">
        <v>250.0</v>
      </c>
      <c r="N6939" s="9">
        <v>44743.0</v>
      </c>
    </row>
    <row r="6940">
      <c r="A6940" s="5">
        <v>6939.0</v>
      </c>
      <c r="B6940" s="5" t="s">
        <v>7472</v>
      </c>
      <c r="C6940" s="5" t="s">
        <v>21</v>
      </c>
      <c r="K6940" s="5">
        <v>1000.0</v>
      </c>
      <c r="N6940" s="9">
        <v>45664.0</v>
      </c>
    </row>
    <row r="6941">
      <c r="A6941" s="5">
        <v>6940.0</v>
      </c>
      <c r="B6941" s="5" t="s">
        <v>7473</v>
      </c>
      <c r="C6941" s="5" t="s">
        <v>21</v>
      </c>
      <c r="K6941" s="5">
        <v>30.0</v>
      </c>
      <c r="N6941" s="9">
        <v>44184.0</v>
      </c>
    </row>
    <row r="6942">
      <c r="A6942" s="5">
        <v>6941.0</v>
      </c>
      <c r="B6942" s="5" t="s">
        <v>7474</v>
      </c>
      <c r="C6942" s="5" t="s">
        <v>21</v>
      </c>
      <c r="K6942" s="5">
        <v>10.0</v>
      </c>
      <c r="N6942" s="9">
        <v>44526.0</v>
      </c>
    </row>
    <row r="6943">
      <c r="A6943" s="5">
        <v>6942.0</v>
      </c>
      <c r="B6943" s="5" t="s">
        <v>7475</v>
      </c>
      <c r="C6943" s="5" t="s">
        <v>21</v>
      </c>
      <c r="K6943" s="5">
        <v>200.0</v>
      </c>
      <c r="N6943" s="9">
        <v>44567.0</v>
      </c>
    </row>
    <row r="6944">
      <c r="A6944" s="5">
        <v>6943.0</v>
      </c>
      <c r="B6944" s="5" t="s">
        <v>7476</v>
      </c>
      <c r="C6944" s="5" t="s">
        <v>21</v>
      </c>
      <c r="K6944" s="5">
        <v>400.0</v>
      </c>
      <c r="N6944" s="9">
        <v>45212.0</v>
      </c>
    </row>
    <row r="6945">
      <c r="A6945" s="5">
        <v>6944.0</v>
      </c>
      <c r="B6945" s="5" t="s">
        <v>7477</v>
      </c>
      <c r="C6945" s="5" t="s">
        <v>21</v>
      </c>
      <c r="K6945" s="5">
        <v>50.0</v>
      </c>
      <c r="N6945" s="9">
        <v>44790.0</v>
      </c>
    </row>
    <row r="6946">
      <c r="A6946" s="5">
        <v>6945.0</v>
      </c>
      <c r="B6946" s="5" t="s">
        <v>7478</v>
      </c>
      <c r="C6946" s="5" t="s">
        <v>21</v>
      </c>
      <c r="K6946" s="5">
        <v>200.0</v>
      </c>
      <c r="N6946" s="9">
        <v>45065.0</v>
      </c>
    </row>
    <row r="6947">
      <c r="A6947" s="5">
        <v>6946.0</v>
      </c>
      <c r="B6947" s="5" t="s">
        <v>7479</v>
      </c>
      <c r="C6947" s="5" t="s">
        <v>21</v>
      </c>
      <c r="K6947" s="5">
        <v>300.0</v>
      </c>
      <c r="N6947" s="9">
        <v>44492.0</v>
      </c>
    </row>
    <row r="6948">
      <c r="A6948" s="5">
        <v>6947.0</v>
      </c>
      <c r="B6948" s="5" t="s">
        <v>7480</v>
      </c>
      <c r="C6948" s="5" t="s">
        <v>21</v>
      </c>
      <c r="K6948" s="5">
        <v>200.0</v>
      </c>
      <c r="N6948" s="9">
        <v>44896.0</v>
      </c>
    </row>
    <row r="6949">
      <c r="A6949" s="5">
        <v>6948.0</v>
      </c>
      <c r="B6949" s="5" t="s">
        <v>7481</v>
      </c>
      <c r="C6949" s="5" t="s">
        <v>21</v>
      </c>
      <c r="K6949" s="5">
        <v>400.0</v>
      </c>
      <c r="N6949" s="9">
        <v>45565.0</v>
      </c>
    </row>
    <row r="6950">
      <c r="A6950" s="5">
        <v>6949.0</v>
      </c>
      <c r="B6950" s="5" t="s">
        <v>7482</v>
      </c>
      <c r="C6950" s="5" t="s">
        <v>21</v>
      </c>
      <c r="K6950" s="5">
        <v>50.0</v>
      </c>
      <c r="N6950" s="9">
        <v>45059.0</v>
      </c>
    </row>
    <row r="6951">
      <c r="A6951" s="5">
        <v>6950.0</v>
      </c>
      <c r="B6951" s="5" t="s">
        <v>7483</v>
      </c>
      <c r="C6951" s="5" t="s">
        <v>21</v>
      </c>
      <c r="K6951" s="5">
        <v>2100.0</v>
      </c>
      <c r="N6951" s="9">
        <v>43856.0</v>
      </c>
    </row>
    <row r="6952">
      <c r="A6952" s="5">
        <v>6951.0</v>
      </c>
      <c r="B6952" s="5" t="s">
        <v>7484</v>
      </c>
      <c r="C6952" s="5" t="s">
        <v>21</v>
      </c>
      <c r="K6952" s="5">
        <v>30.0</v>
      </c>
      <c r="N6952" s="9">
        <v>45594.0</v>
      </c>
    </row>
    <row r="6953">
      <c r="A6953" s="5">
        <v>6952.0</v>
      </c>
      <c r="B6953" s="5" t="s">
        <v>7485</v>
      </c>
      <c r="C6953" s="5" t="s">
        <v>21</v>
      </c>
      <c r="K6953" s="5">
        <v>150.0</v>
      </c>
      <c r="N6953" s="9">
        <v>45107.0</v>
      </c>
    </row>
    <row r="6954">
      <c r="A6954" s="5">
        <v>6953.0</v>
      </c>
      <c r="B6954" s="5" t="s">
        <v>7486</v>
      </c>
      <c r="C6954" s="5" t="s">
        <v>21</v>
      </c>
      <c r="N6954" s="9">
        <v>44405.0</v>
      </c>
    </row>
    <row r="6955">
      <c r="A6955" s="5">
        <v>6954.0</v>
      </c>
      <c r="B6955" s="5" t="s">
        <v>7487</v>
      </c>
      <c r="C6955" s="5" t="s">
        <v>21</v>
      </c>
      <c r="K6955" s="5">
        <v>70.0</v>
      </c>
      <c r="N6955" s="9">
        <v>44545.0</v>
      </c>
    </row>
    <row r="6956">
      <c r="A6956" s="5">
        <v>6955.0</v>
      </c>
      <c r="B6956" s="5" t="s">
        <v>7488</v>
      </c>
      <c r="C6956" s="5" t="s">
        <v>21</v>
      </c>
      <c r="N6956" s="9">
        <v>44529.0</v>
      </c>
    </row>
    <row r="6957">
      <c r="A6957" s="5">
        <v>6956.0</v>
      </c>
      <c r="B6957" s="5" t="s">
        <v>7489</v>
      </c>
      <c r="C6957" s="5" t="s">
        <v>21</v>
      </c>
      <c r="K6957" s="5">
        <v>250.0</v>
      </c>
      <c r="N6957" s="9">
        <v>44837.0</v>
      </c>
    </row>
    <row r="6958">
      <c r="A6958" s="5">
        <v>6957.0</v>
      </c>
      <c r="B6958" s="5" t="s">
        <v>7490</v>
      </c>
      <c r="C6958" s="5" t="s">
        <v>21</v>
      </c>
      <c r="K6958" s="5">
        <v>1100.0</v>
      </c>
      <c r="N6958" s="9">
        <v>45419.0</v>
      </c>
    </row>
    <row r="6959">
      <c r="A6959" s="5">
        <v>6958.0</v>
      </c>
      <c r="B6959" s="5" t="s">
        <v>7491</v>
      </c>
      <c r="C6959" s="5" t="s">
        <v>21</v>
      </c>
      <c r="K6959" s="5">
        <v>350.0</v>
      </c>
      <c r="N6959" s="9">
        <v>44425.0</v>
      </c>
    </row>
    <row r="6960">
      <c r="A6960" s="5">
        <v>6959.0</v>
      </c>
      <c r="B6960" s="5" t="s">
        <v>7492</v>
      </c>
      <c r="C6960" s="5" t="s">
        <v>21</v>
      </c>
      <c r="K6960" s="5">
        <v>250.0</v>
      </c>
      <c r="N6960" s="9">
        <v>45564.0</v>
      </c>
    </row>
    <row r="6961">
      <c r="A6961" s="5">
        <v>6960.0</v>
      </c>
      <c r="B6961" s="5" t="s">
        <v>7493</v>
      </c>
      <c r="C6961" s="5" t="s">
        <v>21</v>
      </c>
      <c r="K6961" s="5">
        <v>450.0</v>
      </c>
      <c r="N6961" s="9">
        <v>44843.0</v>
      </c>
    </row>
    <row r="6962">
      <c r="A6962" s="5">
        <v>6961.0</v>
      </c>
      <c r="B6962" s="5" t="s">
        <v>7494</v>
      </c>
      <c r="C6962" s="5" t="s">
        <v>21</v>
      </c>
      <c r="K6962" s="5">
        <v>600.0</v>
      </c>
      <c r="N6962" s="9">
        <v>45313.0</v>
      </c>
    </row>
    <row r="6963">
      <c r="A6963" s="5">
        <v>6962.0</v>
      </c>
      <c r="B6963" s="5" t="s">
        <v>7495</v>
      </c>
      <c r="C6963" s="5" t="s">
        <v>21</v>
      </c>
      <c r="K6963" s="5">
        <v>250.0</v>
      </c>
      <c r="N6963" s="9">
        <v>44795.0</v>
      </c>
    </row>
    <row r="6964">
      <c r="A6964" s="5">
        <v>6963.0</v>
      </c>
      <c r="B6964" s="5" t="s">
        <v>7496</v>
      </c>
      <c r="C6964" s="5" t="s">
        <v>21</v>
      </c>
      <c r="K6964" s="5">
        <v>60.0</v>
      </c>
      <c r="N6964" s="9">
        <v>44591.0</v>
      </c>
    </row>
    <row r="6965">
      <c r="A6965" s="5">
        <v>6964.0</v>
      </c>
      <c r="B6965" s="5" t="s">
        <v>7497</v>
      </c>
      <c r="C6965" s="5" t="s">
        <v>21</v>
      </c>
      <c r="K6965" s="5">
        <v>21000.0</v>
      </c>
      <c r="N6965" s="9">
        <v>44963.0</v>
      </c>
    </row>
    <row r="6966">
      <c r="A6966" s="5">
        <v>6965.0</v>
      </c>
      <c r="B6966" s="5" t="s">
        <v>7498</v>
      </c>
      <c r="C6966" s="5" t="s">
        <v>21</v>
      </c>
      <c r="K6966" s="5">
        <v>600.0</v>
      </c>
      <c r="N6966" s="9">
        <v>45033.0</v>
      </c>
    </row>
    <row r="6967">
      <c r="A6967" s="5">
        <v>6966.0</v>
      </c>
      <c r="B6967" s="5" t="s">
        <v>7499</v>
      </c>
      <c r="C6967" s="5" t="s">
        <v>21</v>
      </c>
      <c r="K6967" s="5">
        <v>600.0</v>
      </c>
      <c r="N6967" s="9">
        <v>44998.0</v>
      </c>
    </row>
    <row r="6968">
      <c r="A6968" s="5">
        <v>6967.0</v>
      </c>
      <c r="B6968" s="5" t="s">
        <v>7500</v>
      </c>
      <c r="C6968" s="5" t="s">
        <v>21</v>
      </c>
      <c r="K6968" s="5">
        <v>1200.0</v>
      </c>
      <c r="N6968" s="9">
        <v>45461.0</v>
      </c>
    </row>
    <row r="6969">
      <c r="A6969" s="5">
        <v>6968.0</v>
      </c>
      <c r="B6969" s="5" t="s">
        <v>7501</v>
      </c>
      <c r="C6969" s="5" t="s">
        <v>21</v>
      </c>
      <c r="K6969" s="5">
        <v>1300.0</v>
      </c>
      <c r="N6969" s="9">
        <v>44520.0</v>
      </c>
    </row>
    <row r="6970">
      <c r="A6970" s="5">
        <v>6969.0</v>
      </c>
      <c r="B6970" s="5" t="s">
        <v>7502</v>
      </c>
      <c r="C6970" s="5" t="s">
        <v>21</v>
      </c>
      <c r="K6970" s="5">
        <v>10.0</v>
      </c>
      <c r="N6970" s="9">
        <v>44430.0</v>
      </c>
    </row>
    <row r="6971">
      <c r="A6971" s="5">
        <v>6970.0</v>
      </c>
      <c r="B6971" s="5" t="s">
        <v>7503</v>
      </c>
      <c r="C6971" s="5" t="s">
        <v>21</v>
      </c>
      <c r="K6971" s="5">
        <v>3100.0</v>
      </c>
      <c r="N6971" s="9">
        <v>44564.0</v>
      </c>
    </row>
    <row r="6972">
      <c r="A6972" s="5">
        <v>6971.0</v>
      </c>
      <c r="B6972" s="5" t="s">
        <v>7504</v>
      </c>
      <c r="C6972" s="5" t="s">
        <v>21</v>
      </c>
      <c r="K6972" s="5">
        <v>450.0</v>
      </c>
      <c r="N6972" s="9">
        <v>44805.0</v>
      </c>
    </row>
    <row r="6973">
      <c r="A6973" s="5">
        <v>6972.0</v>
      </c>
      <c r="B6973" s="5" t="s">
        <v>7505</v>
      </c>
      <c r="C6973" s="5" t="s">
        <v>21</v>
      </c>
      <c r="K6973" s="5">
        <v>500.0</v>
      </c>
      <c r="N6973" s="9">
        <v>44554.0</v>
      </c>
    </row>
    <row r="6974">
      <c r="A6974" s="5">
        <v>6973.0</v>
      </c>
      <c r="B6974" s="5" t="s">
        <v>7506</v>
      </c>
      <c r="C6974" s="5" t="s">
        <v>21</v>
      </c>
      <c r="K6974" s="5">
        <v>3500.0</v>
      </c>
      <c r="N6974" s="9">
        <v>44489.0</v>
      </c>
    </row>
    <row r="6975">
      <c r="A6975" s="5">
        <v>6974.0</v>
      </c>
      <c r="B6975" s="5" t="s">
        <v>7507</v>
      </c>
      <c r="C6975" s="5" t="s">
        <v>21</v>
      </c>
      <c r="K6975" s="5">
        <v>700.0</v>
      </c>
      <c r="N6975" s="9">
        <v>44542.0</v>
      </c>
    </row>
    <row r="6976">
      <c r="A6976" s="5">
        <v>6975.0</v>
      </c>
      <c r="B6976" s="5" t="s">
        <v>7508</v>
      </c>
      <c r="C6976" s="5" t="s">
        <v>21</v>
      </c>
      <c r="K6976" s="5">
        <v>400.0</v>
      </c>
      <c r="N6976" s="9">
        <v>44253.0</v>
      </c>
    </row>
    <row r="6977">
      <c r="A6977" s="5">
        <v>6976.0</v>
      </c>
      <c r="B6977" s="5" t="s">
        <v>7509</v>
      </c>
      <c r="C6977" s="5" t="s">
        <v>21</v>
      </c>
      <c r="K6977" s="5">
        <v>200.0</v>
      </c>
      <c r="N6977" s="9">
        <v>44769.0</v>
      </c>
    </row>
    <row r="6978">
      <c r="A6978" s="5">
        <v>6977.0</v>
      </c>
      <c r="B6978" s="5" t="s">
        <v>7510</v>
      </c>
      <c r="C6978" s="5" t="s">
        <v>21</v>
      </c>
      <c r="K6978" s="5">
        <v>100.0</v>
      </c>
      <c r="N6978" s="9">
        <v>44520.0</v>
      </c>
    </row>
    <row r="6979">
      <c r="A6979" s="5">
        <v>6978.0</v>
      </c>
      <c r="B6979" s="5" t="s">
        <v>7511</v>
      </c>
      <c r="C6979" s="5" t="s">
        <v>21</v>
      </c>
      <c r="K6979" s="5">
        <v>200.0</v>
      </c>
      <c r="N6979" s="9">
        <v>44662.0</v>
      </c>
    </row>
    <row r="6980">
      <c r="A6980" s="5">
        <v>6979.0</v>
      </c>
      <c r="B6980" s="5" t="s">
        <v>7512</v>
      </c>
      <c r="C6980" s="5" t="s">
        <v>21</v>
      </c>
      <c r="K6980" s="5">
        <v>300.0</v>
      </c>
      <c r="N6980" s="9">
        <v>44663.0</v>
      </c>
    </row>
    <row r="6981">
      <c r="A6981" s="5">
        <v>6980.0</v>
      </c>
      <c r="B6981" s="5" t="s">
        <v>7513</v>
      </c>
      <c r="C6981" s="5" t="s">
        <v>21</v>
      </c>
      <c r="K6981" s="5">
        <v>80.0</v>
      </c>
      <c r="N6981" s="9">
        <v>45616.0</v>
      </c>
    </row>
    <row r="6982">
      <c r="A6982" s="5">
        <v>6981.0</v>
      </c>
      <c r="B6982" s="5" t="s">
        <v>7514</v>
      </c>
      <c r="C6982" s="5" t="s">
        <v>21</v>
      </c>
      <c r="K6982" s="5">
        <v>700.0</v>
      </c>
      <c r="N6982" s="9">
        <v>44679.0</v>
      </c>
    </row>
    <row r="6983">
      <c r="A6983" s="5">
        <v>6982.0</v>
      </c>
      <c r="B6983" s="5" t="s">
        <v>7515</v>
      </c>
      <c r="C6983" s="5" t="s">
        <v>21</v>
      </c>
      <c r="K6983" s="5">
        <v>200.0</v>
      </c>
      <c r="N6983" s="9">
        <v>45588.0</v>
      </c>
    </row>
    <row r="6984">
      <c r="A6984" s="5">
        <v>6983.0</v>
      </c>
      <c r="B6984" s="5" t="s">
        <v>7516</v>
      </c>
      <c r="C6984" s="5" t="s">
        <v>21</v>
      </c>
      <c r="K6984" s="5">
        <v>2100.0</v>
      </c>
      <c r="N6984" s="9">
        <v>45226.0</v>
      </c>
    </row>
    <row r="6985">
      <c r="A6985" s="5">
        <v>6984.0</v>
      </c>
      <c r="B6985" s="5" t="s">
        <v>7517</v>
      </c>
      <c r="C6985" s="5" t="s">
        <v>21</v>
      </c>
      <c r="K6985" s="5">
        <v>250.0</v>
      </c>
      <c r="N6985" s="9">
        <v>44234.0</v>
      </c>
    </row>
    <row r="6986">
      <c r="A6986" s="5">
        <v>6985.0</v>
      </c>
      <c r="B6986" s="5" t="s">
        <v>7518</v>
      </c>
      <c r="C6986" s="5" t="s">
        <v>21</v>
      </c>
      <c r="K6986" s="5">
        <v>450.0</v>
      </c>
      <c r="N6986" s="9">
        <v>44694.0</v>
      </c>
    </row>
    <row r="6987">
      <c r="A6987" s="5">
        <v>6986.0</v>
      </c>
      <c r="B6987" s="5" t="s">
        <v>7519</v>
      </c>
      <c r="C6987" s="5" t="s">
        <v>21</v>
      </c>
      <c r="K6987" s="5">
        <v>10.0</v>
      </c>
      <c r="N6987" s="9">
        <v>44816.0</v>
      </c>
    </row>
    <row r="6988">
      <c r="A6988" s="5">
        <v>6987.0</v>
      </c>
      <c r="B6988" s="5" t="s">
        <v>7520</v>
      </c>
      <c r="C6988" s="5" t="s">
        <v>21</v>
      </c>
      <c r="K6988" s="5">
        <v>150.0</v>
      </c>
      <c r="N6988" s="9">
        <v>45369.0</v>
      </c>
    </row>
    <row r="6989">
      <c r="A6989" s="5">
        <v>6988.0</v>
      </c>
      <c r="B6989" s="5" t="s">
        <v>7521</v>
      </c>
      <c r="C6989" s="5" t="s">
        <v>21</v>
      </c>
      <c r="K6989" s="5">
        <v>700.0</v>
      </c>
      <c r="N6989" s="9">
        <v>45561.0</v>
      </c>
    </row>
    <row r="6990">
      <c r="A6990" s="5">
        <v>6989.0</v>
      </c>
      <c r="B6990" s="5" t="s">
        <v>7522</v>
      </c>
      <c r="C6990" s="5" t="s">
        <v>21</v>
      </c>
      <c r="K6990" s="5">
        <v>150.0</v>
      </c>
      <c r="N6990" s="9">
        <v>45194.0</v>
      </c>
    </row>
    <row r="6991">
      <c r="A6991" s="5">
        <v>6990.0</v>
      </c>
      <c r="B6991" s="5" t="s">
        <v>7523</v>
      </c>
      <c r="C6991" s="5" t="s">
        <v>21</v>
      </c>
      <c r="K6991" s="5">
        <v>200.0</v>
      </c>
      <c r="N6991" s="9">
        <v>44989.0</v>
      </c>
    </row>
    <row r="6992">
      <c r="A6992" s="5">
        <v>6991.0</v>
      </c>
      <c r="B6992" s="5" t="s">
        <v>7524</v>
      </c>
      <c r="C6992" s="5" t="s">
        <v>21</v>
      </c>
      <c r="K6992" s="5">
        <v>400.0</v>
      </c>
      <c r="N6992" s="9">
        <v>44650.0</v>
      </c>
    </row>
    <row r="6993">
      <c r="A6993" s="5">
        <v>6992.0</v>
      </c>
      <c r="B6993" s="5" t="s">
        <v>7525</v>
      </c>
      <c r="C6993" s="5" t="s">
        <v>21</v>
      </c>
      <c r="K6993" s="5">
        <v>250.0</v>
      </c>
      <c r="N6993" s="9">
        <v>44883.0</v>
      </c>
    </row>
    <row r="6994">
      <c r="A6994" s="5">
        <v>6993.0</v>
      </c>
      <c r="B6994" s="5" t="s">
        <v>7526</v>
      </c>
      <c r="C6994" s="5" t="s">
        <v>21</v>
      </c>
      <c r="K6994" s="5">
        <v>300.0</v>
      </c>
      <c r="N6994" s="9">
        <v>44579.0</v>
      </c>
    </row>
    <row r="6995">
      <c r="A6995" s="5">
        <v>6994.0</v>
      </c>
      <c r="B6995" s="5" t="s">
        <v>7527</v>
      </c>
      <c r="C6995" s="5" t="s">
        <v>21</v>
      </c>
      <c r="K6995" s="5">
        <v>800.0</v>
      </c>
      <c r="N6995" s="9">
        <v>45971.0</v>
      </c>
    </row>
    <row r="6996">
      <c r="A6996" s="5">
        <v>6995.0</v>
      </c>
      <c r="B6996" s="5" t="s">
        <v>7528</v>
      </c>
      <c r="C6996" s="5" t="s">
        <v>21</v>
      </c>
      <c r="K6996" s="5">
        <v>1200.0</v>
      </c>
      <c r="N6996" s="9">
        <v>45461.0</v>
      </c>
    </row>
    <row r="6997">
      <c r="A6997" s="5">
        <v>6996.0</v>
      </c>
      <c r="B6997" s="5" t="s">
        <v>7529</v>
      </c>
      <c r="C6997" s="5" t="s">
        <v>21</v>
      </c>
      <c r="K6997" s="5">
        <v>50.0</v>
      </c>
      <c r="N6997" s="9">
        <v>44855.0</v>
      </c>
    </row>
    <row r="6998">
      <c r="A6998" s="5">
        <v>6997.0</v>
      </c>
      <c r="B6998" s="5" t="s">
        <v>7530</v>
      </c>
      <c r="C6998" s="5" t="s">
        <v>21</v>
      </c>
      <c r="K6998" s="5">
        <v>1600.0</v>
      </c>
      <c r="N6998" s="9">
        <v>44136.0</v>
      </c>
    </row>
    <row r="6999">
      <c r="A6999" s="5">
        <v>6998.0</v>
      </c>
      <c r="B6999" s="5" t="s">
        <v>7531</v>
      </c>
      <c r="C6999" s="5" t="s">
        <v>21</v>
      </c>
      <c r="K6999" s="5">
        <v>500.0</v>
      </c>
      <c r="N6999" s="9">
        <v>45569.0</v>
      </c>
    </row>
    <row r="7000">
      <c r="A7000" s="5">
        <v>6999.0</v>
      </c>
      <c r="B7000" s="5" t="s">
        <v>7532</v>
      </c>
      <c r="C7000" s="5" t="s">
        <v>21</v>
      </c>
      <c r="K7000" s="5">
        <v>250.0</v>
      </c>
      <c r="N7000" s="9">
        <v>44785.0</v>
      </c>
    </row>
    <row r="7001">
      <c r="A7001" s="5">
        <v>7000.0</v>
      </c>
      <c r="B7001" s="5" t="s">
        <v>7533</v>
      </c>
      <c r="C7001" s="5" t="s">
        <v>21</v>
      </c>
      <c r="K7001" s="5">
        <v>10.0</v>
      </c>
      <c r="N7001" s="9">
        <v>44870.0</v>
      </c>
    </row>
    <row r="7002">
      <c r="A7002" s="5">
        <v>7001.0</v>
      </c>
      <c r="B7002" s="5" t="s">
        <v>7534</v>
      </c>
      <c r="C7002" s="5" t="s">
        <v>21</v>
      </c>
      <c r="K7002" s="5">
        <v>100.0</v>
      </c>
      <c r="N7002" s="9">
        <v>45240.0</v>
      </c>
    </row>
    <row r="7003">
      <c r="A7003" s="5">
        <v>7002.0</v>
      </c>
      <c r="B7003" s="5" t="s">
        <v>7535</v>
      </c>
      <c r="C7003" s="5" t="s">
        <v>21</v>
      </c>
      <c r="K7003" s="5">
        <v>900.0</v>
      </c>
      <c r="N7003" s="9">
        <v>44056.0</v>
      </c>
    </row>
    <row r="7004">
      <c r="A7004" s="5">
        <v>7003.0</v>
      </c>
      <c r="B7004" s="5" t="s">
        <v>7536</v>
      </c>
      <c r="C7004" s="5" t="s">
        <v>21</v>
      </c>
      <c r="K7004" s="5">
        <v>2600.0</v>
      </c>
      <c r="N7004" s="9">
        <v>45213.0</v>
      </c>
    </row>
    <row r="7005">
      <c r="A7005" s="5">
        <v>7004.0</v>
      </c>
      <c r="B7005" s="5" t="s">
        <v>7537</v>
      </c>
      <c r="C7005" s="5" t="s">
        <v>21</v>
      </c>
      <c r="K7005" s="5">
        <v>500.0</v>
      </c>
      <c r="N7005" s="9">
        <v>44518.0</v>
      </c>
    </row>
    <row r="7006">
      <c r="A7006" s="5">
        <v>7005.0</v>
      </c>
      <c r="B7006" s="5" t="s">
        <v>7538</v>
      </c>
      <c r="C7006" s="5" t="s">
        <v>21</v>
      </c>
      <c r="K7006" s="5">
        <v>400.0</v>
      </c>
      <c r="N7006" s="9">
        <v>44554.0</v>
      </c>
    </row>
    <row r="7007">
      <c r="A7007" s="5">
        <v>7006.0</v>
      </c>
      <c r="B7007" s="5" t="s">
        <v>7539</v>
      </c>
      <c r="C7007" s="5" t="s">
        <v>21</v>
      </c>
      <c r="K7007" s="5">
        <v>150.0</v>
      </c>
      <c r="N7007" s="9">
        <v>45087.0</v>
      </c>
    </row>
    <row r="7008">
      <c r="A7008" s="5">
        <v>7007.0</v>
      </c>
      <c r="B7008" s="5" t="s">
        <v>7540</v>
      </c>
      <c r="C7008" s="5" t="s">
        <v>21</v>
      </c>
      <c r="K7008" s="5">
        <v>1600.0</v>
      </c>
      <c r="N7008" s="9">
        <v>44024.0</v>
      </c>
    </row>
    <row r="7009">
      <c r="A7009" s="5">
        <v>7008.0</v>
      </c>
      <c r="B7009" s="5" t="s">
        <v>7541</v>
      </c>
      <c r="C7009" s="5" t="s">
        <v>21</v>
      </c>
      <c r="K7009" s="5">
        <v>700.0</v>
      </c>
      <c r="N7009" s="9">
        <v>45621.0</v>
      </c>
    </row>
    <row r="7010">
      <c r="A7010" s="5">
        <v>7009.0</v>
      </c>
      <c r="B7010" s="5" t="s">
        <v>7542</v>
      </c>
      <c r="C7010" s="5" t="s">
        <v>21</v>
      </c>
      <c r="K7010" s="5">
        <v>300.0</v>
      </c>
      <c r="N7010" s="9">
        <v>44601.0</v>
      </c>
    </row>
    <row r="7011">
      <c r="A7011" s="5">
        <v>7010.0</v>
      </c>
      <c r="B7011" s="5" t="s">
        <v>7543</v>
      </c>
      <c r="C7011" s="5" t="s">
        <v>21</v>
      </c>
      <c r="K7011" s="5">
        <v>200.0</v>
      </c>
      <c r="N7011" s="9">
        <v>45592.0</v>
      </c>
    </row>
    <row r="7012">
      <c r="A7012" s="5">
        <v>7011.0</v>
      </c>
      <c r="B7012" s="5" t="s">
        <v>7544</v>
      </c>
      <c r="C7012" s="5" t="s">
        <v>21</v>
      </c>
      <c r="K7012" s="5">
        <v>300.0</v>
      </c>
      <c r="N7012" s="9">
        <v>44053.0</v>
      </c>
    </row>
    <row r="7013">
      <c r="A7013" s="5">
        <v>7012.0</v>
      </c>
      <c r="B7013" s="5" t="s">
        <v>233</v>
      </c>
      <c r="C7013" s="5" t="s">
        <v>21</v>
      </c>
      <c r="K7013" s="5">
        <v>700.0</v>
      </c>
      <c r="N7013" s="9">
        <v>44257.0</v>
      </c>
    </row>
    <row r="7014">
      <c r="A7014" s="5">
        <v>7013.0</v>
      </c>
      <c r="B7014" s="5" t="s">
        <v>7545</v>
      </c>
      <c r="C7014" s="5" t="s">
        <v>21</v>
      </c>
      <c r="K7014" s="5">
        <v>150.0</v>
      </c>
      <c r="N7014" s="9">
        <v>44661.0</v>
      </c>
    </row>
    <row r="7015">
      <c r="A7015" s="5">
        <v>7014.0</v>
      </c>
      <c r="B7015" s="5" t="s">
        <v>7546</v>
      </c>
      <c r="C7015" s="5" t="s">
        <v>21</v>
      </c>
      <c r="K7015" s="5">
        <v>300.0</v>
      </c>
      <c r="N7015" s="9">
        <v>44744.0</v>
      </c>
    </row>
    <row r="7016">
      <c r="A7016" s="5">
        <v>7015.0</v>
      </c>
      <c r="B7016" s="5" t="s">
        <v>7547</v>
      </c>
      <c r="C7016" s="5" t="s">
        <v>21</v>
      </c>
      <c r="K7016" s="5">
        <v>90.0</v>
      </c>
      <c r="N7016" s="9">
        <v>44800.0</v>
      </c>
    </row>
    <row r="7017">
      <c r="A7017" s="5">
        <v>7016.0</v>
      </c>
      <c r="B7017" s="5" t="s">
        <v>7548</v>
      </c>
      <c r="C7017" s="5" t="s">
        <v>21</v>
      </c>
      <c r="K7017" s="5">
        <v>60.0</v>
      </c>
      <c r="N7017" s="9">
        <v>45104.0</v>
      </c>
    </row>
    <row r="7018">
      <c r="A7018" s="5">
        <v>7017.0</v>
      </c>
      <c r="B7018" s="5" t="s">
        <v>7549</v>
      </c>
      <c r="C7018" s="5" t="s">
        <v>21</v>
      </c>
      <c r="N7018" s="9">
        <v>44504.0</v>
      </c>
    </row>
    <row r="7019">
      <c r="A7019" s="5">
        <v>7018.0</v>
      </c>
      <c r="B7019" s="5" t="s">
        <v>7550</v>
      </c>
      <c r="C7019" s="5" t="s">
        <v>21</v>
      </c>
      <c r="K7019" s="5">
        <v>500.0</v>
      </c>
      <c r="N7019" s="9">
        <v>44559.0</v>
      </c>
    </row>
    <row r="7020">
      <c r="A7020" s="5">
        <v>7019.0</v>
      </c>
      <c r="B7020" s="5" t="s">
        <v>7551</v>
      </c>
      <c r="C7020" s="5" t="s">
        <v>21</v>
      </c>
      <c r="K7020" s="5">
        <v>20.0</v>
      </c>
      <c r="N7020" s="9">
        <v>44708.0</v>
      </c>
    </row>
    <row r="7021">
      <c r="A7021" s="5">
        <v>7020.0</v>
      </c>
      <c r="B7021" s="5" t="s">
        <v>7552</v>
      </c>
      <c r="C7021" s="5" t="s">
        <v>21</v>
      </c>
      <c r="K7021" s="5">
        <v>500.0</v>
      </c>
      <c r="N7021" s="9">
        <v>44462.0</v>
      </c>
    </row>
    <row r="7022">
      <c r="A7022" s="5">
        <v>7021.0</v>
      </c>
      <c r="B7022" s="5" t="s">
        <v>7553</v>
      </c>
      <c r="C7022" s="5" t="s">
        <v>21</v>
      </c>
      <c r="K7022" s="5">
        <v>900.0</v>
      </c>
      <c r="N7022" s="9">
        <v>43874.0</v>
      </c>
    </row>
    <row r="7023">
      <c r="A7023" s="5">
        <v>7022.0</v>
      </c>
      <c r="B7023" s="5" t="s">
        <v>7554</v>
      </c>
      <c r="C7023" s="5" t="s">
        <v>21</v>
      </c>
      <c r="K7023" s="5">
        <v>150.0</v>
      </c>
      <c r="N7023" s="9">
        <v>45565.0</v>
      </c>
    </row>
    <row r="7024">
      <c r="A7024" s="5">
        <v>7023.0</v>
      </c>
      <c r="B7024" s="5" t="s">
        <v>7555</v>
      </c>
      <c r="C7024" s="5" t="s">
        <v>21</v>
      </c>
      <c r="K7024" s="5">
        <v>5200.0</v>
      </c>
      <c r="N7024" s="9">
        <v>45718.0</v>
      </c>
    </row>
    <row r="7025">
      <c r="A7025" s="5">
        <v>7024.0</v>
      </c>
      <c r="B7025" s="5" t="s">
        <v>7556</v>
      </c>
      <c r="C7025" s="5" t="s">
        <v>21</v>
      </c>
      <c r="K7025" s="5">
        <v>20.0</v>
      </c>
      <c r="N7025" s="9">
        <v>44179.0</v>
      </c>
    </row>
    <row r="7026">
      <c r="A7026" s="5">
        <v>7025.0</v>
      </c>
      <c r="B7026" s="5" t="s">
        <v>7557</v>
      </c>
      <c r="C7026" s="5" t="s">
        <v>21</v>
      </c>
      <c r="K7026" s="5">
        <v>350.0</v>
      </c>
      <c r="N7026" s="9">
        <v>45233.0</v>
      </c>
    </row>
    <row r="7027">
      <c r="A7027" s="5">
        <v>7026.0</v>
      </c>
      <c r="B7027" s="5" t="s">
        <v>7558</v>
      </c>
      <c r="C7027" s="5" t="s">
        <v>21</v>
      </c>
      <c r="K7027" s="5">
        <v>600.0</v>
      </c>
      <c r="N7027" s="9">
        <v>45622.0</v>
      </c>
    </row>
    <row r="7028">
      <c r="A7028" s="5">
        <v>7027.0</v>
      </c>
      <c r="B7028" s="5" t="s">
        <v>7559</v>
      </c>
      <c r="C7028" s="5" t="s">
        <v>21</v>
      </c>
      <c r="K7028" s="5">
        <v>50.0</v>
      </c>
      <c r="N7028" s="9">
        <v>44365.0</v>
      </c>
    </row>
    <row r="7029">
      <c r="A7029" s="5">
        <v>7028.0</v>
      </c>
      <c r="B7029" s="5" t="s">
        <v>7560</v>
      </c>
      <c r="C7029" s="5" t="s">
        <v>21</v>
      </c>
      <c r="K7029" s="5">
        <v>250.0</v>
      </c>
      <c r="N7029" s="9">
        <v>44632.0</v>
      </c>
    </row>
    <row r="7030">
      <c r="A7030" s="5">
        <v>7029.0</v>
      </c>
      <c r="B7030" s="5" t="s">
        <v>7561</v>
      </c>
      <c r="C7030" s="5" t="s">
        <v>21</v>
      </c>
      <c r="K7030" s="5">
        <v>300.0</v>
      </c>
      <c r="N7030" s="9">
        <v>44847.0</v>
      </c>
    </row>
    <row r="7031">
      <c r="A7031" s="5">
        <v>7030.0</v>
      </c>
      <c r="B7031" s="5" t="s">
        <v>7562</v>
      </c>
      <c r="C7031" s="5" t="s">
        <v>21</v>
      </c>
      <c r="K7031" s="5">
        <v>3300.0</v>
      </c>
      <c r="N7031" s="9">
        <v>44579.0</v>
      </c>
    </row>
    <row r="7032">
      <c r="A7032" s="5">
        <v>7031.0</v>
      </c>
      <c r="B7032" s="5" t="s">
        <v>7563</v>
      </c>
      <c r="C7032" s="5" t="s">
        <v>21</v>
      </c>
      <c r="K7032" s="5">
        <v>600.0</v>
      </c>
      <c r="N7032" s="9">
        <v>44478.0</v>
      </c>
    </row>
    <row r="7033">
      <c r="A7033" s="5">
        <v>7032.0</v>
      </c>
      <c r="B7033" s="5" t="s">
        <v>7564</v>
      </c>
      <c r="C7033" s="5" t="s">
        <v>21</v>
      </c>
      <c r="K7033" s="5">
        <v>200.0</v>
      </c>
      <c r="N7033" s="9">
        <v>44538.0</v>
      </c>
    </row>
    <row r="7034">
      <c r="A7034" s="5">
        <v>7033.0</v>
      </c>
      <c r="B7034" s="5" t="s">
        <v>7565</v>
      </c>
      <c r="C7034" s="5" t="s">
        <v>21</v>
      </c>
      <c r="K7034" s="5">
        <v>60.0</v>
      </c>
      <c r="N7034" s="9">
        <v>44840.0</v>
      </c>
    </row>
    <row r="7035">
      <c r="A7035" s="5">
        <v>7034.0</v>
      </c>
      <c r="B7035" s="5" t="s">
        <v>7566</v>
      </c>
      <c r="C7035" s="5" t="s">
        <v>21</v>
      </c>
      <c r="K7035" s="5">
        <v>400.0</v>
      </c>
      <c r="N7035" s="9">
        <v>45110.0</v>
      </c>
    </row>
    <row r="7036">
      <c r="A7036" s="5">
        <v>7035.0</v>
      </c>
      <c r="B7036" s="5" t="s">
        <v>7567</v>
      </c>
      <c r="C7036" s="5" t="s">
        <v>21</v>
      </c>
      <c r="K7036" s="5">
        <v>800.0</v>
      </c>
      <c r="N7036" s="9">
        <v>44987.0</v>
      </c>
    </row>
    <row r="7037">
      <c r="A7037" s="5">
        <v>7036.0</v>
      </c>
      <c r="B7037" s="5" t="s">
        <v>7568</v>
      </c>
      <c r="C7037" s="5" t="s">
        <v>21</v>
      </c>
      <c r="K7037" s="5">
        <v>200.0</v>
      </c>
      <c r="N7037" s="9">
        <v>43853.0</v>
      </c>
    </row>
    <row r="7038">
      <c r="A7038" s="5">
        <v>7037.0</v>
      </c>
      <c r="B7038" s="5" t="s">
        <v>7569</v>
      </c>
      <c r="C7038" s="5" t="s">
        <v>21</v>
      </c>
      <c r="K7038" s="5">
        <v>90.0</v>
      </c>
      <c r="N7038" s="9">
        <v>44442.0</v>
      </c>
    </row>
    <row r="7039">
      <c r="A7039" s="5">
        <v>7038.0</v>
      </c>
      <c r="B7039" s="5" t="s">
        <v>7570</v>
      </c>
      <c r="C7039" s="5" t="s">
        <v>21</v>
      </c>
      <c r="K7039" s="5">
        <v>200.0</v>
      </c>
      <c r="N7039" s="9">
        <v>45599.0</v>
      </c>
    </row>
    <row r="7040">
      <c r="A7040" s="5">
        <v>7039.0</v>
      </c>
      <c r="B7040" s="5" t="s">
        <v>7571</v>
      </c>
      <c r="C7040" s="5" t="s">
        <v>21</v>
      </c>
      <c r="K7040" s="5">
        <v>150.0</v>
      </c>
      <c r="N7040" s="9">
        <v>44196.0</v>
      </c>
    </row>
    <row r="7041">
      <c r="A7041" s="5">
        <v>7040.0</v>
      </c>
      <c r="B7041" s="5" t="s">
        <v>7572</v>
      </c>
      <c r="C7041" s="5" t="s">
        <v>21</v>
      </c>
      <c r="K7041" s="5">
        <v>500.0</v>
      </c>
      <c r="N7041" s="9">
        <v>45104.0</v>
      </c>
    </row>
    <row r="7042">
      <c r="A7042" s="5">
        <v>7041.0</v>
      </c>
      <c r="B7042" s="5" t="s">
        <v>7573</v>
      </c>
      <c r="C7042" s="5" t="s">
        <v>21</v>
      </c>
      <c r="K7042" s="5">
        <v>450.0</v>
      </c>
      <c r="N7042" s="9">
        <v>44532.0</v>
      </c>
    </row>
    <row r="7043">
      <c r="A7043" s="5">
        <v>7042.0</v>
      </c>
      <c r="B7043" s="5" t="s">
        <v>7574</v>
      </c>
      <c r="C7043" s="5" t="s">
        <v>21</v>
      </c>
      <c r="K7043" s="5">
        <v>300.0</v>
      </c>
      <c r="N7043" s="9">
        <v>44175.0</v>
      </c>
    </row>
    <row r="7044">
      <c r="A7044" s="5">
        <v>7043.0</v>
      </c>
      <c r="B7044" s="5" t="s">
        <v>7575</v>
      </c>
      <c r="C7044" s="5" t="s">
        <v>21</v>
      </c>
      <c r="K7044" s="5">
        <v>10.0</v>
      </c>
      <c r="N7044" s="9">
        <v>44866.0</v>
      </c>
    </row>
    <row r="7045">
      <c r="A7045" s="5">
        <v>7044.0</v>
      </c>
      <c r="B7045" s="5" t="s">
        <v>7576</v>
      </c>
      <c r="C7045" s="5" t="s">
        <v>21</v>
      </c>
      <c r="K7045" s="5">
        <v>500.0</v>
      </c>
      <c r="N7045" s="9">
        <v>44541.0</v>
      </c>
    </row>
    <row r="7046">
      <c r="A7046" s="5">
        <v>7045.0</v>
      </c>
      <c r="B7046" s="5" t="s">
        <v>7577</v>
      </c>
      <c r="C7046" s="5" t="s">
        <v>21</v>
      </c>
      <c r="K7046" s="5">
        <v>450.0</v>
      </c>
      <c r="N7046" s="9">
        <v>45115.0</v>
      </c>
    </row>
    <row r="7047">
      <c r="A7047" s="5">
        <v>7046.0</v>
      </c>
      <c r="B7047" s="5" t="s">
        <v>7578</v>
      </c>
      <c r="C7047" s="5" t="s">
        <v>21</v>
      </c>
      <c r="K7047" s="5">
        <v>1100.0</v>
      </c>
      <c r="N7047" s="9">
        <v>44537.0</v>
      </c>
    </row>
    <row r="7048">
      <c r="A7048" s="5">
        <v>7047.0</v>
      </c>
      <c r="B7048" s="5" t="s">
        <v>7579</v>
      </c>
      <c r="C7048" s="5" t="s">
        <v>21</v>
      </c>
      <c r="K7048" s="5">
        <v>90.0</v>
      </c>
      <c r="N7048" s="9">
        <v>45235.0</v>
      </c>
    </row>
    <row r="7049">
      <c r="A7049" s="5">
        <v>7048.0</v>
      </c>
      <c r="B7049" s="5" t="s">
        <v>7580</v>
      </c>
      <c r="C7049" s="5" t="s">
        <v>21</v>
      </c>
      <c r="K7049" s="5">
        <v>1200.0</v>
      </c>
      <c r="N7049" s="9">
        <v>44047.0</v>
      </c>
    </row>
    <row r="7050">
      <c r="A7050" s="5">
        <v>7049.0</v>
      </c>
      <c r="B7050" s="5" t="s">
        <v>7581</v>
      </c>
      <c r="C7050" s="5" t="s">
        <v>21</v>
      </c>
      <c r="K7050" s="5">
        <v>600.0</v>
      </c>
      <c r="N7050" s="9">
        <v>44331.0</v>
      </c>
    </row>
    <row r="7051">
      <c r="A7051" s="5">
        <v>7050.0</v>
      </c>
      <c r="B7051" s="5" t="s">
        <v>7582</v>
      </c>
      <c r="C7051" s="5" t="s">
        <v>21</v>
      </c>
      <c r="K7051" s="5">
        <v>90.0</v>
      </c>
      <c r="N7051" s="9">
        <v>44645.0</v>
      </c>
    </row>
    <row r="7052">
      <c r="A7052" s="5">
        <v>7051.0</v>
      </c>
      <c r="B7052" s="5" t="s">
        <v>7583</v>
      </c>
      <c r="C7052" s="5" t="s">
        <v>21</v>
      </c>
      <c r="K7052" s="5">
        <v>6600.0</v>
      </c>
      <c r="N7052" s="9">
        <v>43921.0</v>
      </c>
    </row>
    <row r="7053">
      <c r="A7053" s="5">
        <v>7052.0</v>
      </c>
      <c r="B7053" s="5" t="s">
        <v>7584</v>
      </c>
      <c r="C7053" s="5" t="s">
        <v>21</v>
      </c>
      <c r="K7053" s="5">
        <v>1300.0</v>
      </c>
      <c r="N7053" s="9">
        <v>44537.0</v>
      </c>
    </row>
    <row r="7054">
      <c r="A7054" s="5">
        <v>7053.0</v>
      </c>
      <c r="B7054" s="5" t="s">
        <v>7585</v>
      </c>
      <c r="C7054" s="5" t="s">
        <v>21</v>
      </c>
      <c r="K7054" s="5">
        <v>3600.0</v>
      </c>
      <c r="N7054" s="9">
        <v>43868.0</v>
      </c>
    </row>
    <row r="7055">
      <c r="A7055" s="5">
        <v>7054.0</v>
      </c>
      <c r="B7055" s="5" t="s">
        <v>7586</v>
      </c>
      <c r="C7055" s="5" t="s">
        <v>21</v>
      </c>
      <c r="K7055" s="5">
        <v>700.0</v>
      </c>
      <c r="N7055" s="9">
        <v>45607.0</v>
      </c>
    </row>
    <row r="7056">
      <c r="A7056" s="5">
        <v>7055.0</v>
      </c>
      <c r="B7056" s="5" t="s">
        <v>7587</v>
      </c>
      <c r="C7056" s="5" t="s">
        <v>21</v>
      </c>
      <c r="K7056" s="5">
        <v>3900.0</v>
      </c>
      <c r="N7056" s="9">
        <v>43938.0</v>
      </c>
    </row>
    <row r="7057">
      <c r="A7057" s="5">
        <v>7056.0</v>
      </c>
      <c r="B7057" s="5" t="s">
        <v>7588</v>
      </c>
      <c r="C7057" s="5" t="s">
        <v>21</v>
      </c>
      <c r="K7057" s="5">
        <v>400.0</v>
      </c>
      <c r="N7057" s="9">
        <v>44725.0</v>
      </c>
    </row>
    <row r="7058">
      <c r="A7058" s="5">
        <v>7057.0</v>
      </c>
      <c r="B7058" s="5" t="s">
        <v>235</v>
      </c>
      <c r="C7058" s="5" t="s">
        <v>21</v>
      </c>
      <c r="K7058" s="5">
        <v>150.0</v>
      </c>
      <c r="N7058" s="9">
        <v>44125.0</v>
      </c>
    </row>
    <row r="7059">
      <c r="A7059" s="5">
        <v>7058.0</v>
      </c>
      <c r="B7059" s="5" t="s">
        <v>7589</v>
      </c>
      <c r="C7059" s="5" t="s">
        <v>21</v>
      </c>
      <c r="K7059" s="5">
        <v>400.0</v>
      </c>
      <c r="N7059" s="9">
        <v>45367.0</v>
      </c>
    </row>
    <row r="7060">
      <c r="A7060" s="5">
        <v>7059.0</v>
      </c>
      <c r="B7060" s="5" t="s">
        <v>7590</v>
      </c>
      <c r="C7060" s="5" t="s">
        <v>21</v>
      </c>
      <c r="K7060" s="5">
        <v>250.0</v>
      </c>
      <c r="N7060" s="9">
        <v>44078.0</v>
      </c>
    </row>
    <row r="7061">
      <c r="A7061" s="5">
        <v>7060.0</v>
      </c>
      <c r="B7061" s="5" t="s">
        <v>7591</v>
      </c>
      <c r="C7061" s="5" t="s">
        <v>21</v>
      </c>
      <c r="K7061" s="5">
        <v>250.0</v>
      </c>
      <c r="N7061" s="9">
        <v>44648.0</v>
      </c>
    </row>
    <row r="7062">
      <c r="A7062" s="5">
        <v>7061.0</v>
      </c>
      <c r="B7062" s="5" t="s">
        <v>7592</v>
      </c>
      <c r="C7062" s="5" t="s">
        <v>21</v>
      </c>
      <c r="K7062" s="5">
        <v>100.0</v>
      </c>
      <c r="N7062" s="9">
        <v>45071.0</v>
      </c>
    </row>
    <row r="7063">
      <c r="A7063" s="5">
        <v>7062.0</v>
      </c>
      <c r="B7063" s="5" t="s">
        <v>7593</v>
      </c>
      <c r="C7063" s="5" t="s">
        <v>21</v>
      </c>
      <c r="K7063" s="5">
        <v>150.0</v>
      </c>
      <c r="N7063" s="9">
        <v>44525.0</v>
      </c>
    </row>
    <row r="7064">
      <c r="A7064" s="5">
        <v>7063.0</v>
      </c>
      <c r="B7064" s="5" t="s">
        <v>7594</v>
      </c>
      <c r="C7064" s="5" t="s">
        <v>21</v>
      </c>
      <c r="K7064" s="5">
        <v>150.0</v>
      </c>
      <c r="N7064" s="9">
        <v>44327.0</v>
      </c>
    </row>
    <row r="7065">
      <c r="A7065" s="5">
        <v>7064.0</v>
      </c>
      <c r="B7065" s="5" t="s">
        <v>7595</v>
      </c>
      <c r="C7065" s="5" t="s">
        <v>21</v>
      </c>
      <c r="K7065" s="5">
        <v>40.0</v>
      </c>
      <c r="N7065" s="9">
        <v>44470.0</v>
      </c>
    </row>
    <row r="7066">
      <c r="A7066" s="5">
        <v>7065.0</v>
      </c>
      <c r="B7066" s="5" t="s">
        <v>7596</v>
      </c>
      <c r="C7066" s="5" t="s">
        <v>21</v>
      </c>
      <c r="K7066" s="5">
        <v>200.0</v>
      </c>
      <c r="N7066" s="9">
        <v>45776.0</v>
      </c>
    </row>
    <row r="7067">
      <c r="A7067" s="5">
        <v>7066.0</v>
      </c>
      <c r="B7067" s="5" t="s">
        <v>7597</v>
      </c>
      <c r="C7067" s="5" t="s">
        <v>21</v>
      </c>
      <c r="K7067" s="5">
        <v>2400.0</v>
      </c>
      <c r="N7067" s="9">
        <v>43862.0</v>
      </c>
    </row>
    <row r="7068">
      <c r="A7068" s="5">
        <v>7067.0</v>
      </c>
      <c r="B7068" s="5" t="s">
        <v>7598</v>
      </c>
      <c r="C7068" s="5" t="s">
        <v>21</v>
      </c>
      <c r="K7068" s="5">
        <v>600.0</v>
      </c>
      <c r="N7068" s="9">
        <v>44320.0</v>
      </c>
    </row>
    <row r="7069">
      <c r="A7069" s="5">
        <v>7068.0</v>
      </c>
      <c r="B7069" s="5" t="s">
        <v>7599</v>
      </c>
      <c r="C7069" s="5" t="s">
        <v>21</v>
      </c>
      <c r="K7069" s="5">
        <v>30.0</v>
      </c>
      <c r="N7069" s="9">
        <v>44518.0</v>
      </c>
    </row>
    <row r="7070">
      <c r="A7070" s="5">
        <v>7069.0</v>
      </c>
      <c r="B7070" s="5" t="s">
        <v>260</v>
      </c>
      <c r="C7070" s="5" t="s">
        <v>21</v>
      </c>
      <c r="K7070" s="5">
        <v>600.0</v>
      </c>
      <c r="N7070" s="9">
        <v>44421.0</v>
      </c>
    </row>
    <row r="7071">
      <c r="A7071" s="5">
        <v>7070.0</v>
      </c>
      <c r="B7071" s="5" t="s">
        <v>7600</v>
      </c>
      <c r="C7071" s="5" t="s">
        <v>21</v>
      </c>
      <c r="K7071" s="5">
        <v>1300.0</v>
      </c>
      <c r="N7071" s="9">
        <v>45531.0</v>
      </c>
    </row>
    <row r="7072">
      <c r="A7072" s="5">
        <v>7071.0</v>
      </c>
      <c r="B7072" s="5" t="s">
        <v>7601</v>
      </c>
      <c r="C7072" s="5" t="s">
        <v>21</v>
      </c>
      <c r="K7072" s="5">
        <v>600.0</v>
      </c>
      <c r="N7072" s="9">
        <v>44310.0</v>
      </c>
    </row>
    <row r="7073">
      <c r="A7073" s="5">
        <v>7072.0</v>
      </c>
      <c r="B7073" s="5" t="s">
        <v>7602</v>
      </c>
      <c r="C7073" s="5" t="s">
        <v>21</v>
      </c>
      <c r="K7073" s="5">
        <v>900.0</v>
      </c>
      <c r="N7073" s="9">
        <v>45236.0</v>
      </c>
    </row>
    <row r="7074">
      <c r="A7074" s="5">
        <v>7073.0</v>
      </c>
      <c r="B7074" s="5" t="s">
        <v>7603</v>
      </c>
      <c r="C7074" s="5" t="s">
        <v>21</v>
      </c>
      <c r="K7074" s="5">
        <v>60.0</v>
      </c>
      <c r="N7074" s="9">
        <v>44545.0</v>
      </c>
    </row>
    <row r="7075">
      <c r="A7075" s="5">
        <v>7074.0</v>
      </c>
      <c r="B7075" s="5" t="s">
        <v>7604</v>
      </c>
      <c r="C7075" s="5" t="s">
        <v>21</v>
      </c>
      <c r="K7075" s="5">
        <v>2500.0</v>
      </c>
      <c r="N7075" s="9">
        <v>44742.0</v>
      </c>
    </row>
    <row r="7076">
      <c r="A7076" s="5">
        <v>7075.0</v>
      </c>
      <c r="B7076" s="5" t="s">
        <v>7605</v>
      </c>
      <c r="C7076" s="5" t="s">
        <v>21</v>
      </c>
      <c r="K7076" s="5">
        <v>20.0</v>
      </c>
      <c r="N7076" s="9">
        <v>44881.0</v>
      </c>
    </row>
    <row r="7077">
      <c r="A7077" s="5">
        <v>7076.0</v>
      </c>
      <c r="B7077" s="5" t="s">
        <v>7606</v>
      </c>
      <c r="C7077" s="5" t="s">
        <v>21</v>
      </c>
      <c r="K7077" s="5">
        <v>20.0</v>
      </c>
      <c r="N7077" s="9">
        <v>44520.0</v>
      </c>
    </row>
    <row r="7078">
      <c r="A7078" s="5">
        <v>7077.0</v>
      </c>
      <c r="B7078" s="5" t="s">
        <v>7607</v>
      </c>
      <c r="C7078" s="5" t="s">
        <v>21</v>
      </c>
      <c r="K7078" s="5">
        <v>350.0</v>
      </c>
      <c r="N7078" s="9">
        <v>44726.0</v>
      </c>
    </row>
    <row r="7079">
      <c r="A7079" s="5">
        <v>7078.0</v>
      </c>
      <c r="B7079" s="5" t="s">
        <v>7608</v>
      </c>
      <c r="C7079" s="5" t="s">
        <v>21</v>
      </c>
      <c r="K7079" s="5">
        <v>600.0</v>
      </c>
      <c r="N7079" s="9">
        <v>44391.0</v>
      </c>
    </row>
    <row r="7080">
      <c r="A7080" s="5">
        <v>7079.0</v>
      </c>
      <c r="B7080" s="5" t="s">
        <v>7609</v>
      </c>
      <c r="C7080" s="5" t="s">
        <v>21</v>
      </c>
      <c r="K7080" s="5">
        <v>250.0</v>
      </c>
      <c r="N7080" s="9">
        <v>45128.0</v>
      </c>
    </row>
    <row r="7081">
      <c r="A7081" s="5">
        <v>7080.0</v>
      </c>
      <c r="B7081" s="5" t="s">
        <v>7610</v>
      </c>
      <c r="C7081" s="5" t="s">
        <v>21</v>
      </c>
      <c r="K7081" s="5">
        <v>250.0</v>
      </c>
      <c r="N7081" s="9">
        <v>44028.0</v>
      </c>
    </row>
    <row r="7082">
      <c r="A7082" s="5">
        <v>7081.0</v>
      </c>
      <c r="B7082" s="5" t="s">
        <v>7611</v>
      </c>
      <c r="C7082" s="5" t="s">
        <v>21</v>
      </c>
      <c r="K7082" s="5">
        <v>100.0</v>
      </c>
      <c r="N7082" s="9">
        <v>44433.0</v>
      </c>
    </row>
    <row r="7083">
      <c r="A7083" s="5">
        <v>7082.0</v>
      </c>
      <c r="B7083" s="5" t="s">
        <v>7612</v>
      </c>
      <c r="C7083" s="5" t="s">
        <v>21</v>
      </c>
      <c r="K7083" s="5">
        <v>2000.0</v>
      </c>
      <c r="N7083" s="9">
        <v>44542.0</v>
      </c>
    </row>
    <row r="7084">
      <c r="A7084" s="5">
        <v>7083.0</v>
      </c>
      <c r="B7084" s="5" t="s">
        <v>7613</v>
      </c>
      <c r="C7084" s="5" t="s">
        <v>21</v>
      </c>
      <c r="K7084" s="5">
        <v>70.0</v>
      </c>
      <c r="N7084" s="9">
        <v>44873.0</v>
      </c>
    </row>
    <row r="7085">
      <c r="A7085" s="5">
        <v>7084.0</v>
      </c>
      <c r="B7085" s="5" t="s">
        <v>7614</v>
      </c>
      <c r="C7085" s="5" t="s">
        <v>21</v>
      </c>
      <c r="K7085" s="5">
        <v>40.0</v>
      </c>
      <c r="N7085" s="9">
        <v>44427.0</v>
      </c>
    </row>
    <row r="7086">
      <c r="A7086" s="5">
        <v>7085.0</v>
      </c>
      <c r="B7086" s="5" t="s">
        <v>7615</v>
      </c>
      <c r="C7086" s="5" t="s">
        <v>21</v>
      </c>
      <c r="K7086" s="5">
        <v>1200.0</v>
      </c>
      <c r="N7086" s="9">
        <v>44408.0</v>
      </c>
    </row>
    <row r="7087">
      <c r="A7087" s="5">
        <v>7086.0</v>
      </c>
      <c r="B7087" s="5" t="s">
        <v>7616</v>
      </c>
      <c r="C7087" s="5" t="s">
        <v>21</v>
      </c>
      <c r="K7087" s="5">
        <v>50.0</v>
      </c>
      <c r="N7087" s="9">
        <v>45846.0</v>
      </c>
    </row>
    <row r="7088">
      <c r="A7088" s="5">
        <v>7087.0</v>
      </c>
      <c r="B7088" s="5" t="s">
        <v>7617</v>
      </c>
      <c r="C7088" s="5" t="s">
        <v>21</v>
      </c>
      <c r="K7088" s="5">
        <v>400.0</v>
      </c>
      <c r="N7088" s="9">
        <v>45327.0</v>
      </c>
    </row>
    <row r="7089">
      <c r="A7089" s="5">
        <v>7088.0</v>
      </c>
      <c r="B7089" s="5" t="s">
        <v>7618</v>
      </c>
      <c r="C7089" s="5" t="s">
        <v>21</v>
      </c>
      <c r="K7089" s="5">
        <v>800.0</v>
      </c>
      <c r="N7089" s="9">
        <v>44335.0</v>
      </c>
    </row>
    <row r="7090">
      <c r="A7090" s="5">
        <v>7089.0</v>
      </c>
      <c r="B7090" s="5" t="s">
        <v>7619</v>
      </c>
      <c r="C7090" s="5" t="s">
        <v>21</v>
      </c>
      <c r="K7090" s="5">
        <v>250.0</v>
      </c>
      <c r="N7090" s="9">
        <v>45109.0</v>
      </c>
    </row>
    <row r="7091">
      <c r="A7091" s="5">
        <v>7090.0</v>
      </c>
      <c r="B7091" s="5" t="s">
        <v>7620</v>
      </c>
      <c r="C7091" s="5" t="s">
        <v>21</v>
      </c>
      <c r="K7091" s="5">
        <v>150.0</v>
      </c>
      <c r="N7091" s="9">
        <v>45431.0</v>
      </c>
    </row>
    <row r="7092">
      <c r="A7092" s="5">
        <v>7091.0</v>
      </c>
      <c r="B7092" s="5" t="s">
        <v>7621</v>
      </c>
      <c r="C7092" s="5" t="s">
        <v>21</v>
      </c>
      <c r="K7092" s="5">
        <v>800.0</v>
      </c>
      <c r="N7092" s="9">
        <v>44880.0</v>
      </c>
    </row>
    <row r="7093">
      <c r="A7093" s="5">
        <v>7092.0</v>
      </c>
      <c r="B7093" s="5" t="s">
        <v>7622</v>
      </c>
      <c r="C7093" s="5" t="s">
        <v>21</v>
      </c>
      <c r="K7093" s="5">
        <v>1600.0</v>
      </c>
      <c r="N7093" s="9">
        <v>45604.0</v>
      </c>
    </row>
    <row r="7094">
      <c r="A7094" s="5">
        <v>7093.0</v>
      </c>
      <c r="B7094" s="5" t="s">
        <v>7623</v>
      </c>
      <c r="C7094" s="5" t="s">
        <v>21</v>
      </c>
      <c r="K7094" s="5">
        <v>900.0</v>
      </c>
      <c r="N7094" s="9">
        <v>45534.0</v>
      </c>
    </row>
    <row r="7095">
      <c r="A7095" s="5">
        <v>7094.0</v>
      </c>
      <c r="B7095" s="5" t="s">
        <v>7624</v>
      </c>
      <c r="C7095" s="5" t="s">
        <v>21</v>
      </c>
      <c r="K7095" s="5">
        <v>90.0</v>
      </c>
      <c r="N7095" s="9">
        <v>44292.0</v>
      </c>
    </row>
    <row r="7096">
      <c r="A7096" s="5">
        <v>7095.0</v>
      </c>
      <c r="B7096" s="5" t="s">
        <v>7625</v>
      </c>
      <c r="C7096" s="5" t="s">
        <v>21</v>
      </c>
      <c r="K7096" s="5">
        <v>250.0</v>
      </c>
      <c r="N7096" s="9">
        <v>45720.0</v>
      </c>
    </row>
    <row r="7097">
      <c r="A7097" s="5">
        <v>7096.0</v>
      </c>
      <c r="B7097" s="5" t="s">
        <v>7626</v>
      </c>
      <c r="C7097" s="5" t="s">
        <v>21</v>
      </c>
      <c r="K7097" s="5">
        <v>150.0</v>
      </c>
      <c r="N7097" s="9">
        <v>44625.0</v>
      </c>
    </row>
    <row r="7098">
      <c r="A7098" s="5">
        <v>7097.0</v>
      </c>
      <c r="B7098" s="5" t="s">
        <v>7627</v>
      </c>
      <c r="C7098" s="5" t="s">
        <v>21</v>
      </c>
      <c r="K7098" s="5">
        <v>20.0</v>
      </c>
      <c r="N7098" s="9">
        <v>44338.0</v>
      </c>
    </row>
    <row r="7099">
      <c r="A7099" s="5">
        <v>7098.0</v>
      </c>
      <c r="B7099" s="5" t="s">
        <v>7628</v>
      </c>
      <c r="C7099" s="5" t="s">
        <v>21</v>
      </c>
      <c r="K7099" s="5">
        <v>300.0</v>
      </c>
      <c r="N7099" s="9">
        <v>45095.0</v>
      </c>
    </row>
    <row r="7100">
      <c r="A7100" s="5">
        <v>7099.0</v>
      </c>
      <c r="B7100" s="5" t="s">
        <v>7629</v>
      </c>
      <c r="C7100" s="5" t="s">
        <v>21</v>
      </c>
      <c r="K7100" s="5">
        <v>300.0</v>
      </c>
      <c r="N7100" s="9">
        <v>44158.0</v>
      </c>
    </row>
    <row r="7101">
      <c r="A7101" s="5">
        <v>7100.0</v>
      </c>
      <c r="B7101" s="5" t="s">
        <v>7630</v>
      </c>
      <c r="C7101" s="5" t="s">
        <v>21</v>
      </c>
      <c r="K7101" s="5">
        <v>100.0</v>
      </c>
      <c r="N7101" s="9">
        <v>45048.0</v>
      </c>
    </row>
    <row r="7102">
      <c r="A7102" s="5">
        <v>7101.0</v>
      </c>
      <c r="B7102" s="5" t="s">
        <v>7631</v>
      </c>
      <c r="C7102" s="5" t="s">
        <v>21</v>
      </c>
      <c r="K7102" s="5">
        <v>300.0</v>
      </c>
      <c r="N7102" s="9">
        <v>44566.0</v>
      </c>
    </row>
    <row r="7103">
      <c r="A7103" s="5">
        <v>7102.0</v>
      </c>
      <c r="B7103" s="5" t="s">
        <v>7632</v>
      </c>
      <c r="C7103" s="5" t="s">
        <v>21</v>
      </c>
      <c r="K7103" s="5">
        <v>7400.0</v>
      </c>
      <c r="N7103" s="9">
        <v>44124.0</v>
      </c>
    </row>
    <row r="7104">
      <c r="A7104" s="5">
        <v>7103.0</v>
      </c>
      <c r="B7104" s="5" t="s">
        <v>7633</v>
      </c>
      <c r="C7104" s="5" t="s">
        <v>21</v>
      </c>
      <c r="K7104" s="5">
        <v>400.0</v>
      </c>
      <c r="N7104" s="9">
        <v>44190.0</v>
      </c>
    </row>
    <row r="7105">
      <c r="A7105" s="5">
        <v>7104.0</v>
      </c>
      <c r="B7105" s="5" t="s">
        <v>7634</v>
      </c>
      <c r="C7105" s="5" t="s">
        <v>21</v>
      </c>
      <c r="K7105" s="5">
        <v>250.0</v>
      </c>
      <c r="N7105" s="9">
        <v>43879.0</v>
      </c>
    </row>
    <row r="7106">
      <c r="A7106" s="5">
        <v>7105.0</v>
      </c>
      <c r="B7106" s="5" t="s">
        <v>7635</v>
      </c>
      <c r="C7106" s="5" t="s">
        <v>21</v>
      </c>
      <c r="K7106" s="5">
        <v>1500.0</v>
      </c>
      <c r="N7106" s="9">
        <v>44368.0</v>
      </c>
    </row>
    <row r="7107">
      <c r="A7107" s="5">
        <v>7106.0</v>
      </c>
      <c r="B7107" s="5" t="s">
        <v>7636</v>
      </c>
      <c r="C7107" s="5" t="s">
        <v>21</v>
      </c>
      <c r="K7107" s="5">
        <v>60.0</v>
      </c>
      <c r="N7107" s="9">
        <v>43939.0</v>
      </c>
    </row>
    <row r="7108">
      <c r="A7108" s="5">
        <v>7107.0</v>
      </c>
      <c r="B7108" s="5" t="s">
        <v>7637</v>
      </c>
      <c r="C7108" s="5" t="s">
        <v>21</v>
      </c>
      <c r="K7108" s="5">
        <v>900.0</v>
      </c>
      <c r="N7108" s="9">
        <v>45649.0</v>
      </c>
    </row>
    <row r="7109">
      <c r="A7109" s="5">
        <v>7108.0</v>
      </c>
      <c r="B7109" s="5" t="s">
        <v>7638</v>
      </c>
      <c r="C7109" s="5" t="s">
        <v>21</v>
      </c>
      <c r="K7109" s="5">
        <v>900.0</v>
      </c>
      <c r="N7109" s="9">
        <v>44074.0</v>
      </c>
    </row>
    <row r="7110">
      <c r="A7110" s="5">
        <v>7109.0</v>
      </c>
      <c r="B7110" s="5" t="s">
        <v>7639</v>
      </c>
      <c r="C7110" s="5" t="s">
        <v>21</v>
      </c>
      <c r="K7110" s="5">
        <v>4000.0</v>
      </c>
      <c r="N7110" s="9">
        <v>43849.0</v>
      </c>
    </row>
    <row r="7111">
      <c r="A7111" s="5">
        <v>7110.0</v>
      </c>
      <c r="B7111" s="5" t="s">
        <v>7640</v>
      </c>
      <c r="C7111" s="5" t="s">
        <v>21</v>
      </c>
      <c r="K7111" s="5">
        <v>250.0</v>
      </c>
      <c r="N7111" s="9">
        <v>44592.0</v>
      </c>
    </row>
    <row r="7112">
      <c r="A7112" s="5">
        <v>7111.0</v>
      </c>
      <c r="B7112" s="5" t="s">
        <v>7641</v>
      </c>
      <c r="C7112" s="5" t="s">
        <v>21</v>
      </c>
      <c r="K7112" s="5">
        <v>80.0</v>
      </c>
      <c r="N7112" s="9">
        <v>44483.0</v>
      </c>
    </row>
    <row r="7113">
      <c r="A7113" s="5">
        <v>7112.0</v>
      </c>
      <c r="B7113" s="5" t="s">
        <v>7642</v>
      </c>
      <c r="C7113" s="5" t="s">
        <v>21</v>
      </c>
      <c r="K7113" s="5">
        <v>300.0</v>
      </c>
      <c r="N7113" s="9">
        <v>44514.0</v>
      </c>
    </row>
    <row r="7114">
      <c r="A7114" s="5">
        <v>7113.0</v>
      </c>
      <c r="B7114" s="5" t="s">
        <v>7643</v>
      </c>
      <c r="C7114" s="5" t="s">
        <v>21</v>
      </c>
      <c r="K7114" s="5">
        <v>80.0</v>
      </c>
      <c r="N7114" s="9">
        <v>44660.0</v>
      </c>
    </row>
    <row r="7115">
      <c r="A7115" s="5">
        <v>7114.0</v>
      </c>
      <c r="B7115" s="5" t="s">
        <v>7644</v>
      </c>
      <c r="C7115" s="5" t="s">
        <v>21</v>
      </c>
      <c r="K7115" s="5">
        <v>1500.0</v>
      </c>
      <c r="N7115" s="9">
        <v>44538.0</v>
      </c>
    </row>
    <row r="7116">
      <c r="A7116" s="5">
        <v>7115.0</v>
      </c>
      <c r="B7116" s="5" t="s">
        <v>7645</v>
      </c>
      <c r="C7116" s="5" t="s">
        <v>21</v>
      </c>
      <c r="N7116" s="9">
        <v>44570.0</v>
      </c>
    </row>
    <row r="7117">
      <c r="A7117" s="5">
        <v>7116.0</v>
      </c>
      <c r="B7117" s="5" t="s">
        <v>7646</v>
      </c>
      <c r="C7117" s="5" t="s">
        <v>21</v>
      </c>
      <c r="K7117" s="5">
        <v>4100.0</v>
      </c>
      <c r="N7117" s="9">
        <v>46089.0</v>
      </c>
    </row>
    <row r="7118">
      <c r="A7118" s="5">
        <v>7117.0</v>
      </c>
      <c r="B7118" s="5" t="s">
        <v>7647</v>
      </c>
      <c r="C7118" s="5" t="s">
        <v>21</v>
      </c>
      <c r="K7118" s="5">
        <v>70.0</v>
      </c>
      <c r="N7118" s="9">
        <v>44291.0</v>
      </c>
    </row>
    <row r="7119">
      <c r="A7119" s="5">
        <v>7118.0</v>
      </c>
      <c r="B7119" s="5" t="s">
        <v>7648</v>
      </c>
      <c r="C7119" s="5" t="s">
        <v>21</v>
      </c>
      <c r="K7119" s="5">
        <v>250.0</v>
      </c>
      <c r="N7119" s="9">
        <v>45375.0</v>
      </c>
    </row>
    <row r="7120">
      <c r="A7120" s="5">
        <v>7119.0</v>
      </c>
      <c r="B7120" s="5" t="s">
        <v>7649</v>
      </c>
      <c r="C7120" s="5" t="s">
        <v>21</v>
      </c>
      <c r="K7120" s="5">
        <v>350.0</v>
      </c>
      <c r="N7120" s="9">
        <v>44469.0</v>
      </c>
    </row>
    <row r="7121">
      <c r="A7121" s="5">
        <v>7120.0</v>
      </c>
      <c r="B7121" s="5" t="s">
        <v>7650</v>
      </c>
      <c r="C7121" s="5" t="s">
        <v>21</v>
      </c>
      <c r="K7121" s="5">
        <v>400.0</v>
      </c>
      <c r="N7121" s="9">
        <v>44518.0</v>
      </c>
    </row>
    <row r="7122">
      <c r="A7122" s="5">
        <v>7121.0</v>
      </c>
      <c r="B7122" s="5" t="s">
        <v>7651</v>
      </c>
      <c r="C7122" s="5" t="s">
        <v>21</v>
      </c>
      <c r="K7122" s="5">
        <v>10.0</v>
      </c>
      <c r="N7122" s="9">
        <v>44348.0</v>
      </c>
    </row>
    <row r="7123">
      <c r="A7123" s="5">
        <v>7122.0</v>
      </c>
      <c r="B7123" s="5" t="s">
        <v>7652</v>
      </c>
      <c r="C7123" s="5" t="s">
        <v>21</v>
      </c>
      <c r="K7123" s="5">
        <v>600.0</v>
      </c>
      <c r="N7123" s="9">
        <v>44487.0</v>
      </c>
    </row>
    <row r="7124">
      <c r="A7124" s="5">
        <v>7123.0</v>
      </c>
      <c r="B7124" s="5" t="s">
        <v>7653</v>
      </c>
      <c r="C7124" s="5" t="s">
        <v>21</v>
      </c>
      <c r="K7124" s="5">
        <v>600.0</v>
      </c>
      <c r="N7124" s="9">
        <v>44566.0</v>
      </c>
    </row>
    <row r="7125">
      <c r="A7125" s="5">
        <v>7124.0</v>
      </c>
      <c r="B7125" s="5" t="s">
        <v>7654</v>
      </c>
      <c r="C7125" s="5" t="s">
        <v>21</v>
      </c>
      <c r="K7125" s="5">
        <v>400.0</v>
      </c>
      <c r="N7125" s="9">
        <v>43913.0</v>
      </c>
    </row>
    <row r="7126">
      <c r="A7126" s="5">
        <v>7125.0</v>
      </c>
      <c r="B7126" s="5" t="s">
        <v>7655</v>
      </c>
      <c r="C7126" s="5" t="s">
        <v>21</v>
      </c>
      <c r="K7126" s="5">
        <v>150.0</v>
      </c>
      <c r="N7126" s="9">
        <v>44803.0</v>
      </c>
    </row>
    <row r="7127">
      <c r="A7127" s="5">
        <v>7126.0</v>
      </c>
      <c r="B7127" s="5" t="s">
        <v>7656</v>
      </c>
      <c r="C7127" s="5" t="s">
        <v>21</v>
      </c>
      <c r="K7127" s="5">
        <v>500.0</v>
      </c>
      <c r="N7127" s="9">
        <v>45329.0</v>
      </c>
    </row>
    <row r="7128">
      <c r="A7128" s="5">
        <v>7127.0</v>
      </c>
      <c r="B7128" s="5" t="s">
        <v>7657</v>
      </c>
      <c r="C7128" s="5" t="s">
        <v>21</v>
      </c>
      <c r="K7128" s="5">
        <v>20.0</v>
      </c>
      <c r="N7128" s="9">
        <v>44579.0</v>
      </c>
    </row>
    <row r="7129">
      <c r="A7129" s="5">
        <v>7128.0</v>
      </c>
      <c r="B7129" s="5" t="s">
        <v>7658</v>
      </c>
      <c r="C7129" s="5" t="s">
        <v>21</v>
      </c>
      <c r="K7129" s="5">
        <v>700.0</v>
      </c>
      <c r="N7129" s="9">
        <v>43885.0</v>
      </c>
    </row>
    <row r="7130">
      <c r="A7130" s="5">
        <v>7129.0</v>
      </c>
      <c r="B7130" s="5" t="s">
        <v>7659</v>
      </c>
      <c r="C7130" s="5" t="s">
        <v>21</v>
      </c>
      <c r="K7130" s="5">
        <v>700.0</v>
      </c>
      <c r="N7130" s="9">
        <v>44602.0</v>
      </c>
    </row>
    <row r="7131">
      <c r="A7131" s="5">
        <v>7130.0</v>
      </c>
      <c r="B7131" s="5" t="s">
        <v>7660</v>
      </c>
      <c r="C7131" s="5" t="s">
        <v>21</v>
      </c>
      <c r="K7131" s="5">
        <v>150.0</v>
      </c>
      <c r="N7131" s="9">
        <v>44809.0</v>
      </c>
    </row>
    <row r="7132">
      <c r="A7132" s="5">
        <v>7131.0</v>
      </c>
      <c r="B7132" s="5" t="s">
        <v>7661</v>
      </c>
      <c r="C7132" s="5" t="s">
        <v>21</v>
      </c>
      <c r="K7132" s="5">
        <v>5400.0</v>
      </c>
      <c r="N7132" s="9">
        <v>43845.0</v>
      </c>
    </row>
    <row r="7133">
      <c r="A7133" s="5">
        <v>7132.0</v>
      </c>
      <c r="B7133" s="5" t="s">
        <v>7662</v>
      </c>
      <c r="C7133" s="5" t="s">
        <v>21</v>
      </c>
      <c r="K7133" s="5">
        <v>700.0</v>
      </c>
      <c r="N7133" s="9">
        <v>45079.0</v>
      </c>
    </row>
    <row r="7134">
      <c r="A7134" s="5">
        <v>7133.0</v>
      </c>
      <c r="B7134" s="5" t="s">
        <v>7663</v>
      </c>
      <c r="C7134" s="5" t="s">
        <v>21</v>
      </c>
      <c r="K7134" s="5">
        <v>600.0</v>
      </c>
      <c r="N7134" s="9">
        <v>44435.0</v>
      </c>
    </row>
    <row r="7135">
      <c r="A7135" s="5">
        <v>7134.0</v>
      </c>
      <c r="B7135" s="5" t="s">
        <v>7664</v>
      </c>
      <c r="C7135" s="5" t="s">
        <v>21</v>
      </c>
      <c r="K7135" s="5">
        <v>50.0</v>
      </c>
      <c r="N7135" s="9">
        <v>44047.0</v>
      </c>
    </row>
    <row r="7136">
      <c r="A7136" s="5">
        <v>7135.0</v>
      </c>
      <c r="B7136" s="5" t="s">
        <v>7665</v>
      </c>
      <c r="C7136" s="5" t="s">
        <v>21</v>
      </c>
      <c r="K7136" s="5">
        <v>1400.0</v>
      </c>
      <c r="N7136" s="9">
        <v>43932.0</v>
      </c>
    </row>
    <row r="7137">
      <c r="A7137" s="5">
        <v>7136.0</v>
      </c>
      <c r="B7137" s="5" t="s">
        <v>7666</v>
      </c>
      <c r="C7137" s="5" t="s">
        <v>21</v>
      </c>
      <c r="N7137" s="9">
        <v>44519.0</v>
      </c>
    </row>
    <row r="7138">
      <c r="A7138" s="5">
        <v>7137.0</v>
      </c>
      <c r="B7138" s="5" t="s">
        <v>7667</v>
      </c>
      <c r="C7138" s="5" t="s">
        <v>21</v>
      </c>
      <c r="K7138" s="5">
        <v>40.0</v>
      </c>
      <c r="N7138" s="9">
        <v>44612.0</v>
      </c>
    </row>
    <row r="7139">
      <c r="A7139" s="5">
        <v>7138.0</v>
      </c>
      <c r="B7139" s="5" t="s">
        <v>7668</v>
      </c>
      <c r="C7139" s="5" t="s">
        <v>21</v>
      </c>
      <c r="K7139" s="5">
        <v>1100.0</v>
      </c>
      <c r="N7139" s="9">
        <v>44521.0</v>
      </c>
    </row>
    <row r="7140">
      <c r="A7140" s="5">
        <v>7139.0</v>
      </c>
      <c r="B7140" s="5" t="s">
        <v>7669</v>
      </c>
      <c r="C7140" s="5" t="s">
        <v>21</v>
      </c>
      <c r="K7140" s="5">
        <v>150.0</v>
      </c>
      <c r="N7140" s="9">
        <v>44629.0</v>
      </c>
    </row>
    <row r="7141">
      <c r="A7141" s="5">
        <v>7140.0</v>
      </c>
      <c r="B7141" s="5" t="s">
        <v>7670</v>
      </c>
      <c r="C7141" s="5" t="s">
        <v>21</v>
      </c>
      <c r="K7141" s="5">
        <v>1200.0</v>
      </c>
      <c r="N7141" s="9">
        <v>44612.0</v>
      </c>
    </row>
    <row r="7142">
      <c r="A7142" s="5">
        <v>7141.0</v>
      </c>
      <c r="B7142" s="5" t="s">
        <v>7671</v>
      </c>
      <c r="C7142" s="5" t="s">
        <v>21</v>
      </c>
      <c r="K7142" s="5">
        <v>2100.0</v>
      </c>
      <c r="N7142" s="9">
        <v>45119.0</v>
      </c>
    </row>
    <row r="7143">
      <c r="A7143" s="5">
        <v>7142.0</v>
      </c>
      <c r="B7143" s="5" t="s">
        <v>7672</v>
      </c>
      <c r="C7143" s="5" t="s">
        <v>21</v>
      </c>
      <c r="K7143" s="5">
        <v>400.0</v>
      </c>
      <c r="N7143" s="9">
        <v>45082.0</v>
      </c>
    </row>
    <row r="7144">
      <c r="A7144" s="5">
        <v>7143.0</v>
      </c>
      <c r="B7144" s="5" t="s">
        <v>7673</v>
      </c>
      <c r="C7144" s="5" t="s">
        <v>21</v>
      </c>
      <c r="K7144" s="5">
        <v>9700.0</v>
      </c>
      <c r="N7144" s="9">
        <v>43918.0</v>
      </c>
    </row>
    <row r="7145">
      <c r="A7145" s="5">
        <v>7144.0</v>
      </c>
      <c r="B7145" s="5" t="s">
        <v>7674</v>
      </c>
      <c r="C7145" s="5" t="s">
        <v>21</v>
      </c>
      <c r="K7145" s="5">
        <v>700.0</v>
      </c>
      <c r="N7145" s="9">
        <v>44033.0</v>
      </c>
    </row>
    <row r="7146">
      <c r="A7146" s="5">
        <v>7145.0</v>
      </c>
      <c r="B7146" s="5" t="s">
        <v>7675</v>
      </c>
      <c r="C7146" s="5" t="s">
        <v>21</v>
      </c>
      <c r="K7146" s="5">
        <v>1000.0</v>
      </c>
      <c r="N7146" s="9">
        <v>44736.0</v>
      </c>
    </row>
    <row r="7147">
      <c r="A7147" s="5">
        <v>7146.0</v>
      </c>
      <c r="B7147" s="5" t="s">
        <v>7676</v>
      </c>
      <c r="C7147" s="5" t="s">
        <v>21</v>
      </c>
      <c r="K7147" s="5">
        <v>300.0</v>
      </c>
      <c r="N7147" s="9">
        <v>44677.0</v>
      </c>
    </row>
    <row r="7148">
      <c r="A7148" s="5">
        <v>7147.0</v>
      </c>
      <c r="B7148" s="5" t="s">
        <v>7677</v>
      </c>
      <c r="C7148" s="5" t="s">
        <v>21</v>
      </c>
      <c r="K7148" s="5">
        <v>1000.0</v>
      </c>
      <c r="N7148" s="9">
        <v>45177.0</v>
      </c>
    </row>
    <row r="7149">
      <c r="A7149" s="5">
        <v>7148.0</v>
      </c>
      <c r="B7149" s="5" t="s">
        <v>7678</v>
      </c>
      <c r="C7149" s="5" t="s">
        <v>21</v>
      </c>
      <c r="K7149" s="5">
        <v>300.0</v>
      </c>
      <c r="N7149" s="9">
        <v>44881.0</v>
      </c>
    </row>
    <row r="7150">
      <c r="A7150" s="5">
        <v>7149.0</v>
      </c>
      <c r="B7150" s="5" t="s">
        <v>7679</v>
      </c>
      <c r="C7150" s="5" t="s">
        <v>21</v>
      </c>
      <c r="K7150" s="5">
        <v>5900.0</v>
      </c>
      <c r="N7150" s="9">
        <v>44548.0</v>
      </c>
    </row>
    <row r="7151">
      <c r="A7151" s="5">
        <v>7150.0</v>
      </c>
      <c r="B7151" s="5" t="s">
        <v>7680</v>
      </c>
      <c r="C7151" s="5" t="s">
        <v>21</v>
      </c>
      <c r="K7151" s="5">
        <v>350.0</v>
      </c>
      <c r="N7151" s="9">
        <v>45134.0</v>
      </c>
    </row>
    <row r="7152">
      <c r="A7152" s="5">
        <v>7151.0</v>
      </c>
      <c r="B7152" s="5" t="s">
        <v>7681</v>
      </c>
      <c r="C7152" s="5" t="s">
        <v>21</v>
      </c>
      <c r="K7152" s="5">
        <v>20.0</v>
      </c>
      <c r="N7152" s="9">
        <v>44559.0</v>
      </c>
    </row>
    <row r="7153">
      <c r="A7153" s="5">
        <v>7152.0</v>
      </c>
      <c r="B7153" s="5" t="s">
        <v>7682</v>
      </c>
      <c r="C7153" s="5" t="s">
        <v>21</v>
      </c>
      <c r="K7153" s="5">
        <v>600.0</v>
      </c>
      <c r="N7153" s="9">
        <v>44617.0</v>
      </c>
    </row>
    <row r="7154">
      <c r="A7154" s="5">
        <v>7153.0</v>
      </c>
      <c r="B7154" s="5" t="s">
        <v>7683</v>
      </c>
      <c r="C7154" s="5" t="s">
        <v>21</v>
      </c>
      <c r="K7154" s="5">
        <v>300.0</v>
      </c>
      <c r="N7154" s="9">
        <v>44773.0</v>
      </c>
    </row>
    <row r="7155">
      <c r="A7155" s="5">
        <v>7154.0</v>
      </c>
      <c r="B7155" s="5" t="s">
        <v>7684</v>
      </c>
      <c r="C7155" s="5" t="s">
        <v>21</v>
      </c>
      <c r="N7155" s="9">
        <v>44976.0</v>
      </c>
    </row>
    <row r="7156">
      <c r="A7156" s="5">
        <v>7155.0</v>
      </c>
      <c r="B7156" s="5" t="s">
        <v>7685</v>
      </c>
      <c r="C7156" s="5" t="s">
        <v>21</v>
      </c>
      <c r="N7156" s="9">
        <v>44581.0</v>
      </c>
    </row>
    <row r="7157">
      <c r="A7157" s="5">
        <v>7156.0</v>
      </c>
      <c r="B7157" s="5" t="s">
        <v>7686</v>
      </c>
      <c r="C7157" s="5" t="s">
        <v>21</v>
      </c>
      <c r="K7157" s="5">
        <v>2300.0</v>
      </c>
      <c r="N7157" s="9">
        <v>44125.0</v>
      </c>
    </row>
    <row r="7158">
      <c r="A7158" s="5">
        <v>7157.0</v>
      </c>
      <c r="B7158" s="5" t="s">
        <v>7687</v>
      </c>
      <c r="C7158" s="5" t="s">
        <v>21</v>
      </c>
      <c r="K7158" s="5">
        <v>1100.0</v>
      </c>
      <c r="N7158" s="9">
        <v>44024.0</v>
      </c>
    </row>
    <row r="7159">
      <c r="A7159" s="5">
        <v>7158.0</v>
      </c>
      <c r="B7159" s="5" t="s">
        <v>7688</v>
      </c>
      <c r="C7159" s="5" t="s">
        <v>21</v>
      </c>
      <c r="K7159" s="5">
        <v>700.0</v>
      </c>
      <c r="N7159" s="9">
        <v>44355.0</v>
      </c>
    </row>
    <row r="7160">
      <c r="A7160" s="5">
        <v>7159.0</v>
      </c>
      <c r="B7160" s="5" t="s">
        <v>7689</v>
      </c>
      <c r="C7160" s="5" t="s">
        <v>21</v>
      </c>
      <c r="K7160" s="5">
        <v>500.0</v>
      </c>
      <c r="N7160" s="9">
        <v>44527.0</v>
      </c>
    </row>
    <row r="7161">
      <c r="A7161" s="5">
        <v>7160.0</v>
      </c>
      <c r="B7161" s="5" t="s">
        <v>7690</v>
      </c>
      <c r="C7161" s="5" t="s">
        <v>21</v>
      </c>
      <c r="K7161" s="5">
        <v>150.0</v>
      </c>
      <c r="N7161" s="9">
        <v>44597.0</v>
      </c>
    </row>
    <row r="7162">
      <c r="A7162" s="5">
        <v>7161.0</v>
      </c>
      <c r="B7162" s="5" t="s">
        <v>7691</v>
      </c>
      <c r="C7162" s="5" t="s">
        <v>21</v>
      </c>
      <c r="K7162" s="5">
        <v>80.0</v>
      </c>
      <c r="N7162" s="9">
        <v>44323.0</v>
      </c>
    </row>
    <row r="7163">
      <c r="A7163" s="5">
        <v>7162.0</v>
      </c>
      <c r="B7163" s="5" t="s">
        <v>7692</v>
      </c>
      <c r="C7163" s="5" t="s">
        <v>21</v>
      </c>
      <c r="N7163" s="9">
        <v>44523.0</v>
      </c>
    </row>
    <row r="7164">
      <c r="A7164" s="5">
        <v>7163.0</v>
      </c>
      <c r="B7164" s="5" t="s">
        <v>7693</v>
      </c>
      <c r="C7164" s="5" t="s">
        <v>21</v>
      </c>
      <c r="K7164" s="5">
        <v>4000.0</v>
      </c>
      <c r="N7164" s="9">
        <v>44464.0</v>
      </c>
    </row>
    <row r="7165">
      <c r="A7165" s="5">
        <v>7164.0</v>
      </c>
      <c r="B7165" s="5" t="s">
        <v>7694</v>
      </c>
      <c r="C7165" s="5" t="s">
        <v>21</v>
      </c>
      <c r="K7165" s="5">
        <v>40.0</v>
      </c>
      <c r="N7165" s="9">
        <v>45125.0</v>
      </c>
    </row>
    <row r="7166">
      <c r="A7166" s="5">
        <v>7165.0</v>
      </c>
      <c r="B7166" s="5" t="s">
        <v>7695</v>
      </c>
      <c r="C7166" s="5" t="s">
        <v>21</v>
      </c>
      <c r="K7166" s="5">
        <v>3300.0</v>
      </c>
      <c r="N7166" s="9">
        <v>44793.0</v>
      </c>
    </row>
    <row r="7167">
      <c r="A7167" s="5">
        <v>7166.0</v>
      </c>
      <c r="B7167" s="5" t="s">
        <v>7696</v>
      </c>
      <c r="C7167" s="5" t="s">
        <v>21</v>
      </c>
      <c r="K7167" s="5">
        <v>250.0</v>
      </c>
      <c r="N7167" s="9">
        <v>45043.0</v>
      </c>
    </row>
    <row r="7168">
      <c r="A7168" s="5">
        <v>7167.0</v>
      </c>
      <c r="B7168" s="5" t="s">
        <v>7697</v>
      </c>
      <c r="C7168" s="5" t="s">
        <v>21</v>
      </c>
      <c r="K7168" s="5">
        <v>500.0</v>
      </c>
      <c r="N7168" s="9">
        <v>44537.0</v>
      </c>
    </row>
    <row r="7169">
      <c r="A7169" s="5">
        <v>7168.0</v>
      </c>
      <c r="B7169" s="5" t="s">
        <v>7698</v>
      </c>
      <c r="C7169" s="5" t="s">
        <v>21</v>
      </c>
      <c r="K7169" s="5">
        <v>70.0</v>
      </c>
      <c r="N7169" s="9">
        <v>44557.0</v>
      </c>
    </row>
    <row r="7170">
      <c r="A7170" s="5">
        <v>7169.0</v>
      </c>
      <c r="B7170" s="5" t="s">
        <v>7699</v>
      </c>
      <c r="C7170" s="5" t="s">
        <v>21</v>
      </c>
      <c r="K7170" s="5">
        <v>150.0</v>
      </c>
      <c r="N7170" s="9">
        <v>44619.0</v>
      </c>
    </row>
    <row r="7171">
      <c r="A7171" s="5">
        <v>7170.0</v>
      </c>
      <c r="B7171" s="5" t="s">
        <v>7700</v>
      </c>
      <c r="C7171" s="5" t="s">
        <v>21</v>
      </c>
      <c r="N7171" s="9">
        <v>44567.0</v>
      </c>
    </row>
    <row r="7172">
      <c r="A7172" s="5">
        <v>7171.0</v>
      </c>
      <c r="B7172" s="5" t="s">
        <v>7701</v>
      </c>
      <c r="C7172" s="5" t="s">
        <v>21</v>
      </c>
      <c r="K7172" s="5">
        <v>200.0</v>
      </c>
      <c r="N7172" s="9">
        <v>44567.0</v>
      </c>
    </row>
    <row r="7173">
      <c r="A7173" s="5">
        <v>7172.0</v>
      </c>
      <c r="B7173" s="5" t="s">
        <v>7702</v>
      </c>
      <c r="C7173" s="5" t="s">
        <v>21</v>
      </c>
      <c r="K7173" s="5">
        <v>900.0</v>
      </c>
      <c r="N7173" s="9">
        <v>43869.0</v>
      </c>
    </row>
    <row r="7174">
      <c r="A7174" s="5">
        <v>7173.0</v>
      </c>
      <c r="B7174" s="5" t="s">
        <v>7703</v>
      </c>
      <c r="C7174" s="5" t="s">
        <v>21</v>
      </c>
      <c r="K7174" s="5">
        <v>250.0</v>
      </c>
      <c r="N7174" s="9">
        <v>45130.0</v>
      </c>
    </row>
    <row r="7175">
      <c r="A7175" s="5">
        <v>7174.0</v>
      </c>
      <c r="B7175" s="5" t="s">
        <v>7704</v>
      </c>
      <c r="C7175" s="5" t="s">
        <v>21</v>
      </c>
      <c r="K7175" s="5">
        <v>300.0</v>
      </c>
      <c r="N7175" s="9">
        <v>44545.0</v>
      </c>
    </row>
    <row r="7176">
      <c r="A7176" s="5">
        <v>7175.0</v>
      </c>
      <c r="B7176" s="5" t="s">
        <v>7705</v>
      </c>
      <c r="C7176" s="5" t="s">
        <v>21</v>
      </c>
      <c r="K7176" s="5">
        <v>1200.0</v>
      </c>
      <c r="N7176" s="9">
        <v>44071.0</v>
      </c>
    </row>
    <row r="7177">
      <c r="A7177" s="5">
        <v>7176.0</v>
      </c>
      <c r="B7177" s="5" t="s">
        <v>7706</v>
      </c>
      <c r="C7177" s="5" t="s">
        <v>21</v>
      </c>
      <c r="K7177" s="5">
        <v>250.0</v>
      </c>
      <c r="N7177" s="9">
        <v>45130.0</v>
      </c>
    </row>
    <row r="7178">
      <c r="A7178" s="5">
        <v>7177.0</v>
      </c>
      <c r="B7178" s="5" t="s">
        <v>7707</v>
      </c>
      <c r="C7178" s="5" t="s">
        <v>21</v>
      </c>
      <c r="K7178" s="5">
        <v>50.0</v>
      </c>
      <c r="N7178" s="9">
        <v>45534.0</v>
      </c>
    </row>
    <row r="7179">
      <c r="A7179" s="5">
        <v>7178.0</v>
      </c>
      <c r="B7179" s="5" t="s">
        <v>7708</v>
      </c>
      <c r="C7179" s="5" t="s">
        <v>21</v>
      </c>
      <c r="K7179" s="5">
        <v>500.0</v>
      </c>
      <c r="N7179" s="9">
        <v>44547.0</v>
      </c>
    </row>
    <row r="7180">
      <c r="A7180" s="5">
        <v>7179.0</v>
      </c>
      <c r="B7180" s="5" t="s">
        <v>7709</v>
      </c>
      <c r="C7180" s="5" t="s">
        <v>21</v>
      </c>
      <c r="K7180" s="5">
        <v>200.0</v>
      </c>
      <c r="N7180" s="9">
        <v>45337.0</v>
      </c>
    </row>
    <row r="7181">
      <c r="A7181" s="5">
        <v>7180.0</v>
      </c>
      <c r="B7181" s="5" t="s">
        <v>7710</v>
      </c>
      <c r="C7181" s="5" t="s">
        <v>21</v>
      </c>
      <c r="K7181" s="5">
        <v>200.0</v>
      </c>
      <c r="N7181" s="9">
        <v>44518.0</v>
      </c>
    </row>
    <row r="7182">
      <c r="A7182" s="5">
        <v>7181.0</v>
      </c>
      <c r="B7182" s="5" t="s">
        <v>7711</v>
      </c>
      <c r="C7182" s="5" t="s">
        <v>21</v>
      </c>
      <c r="K7182" s="5">
        <v>200.0</v>
      </c>
      <c r="N7182" s="9">
        <v>44543.0</v>
      </c>
    </row>
    <row r="7183">
      <c r="A7183" s="5">
        <v>7182.0</v>
      </c>
      <c r="B7183" s="5" t="s">
        <v>7712</v>
      </c>
      <c r="C7183" s="5" t="s">
        <v>21</v>
      </c>
      <c r="K7183" s="5">
        <v>50.0</v>
      </c>
      <c r="N7183" s="9">
        <v>45305.0</v>
      </c>
    </row>
    <row r="7184">
      <c r="A7184" s="5">
        <v>7183.0</v>
      </c>
      <c r="B7184" s="5" t="s">
        <v>7713</v>
      </c>
      <c r="C7184" s="5" t="s">
        <v>21</v>
      </c>
      <c r="K7184" s="5">
        <v>350.0</v>
      </c>
      <c r="N7184" s="9">
        <v>44543.0</v>
      </c>
    </row>
    <row r="7185">
      <c r="A7185" s="5">
        <v>7184.0</v>
      </c>
      <c r="B7185" s="5" t="s">
        <v>7714</v>
      </c>
      <c r="C7185" s="5" t="s">
        <v>21</v>
      </c>
      <c r="N7185" s="9">
        <v>44959.0</v>
      </c>
    </row>
    <row r="7186">
      <c r="A7186" s="5">
        <v>7185.0</v>
      </c>
      <c r="B7186" s="5" t="s">
        <v>7715</v>
      </c>
      <c r="C7186" s="5" t="s">
        <v>21</v>
      </c>
      <c r="K7186" s="5">
        <v>350.0</v>
      </c>
      <c r="N7186" s="9">
        <v>45321.0</v>
      </c>
    </row>
    <row r="7187">
      <c r="A7187" s="5">
        <v>7186.0</v>
      </c>
      <c r="B7187" s="5" t="s">
        <v>7716</v>
      </c>
      <c r="C7187" s="5" t="s">
        <v>21</v>
      </c>
      <c r="K7187" s="5">
        <v>1000.0</v>
      </c>
      <c r="N7187" s="9">
        <v>44572.0</v>
      </c>
    </row>
    <row r="7188">
      <c r="A7188" s="5">
        <v>7187.0</v>
      </c>
      <c r="B7188" s="5" t="s">
        <v>7717</v>
      </c>
      <c r="C7188" s="5" t="s">
        <v>21</v>
      </c>
      <c r="K7188" s="5">
        <v>100.0</v>
      </c>
      <c r="N7188" s="9">
        <v>44561.0</v>
      </c>
    </row>
    <row r="7189">
      <c r="A7189" s="5">
        <v>7188.0</v>
      </c>
      <c r="B7189" s="5" t="s">
        <v>7718</v>
      </c>
      <c r="C7189" s="5" t="s">
        <v>21</v>
      </c>
      <c r="K7189" s="5">
        <v>400.0</v>
      </c>
      <c r="N7189" s="9">
        <v>44615.0</v>
      </c>
    </row>
    <row r="7190">
      <c r="A7190" s="5">
        <v>7189.0</v>
      </c>
      <c r="B7190" s="5" t="s">
        <v>7719</v>
      </c>
      <c r="C7190" s="5" t="s">
        <v>21</v>
      </c>
      <c r="K7190" s="5">
        <v>200.0</v>
      </c>
      <c r="N7190" s="9">
        <v>45069.0</v>
      </c>
    </row>
    <row r="7191">
      <c r="A7191" s="5">
        <v>7190.0</v>
      </c>
      <c r="B7191" s="5" t="s">
        <v>7720</v>
      </c>
      <c r="C7191" s="5" t="s">
        <v>21</v>
      </c>
      <c r="K7191" s="5">
        <v>200.0</v>
      </c>
      <c r="N7191" s="9">
        <v>44692.0</v>
      </c>
    </row>
    <row r="7192">
      <c r="A7192" s="5">
        <v>7191.0</v>
      </c>
      <c r="B7192" s="5" t="s">
        <v>7721</v>
      </c>
      <c r="C7192" s="5" t="s">
        <v>21</v>
      </c>
      <c r="K7192" s="5">
        <v>600.0</v>
      </c>
      <c r="N7192" s="9">
        <v>44125.0</v>
      </c>
    </row>
    <row r="7193">
      <c r="A7193" s="5">
        <v>7192.0</v>
      </c>
      <c r="B7193" s="5" t="s">
        <v>7722</v>
      </c>
      <c r="C7193" s="5" t="s">
        <v>21</v>
      </c>
      <c r="K7193" s="5">
        <v>40.0</v>
      </c>
      <c r="N7193" s="9">
        <v>44872.0</v>
      </c>
    </row>
    <row r="7194">
      <c r="A7194" s="5">
        <v>7193.0</v>
      </c>
      <c r="B7194" s="5" t="s">
        <v>7723</v>
      </c>
      <c r="C7194" s="5" t="s">
        <v>21</v>
      </c>
      <c r="K7194" s="5">
        <v>1400.0</v>
      </c>
      <c r="N7194" s="9">
        <v>44530.0</v>
      </c>
    </row>
    <row r="7195">
      <c r="A7195" s="5">
        <v>7194.0</v>
      </c>
      <c r="B7195" s="5" t="s">
        <v>7724</v>
      </c>
      <c r="C7195" s="5" t="s">
        <v>21</v>
      </c>
      <c r="K7195" s="5">
        <v>400.0</v>
      </c>
      <c r="N7195" s="9">
        <v>44387.0</v>
      </c>
    </row>
    <row r="7196">
      <c r="A7196" s="5">
        <v>7195.0</v>
      </c>
      <c r="B7196" s="5" t="s">
        <v>7725</v>
      </c>
      <c r="C7196" s="5" t="s">
        <v>21</v>
      </c>
      <c r="K7196" s="5">
        <v>30.0</v>
      </c>
      <c r="N7196" s="9">
        <v>44530.0</v>
      </c>
    </row>
    <row r="7197">
      <c r="A7197" s="5">
        <v>7196.0</v>
      </c>
      <c r="B7197" s="5" t="s">
        <v>7726</v>
      </c>
      <c r="C7197" s="5" t="s">
        <v>21</v>
      </c>
      <c r="N7197" s="9">
        <v>44662.0</v>
      </c>
    </row>
    <row r="7198">
      <c r="A7198" s="5">
        <v>7197.0</v>
      </c>
      <c r="B7198" s="5" t="s">
        <v>7727</v>
      </c>
      <c r="C7198" s="5" t="s">
        <v>21</v>
      </c>
      <c r="K7198" s="5">
        <v>1800.0</v>
      </c>
      <c r="N7198" s="9">
        <v>44581.0</v>
      </c>
    </row>
    <row r="7199">
      <c r="A7199" s="5">
        <v>7198.0</v>
      </c>
      <c r="B7199" s="5" t="s">
        <v>7728</v>
      </c>
      <c r="C7199" s="5" t="s">
        <v>21</v>
      </c>
      <c r="K7199" s="5">
        <v>250.0</v>
      </c>
      <c r="N7199" s="9">
        <v>44575.0</v>
      </c>
    </row>
    <row r="7200">
      <c r="A7200" s="5">
        <v>7199.0</v>
      </c>
      <c r="B7200" s="5" t="s">
        <v>7729</v>
      </c>
      <c r="C7200" s="5" t="s">
        <v>21</v>
      </c>
      <c r="K7200" s="5">
        <v>500.0</v>
      </c>
      <c r="N7200" s="9">
        <v>44553.0</v>
      </c>
    </row>
    <row r="7201">
      <c r="A7201" s="5">
        <v>7200.0</v>
      </c>
      <c r="B7201" s="5" t="s">
        <v>7730</v>
      </c>
      <c r="C7201" s="5" t="s">
        <v>21</v>
      </c>
      <c r="K7201" s="5">
        <v>80.0</v>
      </c>
      <c r="N7201" s="9">
        <v>44619.0</v>
      </c>
    </row>
    <row r="7202">
      <c r="A7202" s="5">
        <v>7201.0</v>
      </c>
      <c r="B7202" s="5" t="s">
        <v>7731</v>
      </c>
      <c r="C7202" s="5" t="s">
        <v>21</v>
      </c>
      <c r="K7202" s="5">
        <v>70.0</v>
      </c>
      <c r="N7202" s="9">
        <v>44226.0</v>
      </c>
    </row>
    <row r="7203">
      <c r="A7203" s="5">
        <v>7202.0</v>
      </c>
      <c r="B7203" s="5" t="s">
        <v>7732</v>
      </c>
      <c r="C7203" s="5" t="s">
        <v>21</v>
      </c>
      <c r="K7203" s="5">
        <v>900.0</v>
      </c>
      <c r="N7203" s="9">
        <v>44404.0</v>
      </c>
    </row>
    <row r="7204">
      <c r="A7204" s="5">
        <v>7203.0</v>
      </c>
      <c r="B7204" s="5" t="s">
        <v>7733</v>
      </c>
      <c r="C7204" s="5" t="s">
        <v>21</v>
      </c>
      <c r="K7204" s="5">
        <v>9400.0</v>
      </c>
      <c r="N7204" s="9">
        <v>43990.0</v>
      </c>
    </row>
    <row r="7205">
      <c r="A7205" s="5">
        <v>7204.0</v>
      </c>
      <c r="B7205" s="5" t="s">
        <v>7734</v>
      </c>
      <c r="C7205" s="5" t="s">
        <v>21</v>
      </c>
      <c r="K7205" s="5">
        <v>350.0</v>
      </c>
      <c r="N7205" s="9">
        <v>45085.0</v>
      </c>
    </row>
    <row r="7206">
      <c r="A7206" s="5">
        <v>7205.0</v>
      </c>
      <c r="B7206" s="5" t="s">
        <v>7735</v>
      </c>
      <c r="C7206" s="5" t="s">
        <v>21</v>
      </c>
      <c r="K7206" s="5">
        <v>150.0</v>
      </c>
      <c r="N7206" s="9">
        <v>44524.0</v>
      </c>
    </row>
    <row r="7207">
      <c r="A7207" s="5">
        <v>7206.0</v>
      </c>
      <c r="B7207" s="5" t="s">
        <v>7736</v>
      </c>
      <c r="C7207" s="5" t="s">
        <v>21</v>
      </c>
      <c r="K7207" s="5">
        <v>400.0</v>
      </c>
      <c r="N7207" s="9">
        <v>45417.0</v>
      </c>
    </row>
    <row r="7208">
      <c r="A7208" s="5">
        <v>7207.0</v>
      </c>
      <c r="B7208" s="5" t="s">
        <v>7737</v>
      </c>
      <c r="C7208" s="5" t="s">
        <v>21</v>
      </c>
      <c r="K7208" s="5">
        <v>300.0</v>
      </c>
      <c r="N7208" s="9">
        <v>44654.0</v>
      </c>
    </row>
    <row r="7209">
      <c r="A7209" s="5">
        <v>7208.0</v>
      </c>
      <c r="B7209" s="5" t="s">
        <v>7738</v>
      </c>
      <c r="C7209" s="5" t="s">
        <v>21</v>
      </c>
      <c r="K7209" s="5">
        <v>3400.0</v>
      </c>
      <c r="N7209" s="9">
        <v>44542.0</v>
      </c>
    </row>
    <row r="7210">
      <c r="A7210" s="5">
        <v>7209.0</v>
      </c>
      <c r="B7210" s="5" t="s">
        <v>7739</v>
      </c>
      <c r="C7210" s="5" t="s">
        <v>21</v>
      </c>
      <c r="K7210" s="5">
        <v>50.0</v>
      </c>
      <c r="N7210" s="9">
        <v>45037.0</v>
      </c>
    </row>
    <row r="7211">
      <c r="A7211" s="5">
        <v>7210.0</v>
      </c>
      <c r="B7211" s="5" t="s">
        <v>7740</v>
      </c>
      <c r="C7211" s="5" t="s">
        <v>21</v>
      </c>
      <c r="N7211" s="9">
        <v>44518.0</v>
      </c>
    </row>
    <row r="7212">
      <c r="A7212" s="5">
        <v>7211.0</v>
      </c>
      <c r="B7212" s="5" t="s">
        <v>7741</v>
      </c>
      <c r="C7212" s="5" t="s">
        <v>21</v>
      </c>
      <c r="K7212" s="5">
        <v>700.0</v>
      </c>
      <c r="N7212" s="9">
        <v>44974.0</v>
      </c>
    </row>
    <row r="7213">
      <c r="A7213" s="5">
        <v>7212.0</v>
      </c>
      <c r="B7213" s="5" t="s">
        <v>7742</v>
      </c>
      <c r="C7213" s="5" t="s">
        <v>21</v>
      </c>
      <c r="K7213" s="5">
        <v>60.0</v>
      </c>
      <c r="N7213" s="9">
        <v>44715.0</v>
      </c>
    </row>
    <row r="7214">
      <c r="A7214" s="5">
        <v>7213.0</v>
      </c>
      <c r="B7214" s="5" t="s">
        <v>7743</v>
      </c>
      <c r="C7214" s="5" t="s">
        <v>21</v>
      </c>
      <c r="K7214" s="5">
        <v>1600.0</v>
      </c>
      <c r="N7214" s="9">
        <v>44531.0</v>
      </c>
    </row>
    <row r="7215">
      <c r="A7215" s="5">
        <v>7214.0</v>
      </c>
      <c r="B7215" s="5" t="s">
        <v>7744</v>
      </c>
      <c r="C7215" s="5" t="s">
        <v>21</v>
      </c>
      <c r="K7215" s="5">
        <v>40.0</v>
      </c>
      <c r="N7215" s="9">
        <v>44294.0</v>
      </c>
    </row>
    <row r="7216">
      <c r="A7216" s="5">
        <v>7215.0</v>
      </c>
      <c r="B7216" s="5" t="s">
        <v>7745</v>
      </c>
      <c r="C7216" s="5" t="s">
        <v>21</v>
      </c>
      <c r="K7216" s="5">
        <v>100.0</v>
      </c>
      <c r="N7216" s="9">
        <v>44356.0</v>
      </c>
    </row>
    <row r="7217">
      <c r="A7217" s="5">
        <v>7216.0</v>
      </c>
      <c r="B7217" s="5" t="s">
        <v>7746</v>
      </c>
      <c r="C7217" s="5" t="s">
        <v>21</v>
      </c>
      <c r="K7217" s="5">
        <v>17000.0</v>
      </c>
      <c r="N7217" s="9">
        <v>46085.0</v>
      </c>
    </row>
    <row r="7218">
      <c r="A7218" s="5">
        <v>7217.0</v>
      </c>
      <c r="B7218" s="5" t="s">
        <v>7747</v>
      </c>
      <c r="C7218" s="5" t="s">
        <v>21</v>
      </c>
      <c r="K7218" s="5">
        <v>400.0</v>
      </c>
      <c r="N7218" s="9">
        <v>44398.0</v>
      </c>
    </row>
    <row r="7219">
      <c r="A7219" s="5">
        <v>7218.0</v>
      </c>
      <c r="B7219" s="5" t="s">
        <v>7748</v>
      </c>
      <c r="C7219" s="5" t="s">
        <v>21</v>
      </c>
      <c r="K7219" s="5">
        <v>200.0</v>
      </c>
      <c r="N7219" s="9">
        <v>45418.0</v>
      </c>
    </row>
    <row r="7220">
      <c r="A7220" s="5">
        <v>7219.0</v>
      </c>
      <c r="B7220" s="5" t="s">
        <v>7749</v>
      </c>
      <c r="C7220" s="5" t="s">
        <v>21</v>
      </c>
      <c r="K7220" s="5">
        <v>100.0</v>
      </c>
      <c r="N7220" s="9">
        <v>46131.0</v>
      </c>
    </row>
    <row r="7221">
      <c r="A7221" s="5">
        <v>7220.0</v>
      </c>
      <c r="B7221" s="5" t="s">
        <v>7750</v>
      </c>
      <c r="C7221" s="5" t="s">
        <v>21</v>
      </c>
      <c r="K7221" s="5">
        <v>6600.0</v>
      </c>
      <c r="N7221" s="9">
        <v>44186.0</v>
      </c>
    </row>
    <row r="7222">
      <c r="A7222" s="5">
        <v>7221.0</v>
      </c>
      <c r="B7222" s="5" t="s">
        <v>7751</v>
      </c>
      <c r="C7222" s="5" t="s">
        <v>21</v>
      </c>
      <c r="K7222" s="5">
        <v>350.0</v>
      </c>
      <c r="N7222" s="9">
        <v>44824.0</v>
      </c>
    </row>
    <row r="7223">
      <c r="A7223" s="5">
        <v>7222.0</v>
      </c>
      <c r="B7223" s="5" t="s">
        <v>7752</v>
      </c>
      <c r="C7223" s="5" t="s">
        <v>21</v>
      </c>
      <c r="K7223" s="5">
        <v>1400.0</v>
      </c>
      <c r="N7223" s="9">
        <v>44530.0</v>
      </c>
    </row>
    <row r="7224">
      <c r="A7224" s="5">
        <v>7223.0</v>
      </c>
      <c r="B7224" s="5" t="s">
        <v>262</v>
      </c>
      <c r="C7224" s="5" t="s">
        <v>21</v>
      </c>
      <c r="K7224" s="5">
        <v>1400.0</v>
      </c>
      <c r="N7224" s="9">
        <v>43905.0</v>
      </c>
    </row>
    <row r="7225">
      <c r="A7225" s="5">
        <v>7224.0</v>
      </c>
      <c r="B7225" s="5" t="s">
        <v>7753</v>
      </c>
      <c r="C7225" s="5" t="s">
        <v>21</v>
      </c>
      <c r="K7225" s="5">
        <v>450.0</v>
      </c>
      <c r="N7225" s="9">
        <v>44962.0</v>
      </c>
    </row>
    <row r="7226">
      <c r="A7226" s="5">
        <v>7225.0</v>
      </c>
      <c r="B7226" s="5" t="s">
        <v>7754</v>
      </c>
      <c r="C7226" s="5" t="s">
        <v>21</v>
      </c>
      <c r="K7226" s="5">
        <v>250.0</v>
      </c>
      <c r="N7226" s="9">
        <v>44539.0</v>
      </c>
    </row>
    <row r="7227">
      <c r="A7227" s="5">
        <v>7226.0</v>
      </c>
      <c r="B7227" s="5" t="s">
        <v>7755</v>
      </c>
      <c r="C7227" s="5" t="s">
        <v>21</v>
      </c>
      <c r="K7227" s="5">
        <v>500.0</v>
      </c>
      <c r="N7227" s="9">
        <v>44523.0</v>
      </c>
    </row>
    <row r="7228">
      <c r="A7228" s="5">
        <v>7227.0</v>
      </c>
      <c r="B7228" s="5" t="s">
        <v>7756</v>
      </c>
      <c r="C7228" s="5" t="s">
        <v>21</v>
      </c>
      <c r="N7228" s="9">
        <v>44528.0</v>
      </c>
    </row>
    <row r="7229">
      <c r="A7229" s="5">
        <v>7228.0</v>
      </c>
      <c r="B7229" s="5" t="s">
        <v>7757</v>
      </c>
      <c r="C7229" s="5" t="s">
        <v>21</v>
      </c>
      <c r="K7229" s="5">
        <v>2000.0</v>
      </c>
      <c r="N7229" s="9">
        <v>44641.0</v>
      </c>
    </row>
    <row r="7230">
      <c r="A7230" s="5">
        <v>7229.0</v>
      </c>
      <c r="B7230" s="5" t="s">
        <v>7758</v>
      </c>
      <c r="C7230" s="5" t="s">
        <v>21</v>
      </c>
      <c r="K7230" s="5">
        <v>250.0</v>
      </c>
      <c r="N7230" s="9">
        <v>46124.0</v>
      </c>
    </row>
    <row r="7231">
      <c r="A7231" s="5">
        <v>7230.0</v>
      </c>
      <c r="B7231" s="5" t="s">
        <v>7759</v>
      </c>
      <c r="C7231" s="5" t="s">
        <v>21</v>
      </c>
      <c r="N7231" s="9">
        <v>44519.0</v>
      </c>
    </row>
    <row r="7232">
      <c r="A7232" s="5">
        <v>7231.0</v>
      </c>
      <c r="B7232" s="5" t="s">
        <v>7760</v>
      </c>
      <c r="C7232" s="5" t="s">
        <v>21</v>
      </c>
      <c r="K7232" s="5">
        <v>150.0</v>
      </c>
      <c r="N7232" s="9">
        <v>44696.0</v>
      </c>
    </row>
    <row r="7233">
      <c r="A7233" s="5">
        <v>7232.0</v>
      </c>
      <c r="B7233" s="5" t="s">
        <v>7761</v>
      </c>
      <c r="C7233" s="5" t="s">
        <v>21</v>
      </c>
      <c r="K7233" s="5">
        <v>400.0</v>
      </c>
      <c r="N7233" s="9">
        <v>44748.0</v>
      </c>
    </row>
    <row r="7234">
      <c r="A7234" s="5">
        <v>7233.0</v>
      </c>
      <c r="B7234" s="5" t="s">
        <v>7762</v>
      </c>
      <c r="C7234" s="5" t="s">
        <v>21</v>
      </c>
      <c r="K7234" s="5">
        <v>250.0</v>
      </c>
      <c r="N7234" s="9">
        <v>44498.0</v>
      </c>
    </row>
    <row r="7235">
      <c r="A7235" s="5">
        <v>7234.0</v>
      </c>
      <c r="B7235" s="5" t="s">
        <v>7763</v>
      </c>
      <c r="C7235" s="5" t="s">
        <v>21</v>
      </c>
      <c r="K7235" s="5">
        <v>100.0</v>
      </c>
      <c r="N7235" s="9">
        <v>44578.0</v>
      </c>
    </row>
    <row r="7236">
      <c r="A7236" s="5">
        <v>7235.0</v>
      </c>
      <c r="B7236" s="5" t="s">
        <v>7764</v>
      </c>
      <c r="C7236" s="5" t="s">
        <v>21</v>
      </c>
      <c r="K7236" s="5">
        <v>250.0</v>
      </c>
      <c r="N7236" s="9">
        <v>44345.0</v>
      </c>
    </row>
    <row r="7237">
      <c r="A7237" s="5">
        <v>7236.0</v>
      </c>
      <c r="B7237" s="5" t="s">
        <v>7765</v>
      </c>
      <c r="C7237" s="5" t="s">
        <v>21</v>
      </c>
      <c r="K7237" s="5">
        <v>40.0</v>
      </c>
      <c r="N7237" s="9">
        <v>44250.0</v>
      </c>
    </row>
    <row r="7238">
      <c r="A7238" s="5">
        <v>7237.0</v>
      </c>
      <c r="B7238" s="5" t="s">
        <v>7766</v>
      </c>
      <c r="C7238" s="5" t="s">
        <v>21</v>
      </c>
      <c r="K7238" s="5">
        <v>1000.0</v>
      </c>
      <c r="N7238" s="9">
        <v>44100.0</v>
      </c>
    </row>
    <row r="7239">
      <c r="A7239" s="5">
        <v>7238.0</v>
      </c>
      <c r="B7239" s="5" t="s">
        <v>7767</v>
      </c>
      <c r="C7239" s="5" t="s">
        <v>21</v>
      </c>
      <c r="K7239" s="5">
        <v>200.0</v>
      </c>
      <c r="N7239" s="9">
        <v>45376.0</v>
      </c>
    </row>
    <row r="7240">
      <c r="A7240" s="5">
        <v>7239.0</v>
      </c>
      <c r="B7240" s="5" t="s">
        <v>7768</v>
      </c>
      <c r="C7240" s="5" t="s">
        <v>21</v>
      </c>
      <c r="K7240" s="5">
        <v>600.0</v>
      </c>
      <c r="N7240" s="9">
        <v>44707.0</v>
      </c>
    </row>
    <row r="7241">
      <c r="A7241" s="5">
        <v>7240.0</v>
      </c>
      <c r="B7241" s="5" t="s">
        <v>7769</v>
      </c>
      <c r="C7241" s="5" t="s">
        <v>21</v>
      </c>
      <c r="K7241" s="5">
        <v>1300.0</v>
      </c>
      <c r="N7241" s="9">
        <v>44470.0</v>
      </c>
    </row>
    <row r="7242">
      <c r="A7242" s="5">
        <v>7241.0</v>
      </c>
      <c r="B7242" s="5" t="s">
        <v>267</v>
      </c>
      <c r="C7242" s="5" t="s">
        <v>21</v>
      </c>
      <c r="K7242" s="5">
        <v>1000.0</v>
      </c>
      <c r="N7242" s="9">
        <v>44520.0</v>
      </c>
    </row>
    <row r="7243">
      <c r="A7243" s="5">
        <v>7242.0</v>
      </c>
      <c r="B7243" s="5" t="s">
        <v>7770</v>
      </c>
      <c r="C7243" s="5" t="s">
        <v>21</v>
      </c>
      <c r="K7243" s="5">
        <v>1100.0</v>
      </c>
      <c r="N7243" s="9">
        <v>43930.0</v>
      </c>
    </row>
    <row r="7244">
      <c r="A7244" s="5">
        <v>7243.0</v>
      </c>
      <c r="B7244" s="5" t="s">
        <v>7771</v>
      </c>
      <c r="C7244" s="5" t="s">
        <v>21</v>
      </c>
      <c r="K7244" s="5">
        <v>800.0</v>
      </c>
      <c r="N7244" s="9">
        <v>44583.0</v>
      </c>
    </row>
    <row r="7245">
      <c r="A7245" s="5">
        <v>7244.0</v>
      </c>
      <c r="B7245" s="5" t="s">
        <v>7772</v>
      </c>
      <c r="C7245" s="5" t="s">
        <v>21</v>
      </c>
      <c r="K7245" s="5">
        <v>600.0</v>
      </c>
      <c r="N7245" s="9">
        <v>44560.0</v>
      </c>
    </row>
    <row r="7246">
      <c r="A7246" s="5">
        <v>7245.0</v>
      </c>
      <c r="B7246" s="5" t="s">
        <v>7773</v>
      </c>
      <c r="C7246" s="5" t="s">
        <v>21</v>
      </c>
      <c r="K7246" s="5">
        <v>400.0</v>
      </c>
      <c r="N7246" s="9">
        <v>44764.0</v>
      </c>
    </row>
    <row r="7247">
      <c r="A7247" s="5">
        <v>7246.0</v>
      </c>
      <c r="B7247" s="5" t="s">
        <v>7774</v>
      </c>
      <c r="C7247" s="5" t="s">
        <v>21</v>
      </c>
      <c r="K7247" s="5">
        <v>150.0</v>
      </c>
      <c r="N7247" s="9">
        <v>44603.0</v>
      </c>
    </row>
    <row r="7248">
      <c r="A7248" s="5">
        <v>7247.0</v>
      </c>
      <c r="B7248" s="5" t="s">
        <v>7775</v>
      </c>
      <c r="C7248" s="5" t="s">
        <v>21</v>
      </c>
      <c r="K7248" s="5">
        <v>300.0</v>
      </c>
      <c r="N7248" s="9">
        <v>43878.0</v>
      </c>
    </row>
    <row r="7249">
      <c r="A7249" s="5">
        <v>7248.0</v>
      </c>
      <c r="B7249" s="5" t="s">
        <v>7776</v>
      </c>
      <c r="C7249" s="5" t="s">
        <v>21</v>
      </c>
      <c r="K7249" s="5">
        <v>10.0</v>
      </c>
      <c r="N7249" s="9">
        <v>44697.0</v>
      </c>
    </row>
    <row r="7250">
      <c r="A7250" s="5">
        <v>7249.0</v>
      </c>
      <c r="B7250" s="5" t="s">
        <v>7777</v>
      </c>
      <c r="C7250" s="5" t="s">
        <v>21</v>
      </c>
      <c r="K7250" s="5">
        <v>100.0</v>
      </c>
      <c r="N7250" s="9">
        <v>43860.0</v>
      </c>
    </row>
    <row r="7251">
      <c r="A7251" s="5">
        <v>7250.0</v>
      </c>
      <c r="B7251" s="5" t="s">
        <v>7778</v>
      </c>
      <c r="C7251" s="5" t="s">
        <v>21</v>
      </c>
      <c r="K7251" s="5">
        <v>350.0</v>
      </c>
      <c r="N7251" s="9">
        <v>43918.0</v>
      </c>
    </row>
    <row r="7252">
      <c r="A7252" s="5">
        <v>7251.0</v>
      </c>
      <c r="B7252" s="5" t="s">
        <v>7779</v>
      </c>
      <c r="C7252" s="5" t="s">
        <v>21</v>
      </c>
      <c r="K7252" s="5">
        <v>40.0</v>
      </c>
      <c r="N7252" s="9">
        <v>44227.0</v>
      </c>
    </row>
    <row r="7253">
      <c r="A7253" s="5">
        <v>7252.0</v>
      </c>
      <c r="B7253" s="5" t="s">
        <v>7780</v>
      </c>
      <c r="C7253" s="5" t="s">
        <v>21</v>
      </c>
      <c r="K7253" s="5">
        <v>3500.0</v>
      </c>
      <c r="N7253" s="9">
        <v>44141.0</v>
      </c>
    </row>
    <row r="7254">
      <c r="A7254" s="5">
        <v>7253.0</v>
      </c>
      <c r="B7254" s="5" t="s">
        <v>7781</v>
      </c>
      <c r="C7254" s="5" t="s">
        <v>21</v>
      </c>
      <c r="K7254" s="5">
        <v>100.0</v>
      </c>
      <c r="N7254" s="9">
        <v>44931.0</v>
      </c>
    </row>
    <row r="7255">
      <c r="A7255" s="5">
        <v>7254.0</v>
      </c>
      <c r="B7255" s="5" t="s">
        <v>7782</v>
      </c>
      <c r="C7255" s="5" t="s">
        <v>21</v>
      </c>
      <c r="K7255" s="5">
        <v>900.0</v>
      </c>
      <c r="N7255" s="9">
        <v>44592.0</v>
      </c>
    </row>
    <row r="7256">
      <c r="A7256" s="5">
        <v>7255.0</v>
      </c>
      <c r="B7256" s="5" t="s">
        <v>7783</v>
      </c>
      <c r="C7256" s="5" t="s">
        <v>21</v>
      </c>
      <c r="K7256" s="5">
        <v>4500.0</v>
      </c>
      <c r="N7256" s="9">
        <v>44518.0</v>
      </c>
    </row>
    <row r="7257">
      <c r="A7257" s="5">
        <v>7256.0</v>
      </c>
      <c r="B7257" s="5" t="s">
        <v>7784</v>
      </c>
      <c r="C7257" s="5" t="s">
        <v>21</v>
      </c>
      <c r="K7257" s="5">
        <v>350.0</v>
      </c>
      <c r="N7257" s="9">
        <v>45014.0</v>
      </c>
    </row>
    <row r="7258">
      <c r="A7258" s="5">
        <v>7257.0</v>
      </c>
      <c r="B7258" s="5" t="s">
        <v>7785</v>
      </c>
      <c r="C7258" s="5" t="s">
        <v>21</v>
      </c>
      <c r="K7258" s="5">
        <v>450.0</v>
      </c>
      <c r="N7258" s="9">
        <v>44562.0</v>
      </c>
    </row>
    <row r="7259">
      <c r="A7259" s="5">
        <v>7258.0</v>
      </c>
      <c r="B7259" s="5" t="s">
        <v>7786</v>
      </c>
      <c r="C7259" s="5" t="s">
        <v>21</v>
      </c>
      <c r="K7259" s="5">
        <v>4700.0</v>
      </c>
      <c r="N7259" s="9">
        <v>43891.0</v>
      </c>
    </row>
    <row r="7260">
      <c r="A7260" s="5">
        <v>7259.0</v>
      </c>
      <c r="B7260" s="5" t="s">
        <v>7787</v>
      </c>
      <c r="C7260" s="5" t="s">
        <v>21</v>
      </c>
      <c r="K7260" s="5">
        <v>150.0</v>
      </c>
      <c r="N7260" s="9">
        <v>44341.0</v>
      </c>
    </row>
    <row r="7261">
      <c r="A7261" s="5">
        <v>7260.0</v>
      </c>
      <c r="B7261" s="5" t="s">
        <v>7788</v>
      </c>
      <c r="C7261" s="5" t="s">
        <v>21</v>
      </c>
      <c r="K7261" s="5">
        <v>250.0</v>
      </c>
      <c r="N7261" s="9">
        <v>45544.0</v>
      </c>
    </row>
    <row r="7262">
      <c r="A7262" s="5">
        <v>7261.0</v>
      </c>
      <c r="B7262" s="5" t="s">
        <v>7789</v>
      </c>
      <c r="C7262" s="5" t="s">
        <v>21</v>
      </c>
      <c r="K7262" s="5">
        <v>1300.0</v>
      </c>
      <c r="N7262" s="9">
        <v>44538.0</v>
      </c>
    </row>
    <row r="7263">
      <c r="A7263" s="5">
        <v>7262.0</v>
      </c>
      <c r="B7263" s="5" t="s">
        <v>7790</v>
      </c>
      <c r="C7263" s="5" t="s">
        <v>21</v>
      </c>
      <c r="K7263" s="5">
        <v>150.0</v>
      </c>
      <c r="N7263" s="9">
        <v>45182.0</v>
      </c>
    </row>
    <row r="7264">
      <c r="A7264" s="5">
        <v>7263.0</v>
      </c>
      <c r="B7264" s="5" t="s">
        <v>7791</v>
      </c>
      <c r="C7264" s="5" t="s">
        <v>21</v>
      </c>
      <c r="K7264" s="5">
        <v>30.0</v>
      </c>
      <c r="N7264" s="9">
        <v>44616.0</v>
      </c>
    </row>
    <row r="7265">
      <c r="A7265" s="5">
        <v>7264.0</v>
      </c>
      <c r="B7265" s="5" t="s">
        <v>7792</v>
      </c>
      <c r="C7265" s="5" t="s">
        <v>21</v>
      </c>
      <c r="K7265" s="5">
        <v>1900.0</v>
      </c>
      <c r="N7265" s="9">
        <v>44190.0</v>
      </c>
    </row>
    <row r="7266">
      <c r="A7266" s="5">
        <v>7265.0</v>
      </c>
      <c r="B7266" s="5" t="s">
        <v>7793</v>
      </c>
      <c r="C7266" s="5" t="s">
        <v>21</v>
      </c>
      <c r="K7266" s="5">
        <v>200.0</v>
      </c>
      <c r="N7266" s="9">
        <v>44101.0</v>
      </c>
    </row>
    <row r="7267">
      <c r="A7267" s="5">
        <v>7266.0</v>
      </c>
      <c r="B7267" s="5" t="s">
        <v>7794</v>
      </c>
      <c r="C7267" s="5" t="s">
        <v>21</v>
      </c>
      <c r="K7267" s="5">
        <v>300.0</v>
      </c>
      <c r="N7267" s="9">
        <v>44737.0</v>
      </c>
    </row>
    <row r="7268">
      <c r="A7268" s="5">
        <v>7267.0</v>
      </c>
      <c r="B7268" s="5" t="s">
        <v>7795</v>
      </c>
      <c r="C7268" s="5" t="s">
        <v>21</v>
      </c>
      <c r="K7268" s="5">
        <v>150.0</v>
      </c>
      <c r="N7268" s="9">
        <v>44693.0</v>
      </c>
    </row>
    <row r="7269">
      <c r="A7269" s="5">
        <v>7268.0</v>
      </c>
      <c r="B7269" s="5" t="s">
        <v>7796</v>
      </c>
      <c r="C7269" s="5" t="s">
        <v>21</v>
      </c>
      <c r="K7269" s="5">
        <v>700.0</v>
      </c>
      <c r="N7269" s="9">
        <v>45403.0</v>
      </c>
    </row>
    <row r="7270">
      <c r="A7270" s="5">
        <v>7269.0</v>
      </c>
      <c r="B7270" s="5" t="s">
        <v>7797</v>
      </c>
      <c r="C7270" s="5" t="s">
        <v>21</v>
      </c>
      <c r="K7270" s="5">
        <v>100.0</v>
      </c>
      <c r="N7270" s="9">
        <v>44410.0</v>
      </c>
    </row>
    <row r="7271">
      <c r="A7271" s="5">
        <v>7270.0</v>
      </c>
      <c r="B7271" s="5" t="s">
        <v>7798</v>
      </c>
      <c r="C7271" s="5" t="s">
        <v>21</v>
      </c>
      <c r="K7271" s="5">
        <v>150.0</v>
      </c>
      <c r="N7271" s="9">
        <v>44472.0</v>
      </c>
    </row>
    <row r="7272">
      <c r="A7272" s="5">
        <v>7271.0</v>
      </c>
      <c r="B7272" s="5" t="s">
        <v>7799</v>
      </c>
      <c r="C7272" s="5" t="s">
        <v>21</v>
      </c>
      <c r="K7272" s="5">
        <v>4200.0</v>
      </c>
      <c r="N7272" s="9">
        <v>44641.0</v>
      </c>
    </row>
    <row r="7273">
      <c r="A7273" s="5">
        <v>7272.0</v>
      </c>
      <c r="B7273" s="5" t="s">
        <v>7800</v>
      </c>
      <c r="C7273" s="5" t="s">
        <v>21</v>
      </c>
      <c r="K7273" s="5">
        <v>30.0</v>
      </c>
      <c r="N7273" s="9">
        <v>44593.0</v>
      </c>
    </row>
    <row r="7274">
      <c r="A7274" s="5">
        <v>7273.0</v>
      </c>
      <c r="B7274" s="5" t="s">
        <v>7801</v>
      </c>
      <c r="C7274" s="5" t="s">
        <v>21</v>
      </c>
      <c r="K7274" s="5">
        <v>70.0</v>
      </c>
      <c r="N7274" s="9">
        <v>45305.0</v>
      </c>
    </row>
    <row r="7275">
      <c r="A7275" s="5">
        <v>7274.0</v>
      </c>
      <c r="B7275" s="5" t="s">
        <v>7802</v>
      </c>
      <c r="C7275" s="5" t="s">
        <v>21</v>
      </c>
      <c r="K7275" s="5">
        <v>700.0</v>
      </c>
      <c r="N7275" s="9">
        <v>44613.0</v>
      </c>
    </row>
    <row r="7276">
      <c r="A7276" s="5">
        <v>7275.0</v>
      </c>
      <c r="B7276" s="5" t="s">
        <v>7803</v>
      </c>
      <c r="C7276" s="5" t="s">
        <v>21</v>
      </c>
      <c r="K7276" s="5">
        <v>900.0</v>
      </c>
      <c r="N7276" s="9">
        <v>44028.0</v>
      </c>
    </row>
    <row r="7277">
      <c r="A7277" s="5">
        <v>7276.0</v>
      </c>
      <c r="B7277" s="5" t="s">
        <v>7804</v>
      </c>
      <c r="C7277" s="5" t="s">
        <v>21</v>
      </c>
      <c r="K7277" s="5">
        <v>450.0</v>
      </c>
      <c r="N7277" s="9">
        <v>44569.0</v>
      </c>
    </row>
    <row r="7278">
      <c r="A7278" s="5">
        <v>7277.0</v>
      </c>
      <c r="B7278" s="5" t="s">
        <v>7805</v>
      </c>
      <c r="C7278" s="5" t="s">
        <v>21</v>
      </c>
      <c r="N7278" s="9">
        <v>44563.0</v>
      </c>
    </row>
    <row r="7279">
      <c r="A7279" s="5">
        <v>7278.0</v>
      </c>
      <c r="B7279" s="5" t="s">
        <v>7806</v>
      </c>
      <c r="C7279" s="5" t="s">
        <v>21</v>
      </c>
      <c r="K7279" s="5">
        <v>20.0</v>
      </c>
      <c r="N7279" s="9">
        <v>44517.0</v>
      </c>
    </row>
    <row r="7280">
      <c r="A7280" s="5">
        <v>7279.0</v>
      </c>
      <c r="B7280" s="5" t="s">
        <v>7807</v>
      </c>
      <c r="C7280" s="5" t="s">
        <v>21</v>
      </c>
      <c r="K7280" s="5">
        <v>800.0</v>
      </c>
      <c r="N7280" s="9">
        <v>44533.0</v>
      </c>
    </row>
    <row r="7281">
      <c r="A7281" s="5">
        <v>7280.0</v>
      </c>
      <c r="B7281" s="5" t="s">
        <v>7808</v>
      </c>
      <c r="C7281" s="5" t="s">
        <v>21</v>
      </c>
      <c r="K7281" s="5">
        <v>450.0</v>
      </c>
      <c r="N7281" s="9">
        <v>44811.0</v>
      </c>
    </row>
    <row r="7282">
      <c r="A7282" s="5">
        <v>7281.0</v>
      </c>
      <c r="B7282" s="5" t="s">
        <v>7809</v>
      </c>
      <c r="C7282" s="5" t="s">
        <v>21</v>
      </c>
      <c r="K7282" s="5">
        <v>250.0</v>
      </c>
      <c r="N7282" s="9">
        <v>45226.0</v>
      </c>
    </row>
    <row r="7283">
      <c r="A7283" s="5">
        <v>7282.0</v>
      </c>
      <c r="B7283" s="5" t="s">
        <v>7810</v>
      </c>
      <c r="C7283" s="5" t="s">
        <v>21</v>
      </c>
      <c r="K7283" s="5">
        <v>80.0</v>
      </c>
      <c r="N7283" s="9">
        <v>44582.0</v>
      </c>
    </row>
    <row r="7284">
      <c r="A7284" s="5">
        <v>7283.0</v>
      </c>
      <c r="B7284" s="5" t="s">
        <v>7811</v>
      </c>
      <c r="C7284" s="5" t="s">
        <v>21</v>
      </c>
      <c r="K7284" s="5">
        <v>1600.0</v>
      </c>
      <c r="N7284" s="9">
        <v>43888.0</v>
      </c>
    </row>
    <row r="7285">
      <c r="A7285" s="5">
        <v>7284.0</v>
      </c>
      <c r="B7285" s="5" t="s">
        <v>7812</v>
      </c>
      <c r="C7285" s="5" t="s">
        <v>21</v>
      </c>
      <c r="K7285" s="5">
        <v>150.0</v>
      </c>
      <c r="N7285" s="9">
        <v>44752.0</v>
      </c>
    </row>
    <row r="7286">
      <c r="A7286" s="5">
        <v>7285.0</v>
      </c>
      <c r="B7286" s="5" t="s">
        <v>7813</v>
      </c>
      <c r="C7286" s="5" t="s">
        <v>21</v>
      </c>
      <c r="K7286" s="5">
        <v>2300.0</v>
      </c>
      <c r="N7286" s="9">
        <v>44529.0</v>
      </c>
    </row>
    <row r="7287">
      <c r="A7287" s="5">
        <v>7286.0</v>
      </c>
      <c r="B7287" s="5" t="s">
        <v>7814</v>
      </c>
      <c r="C7287" s="5" t="s">
        <v>21</v>
      </c>
      <c r="K7287" s="5">
        <v>150.0</v>
      </c>
      <c r="N7287" s="9">
        <v>44252.0</v>
      </c>
    </row>
    <row r="7288">
      <c r="A7288" s="5">
        <v>7287.0</v>
      </c>
      <c r="B7288" s="5" t="s">
        <v>7815</v>
      </c>
      <c r="C7288" s="5" t="s">
        <v>21</v>
      </c>
      <c r="K7288" s="5">
        <v>450.0</v>
      </c>
      <c r="N7288" s="9">
        <v>45043.0</v>
      </c>
    </row>
    <row r="7289">
      <c r="A7289" s="5">
        <v>7288.0</v>
      </c>
      <c r="B7289" s="5" t="s">
        <v>7816</v>
      </c>
      <c r="C7289" s="5" t="s">
        <v>21</v>
      </c>
      <c r="K7289" s="5">
        <v>150.0</v>
      </c>
      <c r="N7289" s="9">
        <v>44578.0</v>
      </c>
    </row>
    <row r="7290">
      <c r="A7290" s="5">
        <v>7289.0</v>
      </c>
      <c r="B7290" s="5" t="s">
        <v>7817</v>
      </c>
      <c r="C7290" s="5" t="s">
        <v>21</v>
      </c>
      <c r="K7290" s="5">
        <v>600.0</v>
      </c>
      <c r="N7290" s="9">
        <v>44958.0</v>
      </c>
    </row>
    <row r="7291">
      <c r="A7291" s="5">
        <v>7290.0</v>
      </c>
      <c r="B7291" s="5" t="s">
        <v>7818</v>
      </c>
      <c r="C7291" s="5" t="s">
        <v>21</v>
      </c>
      <c r="K7291" s="5">
        <v>300.0</v>
      </c>
      <c r="N7291" s="9">
        <v>45741.0</v>
      </c>
    </row>
    <row r="7292">
      <c r="A7292" s="5">
        <v>7291.0</v>
      </c>
      <c r="B7292" s="5" t="s">
        <v>7819</v>
      </c>
      <c r="C7292" s="5" t="s">
        <v>21</v>
      </c>
      <c r="K7292" s="5">
        <v>80.0</v>
      </c>
      <c r="N7292" s="9">
        <v>44503.0</v>
      </c>
    </row>
    <row r="7293">
      <c r="A7293" s="5">
        <v>7292.0</v>
      </c>
      <c r="B7293" s="5" t="s">
        <v>7820</v>
      </c>
      <c r="C7293" s="5" t="s">
        <v>21</v>
      </c>
      <c r="K7293" s="5">
        <v>400.0</v>
      </c>
      <c r="N7293" s="9">
        <v>45347.0</v>
      </c>
    </row>
    <row r="7294">
      <c r="A7294" s="5">
        <v>7293.0</v>
      </c>
      <c r="B7294" s="5" t="s">
        <v>7821</v>
      </c>
      <c r="C7294" s="5" t="s">
        <v>21</v>
      </c>
      <c r="K7294" s="5">
        <v>1000.0</v>
      </c>
      <c r="N7294" s="9">
        <v>44485.0</v>
      </c>
    </row>
    <row r="7295">
      <c r="A7295" s="5">
        <v>7294.0</v>
      </c>
      <c r="B7295" s="5" t="s">
        <v>7822</v>
      </c>
      <c r="C7295" s="5" t="s">
        <v>21</v>
      </c>
      <c r="K7295" s="5">
        <v>150.0</v>
      </c>
      <c r="N7295" s="9">
        <v>44314.0</v>
      </c>
    </row>
    <row r="7296">
      <c r="A7296" s="5">
        <v>7295.0</v>
      </c>
      <c r="B7296" s="5" t="s">
        <v>7823</v>
      </c>
      <c r="C7296" s="5" t="s">
        <v>21</v>
      </c>
      <c r="K7296" s="5">
        <v>1200.0</v>
      </c>
      <c r="N7296" s="9">
        <v>43969.0</v>
      </c>
    </row>
    <row r="7297">
      <c r="A7297" s="5">
        <v>7296.0</v>
      </c>
      <c r="B7297" s="5" t="s">
        <v>7824</v>
      </c>
      <c r="C7297" s="5" t="s">
        <v>21</v>
      </c>
      <c r="K7297" s="5">
        <v>600.0</v>
      </c>
      <c r="N7297" s="9">
        <v>43970.0</v>
      </c>
    </row>
    <row r="7298">
      <c r="A7298" s="5">
        <v>7297.0</v>
      </c>
      <c r="B7298" s="5" t="s">
        <v>7825</v>
      </c>
      <c r="C7298" s="5" t="s">
        <v>21</v>
      </c>
      <c r="K7298" s="5">
        <v>250.0</v>
      </c>
      <c r="N7298" s="9">
        <v>44132.0</v>
      </c>
    </row>
    <row r="7299">
      <c r="A7299" s="5">
        <v>7298.0</v>
      </c>
      <c r="B7299" s="5" t="s">
        <v>7826</v>
      </c>
      <c r="C7299" s="5" t="s">
        <v>21</v>
      </c>
      <c r="K7299" s="5">
        <v>20.0</v>
      </c>
      <c r="N7299" s="9">
        <v>44661.0</v>
      </c>
    </row>
    <row r="7300">
      <c r="A7300" s="5">
        <v>7299.0</v>
      </c>
      <c r="B7300" s="5" t="s">
        <v>7827</v>
      </c>
      <c r="C7300" s="5" t="s">
        <v>21</v>
      </c>
      <c r="K7300" s="5">
        <v>350.0</v>
      </c>
      <c r="N7300" s="9">
        <v>44172.0</v>
      </c>
    </row>
    <row r="7301">
      <c r="A7301" s="5">
        <v>7300.0</v>
      </c>
      <c r="B7301" s="5" t="s">
        <v>7828</v>
      </c>
      <c r="C7301" s="5" t="s">
        <v>21</v>
      </c>
      <c r="K7301" s="5">
        <v>40.0</v>
      </c>
      <c r="N7301" s="9">
        <v>44754.0</v>
      </c>
    </row>
    <row r="7302">
      <c r="A7302" s="5">
        <v>7301.0</v>
      </c>
      <c r="B7302" s="5" t="s">
        <v>7829</v>
      </c>
      <c r="C7302" s="5" t="s">
        <v>21</v>
      </c>
      <c r="K7302" s="5">
        <v>900.0</v>
      </c>
      <c r="N7302" s="9">
        <v>44584.0</v>
      </c>
    </row>
    <row r="7303">
      <c r="A7303" s="5">
        <v>7302.0</v>
      </c>
      <c r="B7303" s="5" t="s">
        <v>7830</v>
      </c>
      <c r="C7303" s="5" t="s">
        <v>21</v>
      </c>
      <c r="K7303" s="5">
        <v>10.0</v>
      </c>
      <c r="N7303" s="9">
        <v>44627.0</v>
      </c>
    </row>
    <row r="7304">
      <c r="A7304" s="5">
        <v>7303.0</v>
      </c>
      <c r="B7304" s="5" t="s">
        <v>7831</v>
      </c>
      <c r="C7304" s="5" t="s">
        <v>21</v>
      </c>
      <c r="K7304" s="5">
        <v>150.0</v>
      </c>
      <c r="N7304" s="9">
        <v>43934.0</v>
      </c>
    </row>
    <row r="7305">
      <c r="A7305" s="5">
        <v>7304.0</v>
      </c>
      <c r="B7305" s="5" t="s">
        <v>7832</v>
      </c>
      <c r="C7305" s="5" t="s">
        <v>21</v>
      </c>
      <c r="K7305" s="5">
        <v>4300.0</v>
      </c>
      <c r="N7305" s="9">
        <v>44526.0</v>
      </c>
    </row>
    <row r="7306">
      <c r="A7306" s="5">
        <v>7305.0</v>
      </c>
      <c r="B7306" s="5" t="s">
        <v>236</v>
      </c>
      <c r="C7306" s="5" t="s">
        <v>21</v>
      </c>
      <c r="K7306" s="5">
        <v>10.0</v>
      </c>
      <c r="N7306" s="9">
        <v>44422.0</v>
      </c>
    </row>
    <row r="7307">
      <c r="A7307" s="5">
        <v>7306.0</v>
      </c>
      <c r="B7307" s="5" t="s">
        <v>7833</v>
      </c>
      <c r="C7307" s="5" t="s">
        <v>21</v>
      </c>
      <c r="K7307" s="5">
        <v>150.0</v>
      </c>
      <c r="N7307" s="9">
        <v>44741.0</v>
      </c>
    </row>
    <row r="7308">
      <c r="A7308" s="5">
        <v>7307.0</v>
      </c>
      <c r="B7308" s="5" t="s">
        <v>7834</v>
      </c>
      <c r="C7308" s="5" t="s">
        <v>21</v>
      </c>
      <c r="K7308" s="5">
        <v>700.0</v>
      </c>
      <c r="N7308" s="9">
        <v>44994.0</v>
      </c>
    </row>
    <row r="7309">
      <c r="A7309" s="5">
        <v>7308.0</v>
      </c>
      <c r="B7309" s="5" t="s">
        <v>7835</v>
      </c>
      <c r="C7309" s="5" t="s">
        <v>21</v>
      </c>
      <c r="K7309" s="5">
        <v>10.0</v>
      </c>
      <c r="N7309" s="9">
        <v>44600.0</v>
      </c>
    </row>
    <row r="7310">
      <c r="A7310" s="5">
        <v>7309.0</v>
      </c>
      <c r="B7310" s="5" t="s">
        <v>7836</v>
      </c>
      <c r="C7310" s="5" t="s">
        <v>21</v>
      </c>
      <c r="K7310" s="5">
        <v>200.0</v>
      </c>
      <c r="N7310" s="9">
        <v>44529.0</v>
      </c>
    </row>
    <row r="7311">
      <c r="A7311" s="5">
        <v>7310.0</v>
      </c>
      <c r="B7311" s="5" t="s">
        <v>7837</v>
      </c>
      <c r="C7311" s="5" t="s">
        <v>21</v>
      </c>
      <c r="K7311" s="5">
        <v>150.0</v>
      </c>
      <c r="N7311" s="9">
        <v>44737.0</v>
      </c>
    </row>
    <row r="7312">
      <c r="A7312" s="5">
        <v>7311.0</v>
      </c>
      <c r="B7312" s="5" t="s">
        <v>7838</v>
      </c>
      <c r="C7312" s="5" t="s">
        <v>21</v>
      </c>
      <c r="K7312" s="5">
        <v>200.0</v>
      </c>
      <c r="N7312" s="9">
        <v>44331.0</v>
      </c>
    </row>
    <row r="7313">
      <c r="A7313" s="5">
        <v>7312.0</v>
      </c>
      <c r="B7313" s="5" t="s">
        <v>7839</v>
      </c>
      <c r="C7313" s="5" t="s">
        <v>21</v>
      </c>
      <c r="K7313" s="5">
        <v>600.0</v>
      </c>
      <c r="N7313" s="9">
        <v>45158.0</v>
      </c>
    </row>
    <row r="7314">
      <c r="A7314" s="5">
        <v>7313.0</v>
      </c>
      <c r="B7314" s="5" t="s">
        <v>7840</v>
      </c>
      <c r="C7314" s="5" t="s">
        <v>21</v>
      </c>
      <c r="K7314" s="5">
        <v>2500.0</v>
      </c>
      <c r="N7314" s="9">
        <v>44273.0</v>
      </c>
    </row>
    <row r="7315">
      <c r="A7315" s="5">
        <v>7314.0</v>
      </c>
      <c r="B7315" s="5" t="s">
        <v>7841</v>
      </c>
      <c r="C7315" s="5" t="s">
        <v>21</v>
      </c>
      <c r="K7315" s="5">
        <v>700.0</v>
      </c>
      <c r="N7315" s="9">
        <v>44005.0</v>
      </c>
    </row>
    <row r="7316">
      <c r="A7316" s="5">
        <v>7315.0</v>
      </c>
      <c r="B7316" s="5" t="s">
        <v>7842</v>
      </c>
      <c r="C7316" s="5" t="s">
        <v>21</v>
      </c>
      <c r="K7316" s="5">
        <v>1300.0</v>
      </c>
      <c r="N7316" s="9">
        <v>45632.0</v>
      </c>
    </row>
    <row r="7317">
      <c r="A7317" s="5">
        <v>7316.0</v>
      </c>
      <c r="B7317" s="5" t="s">
        <v>7843</v>
      </c>
      <c r="C7317" s="5" t="s">
        <v>21</v>
      </c>
      <c r="K7317" s="5">
        <v>50.0</v>
      </c>
      <c r="N7317" s="9">
        <v>44515.0</v>
      </c>
    </row>
    <row r="7318">
      <c r="A7318" s="5">
        <v>7317.0</v>
      </c>
      <c r="B7318" s="5" t="s">
        <v>7844</v>
      </c>
      <c r="C7318" s="5" t="s">
        <v>21</v>
      </c>
      <c r="K7318" s="5">
        <v>150.0</v>
      </c>
      <c r="N7318" s="9">
        <v>44386.0</v>
      </c>
    </row>
    <row r="7319">
      <c r="A7319" s="5">
        <v>7318.0</v>
      </c>
      <c r="B7319" s="5" t="s">
        <v>7845</v>
      </c>
      <c r="C7319" s="5" t="s">
        <v>21</v>
      </c>
      <c r="K7319" s="5">
        <v>2300.0</v>
      </c>
      <c r="N7319" s="9">
        <v>44230.0</v>
      </c>
    </row>
    <row r="7320">
      <c r="A7320" s="5">
        <v>7319.0</v>
      </c>
      <c r="B7320" s="5" t="s">
        <v>7846</v>
      </c>
      <c r="C7320" s="5" t="s">
        <v>21</v>
      </c>
      <c r="K7320" s="5">
        <v>1500.0</v>
      </c>
      <c r="N7320" s="9">
        <v>44585.0</v>
      </c>
    </row>
    <row r="7321">
      <c r="A7321" s="5">
        <v>7320.0</v>
      </c>
      <c r="B7321" s="5" t="s">
        <v>7847</v>
      </c>
      <c r="C7321" s="5" t="s">
        <v>21</v>
      </c>
      <c r="K7321" s="5">
        <v>200.0</v>
      </c>
      <c r="N7321" s="9">
        <v>44941.0</v>
      </c>
    </row>
    <row r="7322">
      <c r="A7322" s="5">
        <v>7321.0</v>
      </c>
      <c r="B7322" s="5" t="s">
        <v>7848</v>
      </c>
      <c r="C7322" s="5" t="s">
        <v>21</v>
      </c>
      <c r="K7322" s="5">
        <v>3500.0</v>
      </c>
      <c r="N7322" s="9">
        <v>44192.0</v>
      </c>
    </row>
    <row r="7323">
      <c r="A7323" s="5">
        <v>7322.0</v>
      </c>
      <c r="B7323" s="5" t="s">
        <v>7849</v>
      </c>
      <c r="C7323" s="5" t="s">
        <v>21</v>
      </c>
      <c r="K7323" s="5">
        <v>400.0</v>
      </c>
      <c r="N7323" s="9">
        <v>44125.0</v>
      </c>
    </row>
    <row r="7324">
      <c r="A7324" s="5">
        <v>7323.0</v>
      </c>
      <c r="B7324" s="5" t="s">
        <v>7850</v>
      </c>
      <c r="C7324" s="5" t="s">
        <v>21</v>
      </c>
      <c r="K7324" s="5">
        <v>1200.0</v>
      </c>
      <c r="N7324" s="9">
        <v>44679.0</v>
      </c>
    </row>
    <row r="7325">
      <c r="A7325" s="5">
        <v>7324.0</v>
      </c>
      <c r="B7325" s="5" t="s">
        <v>7851</v>
      </c>
      <c r="C7325" s="5" t="s">
        <v>21</v>
      </c>
      <c r="K7325" s="5">
        <v>9000.0</v>
      </c>
      <c r="N7325" s="9">
        <v>43841.0</v>
      </c>
    </row>
    <row r="7326">
      <c r="A7326" s="5">
        <v>7325.0</v>
      </c>
      <c r="B7326" s="5" t="s">
        <v>7852</v>
      </c>
      <c r="C7326" s="5" t="s">
        <v>21</v>
      </c>
      <c r="K7326" s="5">
        <v>600.0</v>
      </c>
      <c r="N7326" s="9">
        <v>44808.0</v>
      </c>
    </row>
    <row r="7327">
      <c r="A7327" s="5">
        <v>7326.0</v>
      </c>
      <c r="B7327" s="5" t="s">
        <v>7853</v>
      </c>
      <c r="C7327" s="5" t="s">
        <v>21</v>
      </c>
      <c r="K7327" s="5">
        <v>400.0</v>
      </c>
      <c r="N7327" s="9">
        <v>45764.0</v>
      </c>
    </row>
    <row r="7328">
      <c r="A7328" s="5">
        <v>7327.0</v>
      </c>
      <c r="B7328" s="5" t="s">
        <v>7854</v>
      </c>
      <c r="C7328" s="5" t="s">
        <v>21</v>
      </c>
      <c r="K7328" s="5">
        <v>1300.0</v>
      </c>
      <c r="N7328" s="9">
        <v>44689.0</v>
      </c>
    </row>
    <row r="7329">
      <c r="A7329" s="5">
        <v>7328.0</v>
      </c>
      <c r="B7329" s="5" t="s">
        <v>7855</v>
      </c>
      <c r="C7329" s="5" t="s">
        <v>21</v>
      </c>
      <c r="K7329" s="5">
        <v>9600.0</v>
      </c>
      <c r="N7329" s="9">
        <v>43850.0</v>
      </c>
    </row>
    <row r="7330">
      <c r="A7330" s="5">
        <v>7329.0</v>
      </c>
      <c r="B7330" s="5" t="s">
        <v>7856</v>
      </c>
      <c r="C7330" s="5" t="s">
        <v>21</v>
      </c>
      <c r="K7330" s="5">
        <v>1100.0</v>
      </c>
      <c r="N7330" s="9">
        <v>43886.0</v>
      </c>
    </row>
    <row r="7331">
      <c r="A7331" s="5">
        <v>7330.0</v>
      </c>
      <c r="B7331" s="5" t="s">
        <v>7857</v>
      </c>
      <c r="C7331" s="5" t="s">
        <v>21</v>
      </c>
      <c r="K7331" s="5">
        <v>20.0</v>
      </c>
      <c r="N7331" s="9">
        <v>44937.0</v>
      </c>
    </row>
    <row r="7332">
      <c r="A7332" s="5">
        <v>7331.0</v>
      </c>
      <c r="B7332" s="5" t="s">
        <v>240</v>
      </c>
      <c r="C7332" s="5" t="s">
        <v>21</v>
      </c>
      <c r="K7332" s="5">
        <v>450.0</v>
      </c>
      <c r="N7332" s="9">
        <v>44000.0</v>
      </c>
    </row>
    <row r="7333">
      <c r="A7333" s="5">
        <v>7332.0</v>
      </c>
      <c r="B7333" s="5" t="s">
        <v>7858</v>
      </c>
      <c r="C7333" s="5" t="s">
        <v>21</v>
      </c>
      <c r="K7333" s="5">
        <v>60.0</v>
      </c>
      <c r="N7333" s="9">
        <v>44525.0</v>
      </c>
    </row>
    <row r="7334">
      <c r="A7334" s="5">
        <v>7333.0</v>
      </c>
      <c r="B7334" s="5" t="s">
        <v>7859</v>
      </c>
      <c r="C7334" s="5" t="s">
        <v>21</v>
      </c>
      <c r="K7334" s="5">
        <v>200.0</v>
      </c>
      <c r="N7334" s="9">
        <v>44827.0</v>
      </c>
    </row>
    <row r="7335">
      <c r="A7335" s="5">
        <v>7334.0</v>
      </c>
      <c r="B7335" s="5" t="s">
        <v>7860</v>
      </c>
      <c r="C7335" s="5" t="s">
        <v>21</v>
      </c>
      <c r="K7335" s="5">
        <v>700.0</v>
      </c>
      <c r="N7335" s="9">
        <v>44687.0</v>
      </c>
    </row>
    <row r="7336">
      <c r="A7336" s="5">
        <v>7335.0</v>
      </c>
      <c r="B7336" s="5" t="s">
        <v>7861</v>
      </c>
      <c r="C7336" s="5" t="s">
        <v>21</v>
      </c>
      <c r="K7336" s="5">
        <v>300.0</v>
      </c>
      <c r="N7336" s="9">
        <v>44718.0</v>
      </c>
    </row>
    <row r="7337">
      <c r="A7337" s="5">
        <v>7336.0</v>
      </c>
      <c r="B7337" s="5" t="s">
        <v>7862</v>
      </c>
      <c r="C7337" s="5" t="s">
        <v>21</v>
      </c>
      <c r="K7337" s="5">
        <v>600.0</v>
      </c>
      <c r="N7337" s="9">
        <v>44231.0</v>
      </c>
    </row>
    <row r="7338">
      <c r="A7338" s="5">
        <v>7337.0</v>
      </c>
      <c r="B7338" s="5" t="s">
        <v>7863</v>
      </c>
      <c r="C7338" s="5" t="s">
        <v>21</v>
      </c>
      <c r="K7338" s="5">
        <v>150.0</v>
      </c>
      <c r="N7338" s="9">
        <v>45553.0</v>
      </c>
    </row>
    <row r="7339">
      <c r="A7339" s="5">
        <v>7338.0</v>
      </c>
      <c r="B7339" s="5" t="s">
        <v>7864</v>
      </c>
      <c r="C7339" s="5" t="s">
        <v>21</v>
      </c>
      <c r="K7339" s="5">
        <v>7500.0</v>
      </c>
      <c r="N7339" s="9">
        <v>44875.0</v>
      </c>
    </row>
    <row r="7340">
      <c r="A7340" s="5">
        <v>7339.0</v>
      </c>
      <c r="B7340" s="5" t="s">
        <v>7865</v>
      </c>
      <c r="C7340" s="5" t="s">
        <v>21</v>
      </c>
      <c r="K7340" s="5">
        <v>200.0</v>
      </c>
      <c r="N7340" s="9">
        <v>44659.0</v>
      </c>
    </row>
    <row r="7341">
      <c r="A7341" s="5">
        <v>7340.0</v>
      </c>
      <c r="B7341" s="5" t="s">
        <v>7866</v>
      </c>
      <c r="C7341" s="5" t="s">
        <v>21</v>
      </c>
      <c r="K7341" s="5">
        <v>100.0</v>
      </c>
      <c r="N7341" s="9">
        <v>44963.0</v>
      </c>
    </row>
    <row r="7342">
      <c r="A7342" s="5">
        <v>7341.0</v>
      </c>
      <c r="B7342" s="5" t="s">
        <v>7867</v>
      </c>
      <c r="C7342" s="5" t="s">
        <v>21</v>
      </c>
      <c r="K7342" s="5">
        <v>1800.0</v>
      </c>
      <c r="N7342" s="9">
        <v>43993.0</v>
      </c>
    </row>
    <row r="7343">
      <c r="A7343" s="5">
        <v>7342.0</v>
      </c>
      <c r="B7343" s="5" t="s">
        <v>7868</v>
      </c>
      <c r="C7343" s="5" t="s">
        <v>21</v>
      </c>
      <c r="K7343" s="5">
        <v>1500.0</v>
      </c>
      <c r="N7343" s="9">
        <v>44139.0</v>
      </c>
    </row>
    <row r="7344">
      <c r="A7344" s="5">
        <v>7343.0</v>
      </c>
      <c r="B7344" s="5" t="s">
        <v>7869</v>
      </c>
      <c r="C7344" s="5" t="s">
        <v>21</v>
      </c>
      <c r="K7344" s="5">
        <v>1900.0</v>
      </c>
      <c r="N7344" s="9">
        <v>44419.0</v>
      </c>
    </row>
    <row r="7345">
      <c r="A7345" s="5">
        <v>7344.0</v>
      </c>
      <c r="B7345" s="5" t="s">
        <v>7870</v>
      </c>
      <c r="C7345" s="5" t="s">
        <v>21</v>
      </c>
      <c r="K7345" s="5">
        <v>200.0</v>
      </c>
      <c r="N7345" s="9">
        <v>45547.0</v>
      </c>
    </row>
    <row r="7346">
      <c r="A7346" s="5">
        <v>7345.0</v>
      </c>
      <c r="B7346" s="5" t="s">
        <v>7871</v>
      </c>
      <c r="C7346" s="5" t="s">
        <v>21</v>
      </c>
      <c r="K7346" s="5">
        <v>90.0</v>
      </c>
      <c r="N7346" s="9">
        <v>44026.0</v>
      </c>
    </row>
    <row r="7347">
      <c r="A7347" s="5">
        <v>7346.0</v>
      </c>
      <c r="B7347" s="5" t="s">
        <v>7872</v>
      </c>
      <c r="C7347" s="5" t="s">
        <v>21</v>
      </c>
      <c r="K7347" s="5">
        <v>1000.0</v>
      </c>
      <c r="N7347" s="9">
        <v>44501.0</v>
      </c>
    </row>
    <row r="7348">
      <c r="A7348" s="5">
        <v>7347.0</v>
      </c>
      <c r="B7348" s="5" t="s">
        <v>7873</v>
      </c>
      <c r="C7348" s="5" t="s">
        <v>21</v>
      </c>
      <c r="K7348" s="5">
        <v>200.0</v>
      </c>
      <c r="N7348" s="9">
        <v>44527.0</v>
      </c>
    </row>
    <row r="7349">
      <c r="A7349" s="5">
        <v>7348.0</v>
      </c>
      <c r="B7349" s="5" t="s">
        <v>7874</v>
      </c>
      <c r="C7349" s="5" t="s">
        <v>21</v>
      </c>
      <c r="K7349" s="5">
        <v>2900.0</v>
      </c>
      <c r="N7349" s="9">
        <v>44334.0</v>
      </c>
    </row>
    <row r="7350">
      <c r="A7350" s="5">
        <v>7349.0</v>
      </c>
      <c r="B7350" s="5" t="s">
        <v>7875</v>
      </c>
      <c r="C7350" s="5" t="s">
        <v>21</v>
      </c>
      <c r="K7350" s="5">
        <v>400.0</v>
      </c>
      <c r="N7350" s="9">
        <v>44958.0</v>
      </c>
    </row>
    <row r="7351">
      <c r="A7351" s="5">
        <v>7350.0</v>
      </c>
      <c r="B7351" s="5" t="s">
        <v>7876</v>
      </c>
      <c r="C7351" s="5" t="s">
        <v>21</v>
      </c>
      <c r="K7351" s="5">
        <v>150.0</v>
      </c>
      <c r="N7351" s="9">
        <v>44895.0</v>
      </c>
    </row>
    <row r="7352">
      <c r="A7352" s="5">
        <v>7351.0</v>
      </c>
      <c r="B7352" s="5" t="s">
        <v>7877</v>
      </c>
      <c r="C7352" s="5" t="s">
        <v>21</v>
      </c>
      <c r="K7352" s="5">
        <v>70.0</v>
      </c>
      <c r="N7352" s="9">
        <v>44909.0</v>
      </c>
    </row>
    <row r="7353">
      <c r="A7353" s="5">
        <v>7352.0</v>
      </c>
      <c r="B7353" s="5" t="s">
        <v>7878</v>
      </c>
      <c r="C7353" s="5" t="s">
        <v>21</v>
      </c>
      <c r="K7353" s="5">
        <v>1100.0</v>
      </c>
      <c r="N7353" s="9">
        <v>44545.0</v>
      </c>
    </row>
    <row r="7354">
      <c r="A7354" s="5">
        <v>7353.0</v>
      </c>
      <c r="B7354" s="5" t="s">
        <v>7879</v>
      </c>
      <c r="C7354" s="5" t="s">
        <v>21</v>
      </c>
      <c r="K7354" s="5">
        <v>1500.0</v>
      </c>
      <c r="N7354" s="9">
        <v>44544.0</v>
      </c>
    </row>
    <row r="7355">
      <c r="A7355" s="5">
        <v>7354.0</v>
      </c>
      <c r="B7355" s="5" t="s">
        <v>7880</v>
      </c>
      <c r="C7355" s="5" t="s">
        <v>21</v>
      </c>
      <c r="K7355" s="5">
        <v>1300.0</v>
      </c>
      <c r="N7355" s="9">
        <v>44787.0</v>
      </c>
    </row>
    <row r="7356">
      <c r="A7356" s="5">
        <v>7355.0</v>
      </c>
      <c r="B7356" s="5" t="s">
        <v>7881</v>
      </c>
      <c r="C7356" s="5" t="s">
        <v>21</v>
      </c>
      <c r="K7356" s="5">
        <v>450.0</v>
      </c>
      <c r="N7356" s="9">
        <v>44542.0</v>
      </c>
    </row>
    <row r="7357">
      <c r="A7357" s="5">
        <v>7356.0</v>
      </c>
      <c r="B7357" s="5" t="s">
        <v>7882</v>
      </c>
      <c r="C7357" s="5" t="s">
        <v>21</v>
      </c>
      <c r="K7357" s="5">
        <v>70.0</v>
      </c>
      <c r="N7357" s="9">
        <v>44523.0</v>
      </c>
    </row>
    <row r="7358">
      <c r="A7358" s="5">
        <v>7357.0</v>
      </c>
      <c r="B7358" s="5" t="s">
        <v>7883</v>
      </c>
      <c r="C7358" s="5" t="s">
        <v>21</v>
      </c>
      <c r="K7358" s="5">
        <v>400.0</v>
      </c>
      <c r="N7358" s="9">
        <v>44120.0</v>
      </c>
    </row>
    <row r="7359">
      <c r="A7359" s="5">
        <v>7358.0</v>
      </c>
      <c r="B7359" s="5" t="s">
        <v>7884</v>
      </c>
      <c r="C7359" s="5" t="s">
        <v>21</v>
      </c>
      <c r="N7359" s="9">
        <v>44174.0</v>
      </c>
    </row>
    <row r="7360">
      <c r="A7360" s="5">
        <v>7359.0</v>
      </c>
      <c r="B7360" s="5" t="s">
        <v>7885</v>
      </c>
      <c r="C7360" s="5" t="s">
        <v>21</v>
      </c>
      <c r="K7360" s="5">
        <v>300.0</v>
      </c>
      <c r="N7360" s="9">
        <v>44180.0</v>
      </c>
    </row>
    <row r="7361">
      <c r="A7361" s="5">
        <v>7360.0</v>
      </c>
      <c r="B7361" s="5" t="s">
        <v>7886</v>
      </c>
      <c r="C7361" s="5" t="s">
        <v>21</v>
      </c>
      <c r="K7361" s="5">
        <v>70.0</v>
      </c>
      <c r="N7361" s="9">
        <v>45104.0</v>
      </c>
    </row>
    <row r="7362">
      <c r="A7362" s="5">
        <v>7361.0</v>
      </c>
      <c r="B7362" s="5" t="s">
        <v>7887</v>
      </c>
      <c r="C7362" s="5" t="s">
        <v>21</v>
      </c>
      <c r="K7362" s="5">
        <v>900.0</v>
      </c>
      <c r="N7362" s="9">
        <v>44149.0</v>
      </c>
    </row>
    <row r="7363">
      <c r="A7363" s="5">
        <v>7362.0</v>
      </c>
      <c r="B7363" s="5" t="s">
        <v>7888</v>
      </c>
      <c r="C7363" s="5" t="s">
        <v>21</v>
      </c>
      <c r="K7363" s="5">
        <v>350.0</v>
      </c>
      <c r="N7363" s="9">
        <v>45358.0</v>
      </c>
    </row>
    <row r="7364">
      <c r="A7364" s="5">
        <v>7363.0</v>
      </c>
      <c r="B7364" s="5" t="s">
        <v>7889</v>
      </c>
      <c r="C7364" s="5" t="s">
        <v>21</v>
      </c>
      <c r="K7364" s="5">
        <v>150.0</v>
      </c>
      <c r="N7364" s="9">
        <v>44617.0</v>
      </c>
    </row>
    <row r="7365">
      <c r="A7365" s="5">
        <v>7364.0</v>
      </c>
      <c r="B7365" s="5" t="s">
        <v>7890</v>
      </c>
      <c r="C7365" s="5" t="s">
        <v>21</v>
      </c>
      <c r="K7365" s="5">
        <v>250.0</v>
      </c>
      <c r="N7365" s="9">
        <v>44578.0</v>
      </c>
    </row>
    <row r="7366">
      <c r="A7366" s="5">
        <v>7365.0</v>
      </c>
      <c r="B7366" s="5" t="s">
        <v>7891</v>
      </c>
      <c r="C7366" s="5" t="s">
        <v>21</v>
      </c>
      <c r="K7366" s="5">
        <v>200.0</v>
      </c>
      <c r="N7366" s="9">
        <v>44610.0</v>
      </c>
    </row>
    <row r="7367">
      <c r="A7367" s="5">
        <v>7366.0</v>
      </c>
      <c r="B7367" s="5" t="s">
        <v>7892</v>
      </c>
      <c r="C7367" s="5" t="s">
        <v>21</v>
      </c>
      <c r="K7367" s="5">
        <v>250.0</v>
      </c>
      <c r="N7367" s="9">
        <v>44565.0</v>
      </c>
    </row>
    <row r="7368">
      <c r="A7368" s="5">
        <v>7367.0</v>
      </c>
      <c r="B7368" s="5" t="s">
        <v>7893</v>
      </c>
      <c r="C7368" s="5" t="s">
        <v>21</v>
      </c>
      <c r="K7368" s="5">
        <v>250.0</v>
      </c>
      <c r="N7368" s="9">
        <v>44634.0</v>
      </c>
    </row>
    <row r="7369">
      <c r="A7369" s="5">
        <v>7368.0</v>
      </c>
      <c r="B7369" s="5" t="s">
        <v>7894</v>
      </c>
      <c r="C7369" s="5" t="s">
        <v>21</v>
      </c>
      <c r="K7369" s="5">
        <v>500.0</v>
      </c>
      <c r="N7369" s="9">
        <v>44323.0</v>
      </c>
    </row>
    <row r="7370">
      <c r="A7370" s="5">
        <v>7369.0</v>
      </c>
      <c r="B7370" s="5" t="s">
        <v>7895</v>
      </c>
      <c r="C7370" s="5" t="s">
        <v>21</v>
      </c>
      <c r="K7370" s="5">
        <v>150.0</v>
      </c>
      <c r="N7370" s="9">
        <v>45614.0</v>
      </c>
    </row>
    <row r="7371">
      <c r="A7371" s="5">
        <v>7370.0</v>
      </c>
      <c r="B7371" s="5" t="s">
        <v>7896</v>
      </c>
      <c r="C7371" s="5" t="s">
        <v>21</v>
      </c>
      <c r="K7371" s="5">
        <v>600.0</v>
      </c>
      <c r="N7371" s="9">
        <v>44667.0</v>
      </c>
    </row>
    <row r="7372">
      <c r="A7372" s="5">
        <v>7371.0</v>
      </c>
      <c r="B7372" s="5" t="s">
        <v>7897</v>
      </c>
      <c r="C7372" s="5" t="s">
        <v>21</v>
      </c>
      <c r="K7372" s="5">
        <v>900.0</v>
      </c>
      <c r="N7372" s="9">
        <v>44579.0</v>
      </c>
    </row>
    <row r="7373">
      <c r="A7373" s="5">
        <v>7372.0</v>
      </c>
      <c r="B7373" s="5" t="s">
        <v>7898</v>
      </c>
      <c r="C7373" s="5" t="s">
        <v>21</v>
      </c>
      <c r="K7373" s="5">
        <v>200.0</v>
      </c>
      <c r="N7373" s="9">
        <v>46130.0</v>
      </c>
    </row>
    <row r="7374">
      <c r="A7374" s="5">
        <v>7373.0</v>
      </c>
      <c r="B7374" s="5" t="s">
        <v>7899</v>
      </c>
      <c r="C7374" s="5" t="s">
        <v>21</v>
      </c>
      <c r="K7374" s="5">
        <v>1800.0</v>
      </c>
      <c r="N7374" s="9">
        <v>44348.0</v>
      </c>
    </row>
    <row r="7375">
      <c r="A7375" s="5">
        <v>7374.0</v>
      </c>
      <c r="B7375" s="5" t="s">
        <v>7900</v>
      </c>
      <c r="C7375" s="5" t="s">
        <v>21</v>
      </c>
      <c r="K7375" s="5">
        <v>200.0</v>
      </c>
      <c r="N7375" s="9">
        <v>44669.0</v>
      </c>
    </row>
    <row r="7376">
      <c r="A7376" s="5">
        <v>7375.0</v>
      </c>
      <c r="B7376" s="5" t="s">
        <v>7901</v>
      </c>
      <c r="C7376" s="5" t="s">
        <v>21</v>
      </c>
      <c r="K7376" s="5">
        <v>30.0</v>
      </c>
      <c r="N7376" s="9">
        <v>44805.0</v>
      </c>
    </row>
    <row r="7377">
      <c r="A7377" s="5">
        <v>7376.0</v>
      </c>
      <c r="B7377" s="5" t="s">
        <v>7902</v>
      </c>
      <c r="C7377" s="5" t="s">
        <v>21</v>
      </c>
      <c r="K7377" s="5">
        <v>40.0</v>
      </c>
      <c r="N7377" s="9">
        <v>43966.0</v>
      </c>
    </row>
    <row r="7378">
      <c r="A7378" s="5">
        <v>7377.0</v>
      </c>
      <c r="B7378" s="5" t="s">
        <v>7903</v>
      </c>
      <c r="C7378" s="5" t="s">
        <v>21</v>
      </c>
      <c r="K7378" s="5">
        <v>200.0</v>
      </c>
      <c r="N7378" s="9">
        <v>44030.0</v>
      </c>
    </row>
    <row r="7379">
      <c r="A7379" s="5">
        <v>7378.0</v>
      </c>
      <c r="B7379" s="5" t="s">
        <v>7904</v>
      </c>
      <c r="C7379" s="5" t="s">
        <v>21</v>
      </c>
      <c r="K7379" s="5">
        <v>600.0</v>
      </c>
      <c r="N7379" s="9">
        <v>44880.0</v>
      </c>
    </row>
    <row r="7380">
      <c r="A7380" s="5">
        <v>7379.0</v>
      </c>
      <c r="B7380" s="5" t="s">
        <v>7905</v>
      </c>
      <c r="C7380" s="5" t="s">
        <v>21</v>
      </c>
      <c r="K7380" s="5">
        <v>2900.0</v>
      </c>
      <c r="N7380" s="9">
        <v>44589.0</v>
      </c>
    </row>
    <row r="7381">
      <c r="A7381" s="5">
        <v>7380.0</v>
      </c>
      <c r="B7381" s="5" t="s">
        <v>7906</v>
      </c>
      <c r="C7381" s="5" t="s">
        <v>21</v>
      </c>
      <c r="K7381" s="5">
        <v>400.0</v>
      </c>
      <c r="N7381" s="9">
        <v>44537.0</v>
      </c>
    </row>
    <row r="7382">
      <c r="A7382" s="5">
        <v>7381.0</v>
      </c>
      <c r="B7382" s="5" t="s">
        <v>7907</v>
      </c>
      <c r="C7382" s="5" t="s">
        <v>21</v>
      </c>
      <c r="K7382" s="5">
        <v>200.0</v>
      </c>
      <c r="N7382" s="9">
        <v>44802.0</v>
      </c>
    </row>
    <row r="7383">
      <c r="A7383" s="5">
        <v>7382.0</v>
      </c>
      <c r="B7383" s="5" t="s">
        <v>7908</v>
      </c>
      <c r="C7383" s="5" t="s">
        <v>21</v>
      </c>
      <c r="K7383" s="5">
        <v>200.0</v>
      </c>
      <c r="N7383" s="9">
        <v>45526.0</v>
      </c>
    </row>
    <row r="7384">
      <c r="A7384" s="5">
        <v>7383.0</v>
      </c>
      <c r="B7384" s="5" t="s">
        <v>7909</v>
      </c>
      <c r="C7384" s="5" t="s">
        <v>21</v>
      </c>
      <c r="K7384" s="5">
        <v>700.0</v>
      </c>
      <c r="N7384" s="9">
        <v>45007.0</v>
      </c>
    </row>
    <row r="7385">
      <c r="A7385" s="5">
        <v>7384.0</v>
      </c>
      <c r="B7385" s="5" t="s">
        <v>7910</v>
      </c>
      <c r="C7385" s="5" t="s">
        <v>21</v>
      </c>
      <c r="K7385" s="5">
        <v>250.0</v>
      </c>
      <c r="N7385" s="9">
        <v>44598.0</v>
      </c>
    </row>
    <row r="7386">
      <c r="A7386" s="5">
        <v>7385.0</v>
      </c>
      <c r="B7386" s="5" t="s">
        <v>7911</v>
      </c>
      <c r="C7386" s="5" t="s">
        <v>21</v>
      </c>
      <c r="N7386" s="9">
        <v>46092.0</v>
      </c>
    </row>
    <row r="7387">
      <c r="A7387" s="5">
        <v>7386.0</v>
      </c>
      <c r="B7387" s="5" t="s">
        <v>7912</v>
      </c>
      <c r="C7387" s="5" t="s">
        <v>21</v>
      </c>
      <c r="K7387" s="5">
        <v>10.0</v>
      </c>
      <c r="N7387" s="9">
        <v>44235.0</v>
      </c>
    </row>
    <row r="7388">
      <c r="A7388" s="5">
        <v>7387.0</v>
      </c>
      <c r="B7388" s="5" t="s">
        <v>7913</v>
      </c>
      <c r="C7388" s="5" t="s">
        <v>21</v>
      </c>
      <c r="K7388" s="5">
        <v>700.0</v>
      </c>
      <c r="N7388" s="9">
        <v>44172.0</v>
      </c>
    </row>
    <row r="7389">
      <c r="A7389" s="5">
        <v>7388.0</v>
      </c>
      <c r="B7389" s="5" t="s">
        <v>7914</v>
      </c>
      <c r="C7389" s="5" t="s">
        <v>21</v>
      </c>
      <c r="K7389" s="5">
        <v>30.0</v>
      </c>
      <c r="N7389" s="9">
        <v>44184.0</v>
      </c>
    </row>
    <row r="7390">
      <c r="A7390" s="5">
        <v>7389.0</v>
      </c>
      <c r="B7390" s="5" t="s">
        <v>7915</v>
      </c>
      <c r="C7390" s="5" t="s">
        <v>21</v>
      </c>
      <c r="K7390" s="5">
        <v>3000.0</v>
      </c>
      <c r="N7390" s="9">
        <v>45666.0</v>
      </c>
    </row>
    <row r="7391">
      <c r="A7391" s="5">
        <v>7390.0</v>
      </c>
      <c r="B7391" s="5" t="s">
        <v>7916</v>
      </c>
      <c r="C7391" s="5" t="s">
        <v>21</v>
      </c>
      <c r="K7391" s="5">
        <v>250.0</v>
      </c>
      <c r="N7391" s="9">
        <v>45267.0</v>
      </c>
    </row>
    <row r="7392">
      <c r="A7392" s="5">
        <v>7391.0</v>
      </c>
      <c r="B7392" s="5" t="s">
        <v>7917</v>
      </c>
      <c r="C7392" s="5" t="s">
        <v>21</v>
      </c>
      <c r="K7392" s="5">
        <v>500.0</v>
      </c>
      <c r="N7392" s="9">
        <v>44595.0</v>
      </c>
    </row>
    <row r="7393">
      <c r="A7393" s="5">
        <v>7392.0</v>
      </c>
      <c r="B7393" s="5" t="s">
        <v>7918</v>
      </c>
      <c r="C7393" s="5" t="s">
        <v>21</v>
      </c>
      <c r="K7393" s="5">
        <v>80.0</v>
      </c>
      <c r="N7393" s="9">
        <v>44285.0</v>
      </c>
    </row>
    <row r="7394">
      <c r="A7394" s="5">
        <v>7393.0</v>
      </c>
      <c r="B7394" s="5" t="s">
        <v>7919</v>
      </c>
      <c r="C7394" s="5" t="s">
        <v>21</v>
      </c>
      <c r="K7394" s="5">
        <v>300.0</v>
      </c>
      <c r="N7394" s="9">
        <v>44750.0</v>
      </c>
    </row>
    <row r="7395">
      <c r="A7395" s="5">
        <v>7394.0</v>
      </c>
      <c r="B7395" s="5" t="s">
        <v>7920</v>
      </c>
      <c r="C7395" s="5" t="s">
        <v>21</v>
      </c>
      <c r="K7395" s="5">
        <v>900.0</v>
      </c>
      <c r="N7395" s="9">
        <v>44629.0</v>
      </c>
    </row>
    <row r="7396">
      <c r="A7396" s="5">
        <v>7395.0</v>
      </c>
      <c r="B7396" s="5" t="s">
        <v>7921</v>
      </c>
      <c r="C7396" s="5" t="s">
        <v>21</v>
      </c>
      <c r="K7396" s="5">
        <v>800.0</v>
      </c>
      <c r="N7396" s="9">
        <v>44527.0</v>
      </c>
    </row>
    <row r="7397">
      <c r="A7397" s="5">
        <v>7396.0</v>
      </c>
      <c r="B7397" s="5" t="s">
        <v>7922</v>
      </c>
      <c r="C7397" s="5" t="s">
        <v>21</v>
      </c>
      <c r="K7397" s="5">
        <v>250.0</v>
      </c>
      <c r="N7397" s="9">
        <v>45639.0</v>
      </c>
    </row>
    <row r="7398">
      <c r="A7398" s="5">
        <v>7397.0</v>
      </c>
      <c r="B7398" s="5" t="s">
        <v>7923</v>
      </c>
      <c r="C7398" s="5" t="s">
        <v>21</v>
      </c>
      <c r="K7398" s="5">
        <v>1400.0</v>
      </c>
      <c r="N7398" s="9">
        <v>44567.0</v>
      </c>
    </row>
    <row r="7399">
      <c r="A7399" s="5">
        <v>7398.0</v>
      </c>
      <c r="B7399" s="5" t="s">
        <v>7924</v>
      </c>
      <c r="C7399" s="5" t="s">
        <v>21</v>
      </c>
      <c r="K7399" s="5">
        <v>300.0</v>
      </c>
      <c r="N7399" s="9">
        <v>44800.0</v>
      </c>
    </row>
    <row r="7400">
      <c r="A7400" s="5">
        <v>7399.0</v>
      </c>
      <c r="B7400" s="5" t="s">
        <v>7925</v>
      </c>
      <c r="C7400" s="5" t="s">
        <v>21</v>
      </c>
      <c r="K7400" s="5">
        <v>200.0</v>
      </c>
      <c r="N7400" s="9">
        <v>44771.0</v>
      </c>
    </row>
    <row r="7401">
      <c r="A7401" s="5">
        <v>7400.0</v>
      </c>
      <c r="B7401" s="5" t="s">
        <v>7926</v>
      </c>
      <c r="C7401" s="5" t="s">
        <v>21</v>
      </c>
      <c r="K7401" s="5">
        <v>900.0</v>
      </c>
      <c r="N7401" s="9">
        <v>44549.0</v>
      </c>
    </row>
    <row r="7402">
      <c r="A7402" s="5">
        <v>7401.0</v>
      </c>
      <c r="B7402" s="5" t="s">
        <v>7927</v>
      </c>
      <c r="C7402" s="5" t="s">
        <v>21</v>
      </c>
      <c r="K7402" s="5">
        <v>2700.0</v>
      </c>
      <c r="N7402" s="9">
        <v>44112.0</v>
      </c>
    </row>
    <row r="7403">
      <c r="A7403" s="5">
        <v>7402.0</v>
      </c>
      <c r="B7403" s="5" t="s">
        <v>7928</v>
      </c>
      <c r="C7403" s="5" t="s">
        <v>21</v>
      </c>
      <c r="K7403" s="5">
        <v>20.0</v>
      </c>
      <c r="N7403" s="9">
        <v>44755.0</v>
      </c>
    </row>
    <row r="7404">
      <c r="A7404" s="5">
        <v>7403.0</v>
      </c>
      <c r="B7404" s="5" t="s">
        <v>7929</v>
      </c>
      <c r="C7404" s="5" t="s">
        <v>21</v>
      </c>
      <c r="K7404" s="5">
        <v>600.0</v>
      </c>
      <c r="N7404" s="9">
        <v>44579.0</v>
      </c>
    </row>
    <row r="7405">
      <c r="A7405" s="5">
        <v>7404.0</v>
      </c>
      <c r="B7405" s="5" t="s">
        <v>7930</v>
      </c>
      <c r="C7405" s="5" t="s">
        <v>21</v>
      </c>
      <c r="K7405" s="5">
        <v>400.0</v>
      </c>
      <c r="N7405" s="9">
        <v>44499.0</v>
      </c>
    </row>
    <row r="7406">
      <c r="A7406" s="5">
        <v>7405.0</v>
      </c>
      <c r="B7406" s="5" t="s">
        <v>7931</v>
      </c>
      <c r="C7406" s="5" t="s">
        <v>21</v>
      </c>
      <c r="K7406" s="5">
        <v>1900.0</v>
      </c>
      <c r="N7406" s="9">
        <v>43979.0</v>
      </c>
    </row>
    <row r="7407">
      <c r="A7407" s="5">
        <v>7406.0</v>
      </c>
      <c r="B7407" s="5" t="s">
        <v>7932</v>
      </c>
      <c r="C7407" s="5" t="s">
        <v>21</v>
      </c>
      <c r="K7407" s="5">
        <v>350.0</v>
      </c>
      <c r="N7407" s="9">
        <v>45254.0</v>
      </c>
    </row>
    <row r="7408">
      <c r="A7408" s="5">
        <v>7407.0</v>
      </c>
      <c r="B7408" s="5" t="s">
        <v>7933</v>
      </c>
      <c r="C7408" s="5" t="s">
        <v>21</v>
      </c>
      <c r="K7408" s="5">
        <v>400.0</v>
      </c>
      <c r="N7408" s="9">
        <v>44530.0</v>
      </c>
    </row>
    <row r="7409">
      <c r="A7409" s="5">
        <v>7408.0</v>
      </c>
      <c r="B7409" s="5" t="s">
        <v>7934</v>
      </c>
      <c r="C7409" s="5" t="s">
        <v>21</v>
      </c>
      <c r="K7409" s="5">
        <v>60.0</v>
      </c>
      <c r="N7409" s="9">
        <v>44646.0</v>
      </c>
    </row>
    <row r="7410">
      <c r="A7410" s="5">
        <v>7409.0</v>
      </c>
      <c r="B7410" s="5" t="s">
        <v>7935</v>
      </c>
      <c r="C7410" s="5" t="s">
        <v>21</v>
      </c>
      <c r="K7410" s="5">
        <v>2400.0</v>
      </c>
      <c r="N7410" s="9">
        <v>43854.0</v>
      </c>
    </row>
    <row r="7411">
      <c r="A7411" s="5">
        <v>7410.0</v>
      </c>
      <c r="B7411" s="5" t="s">
        <v>7936</v>
      </c>
      <c r="C7411" s="5" t="s">
        <v>21</v>
      </c>
      <c r="K7411" s="5">
        <v>900.0</v>
      </c>
      <c r="N7411" s="9">
        <v>45306.0</v>
      </c>
    </row>
    <row r="7412">
      <c r="A7412" s="5">
        <v>7411.0</v>
      </c>
      <c r="B7412" s="5" t="s">
        <v>7937</v>
      </c>
      <c r="C7412" s="5" t="s">
        <v>21</v>
      </c>
      <c r="K7412" s="5">
        <v>200.0</v>
      </c>
      <c r="N7412" s="9">
        <v>44527.0</v>
      </c>
    </row>
    <row r="7413">
      <c r="A7413" s="5">
        <v>7412.0</v>
      </c>
      <c r="B7413" s="5" t="s">
        <v>7938</v>
      </c>
      <c r="C7413" s="5" t="s">
        <v>21</v>
      </c>
      <c r="K7413" s="5">
        <v>800.0</v>
      </c>
      <c r="N7413" s="9">
        <v>44381.0</v>
      </c>
    </row>
    <row r="7414">
      <c r="A7414" s="5">
        <v>7413.0</v>
      </c>
      <c r="B7414" s="5" t="s">
        <v>7939</v>
      </c>
      <c r="C7414" s="5" t="s">
        <v>21</v>
      </c>
      <c r="K7414" s="5">
        <v>700.0</v>
      </c>
      <c r="N7414" s="9">
        <v>44612.0</v>
      </c>
    </row>
    <row r="7415">
      <c r="A7415" s="5">
        <v>7414.0</v>
      </c>
      <c r="B7415" s="5" t="s">
        <v>7940</v>
      </c>
      <c r="C7415" s="5" t="s">
        <v>21</v>
      </c>
      <c r="K7415" s="5">
        <v>800.0</v>
      </c>
      <c r="N7415" s="9">
        <v>44241.0</v>
      </c>
    </row>
    <row r="7416">
      <c r="A7416" s="5">
        <v>7415.0</v>
      </c>
      <c r="B7416" s="5" t="s">
        <v>7941</v>
      </c>
      <c r="C7416" s="5" t="s">
        <v>21</v>
      </c>
      <c r="K7416" s="5">
        <v>150.0</v>
      </c>
      <c r="N7416" s="9">
        <v>44795.0</v>
      </c>
    </row>
    <row r="7417">
      <c r="A7417" s="5">
        <v>7416.0</v>
      </c>
      <c r="B7417" s="5" t="s">
        <v>7942</v>
      </c>
      <c r="C7417" s="5" t="s">
        <v>21</v>
      </c>
      <c r="K7417" s="5">
        <v>250.0</v>
      </c>
      <c r="N7417" s="9">
        <v>44719.0</v>
      </c>
    </row>
    <row r="7418">
      <c r="A7418" s="5">
        <v>7417.0</v>
      </c>
      <c r="B7418" s="5" t="s">
        <v>7943</v>
      </c>
      <c r="C7418" s="5" t="s">
        <v>21</v>
      </c>
      <c r="K7418" s="5">
        <v>60.0</v>
      </c>
      <c r="N7418" s="9">
        <v>43985.0</v>
      </c>
    </row>
    <row r="7419">
      <c r="A7419" s="5">
        <v>7418.0</v>
      </c>
      <c r="B7419" s="5" t="s">
        <v>7944</v>
      </c>
      <c r="C7419" s="5" t="s">
        <v>21</v>
      </c>
      <c r="K7419" s="5">
        <v>300.0</v>
      </c>
      <c r="N7419" s="9">
        <v>44528.0</v>
      </c>
    </row>
    <row r="7420">
      <c r="A7420" s="5">
        <v>7419.0</v>
      </c>
      <c r="B7420" s="5" t="s">
        <v>7945</v>
      </c>
      <c r="C7420" s="5" t="s">
        <v>21</v>
      </c>
      <c r="K7420" s="5">
        <v>1600.0</v>
      </c>
      <c r="N7420" s="9">
        <v>44536.0</v>
      </c>
    </row>
    <row r="7421">
      <c r="A7421" s="5">
        <v>7420.0</v>
      </c>
      <c r="B7421" s="5" t="s">
        <v>7946</v>
      </c>
      <c r="C7421" s="5" t="s">
        <v>21</v>
      </c>
      <c r="K7421" s="5">
        <v>250.0</v>
      </c>
      <c r="N7421" s="9">
        <v>44560.0</v>
      </c>
    </row>
    <row r="7422">
      <c r="A7422" s="5">
        <v>7421.0</v>
      </c>
      <c r="B7422" s="5" t="s">
        <v>7947</v>
      </c>
      <c r="C7422" s="5" t="s">
        <v>21</v>
      </c>
      <c r="K7422" s="5">
        <v>700.0</v>
      </c>
      <c r="N7422" s="9">
        <v>44544.0</v>
      </c>
    </row>
    <row r="7423">
      <c r="A7423" s="5">
        <v>7422.0</v>
      </c>
      <c r="B7423" s="5" t="s">
        <v>7948</v>
      </c>
      <c r="C7423" s="5" t="s">
        <v>21</v>
      </c>
      <c r="K7423" s="5">
        <v>50.0</v>
      </c>
      <c r="N7423" s="9">
        <v>44394.0</v>
      </c>
    </row>
    <row r="7424">
      <c r="A7424" s="5">
        <v>7423.0</v>
      </c>
      <c r="B7424" s="5" t="s">
        <v>7949</v>
      </c>
      <c r="C7424" s="5" t="s">
        <v>21</v>
      </c>
      <c r="K7424" s="5">
        <v>200.0</v>
      </c>
      <c r="N7424" s="9">
        <v>45655.0</v>
      </c>
    </row>
    <row r="7425">
      <c r="A7425" s="5">
        <v>7424.0</v>
      </c>
      <c r="B7425" s="5" t="s">
        <v>7950</v>
      </c>
      <c r="C7425" s="5" t="s">
        <v>21</v>
      </c>
      <c r="K7425" s="5">
        <v>80.0</v>
      </c>
      <c r="N7425" s="9">
        <v>44397.0</v>
      </c>
    </row>
    <row r="7426">
      <c r="A7426" s="5">
        <v>7425.0</v>
      </c>
      <c r="B7426" s="5" t="s">
        <v>7951</v>
      </c>
      <c r="C7426" s="5" t="s">
        <v>21</v>
      </c>
      <c r="K7426" s="5">
        <v>900.0</v>
      </c>
      <c r="N7426" s="9">
        <v>44583.0</v>
      </c>
    </row>
    <row r="7427">
      <c r="A7427" s="5">
        <v>7426.0</v>
      </c>
      <c r="B7427" s="5" t="s">
        <v>7952</v>
      </c>
      <c r="C7427" s="5" t="s">
        <v>21</v>
      </c>
      <c r="K7427" s="5">
        <v>60.0</v>
      </c>
      <c r="N7427" s="9">
        <v>44527.0</v>
      </c>
    </row>
    <row r="7428">
      <c r="A7428" s="5">
        <v>7427.0</v>
      </c>
      <c r="B7428" s="5" t="s">
        <v>7953</v>
      </c>
      <c r="C7428" s="5" t="s">
        <v>21</v>
      </c>
      <c r="K7428" s="5">
        <v>150.0</v>
      </c>
      <c r="N7428" s="9">
        <v>44648.0</v>
      </c>
    </row>
    <row r="7429">
      <c r="A7429" s="5">
        <v>7428.0</v>
      </c>
      <c r="B7429" s="5" t="s">
        <v>7954</v>
      </c>
      <c r="C7429" s="5" t="s">
        <v>21</v>
      </c>
      <c r="K7429" s="5">
        <v>300.0</v>
      </c>
      <c r="N7429" s="9">
        <v>45544.0</v>
      </c>
    </row>
    <row r="7430">
      <c r="A7430" s="5">
        <v>7429.0</v>
      </c>
      <c r="B7430" s="5" t="s">
        <v>7955</v>
      </c>
      <c r="C7430" s="5" t="s">
        <v>21</v>
      </c>
      <c r="K7430" s="5">
        <v>300.0</v>
      </c>
      <c r="N7430" s="9">
        <v>45284.0</v>
      </c>
    </row>
    <row r="7431">
      <c r="A7431" s="5">
        <v>7430.0</v>
      </c>
      <c r="B7431" s="5" t="s">
        <v>7956</v>
      </c>
      <c r="C7431" s="5" t="s">
        <v>21</v>
      </c>
      <c r="K7431" s="5">
        <v>400.0</v>
      </c>
      <c r="N7431" s="9">
        <v>45498.0</v>
      </c>
    </row>
    <row r="7432">
      <c r="A7432" s="5">
        <v>7431.0</v>
      </c>
      <c r="B7432" s="5" t="s">
        <v>7957</v>
      </c>
      <c r="C7432" s="5" t="s">
        <v>21</v>
      </c>
      <c r="K7432" s="5">
        <v>4400.0</v>
      </c>
      <c r="N7432" s="9">
        <v>43848.0</v>
      </c>
    </row>
    <row r="7433">
      <c r="A7433" s="5">
        <v>7432.0</v>
      </c>
      <c r="B7433" s="5" t="s">
        <v>7958</v>
      </c>
      <c r="C7433" s="5" t="s">
        <v>21</v>
      </c>
      <c r="K7433" s="5">
        <v>2700.0</v>
      </c>
      <c r="N7433" s="9">
        <v>44537.0</v>
      </c>
    </row>
    <row r="7434">
      <c r="A7434" s="5">
        <v>7433.0</v>
      </c>
      <c r="B7434" s="5" t="s">
        <v>7959</v>
      </c>
      <c r="C7434" s="5" t="s">
        <v>21</v>
      </c>
      <c r="K7434" s="5">
        <v>500.0</v>
      </c>
      <c r="N7434" s="9">
        <v>45025.0</v>
      </c>
    </row>
    <row r="7435">
      <c r="A7435" s="5">
        <v>7434.0</v>
      </c>
      <c r="B7435" s="5" t="s">
        <v>7960</v>
      </c>
      <c r="C7435" s="5" t="s">
        <v>21</v>
      </c>
      <c r="K7435" s="5">
        <v>70.0</v>
      </c>
      <c r="N7435" s="9">
        <v>44762.0</v>
      </c>
    </row>
    <row r="7436">
      <c r="A7436" s="5">
        <v>7435.0</v>
      </c>
      <c r="B7436" s="5" t="s">
        <v>270</v>
      </c>
      <c r="C7436" s="5" t="s">
        <v>21</v>
      </c>
      <c r="K7436" s="5">
        <v>3700.0</v>
      </c>
      <c r="N7436" s="9">
        <v>44565.0</v>
      </c>
    </row>
    <row r="7437">
      <c r="A7437" s="5">
        <v>7436.0</v>
      </c>
      <c r="B7437" s="5" t="s">
        <v>7961</v>
      </c>
      <c r="C7437" s="5" t="s">
        <v>21</v>
      </c>
      <c r="K7437" s="5">
        <v>2200.0</v>
      </c>
      <c r="N7437" s="9">
        <v>44178.0</v>
      </c>
    </row>
    <row r="7438">
      <c r="A7438" s="5">
        <v>7437.0</v>
      </c>
      <c r="B7438" s="5" t="s">
        <v>7962</v>
      </c>
      <c r="C7438" s="5" t="s">
        <v>21</v>
      </c>
      <c r="K7438" s="5">
        <v>400.0</v>
      </c>
      <c r="N7438" s="9">
        <v>44254.0</v>
      </c>
    </row>
    <row r="7439">
      <c r="A7439" s="5">
        <v>7438.0</v>
      </c>
      <c r="B7439" s="5" t="s">
        <v>7963</v>
      </c>
      <c r="C7439" s="5" t="s">
        <v>21</v>
      </c>
      <c r="K7439" s="5">
        <v>700.0</v>
      </c>
      <c r="N7439" s="9">
        <v>44264.0</v>
      </c>
    </row>
    <row r="7440">
      <c r="A7440" s="5">
        <v>7439.0</v>
      </c>
      <c r="B7440" s="5" t="s">
        <v>243</v>
      </c>
      <c r="C7440" s="5" t="s">
        <v>21</v>
      </c>
      <c r="N7440" s="9">
        <v>44448.0</v>
      </c>
    </row>
    <row r="7441">
      <c r="A7441" s="5">
        <v>7440.0</v>
      </c>
      <c r="B7441" s="5" t="s">
        <v>7964</v>
      </c>
      <c r="C7441" s="5" t="s">
        <v>21</v>
      </c>
      <c r="K7441" s="5">
        <v>600.0</v>
      </c>
      <c r="N7441" s="9">
        <v>45681.0</v>
      </c>
    </row>
    <row r="7442">
      <c r="A7442" s="5">
        <v>7441.0</v>
      </c>
      <c r="B7442" s="5" t="s">
        <v>7965</v>
      </c>
      <c r="C7442" s="5" t="s">
        <v>21</v>
      </c>
      <c r="K7442" s="5">
        <v>800.0</v>
      </c>
      <c r="N7442" s="9">
        <v>44997.0</v>
      </c>
    </row>
    <row r="7443">
      <c r="A7443" s="5">
        <v>7442.0</v>
      </c>
      <c r="B7443" s="5" t="s">
        <v>7966</v>
      </c>
      <c r="C7443" s="5" t="s">
        <v>21</v>
      </c>
      <c r="K7443" s="5">
        <v>400.0</v>
      </c>
      <c r="N7443" s="9">
        <v>44547.0</v>
      </c>
    </row>
    <row r="7444">
      <c r="A7444" s="5">
        <v>7443.0</v>
      </c>
      <c r="B7444" s="5" t="s">
        <v>7967</v>
      </c>
      <c r="C7444" s="5" t="s">
        <v>21</v>
      </c>
      <c r="K7444" s="5">
        <v>200.0</v>
      </c>
      <c r="N7444" s="9">
        <v>44583.0</v>
      </c>
    </row>
    <row r="7445">
      <c r="A7445" s="5">
        <v>7444.0</v>
      </c>
      <c r="B7445" s="5" t="s">
        <v>7968</v>
      </c>
      <c r="C7445" s="5" t="s">
        <v>21</v>
      </c>
      <c r="K7445" s="5">
        <v>300.0</v>
      </c>
      <c r="N7445" s="9">
        <v>44964.0</v>
      </c>
    </row>
    <row r="7446">
      <c r="A7446" s="5">
        <v>7445.0</v>
      </c>
      <c r="B7446" s="5" t="s">
        <v>7969</v>
      </c>
      <c r="C7446" s="5" t="s">
        <v>21</v>
      </c>
      <c r="N7446" s="9">
        <v>44704.0</v>
      </c>
    </row>
    <row r="7447">
      <c r="A7447" s="5">
        <v>7446.0</v>
      </c>
      <c r="B7447" s="5" t="s">
        <v>7970</v>
      </c>
      <c r="C7447" s="5" t="s">
        <v>21</v>
      </c>
      <c r="K7447" s="5">
        <v>900.0</v>
      </c>
      <c r="N7447" s="9">
        <v>44674.0</v>
      </c>
    </row>
    <row r="7448">
      <c r="A7448" s="5">
        <v>7447.0</v>
      </c>
      <c r="B7448" s="5" t="s">
        <v>7971</v>
      </c>
      <c r="C7448" s="5" t="s">
        <v>21</v>
      </c>
      <c r="K7448" s="5">
        <v>30.0</v>
      </c>
      <c r="N7448" s="9">
        <v>44575.0</v>
      </c>
    </row>
    <row r="7449">
      <c r="A7449" s="5">
        <v>7448.0</v>
      </c>
      <c r="B7449" s="5" t="s">
        <v>7972</v>
      </c>
      <c r="C7449" s="5" t="s">
        <v>21</v>
      </c>
      <c r="K7449" s="5">
        <v>800.0</v>
      </c>
      <c r="N7449" s="9">
        <v>45164.0</v>
      </c>
    </row>
    <row r="7450">
      <c r="A7450" s="5">
        <v>7449.0</v>
      </c>
      <c r="B7450" s="5" t="s">
        <v>7973</v>
      </c>
      <c r="C7450" s="5" t="s">
        <v>21</v>
      </c>
      <c r="K7450" s="5">
        <v>90.0</v>
      </c>
      <c r="N7450" s="9">
        <v>44721.0</v>
      </c>
    </row>
    <row r="7451">
      <c r="A7451" s="5">
        <v>7450.0</v>
      </c>
      <c r="B7451" s="5" t="s">
        <v>7974</v>
      </c>
      <c r="C7451" s="5" t="s">
        <v>21</v>
      </c>
      <c r="K7451" s="5">
        <v>900.0</v>
      </c>
      <c r="N7451" s="9">
        <v>44576.0</v>
      </c>
    </row>
    <row r="7452">
      <c r="A7452" s="5">
        <v>7451.0</v>
      </c>
      <c r="B7452" s="5" t="s">
        <v>7975</v>
      </c>
      <c r="C7452" s="5" t="s">
        <v>21</v>
      </c>
      <c r="K7452" s="5">
        <v>2300.0</v>
      </c>
      <c r="N7452" s="9">
        <v>44530.0</v>
      </c>
    </row>
    <row r="7453">
      <c r="A7453" s="5">
        <v>7452.0</v>
      </c>
      <c r="B7453" s="5" t="s">
        <v>7976</v>
      </c>
      <c r="C7453" s="5" t="s">
        <v>21</v>
      </c>
      <c r="K7453" s="5">
        <v>350.0</v>
      </c>
      <c r="N7453" s="9">
        <v>43870.0</v>
      </c>
    </row>
    <row r="7454">
      <c r="A7454" s="5">
        <v>7453.0</v>
      </c>
      <c r="B7454" s="5" t="s">
        <v>7977</v>
      </c>
      <c r="C7454" s="5" t="s">
        <v>21</v>
      </c>
      <c r="K7454" s="5">
        <v>90.0</v>
      </c>
      <c r="N7454" s="9">
        <v>45876.0</v>
      </c>
    </row>
    <row r="7455">
      <c r="A7455" s="5">
        <v>7454.0</v>
      </c>
      <c r="B7455" s="5" t="s">
        <v>7978</v>
      </c>
      <c r="C7455" s="5" t="s">
        <v>21</v>
      </c>
      <c r="N7455" s="9">
        <v>44584.0</v>
      </c>
    </row>
    <row r="7456">
      <c r="A7456" s="5">
        <v>7455.0</v>
      </c>
      <c r="B7456" s="5" t="s">
        <v>7979</v>
      </c>
      <c r="C7456" s="5" t="s">
        <v>21</v>
      </c>
      <c r="K7456" s="5">
        <v>900.0</v>
      </c>
      <c r="N7456" s="9">
        <v>43887.0</v>
      </c>
    </row>
    <row r="7457">
      <c r="A7457" s="5">
        <v>7456.0</v>
      </c>
      <c r="B7457" s="5" t="s">
        <v>7980</v>
      </c>
      <c r="C7457" s="5" t="s">
        <v>21</v>
      </c>
      <c r="K7457" s="5">
        <v>2800.0</v>
      </c>
      <c r="N7457" s="9">
        <v>44347.0</v>
      </c>
    </row>
    <row r="7458">
      <c r="A7458" s="5">
        <v>7457.0</v>
      </c>
      <c r="B7458" s="5" t="s">
        <v>7981</v>
      </c>
      <c r="C7458" s="5" t="s">
        <v>21</v>
      </c>
      <c r="K7458" s="5">
        <v>800.0</v>
      </c>
      <c r="N7458" s="9">
        <v>44326.0</v>
      </c>
    </row>
    <row r="7459">
      <c r="A7459" s="5">
        <v>7458.0</v>
      </c>
      <c r="B7459" s="5" t="s">
        <v>7982</v>
      </c>
      <c r="C7459" s="5" t="s">
        <v>21</v>
      </c>
      <c r="K7459" s="5">
        <v>40.0</v>
      </c>
      <c r="N7459" s="9">
        <v>44946.0</v>
      </c>
    </row>
    <row r="7460">
      <c r="A7460" s="5">
        <v>7459.0</v>
      </c>
      <c r="B7460" s="5" t="s">
        <v>244</v>
      </c>
      <c r="C7460" s="5" t="s">
        <v>21</v>
      </c>
      <c r="K7460" s="5">
        <v>300.0</v>
      </c>
      <c r="N7460" s="9">
        <v>44641.0</v>
      </c>
    </row>
    <row r="7461">
      <c r="A7461" s="5">
        <v>7460.0</v>
      </c>
      <c r="B7461" s="5" t="s">
        <v>7983</v>
      </c>
      <c r="C7461" s="5" t="s">
        <v>21</v>
      </c>
      <c r="K7461" s="5">
        <v>150.0</v>
      </c>
      <c r="N7461" s="9">
        <v>43952.0</v>
      </c>
    </row>
    <row r="7462">
      <c r="A7462" s="5">
        <v>7461.0</v>
      </c>
      <c r="B7462" s="5" t="s">
        <v>7984</v>
      </c>
      <c r="C7462" s="5" t="s">
        <v>21</v>
      </c>
      <c r="K7462" s="5">
        <v>60.0</v>
      </c>
      <c r="N7462" s="9">
        <v>44598.0</v>
      </c>
    </row>
    <row r="7463">
      <c r="A7463" s="5">
        <v>7462.0</v>
      </c>
      <c r="B7463" s="5" t="s">
        <v>7985</v>
      </c>
      <c r="C7463" s="5" t="s">
        <v>21</v>
      </c>
      <c r="K7463" s="5">
        <v>20.0</v>
      </c>
      <c r="N7463" s="9">
        <v>44799.0</v>
      </c>
    </row>
    <row r="7464">
      <c r="A7464" s="5">
        <v>7463.0</v>
      </c>
      <c r="B7464" s="5" t="s">
        <v>7986</v>
      </c>
      <c r="C7464" s="5" t="s">
        <v>21</v>
      </c>
      <c r="K7464" s="5">
        <v>150.0</v>
      </c>
      <c r="N7464" s="9">
        <v>44626.0</v>
      </c>
    </row>
    <row r="7465">
      <c r="A7465" s="5">
        <v>7464.0</v>
      </c>
      <c r="B7465" s="5" t="s">
        <v>7987</v>
      </c>
      <c r="C7465" s="5" t="s">
        <v>21</v>
      </c>
      <c r="K7465" s="5">
        <v>400.0</v>
      </c>
      <c r="N7465" s="9">
        <v>44350.0</v>
      </c>
    </row>
    <row r="7466">
      <c r="A7466" s="5">
        <v>7465.0</v>
      </c>
      <c r="B7466" s="5" t="s">
        <v>7988</v>
      </c>
      <c r="C7466" s="5" t="s">
        <v>21</v>
      </c>
      <c r="K7466" s="5">
        <v>30.0</v>
      </c>
      <c r="N7466" s="9">
        <v>45051.0</v>
      </c>
    </row>
    <row r="7467">
      <c r="A7467" s="5">
        <v>7466.0</v>
      </c>
      <c r="B7467" s="5" t="s">
        <v>7989</v>
      </c>
      <c r="C7467" s="5" t="s">
        <v>21</v>
      </c>
      <c r="K7467" s="5">
        <v>350.0</v>
      </c>
      <c r="N7467" s="9">
        <v>44812.0</v>
      </c>
    </row>
    <row r="7468">
      <c r="A7468" s="5">
        <v>7467.0</v>
      </c>
      <c r="B7468" s="5" t="s">
        <v>7990</v>
      </c>
      <c r="C7468" s="5" t="s">
        <v>21</v>
      </c>
      <c r="K7468" s="5">
        <v>400.0</v>
      </c>
      <c r="N7468" s="9">
        <v>44330.0</v>
      </c>
    </row>
    <row r="7469">
      <c r="A7469" s="5">
        <v>7468.0</v>
      </c>
      <c r="B7469" s="5" t="s">
        <v>7991</v>
      </c>
      <c r="C7469" s="5" t="s">
        <v>21</v>
      </c>
      <c r="N7469" s="9">
        <v>44529.0</v>
      </c>
    </row>
    <row r="7470">
      <c r="A7470" s="5">
        <v>7469.0</v>
      </c>
      <c r="B7470" s="5" t="s">
        <v>7992</v>
      </c>
      <c r="C7470" s="5" t="s">
        <v>21</v>
      </c>
      <c r="K7470" s="5">
        <v>200.0</v>
      </c>
      <c r="N7470" s="9">
        <v>44537.0</v>
      </c>
    </row>
    <row r="7471">
      <c r="A7471" s="5">
        <v>7470.0</v>
      </c>
      <c r="B7471" s="5" t="s">
        <v>7993</v>
      </c>
      <c r="C7471" s="5" t="s">
        <v>21</v>
      </c>
      <c r="K7471" s="5">
        <v>100.0</v>
      </c>
      <c r="N7471" s="9">
        <v>44332.0</v>
      </c>
    </row>
    <row r="7472">
      <c r="A7472" s="5">
        <v>7471.0</v>
      </c>
      <c r="B7472" s="5" t="s">
        <v>7994</v>
      </c>
      <c r="C7472" s="5" t="s">
        <v>21</v>
      </c>
      <c r="K7472" s="5">
        <v>300.0</v>
      </c>
      <c r="N7472" s="9">
        <v>44655.0</v>
      </c>
    </row>
    <row r="7473">
      <c r="A7473" s="5">
        <v>7472.0</v>
      </c>
      <c r="B7473" s="5" t="s">
        <v>7995</v>
      </c>
      <c r="C7473" s="5" t="s">
        <v>21</v>
      </c>
      <c r="K7473" s="5">
        <v>400.0</v>
      </c>
      <c r="N7473" s="9">
        <v>43866.0</v>
      </c>
    </row>
    <row r="7474">
      <c r="A7474" s="5">
        <v>7473.0</v>
      </c>
      <c r="B7474" s="5" t="s">
        <v>7996</v>
      </c>
      <c r="C7474" s="5" t="s">
        <v>21</v>
      </c>
      <c r="K7474" s="5">
        <v>1100.0</v>
      </c>
      <c r="N7474" s="9">
        <v>42827.0</v>
      </c>
    </row>
    <row r="7475">
      <c r="A7475" s="5">
        <v>7474.0</v>
      </c>
      <c r="B7475" s="5" t="s">
        <v>7997</v>
      </c>
      <c r="C7475" s="5" t="s">
        <v>21</v>
      </c>
      <c r="K7475" s="5">
        <v>200.0</v>
      </c>
      <c r="N7475" s="9">
        <v>45529.0</v>
      </c>
    </row>
    <row r="7476">
      <c r="A7476" s="5">
        <v>7475.0</v>
      </c>
      <c r="B7476" s="5" t="s">
        <v>7998</v>
      </c>
      <c r="C7476" s="5" t="s">
        <v>21</v>
      </c>
      <c r="K7476" s="5">
        <v>250.0</v>
      </c>
      <c r="N7476" s="9">
        <v>43938.0</v>
      </c>
    </row>
    <row r="7477">
      <c r="A7477" s="5">
        <v>7476.0</v>
      </c>
      <c r="B7477" s="5" t="s">
        <v>7999</v>
      </c>
      <c r="C7477" s="5" t="s">
        <v>21</v>
      </c>
      <c r="K7477" s="5">
        <v>500.0</v>
      </c>
      <c r="N7477" s="9">
        <v>45154.0</v>
      </c>
    </row>
    <row r="7478">
      <c r="A7478" s="5">
        <v>7477.0</v>
      </c>
      <c r="B7478" s="5" t="s">
        <v>8000</v>
      </c>
      <c r="C7478" s="5" t="s">
        <v>21</v>
      </c>
      <c r="K7478" s="5">
        <v>150.0</v>
      </c>
      <c r="N7478" s="9">
        <v>43957.0</v>
      </c>
    </row>
    <row r="7479">
      <c r="A7479" s="5">
        <v>7478.0</v>
      </c>
      <c r="B7479" s="5" t="s">
        <v>8001</v>
      </c>
      <c r="C7479" s="5" t="s">
        <v>21</v>
      </c>
      <c r="K7479" s="5">
        <v>400.0</v>
      </c>
      <c r="N7479" s="9">
        <v>44295.0</v>
      </c>
    </row>
    <row r="7480">
      <c r="A7480" s="5">
        <v>7479.0</v>
      </c>
      <c r="B7480" s="5" t="s">
        <v>8002</v>
      </c>
      <c r="C7480" s="5" t="s">
        <v>21</v>
      </c>
      <c r="N7480" s="9">
        <v>45053.0</v>
      </c>
    </row>
    <row r="7481">
      <c r="A7481" s="5">
        <v>7480.0</v>
      </c>
      <c r="B7481" s="5" t="s">
        <v>8003</v>
      </c>
      <c r="C7481" s="5" t="s">
        <v>21</v>
      </c>
      <c r="N7481" s="9">
        <v>44250.0</v>
      </c>
    </row>
    <row r="7482">
      <c r="A7482" s="5">
        <v>7481.0</v>
      </c>
      <c r="B7482" s="5" t="s">
        <v>8004</v>
      </c>
      <c r="C7482" s="5" t="s">
        <v>21</v>
      </c>
      <c r="K7482" s="5">
        <v>300.0</v>
      </c>
      <c r="N7482" s="9">
        <v>44537.0</v>
      </c>
    </row>
    <row r="7483">
      <c r="A7483" s="5">
        <v>7482.0</v>
      </c>
      <c r="B7483" s="5" t="s">
        <v>8005</v>
      </c>
      <c r="C7483" s="5" t="s">
        <v>21</v>
      </c>
      <c r="K7483" s="5">
        <v>600.0</v>
      </c>
      <c r="N7483" s="9">
        <v>44751.0</v>
      </c>
    </row>
    <row r="7484">
      <c r="A7484" s="5">
        <v>7483.0</v>
      </c>
      <c r="B7484" s="5" t="s">
        <v>8006</v>
      </c>
      <c r="C7484" s="5" t="s">
        <v>21</v>
      </c>
      <c r="K7484" s="5">
        <v>600.0</v>
      </c>
      <c r="N7484" s="9">
        <v>44577.0</v>
      </c>
    </row>
    <row r="7485">
      <c r="A7485" s="5">
        <v>7484.0</v>
      </c>
      <c r="B7485" s="5" t="s">
        <v>8007</v>
      </c>
      <c r="C7485" s="5" t="s">
        <v>21</v>
      </c>
      <c r="K7485" s="5">
        <v>400.0</v>
      </c>
      <c r="N7485" s="9">
        <v>44528.0</v>
      </c>
    </row>
    <row r="7486">
      <c r="A7486" s="5">
        <v>7485.0</v>
      </c>
      <c r="B7486" s="5" t="s">
        <v>8008</v>
      </c>
      <c r="C7486" s="5" t="s">
        <v>21</v>
      </c>
      <c r="K7486" s="5">
        <v>3000.0</v>
      </c>
      <c r="N7486" s="9">
        <v>45380.0</v>
      </c>
    </row>
    <row r="7487">
      <c r="A7487" s="5">
        <v>7486.0</v>
      </c>
      <c r="B7487" s="5" t="s">
        <v>8009</v>
      </c>
      <c r="C7487" s="5" t="s">
        <v>21</v>
      </c>
      <c r="N7487" s="9">
        <v>44668.0</v>
      </c>
    </row>
    <row r="7488">
      <c r="A7488" s="5">
        <v>7487.0</v>
      </c>
      <c r="B7488" s="5" t="s">
        <v>8010</v>
      </c>
      <c r="C7488" s="5" t="s">
        <v>21</v>
      </c>
      <c r="N7488" s="9">
        <v>44915.0</v>
      </c>
    </row>
    <row r="7489">
      <c r="A7489" s="5">
        <v>7488.0</v>
      </c>
      <c r="B7489" s="5" t="s">
        <v>8011</v>
      </c>
      <c r="C7489" s="5" t="s">
        <v>21</v>
      </c>
      <c r="K7489" s="5">
        <v>500.0</v>
      </c>
      <c r="N7489" s="9">
        <v>45280.0</v>
      </c>
    </row>
    <row r="7490">
      <c r="A7490" s="5">
        <v>7489.0</v>
      </c>
      <c r="B7490" s="5" t="s">
        <v>8012</v>
      </c>
      <c r="C7490" s="5" t="s">
        <v>21</v>
      </c>
      <c r="K7490" s="5">
        <v>600.0</v>
      </c>
      <c r="N7490" s="9">
        <v>43959.0</v>
      </c>
    </row>
    <row r="7491">
      <c r="A7491" s="5">
        <v>7490.0</v>
      </c>
      <c r="B7491" s="5" t="s">
        <v>8013</v>
      </c>
      <c r="C7491" s="5" t="s">
        <v>21</v>
      </c>
      <c r="K7491" s="5">
        <v>300.0</v>
      </c>
      <c r="N7491" s="9">
        <v>44098.0</v>
      </c>
    </row>
    <row r="7492">
      <c r="A7492" s="5">
        <v>7491.0</v>
      </c>
      <c r="B7492" s="5" t="s">
        <v>8014</v>
      </c>
      <c r="C7492" s="5" t="s">
        <v>21</v>
      </c>
      <c r="K7492" s="5">
        <v>350.0</v>
      </c>
      <c r="N7492" s="9">
        <v>44562.0</v>
      </c>
    </row>
    <row r="7493">
      <c r="A7493" s="5">
        <v>7492.0</v>
      </c>
      <c r="B7493" s="5" t="s">
        <v>8015</v>
      </c>
      <c r="C7493" s="5" t="s">
        <v>21</v>
      </c>
      <c r="K7493" s="5">
        <v>1800.0</v>
      </c>
      <c r="N7493" s="9">
        <v>44059.0</v>
      </c>
    </row>
    <row r="7494">
      <c r="A7494" s="5">
        <v>7493.0</v>
      </c>
      <c r="B7494" s="5" t="s">
        <v>8016</v>
      </c>
      <c r="C7494" s="5" t="s">
        <v>21</v>
      </c>
      <c r="K7494" s="5">
        <v>150.0</v>
      </c>
      <c r="N7494" s="9">
        <v>44267.0</v>
      </c>
    </row>
    <row r="7495">
      <c r="A7495" s="5">
        <v>7494.0</v>
      </c>
      <c r="B7495" s="5" t="s">
        <v>8017</v>
      </c>
      <c r="C7495" s="5" t="s">
        <v>21</v>
      </c>
      <c r="K7495" s="5">
        <v>150.0</v>
      </c>
      <c r="N7495" s="9">
        <v>44595.0</v>
      </c>
    </row>
    <row r="7496">
      <c r="A7496" s="5">
        <v>7495.0</v>
      </c>
      <c r="B7496" s="5" t="s">
        <v>8018</v>
      </c>
      <c r="C7496" s="5" t="s">
        <v>21</v>
      </c>
      <c r="K7496" s="5">
        <v>80.0</v>
      </c>
      <c r="N7496" s="9">
        <v>44925.0</v>
      </c>
    </row>
    <row r="7497">
      <c r="A7497" s="5">
        <v>7496.0</v>
      </c>
      <c r="B7497" s="5" t="s">
        <v>8019</v>
      </c>
      <c r="C7497" s="5" t="s">
        <v>21</v>
      </c>
      <c r="K7497" s="5">
        <v>700.0</v>
      </c>
      <c r="N7497" s="9">
        <v>44309.0</v>
      </c>
    </row>
    <row r="7498">
      <c r="A7498" s="5">
        <v>7497.0</v>
      </c>
      <c r="B7498" s="5" t="s">
        <v>8020</v>
      </c>
      <c r="C7498" s="5" t="s">
        <v>21</v>
      </c>
      <c r="K7498" s="5">
        <v>100.0</v>
      </c>
      <c r="N7498" s="9">
        <v>45002.0</v>
      </c>
    </row>
    <row r="7499">
      <c r="A7499" s="5">
        <v>7498.0</v>
      </c>
      <c r="B7499" s="5" t="s">
        <v>8021</v>
      </c>
      <c r="C7499" s="5" t="s">
        <v>21</v>
      </c>
      <c r="K7499" s="5">
        <v>500.0</v>
      </c>
      <c r="N7499" s="9">
        <v>44652.0</v>
      </c>
    </row>
    <row r="7500">
      <c r="A7500" s="5">
        <v>7499.0</v>
      </c>
      <c r="B7500" s="5" t="s">
        <v>8022</v>
      </c>
      <c r="C7500" s="5" t="s">
        <v>21</v>
      </c>
      <c r="K7500" s="5">
        <v>200.0</v>
      </c>
      <c r="N7500" s="9">
        <v>44354.0</v>
      </c>
    </row>
    <row r="7501">
      <c r="A7501" s="5">
        <v>7500.0</v>
      </c>
      <c r="B7501" s="5" t="s">
        <v>8023</v>
      </c>
      <c r="C7501" s="5" t="s">
        <v>21</v>
      </c>
      <c r="K7501" s="5">
        <v>150.0</v>
      </c>
      <c r="N7501" s="9">
        <v>44472.0</v>
      </c>
    </row>
    <row r="7502">
      <c r="A7502" s="5">
        <v>7501.0</v>
      </c>
      <c r="B7502" s="5" t="s">
        <v>8024</v>
      </c>
      <c r="C7502" s="5" t="s">
        <v>21</v>
      </c>
      <c r="K7502" s="5">
        <v>700.0</v>
      </c>
      <c r="N7502" s="9">
        <v>44432.0</v>
      </c>
    </row>
    <row r="7503">
      <c r="A7503" s="5">
        <v>7502.0</v>
      </c>
      <c r="B7503" s="5" t="s">
        <v>8025</v>
      </c>
      <c r="C7503" s="5" t="s">
        <v>21</v>
      </c>
      <c r="K7503" s="5">
        <v>70.0</v>
      </c>
      <c r="N7503" s="9">
        <v>44752.0</v>
      </c>
    </row>
    <row r="7504">
      <c r="A7504" s="5">
        <v>7503.0</v>
      </c>
      <c r="B7504" s="5" t="s">
        <v>8026</v>
      </c>
      <c r="C7504" s="5" t="s">
        <v>21</v>
      </c>
      <c r="K7504" s="5">
        <v>50.0</v>
      </c>
      <c r="N7504" s="9">
        <v>44646.0</v>
      </c>
    </row>
    <row r="7505">
      <c r="A7505" s="5">
        <v>7504.0</v>
      </c>
      <c r="B7505" s="5" t="s">
        <v>8027</v>
      </c>
      <c r="C7505" s="5" t="s">
        <v>21</v>
      </c>
      <c r="K7505" s="5">
        <v>300.0</v>
      </c>
      <c r="N7505" s="9">
        <v>45328.0</v>
      </c>
    </row>
    <row r="7506">
      <c r="A7506" s="5">
        <v>7505.0</v>
      </c>
      <c r="B7506" s="5" t="s">
        <v>8028</v>
      </c>
      <c r="C7506" s="5" t="s">
        <v>21</v>
      </c>
      <c r="K7506" s="5">
        <v>700.0</v>
      </c>
      <c r="N7506" s="9">
        <v>44561.0</v>
      </c>
    </row>
    <row r="7507">
      <c r="A7507" s="5">
        <v>7506.0</v>
      </c>
      <c r="B7507" s="5" t="s">
        <v>8029</v>
      </c>
      <c r="C7507" s="5" t="s">
        <v>21</v>
      </c>
      <c r="K7507" s="5">
        <v>500.0</v>
      </c>
      <c r="N7507" s="9">
        <v>45138.0</v>
      </c>
    </row>
    <row r="7508">
      <c r="A7508" s="5">
        <v>7507.0</v>
      </c>
      <c r="B7508" s="5" t="s">
        <v>8030</v>
      </c>
      <c r="C7508" s="5" t="s">
        <v>21</v>
      </c>
      <c r="K7508" s="5">
        <v>1700.0</v>
      </c>
      <c r="N7508" s="9">
        <v>45097.0</v>
      </c>
    </row>
    <row r="7509">
      <c r="A7509" s="5">
        <v>7508.0</v>
      </c>
      <c r="B7509" s="5" t="s">
        <v>8031</v>
      </c>
      <c r="C7509" s="5" t="s">
        <v>21</v>
      </c>
      <c r="K7509" s="5">
        <v>200.0</v>
      </c>
      <c r="N7509" s="9">
        <v>45040.0</v>
      </c>
    </row>
    <row r="7510">
      <c r="A7510" s="5">
        <v>7509.0</v>
      </c>
      <c r="B7510" s="5" t="s">
        <v>8032</v>
      </c>
      <c r="C7510" s="5" t="s">
        <v>21</v>
      </c>
      <c r="K7510" s="5">
        <v>300.0</v>
      </c>
      <c r="N7510" s="9">
        <v>43874.0</v>
      </c>
    </row>
    <row r="7511">
      <c r="A7511" s="5">
        <v>7510.0</v>
      </c>
      <c r="B7511" s="5" t="s">
        <v>8033</v>
      </c>
      <c r="C7511" s="5" t="s">
        <v>21</v>
      </c>
      <c r="K7511" s="5">
        <v>70.0</v>
      </c>
      <c r="N7511" s="9">
        <v>44378.0</v>
      </c>
    </row>
    <row r="7512">
      <c r="A7512" s="5">
        <v>7511.0</v>
      </c>
      <c r="B7512" s="5" t="s">
        <v>8034</v>
      </c>
      <c r="C7512" s="5" t="s">
        <v>21</v>
      </c>
      <c r="K7512" s="5">
        <v>30.0</v>
      </c>
      <c r="N7512" s="9">
        <v>44528.0</v>
      </c>
    </row>
    <row r="7513">
      <c r="A7513" s="5">
        <v>7512.0</v>
      </c>
      <c r="B7513" s="5" t="s">
        <v>8035</v>
      </c>
      <c r="C7513" s="5" t="s">
        <v>21</v>
      </c>
      <c r="K7513" s="5">
        <v>900.0</v>
      </c>
      <c r="N7513" s="9">
        <v>44575.0</v>
      </c>
    </row>
    <row r="7514">
      <c r="A7514" s="5">
        <v>7513.0</v>
      </c>
      <c r="B7514" s="5" t="s">
        <v>8036</v>
      </c>
      <c r="C7514" s="5" t="s">
        <v>21</v>
      </c>
      <c r="N7514" s="9">
        <v>45122.0</v>
      </c>
    </row>
    <row r="7515">
      <c r="A7515" s="5">
        <v>7514.0</v>
      </c>
      <c r="B7515" s="5" t="s">
        <v>8037</v>
      </c>
      <c r="C7515" s="5" t="s">
        <v>21</v>
      </c>
      <c r="K7515" s="5">
        <v>80.0</v>
      </c>
      <c r="N7515" s="9">
        <v>45127.0</v>
      </c>
    </row>
    <row r="7516">
      <c r="A7516" s="5">
        <v>7515.0</v>
      </c>
      <c r="B7516" s="5" t="s">
        <v>8038</v>
      </c>
      <c r="C7516" s="5" t="s">
        <v>21</v>
      </c>
      <c r="K7516" s="5">
        <v>700.0</v>
      </c>
      <c r="N7516" s="9">
        <v>44729.0</v>
      </c>
    </row>
    <row r="7517">
      <c r="A7517" s="5">
        <v>7516.0</v>
      </c>
      <c r="B7517" s="5" t="s">
        <v>8039</v>
      </c>
      <c r="C7517" s="5" t="s">
        <v>21</v>
      </c>
      <c r="K7517" s="5">
        <v>2100.0</v>
      </c>
      <c r="N7517" s="9">
        <v>44528.0</v>
      </c>
    </row>
    <row r="7518">
      <c r="A7518" s="5">
        <v>7517.0</v>
      </c>
      <c r="B7518" s="5" t="s">
        <v>8040</v>
      </c>
      <c r="C7518" s="5" t="s">
        <v>21</v>
      </c>
      <c r="K7518" s="5">
        <v>10.0</v>
      </c>
      <c r="N7518" s="9">
        <v>44633.0</v>
      </c>
    </row>
    <row r="7519">
      <c r="A7519" s="5">
        <v>7518.0</v>
      </c>
      <c r="B7519" s="5" t="s">
        <v>8041</v>
      </c>
      <c r="C7519" s="5" t="s">
        <v>21</v>
      </c>
      <c r="K7519" s="5">
        <v>150.0</v>
      </c>
      <c r="N7519" s="9">
        <v>45627.0</v>
      </c>
    </row>
    <row r="7520">
      <c r="A7520" s="5">
        <v>7519.0</v>
      </c>
      <c r="B7520" s="5" t="s">
        <v>8042</v>
      </c>
      <c r="C7520" s="5" t="s">
        <v>21</v>
      </c>
      <c r="K7520" s="5">
        <v>1900.0</v>
      </c>
      <c r="N7520" s="9">
        <v>44236.0</v>
      </c>
    </row>
    <row r="7521">
      <c r="A7521" s="5">
        <v>7520.0</v>
      </c>
      <c r="B7521" s="5" t="s">
        <v>8043</v>
      </c>
      <c r="C7521" s="5" t="s">
        <v>21</v>
      </c>
      <c r="K7521" s="5">
        <v>1900.0</v>
      </c>
      <c r="N7521" s="9">
        <v>45705.0</v>
      </c>
    </row>
    <row r="7522">
      <c r="A7522" s="5">
        <v>7521.0</v>
      </c>
      <c r="B7522" s="5" t="s">
        <v>8044</v>
      </c>
      <c r="C7522" s="5" t="s">
        <v>21</v>
      </c>
      <c r="K7522" s="5">
        <v>900.0</v>
      </c>
      <c r="N7522" s="9">
        <v>44554.0</v>
      </c>
    </row>
    <row r="7523">
      <c r="A7523" s="5">
        <v>7522.0</v>
      </c>
      <c r="B7523" s="5" t="s">
        <v>8045</v>
      </c>
      <c r="C7523" s="5" t="s">
        <v>21</v>
      </c>
      <c r="K7523" s="5">
        <v>1900.0</v>
      </c>
      <c r="N7523" s="9">
        <v>44201.0</v>
      </c>
    </row>
    <row r="7524">
      <c r="A7524" s="5">
        <v>7523.0</v>
      </c>
      <c r="B7524" s="5" t="s">
        <v>8046</v>
      </c>
      <c r="C7524" s="5" t="s">
        <v>21</v>
      </c>
      <c r="K7524" s="5">
        <v>1200.0</v>
      </c>
      <c r="N7524" s="9">
        <v>44010.0</v>
      </c>
    </row>
    <row r="7525">
      <c r="A7525" s="5">
        <v>7524.0</v>
      </c>
      <c r="B7525" s="5" t="s">
        <v>8047</v>
      </c>
      <c r="C7525" s="5" t="s">
        <v>21</v>
      </c>
      <c r="N7525" s="9">
        <v>44571.0</v>
      </c>
    </row>
    <row r="7526">
      <c r="A7526" s="5">
        <v>7525.0</v>
      </c>
      <c r="B7526" s="5" t="s">
        <v>8048</v>
      </c>
      <c r="C7526" s="5" t="s">
        <v>21</v>
      </c>
      <c r="K7526" s="5">
        <v>450.0</v>
      </c>
      <c r="N7526" s="9">
        <v>44708.0</v>
      </c>
    </row>
    <row r="7527">
      <c r="A7527" s="5">
        <v>7526.0</v>
      </c>
      <c r="B7527" s="5" t="s">
        <v>8049</v>
      </c>
      <c r="C7527" s="5" t="s">
        <v>21</v>
      </c>
      <c r="N7527" s="9">
        <v>44591.0</v>
      </c>
    </row>
    <row r="7528">
      <c r="A7528" s="5">
        <v>7527.0</v>
      </c>
      <c r="B7528" s="5" t="s">
        <v>8050</v>
      </c>
      <c r="C7528" s="5" t="s">
        <v>21</v>
      </c>
      <c r="K7528" s="5">
        <v>90.0</v>
      </c>
      <c r="N7528" s="9">
        <v>43888.0</v>
      </c>
    </row>
    <row r="7529">
      <c r="A7529" s="5">
        <v>7528.0</v>
      </c>
      <c r="B7529" s="5" t="s">
        <v>8051</v>
      </c>
      <c r="C7529" s="5" t="s">
        <v>21</v>
      </c>
      <c r="K7529" s="5">
        <v>200.0</v>
      </c>
      <c r="N7529" s="9">
        <v>44444.0</v>
      </c>
    </row>
    <row r="7530">
      <c r="A7530" s="5">
        <v>7529.0</v>
      </c>
      <c r="B7530" s="5" t="s">
        <v>8052</v>
      </c>
      <c r="C7530" s="5" t="s">
        <v>21</v>
      </c>
      <c r="K7530" s="5">
        <v>150.0</v>
      </c>
      <c r="N7530" s="9">
        <v>44592.0</v>
      </c>
    </row>
    <row r="7531">
      <c r="A7531" s="5">
        <v>7530.0</v>
      </c>
      <c r="B7531" s="5" t="s">
        <v>8053</v>
      </c>
      <c r="C7531" s="5" t="s">
        <v>21</v>
      </c>
      <c r="K7531" s="5">
        <v>40.0</v>
      </c>
      <c r="N7531" s="9">
        <v>44642.0</v>
      </c>
    </row>
    <row r="7532">
      <c r="A7532" s="5">
        <v>7531.0</v>
      </c>
      <c r="B7532" s="5" t="s">
        <v>8054</v>
      </c>
      <c r="C7532" s="5" t="s">
        <v>21</v>
      </c>
      <c r="K7532" s="5">
        <v>1000.0</v>
      </c>
      <c r="N7532" s="9">
        <v>44530.0</v>
      </c>
    </row>
    <row r="7533">
      <c r="A7533" s="5">
        <v>7532.0</v>
      </c>
      <c r="B7533" s="5" t="s">
        <v>8055</v>
      </c>
      <c r="C7533" s="5" t="s">
        <v>21</v>
      </c>
      <c r="K7533" s="5">
        <v>30.0</v>
      </c>
      <c r="N7533" s="9">
        <v>44625.0</v>
      </c>
    </row>
    <row r="7534">
      <c r="A7534" s="5">
        <v>7533.0</v>
      </c>
      <c r="B7534" s="5" t="s">
        <v>8056</v>
      </c>
      <c r="C7534" s="5" t="s">
        <v>21</v>
      </c>
      <c r="K7534" s="5">
        <v>1400.0</v>
      </c>
      <c r="N7534" s="9">
        <v>45760.0</v>
      </c>
    </row>
    <row r="7535">
      <c r="A7535" s="5">
        <v>7534.0</v>
      </c>
      <c r="B7535" s="5" t="s">
        <v>8057</v>
      </c>
      <c r="C7535" s="5" t="s">
        <v>21</v>
      </c>
      <c r="K7535" s="5">
        <v>500.0</v>
      </c>
      <c r="N7535" s="9">
        <v>44572.0</v>
      </c>
    </row>
    <row r="7536">
      <c r="A7536" s="5">
        <v>7535.0</v>
      </c>
      <c r="B7536" s="5" t="s">
        <v>8058</v>
      </c>
      <c r="C7536" s="5" t="s">
        <v>21</v>
      </c>
      <c r="N7536" s="9">
        <v>44539.0</v>
      </c>
    </row>
    <row r="7537">
      <c r="A7537" s="5">
        <v>7536.0</v>
      </c>
      <c r="B7537" s="5" t="s">
        <v>8059</v>
      </c>
      <c r="C7537" s="5" t="s">
        <v>21</v>
      </c>
      <c r="K7537" s="5">
        <v>350.0</v>
      </c>
      <c r="N7537" s="9">
        <v>44608.0</v>
      </c>
    </row>
    <row r="7538">
      <c r="A7538" s="5">
        <v>7537.0</v>
      </c>
      <c r="B7538" s="5" t="s">
        <v>8060</v>
      </c>
      <c r="C7538" s="5" t="s">
        <v>21</v>
      </c>
      <c r="K7538" s="5">
        <v>450.0</v>
      </c>
      <c r="N7538" s="9">
        <v>44766.0</v>
      </c>
    </row>
    <row r="7539">
      <c r="A7539" s="5">
        <v>7538.0</v>
      </c>
      <c r="B7539" s="5" t="s">
        <v>8061</v>
      </c>
      <c r="C7539" s="5" t="s">
        <v>21</v>
      </c>
      <c r="K7539" s="5">
        <v>100.0</v>
      </c>
      <c r="N7539" s="9">
        <v>44321.0</v>
      </c>
    </row>
    <row r="7540">
      <c r="A7540" s="5">
        <v>7539.0</v>
      </c>
      <c r="B7540" s="5" t="s">
        <v>8062</v>
      </c>
      <c r="C7540" s="5" t="s">
        <v>21</v>
      </c>
      <c r="K7540" s="5">
        <v>800.0</v>
      </c>
      <c r="N7540" s="9">
        <v>44213.0</v>
      </c>
    </row>
    <row r="7541">
      <c r="A7541" s="5">
        <v>7540.0</v>
      </c>
      <c r="B7541" s="5" t="s">
        <v>8063</v>
      </c>
      <c r="C7541" s="5" t="s">
        <v>21</v>
      </c>
      <c r="K7541" s="5">
        <v>150.0</v>
      </c>
      <c r="N7541" s="9">
        <v>45175.0</v>
      </c>
    </row>
    <row r="7542">
      <c r="A7542" s="5">
        <v>7541.0</v>
      </c>
      <c r="B7542" s="5" t="s">
        <v>8064</v>
      </c>
      <c r="C7542" s="5" t="s">
        <v>21</v>
      </c>
      <c r="K7542" s="5">
        <v>900.0</v>
      </c>
      <c r="N7542" s="9">
        <v>44294.0</v>
      </c>
    </row>
    <row r="7543">
      <c r="A7543" s="5">
        <v>7542.0</v>
      </c>
      <c r="B7543" s="5" t="s">
        <v>8065</v>
      </c>
      <c r="C7543" s="5" t="s">
        <v>21</v>
      </c>
      <c r="K7543" s="5">
        <v>40.0</v>
      </c>
      <c r="N7543" s="9">
        <v>44563.0</v>
      </c>
    </row>
    <row r="7544">
      <c r="A7544" s="5">
        <v>7543.0</v>
      </c>
      <c r="B7544" s="5" t="s">
        <v>8066</v>
      </c>
      <c r="C7544" s="5" t="s">
        <v>21</v>
      </c>
      <c r="K7544" s="5">
        <v>250.0</v>
      </c>
      <c r="N7544" s="9">
        <v>44896.0</v>
      </c>
    </row>
    <row r="7545">
      <c r="A7545" s="5">
        <v>7544.0</v>
      </c>
      <c r="B7545" s="5" t="s">
        <v>8067</v>
      </c>
      <c r="C7545" s="5" t="s">
        <v>21</v>
      </c>
      <c r="K7545" s="5">
        <v>300.0</v>
      </c>
      <c r="N7545" s="9">
        <v>45223.0</v>
      </c>
    </row>
    <row r="7546">
      <c r="A7546" s="5">
        <v>7545.0</v>
      </c>
      <c r="B7546" s="5" t="s">
        <v>8068</v>
      </c>
      <c r="C7546" s="5" t="s">
        <v>21</v>
      </c>
      <c r="K7546" s="5">
        <v>1100.0</v>
      </c>
      <c r="N7546" s="9">
        <v>44132.0</v>
      </c>
    </row>
    <row r="7547">
      <c r="A7547" s="5">
        <v>7546.0</v>
      </c>
      <c r="B7547" s="5" t="s">
        <v>8069</v>
      </c>
      <c r="C7547" s="5" t="s">
        <v>21</v>
      </c>
      <c r="K7547" s="5">
        <v>800.0</v>
      </c>
      <c r="N7547" s="9">
        <v>44651.0</v>
      </c>
    </row>
    <row r="7548">
      <c r="A7548" s="5">
        <v>7547.0</v>
      </c>
      <c r="B7548" s="5" t="s">
        <v>8070</v>
      </c>
      <c r="C7548" s="5" t="s">
        <v>21</v>
      </c>
      <c r="K7548" s="5">
        <v>100.0</v>
      </c>
      <c r="N7548" s="9">
        <v>44863.0</v>
      </c>
    </row>
    <row r="7549">
      <c r="A7549" s="5">
        <v>7548.0</v>
      </c>
      <c r="B7549" s="5" t="s">
        <v>8071</v>
      </c>
      <c r="C7549" s="5" t="s">
        <v>21</v>
      </c>
      <c r="K7549" s="5">
        <v>1400.0</v>
      </c>
      <c r="N7549" s="9">
        <v>45305.0</v>
      </c>
    </row>
    <row r="7550">
      <c r="A7550" s="5">
        <v>7549.0</v>
      </c>
      <c r="B7550" s="5" t="s">
        <v>8072</v>
      </c>
      <c r="C7550" s="5" t="s">
        <v>21</v>
      </c>
      <c r="K7550" s="5">
        <v>2500.0</v>
      </c>
      <c r="N7550" s="9">
        <v>43971.0</v>
      </c>
    </row>
    <row r="7551">
      <c r="A7551" s="5">
        <v>7550.0</v>
      </c>
      <c r="B7551" s="5" t="s">
        <v>8073</v>
      </c>
      <c r="C7551" s="5" t="s">
        <v>21</v>
      </c>
      <c r="K7551" s="5">
        <v>30.0</v>
      </c>
      <c r="N7551" s="9">
        <v>45463.0</v>
      </c>
    </row>
    <row r="7552">
      <c r="A7552" s="5">
        <v>7551.0</v>
      </c>
      <c r="B7552" s="5" t="s">
        <v>8074</v>
      </c>
      <c r="C7552" s="5" t="s">
        <v>21</v>
      </c>
      <c r="K7552" s="5">
        <v>800.0</v>
      </c>
      <c r="N7552" s="9">
        <v>44557.0</v>
      </c>
    </row>
    <row r="7553">
      <c r="A7553" s="5">
        <v>7552.0</v>
      </c>
      <c r="B7553" s="5" t="s">
        <v>8075</v>
      </c>
      <c r="C7553" s="5" t="s">
        <v>21</v>
      </c>
      <c r="K7553" s="5">
        <v>200.0</v>
      </c>
      <c r="N7553" s="9">
        <v>45036.0</v>
      </c>
    </row>
    <row r="7554">
      <c r="A7554" s="5">
        <v>7553.0</v>
      </c>
      <c r="B7554" s="5" t="s">
        <v>8076</v>
      </c>
      <c r="C7554" s="5" t="s">
        <v>21</v>
      </c>
      <c r="K7554" s="5">
        <v>50.0</v>
      </c>
      <c r="N7554" s="9">
        <v>44708.0</v>
      </c>
    </row>
    <row r="7555">
      <c r="A7555" s="5">
        <v>7554.0</v>
      </c>
      <c r="B7555" s="5" t="s">
        <v>8077</v>
      </c>
      <c r="C7555" s="5" t="s">
        <v>21</v>
      </c>
      <c r="K7555" s="5">
        <v>250.0</v>
      </c>
      <c r="N7555" s="9">
        <v>44755.0</v>
      </c>
    </row>
    <row r="7556">
      <c r="A7556" s="5">
        <v>7555.0</v>
      </c>
      <c r="B7556" s="5" t="s">
        <v>8078</v>
      </c>
      <c r="C7556" s="5" t="s">
        <v>21</v>
      </c>
      <c r="N7556" s="9">
        <v>44108.0</v>
      </c>
    </row>
    <row r="7557">
      <c r="A7557" s="5">
        <v>7556.0</v>
      </c>
      <c r="B7557" s="5" t="s">
        <v>8079</v>
      </c>
      <c r="C7557" s="5" t="s">
        <v>21</v>
      </c>
      <c r="K7557" s="5">
        <v>250.0</v>
      </c>
      <c r="N7557" s="9">
        <v>44557.0</v>
      </c>
    </row>
    <row r="7558">
      <c r="A7558" s="5">
        <v>7557.0</v>
      </c>
      <c r="B7558" s="5" t="s">
        <v>8080</v>
      </c>
      <c r="C7558" s="5" t="s">
        <v>21</v>
      </c>
      <c r="K7558" s="5">
        <v>1000.0</v>
      </c>
      <c r="N7558" s="9">
        <v>44625.0</v>
      </c>
    </row>
    <row r="7559">
      <c r="A7559" s="5">
        <v>7558.0</v>
      </c>
      <c r="B7559" s="5" t="s">
        <v>8081</v>
      </c>
      <c r="C7559" s="5" t="s">
        <v>21</v>
      </c>
      <c r="K7559" s="5">
        <v>300.0</v>
      </c>
      <c r="N7559" s="9">
        <v>44379.0</v>
      </c>
    </row>
    <row r="7560">
      <c r="A7560" s="5">
        <v>7559.0</v>
      </c>
      <c r="B7560" s="5" t="s">
        <v>8082</v>
      </c>
      <c r="C7560" s="5" t="s">
        <v>21</v>
      </c>
      <c r="K7560" s="5">
        <v>200.0</v>
      </c>
      <c r="N7560" s="9">
        <v>45276.0</v>
      </c>
    </row>
    <row r="7561">
      <c r="A7561" s="5">
        <v>7560.0</v>
      </c>
      <c r="B7561" s="5" t="s">
        <v>8083</v>
      </c>
      <c r="C7561" s="5" t="s">
        <v>21</v>
      </c>
      <c r="K7561" s="5">
        <v>400.0</v>
      </c>
      <c r="N7561" s="9">
        <v>44662.0</v>
      </c>
    </row>
    <row r="7562">
      <c r="A7562" s="5">
        <v>7561.0</v>
      </c>
      <c r="B7562" s="5" t="s">
        <v>8084</v>
      </c>
      <c r="C7562" s="5" t="s">
        <v>21</v>
      </c>
      <c r="K7562" s="5">
        <v>600.0</v>
      </c>
      <c r="N7562" s="9">
        <v>44521.0</v>
      </c>
    </row>
    <row r="7563">
      <c r="A7563" s="5">
        <v>7562.0</v>
      </c>
      <c r="B7563" s="5" t="s">
        <v>8085</v>
      </c>
      <c r="C7563" s="5" t="s">
        <v>21</v>
      </c>
      <c r="K7563" s="5">
        <v>100.0</v>
      </c>
      <c r="N7563" s="9">
        <v>44673.0</v>
      </c>
    </row>
    <row r="7564">
      <c r="A7564" s="5">
        <v>7563.0</v>
      </c>
      <c r="B7564" s="5" t="s">
        <v>8086</v>
      </c>
      <c r="C7564" s="5" t="s">
        <v>21</v>
      </c>
      <c r="K7564" s="5">
        <v>100.0</v>
      </c>
      <c r="N7564" s="9">
        <v>44539.0</v>
      </c>
    </row>
    <row r="7565">
      <c r="A7565" s="5">
        <v>7564.0</v>
      </c>
      <c r="B7565" s="5" t="s">
        <v>8087</v>
      </c>
      <c r="C7565" s="5" t="s">
        <v>21</v>
      </c>
      <c r="K7565" s="5">
        <v>350.0</v>
      </c>
      <c r="N7565" s="9">
        <v>45177.0</v>
      </c>
    </row>
    <row r="7566">
      <c r="A7566" s="5">
        <v>7565.0</v>
      </c>
      <c r="B7566" s="5" t="s">
        <v>8088</v>
      </c>
      <c r="C7566" s="5" t="s">
        <v>21</v>
      </c>
      <c r="K7566" s="5">
        <v>150.0</v>
      </c>
      <c r="N7566" s="9">
        <v>44585.0</v>
      </c>
    </row>
    <row r="7567">
      <c r="A7567" s="5">
        <v>7566.0</v>
      </c>
      <c r="B7567" s="5" t="s">
        <v>8089</v>
      </c>
      <c r="C7567" s="5" t="s">
        <v>21</v>
      </c>
      <c r="K7567" s="5">
        <v>80.0</v>
      </c>
      <c r="N7567" s="9">
        <v>44403.0</v>
      </c>
    </row>
    <row r="7568">
      <c r="A7568" s="5">
        <v>7567.0</v>
      </c>
      <c r="B7568" s="5" t="s">
        <v>8090</v>
      </c>
      <c r="C7568" s="5" t="s">
        <v>21</v>
      </c>
      <c r="K7568" s="5">
        <v>450.0</v>
      </c>
      <c r="N7568" s="9">
        <v>44582.0</v>
      </c>
    </row>
    <row r="7569">
      <c r="A7569" s="5">
        <v>7568.0</v>
      </c>
      <c r="B7569" s="5" t="s">
        <v>8091</v>
      </c>
      <c r="C7569" s="5" t="s">
        <v>21</v>
      </c>
      <c r="K7569" s="5">
        <v>100.0</v>
      </c>
      <c r="N7569" s="9">
        <v>44611.0</v>
      </c>
    </row>
    <row r="7570">
      <c r="A7570" s="5">
        <v>7569.0</v>
      </c>
      <c r="B7570" s="5" t="s">
        <v>8092</v>
      </c>
      <c r="C7570" s="5" t="s">
        <v>21</v>
      </c>
      <c r="K7570" s="5">
        <v>700.0</v>
      </c>
      <c r="N7570" s="9">
        <v>43860.0</v>
      </c>
    </row>
    <row r="7571">
      <c r="A7571" s="5">
        <v>7570.0</v>
      </c>
      <c r="B7571" s="5" t="s">
        <v>8093</v>
      </c>
      <c r="C7571" s="5" t="s">
        <v>21</v>
      </c>
      <c r="K7571" s="5">
        <v>60.0</v>
      </c>
      <c r="N7571" s="9">
        <v>44739.0</v>
      </c>
    </row>
    <row r="7572">
      <c r="A7572" s="5">
        <v>7571.0</v>
      </c>
      <c r="B7572" s="5" t="s">
        <v>8094</v>
      </c>
      <c r="C7572" s="5" t="s">
        <v>21</v>
      </c>
      <c r="K7572" s="5">
        <v>1400.0</v>
      </c>
      <c r="N7572" s="9">
        <v>43873.0</v>
      </c>
    </row>
    <row r="7573">
      <c r="A7573" s="5">
        <v>7572.0</v>
      </c>
      <c r="B7573" s="5" t="s">
        <v>8095</v>
      </c>
      <c r="C7573" s="5" t="s">
        <v>21</v>
      </c>
      <c r="N7573" s="9">
        <v>44524.0</v>
      </c>
    </row>
    <row r="7574">
      <c r="A7574" s="5">
        <v>7573.0</v>
      </c>
      <c r="B7574" s="5" t="s">
        <v>8096</v>
      </c>
      <c r="C7574" s="5" t="s">
        <v>21</v>
      </c>
      <c r="K7574" s="5">
        <v>40.0</v>
      </c>
      <c r="N7574" s="9">
        <v>44303.0</v>
      </c>
    </row>
    <row r="7575">
      <c r="A7575" s="5">
        <v>7574.0</v>
      </c>
      <c r="B7575" s="5" t="s">
        <v>8097</v>
      </c>
      <c r="C7575" s="5" t="s">
        <v>21</v>
      </c>
      <c r="K7575" s="5">
        <v>700.0</v>
      </c>
      <c r="N7575" s="9">
        <v>44590.0</v>
      </c>
    </row>
    <row r="7576">
      <c r="A7576" s="5">
        <v>7575.0</v>
      </c>
      <c r="B7576" s="5" t="s">
        <v>8098</v>
      </c>
      <c r="C7576" s="5" t="s">
        <v>21</v>
      </c>
      <c r="N7576" s="9">
        <v>44519.0</v>
      </c>
    </row>
    <row r="7577">
      <c r="A7577" s="5">
        <v>7576.0</v>
      </c>
      <c r="B7577" s="5" t="s">
        <v>8099</v>
      </c>
      <c r="C7577" s="5" t="s">
        <v>21</v>
      </c>
      <c r="K7577" s="5">
        <v>20.0</v>
      </c>
      <c r="N7577" s="9">
        <v>44278.0</v>
      </c>
    </row>
    <row r="7578">
      <c r="A7578" s="5">
        <v>7577.0</v>
      </c>
      <c r="B7578" s="5" t="s">
        <v>8100</v>
      </c>
      <c r="C7578" s="5" t="s">
        <v>21</v>
      </c>
      <c r="N7578" s="9">
        <v>43860.0</v>
      </c>
    </row>
    <row r="7579">
      <c r="A7579" s="5">
        <v>7578.0</v>
      </c>
      <c r="B7579" s="5" t="s">
        <v>8101</v>
      </c>
      <c r="C7579" s="5" t="s">
        <v>21</v>
      </c>
      <c r="N7579" s="9">
        <v>44605.0</v>
      </c>
    </row>
    <row r="7580">
      <c r="A7580" s="5">
        <v>7579.0</v>
      </c>
      <c r="B7580" s="5" t="s">
        <v>8102</v>
      </c>
      <c r="C7580" s="5" t="s">
        <v>21</v>
      </c>
      <c r="K7580" s="5">
        <v>1400.0</v>
      </c>
      <c r="N7580" s="9">
        <v>44160.0</v>
      </c>
    </row>
    <row r="7581">
      <c r="A7581" s="5">
        <v>7580.0</v>
      </c>
      <c r="B7581" s="5" t="s">
        <v>8103</v>
      </c>
      <c r="C7581" s="5" t="s">
        <v>21</v>
      </c>
      <c r="K7581" s="5">
        <v>20.0</v>
      </c>
      <c r="N7581" s="9">
        <v>44461.0</v>
      </c>
    </row>
    <row r="7582">
      <c r="A7582" s="5">
        <v>7581.0</v>
      </c>
      <c r="B7582" s="5" t="s">
        <v>8104</v>
      </c>
      <c r="C7582" s="5" t="s">
        <v>21</v>
      </c>
      <c r="K7582" s="5">
        <v>80.0</v>
      </c>
      <c r="N7582" s="9">
        <v>45248.0</v>
      </c>
    </row>
    <row r="7583">
      <c r="A7583" s="5">
        <v>7582.0</v>
      </c>
      <c r="B7583" s="5" t="s">
        <v>8105</v>
      </c>
      <c r="C7583" s="5" t="s">
        <v>21</v>
      </c>
      <c r="K7583" s="5">
        <v>900.0</v>
      </c>
      <c r="N7583" s="9">
        <v>45096.0</v>
      </c>
    </row>
    <row r="7584">
      <c r="A7584" s="5">
        <v>7583.0</v>
      </c>
      <c r="B7584" s="5" t="s">
        <v>8106</v>
      </c>
      <c r="C7584" s="5" t="s">
        <v>21</v>
      </c>
      <c r="K7584" s="5">
        <v>200.0</v>
      </c>
      <c r="N7584" s="9">
        <v>43840.0</v>
      </c>
    </row>
    <row r="7585">
      <c r="A7585" s="5">
        <v>7584.0</v>
      </c>
      <c r="B7585" s="5" t="s">
        <v>8107</v>
      </c>
      <c r="C7585" s="5" t="s">
        <v>21</v>
      </c>
      <c r="K7585" s="5">
        <v>200.0</v>
      </c>
      <c r="N7585" s="9">
        <v>44488.0</v>
      </c>
    </row>
    <row r="7586">
      <c r="A7586" s="5">
        <v>7585.0</v>
      </c>
      <c r="B7586" s="5" t="s">
        <v>8108</v>
      </c>
      <c r="C7586" s="5" t="s">
        <v>21</v>
      </c>
      <c r="K7586" s="5">
        <v>350.0</v>
      </c>
      <c r="N7586" s="9">
        <v>45296.0</v>
      </c>
    </row>
    <row r="7587">
      <c r="A7587" s="5">
        <v>7586.0</v>
      </c>
      <c r="B7587" s="5" t="s">
        <v>8109</v>
      </c>
      <c r="C7587" s="5" t="s">
        <v>21</v>
      </c>
      <c r="K7587" s="5">
        <v>1800.0</v>
      </c>
      <c r="N7587" s="9">
        <v>44005.0</v>
      </c>
    </row>
    <row r="7588">
      <c r="A7588" s="5">
        <v>7587.0</v>
      </c>
      <c r="B7588" s="5" t="s">
        <v>8110</v>
      </c>
      <c r="C7588" s="5" t="s">
        <v>21</v>
      </c>
      <c r="K7588" s="5">
        <v>200.0</v>
      </c>
      <c r="N7588" s="9">
        <v>44643.0</v>
      </c>
    </row>
    <row r="7589">
      <c r="A7589" s="5">
        <v>7588.0</v>
      </c>
      <c r="B7589" s="5" t="s">
        <v>8111</v>
      </c>
      <c r="C7589" s="5" t="s">
        <v>21</v>
      </c>
      <c r="K7589" s="5">
        <v>250.0</v>
      </c>
      <c r="N7589" s="9">
        <v>44602.0</v>
      </c>
    </row>
    <row r="7590">
      <c r="A7590" s="5">
        <v>7589.0</v>
      </c>
      <c r="B7590" s="5" t="s">
        <v>8112</v>
      </c>
      <c r="C7590" s="5" t="s">
        <v>21</v>
      </c>
      <c r="K7590" s="5">
        <v>30.0</v>
      </c>
      <c r="N7590" s="9">
        <v>44519.0</v>
      </c>
    </row>
    <row r="7591">
      <c r="A7591" s="5">
        <v>7590.0</v>
      </c>
      <c r="B7591" s="5" t="s">
        <v>8113</v>
      </c>
      <c r="C7591" s="5" t="s">
        <v>21</v>
      </c>
      <c r="K7591" s="5">
        <v>300.0</v>
      </c>
      <c r="N7591" s="9">
        <v>44748.0</v>
      </c>
    </row>
    <row r="7592">
      <c r="A7592" s="5">
        <v>7591.0</v>
      </c>
      <c r="B7592" s="5" t="s">
        <v>8114</v>
      </c>
      <c r="C7592" s="5" t="s">
        <v>21</v>
      </c>
      <c r="K7592" s="5">
        <v>800.0</v>
      </c>
      <c r="N7592" s="9">
        <v>45398.0</v>
      </c>
    </row>
    <row r="7593">
      <c r="A7593" s="5">
        <v>7592.0</v>
      </c>
      <c r="B7593" s="5" t="s">
        <v>8115</v>
      </c>
      <c r="C7593" s="5" t="s">
        <v>21</v>
      </c>
      <c r="K7593" s="5">
        <v>5100.0</v>
      </c>
      <c r="N7593" s="9">
        <v>43871.0</v>
      </c>
    </row>
    <row r="7594">
      <c r="A7594" s="5">
        <v>7593.0</v>
      </c>
      <c r="B7594" s="5" t="s">
        <v>8116</v>
      </c>
      <c r="C7594" s="5" t="s">
        <v>21</v>
      </c>
      <c r="K7594" s="5">
        <v>1100.0</v>
      </c>
      <c r="N7594" s="9">
        <v>44730.0</v>
      </c>
    </row>
    <row r="7595">
      <c r="A7595" s="5">
        <v>7594.0</v>
      </c>
      <c r="B7595" s="5" t="s">
        <v>8117</v>
      </c>
      <c r="C7595" s="5" t="s">
        <v>21</v>
      </c>
      <c r="K7595" s="5">
        <v>7500.0</v>
      </c>
      <c r="N7595" s="9">
        <v>43879.0</v>
      </c>
    </row>
    <row r="7596">
      <c r="A7596" s="5">
        <v>7595.0</v>
      </c>
      <c r="B7596" s="5" t="s">
        <v>8118</v>
      </c>
      <c r="C7596" s="5" t="s">
        <v>21</v>
      </c>
      <c r="K7596" s="5">
        <v>400.0</v>
      </c>
      <c r="N7596" s="9">
        <v>44615.0</v>
      </c>
    </row>
    <row r="7597">
      <c r="A7597" s="5">
        <v>7596.0</v>
      </c>
      <c r="B7597" s="5" t="s">
        <v>8119</v>
      </c>
      <c r="C7597" s="5" t="s">
        <v>21</v>
      </c>
      <c r="K7597" s="5">
        <v>1900.0</v>
      </c>
      <c r="N7597" s="9">
        <v>43911.0</v>
      </c>
    </row>
    <row r="7598">
      <c r="A7598" s="5">
        <v>7597.0</v>
      </c>
      <c r="B7598" s="5" t="s">
        <v>8120</v>
      </c>
      <c r="C7598" s="5" t="s">
        <v>21</v>
      </c>
      <c r="K7598" s="5">
        <v>8700.0</v>
      </c>
      <c r="N7598" s="9">
        <v>43906.0</v>
      </c>
    </row>
    <row r="7599">
      <c r="A7599" s="5">
        <v>7598.0</v>
      </c>
      <c r="B7599" s="5" t="s">
        <v>8121</v>
      </c>
      <c r="C7599" s="5" t="s">
        <v>21</v>
      </c>
      <c r="K7599" s="5">
        <v>700.0</v>
      </c>
      <c r="N7599" s="9">
        <v>43945.0</v>
      </c>
    </row>
    <row r="7600">
      <c r="A7600" s="5">
        <v>7599.0</v>
      </c>
      <c r="B7600" s="5" t="s">
        <v>8122</v>
      </c>
      <c r="C7600" s="5" t="s">
        <v>21</v>
      </c>
      <c r="K7600" s="5">
        <v>200.0</v>
      </c>
      <c r="N7600" s="9">
        <v>44604.0</v>
      </c>
    </row>
    <row r="7601">
      <c r="A7601" s="5">
        <v>7600.0</v>
      </c>
      <c r="B7601" s="5" t="s">
        <v>8123</v>
      </c>
      <c r="C7601" s="5" t="s">
        <v>21</v>
      </c>
      <c r="K7601" s="5">
        <v>60.0</v>
      </c>
      <c r="N7601" s="9">
        <v>44547.0</v>
      </c>
    </row>
    <row r="7602">
      <c r="A7602" s="5">
        <v>7601.0</v>
      </c>
      <c r="B7602" s="5" t="s">
        <v>8124</v>
      </c>
      <c r="C7602" s="5" t="s">
        <v>21</v>
      </c>
      <c r="K7602" s="5">
        <v>70.0</v>
      </c>
      <c r="N7602" s="9">
        <v>44460.0</v>
      </c>
    </row>
    <row r="7603">
      <c r="A7603" s="5">
        <v>7602.0</v>
      </c>
      <c r="B7603" s="5" t="s">
        <v>8125</v>
      </c>
      <c r="C7603" s="5" t="s">
        <v>21</v>
      </c>
      <c r="K7603" s="5">
        <v>30.0</v>
      </c>
      <c r="N7603" s="9">
        <v>44937.0</v>
      </c>
    </row>
    <row r="7604">
      <c r="A7604" s="5">
        <v>7603.0</v>
      </c>
      <c r="B7604" s="5" t="s">
        <v>8126</v>
      </c>
      <c r="C7604" s="5" t="s">
        <v>21</v>
      </c>
      <c r="K7604" s="5">
        <v>200.0</v>
      </c>
      <c r="N7604" s="9">
        <v>44591.0</v>
      </c>
    </row>
    <row r="7605">
      <c r="A7605" s="5">
        <v>7604.0</v>
      </c>
      <c r="B7605" s="5" t="s">
        <v>8127</v>
      </c>
      <c r="C7605" s="5" t="s">
        <v>21</v>
      </c>
      <c r="K7605" s="5">
        <v>200.0</v>
      </c>
      <c r="N7605" s="9">
        <v>45188.0</v>
      </c>
    </row>
    <row r="7606">
      <c r="A7606" s="5">
        <v>7605.0</v>
      </c>
      <c r="B7606" s="5" t="s">
        <v>8128</v>
      </c>
      <c r="C7606" s="5" t="s">
        <v>21</v>
      </c>
      <c r="K7606" s="5">
        <v>200.0</v>
      </c>
      <c r="N7606" s="9">
        <v>44599.0</v>
      </c>
    </row>
    <row r="7607">
      <c r="A7607" s="5">
        <v>7606.0</v>
      </c>
      <c r="B7607" s="5" t="s">
        <v>8129</v>
      </c>
      <c r="C7607" s="5" t="s">
        <v>21</v>
      </c>
      <c r="K7607" s="5">
        <v>40.0</v>
      </c>
      <c r="N7607" s="9">
        <v>44673.0</v>
      </c>
    </row>
    <row r="7608">
      <c r="A7608" s="5">
        <v>7607.0</v>
      </c>
      <c r="B7608" s="5" t="s">
        <v>8130</v>
      </c>
      <c r="C7608" s="5" t="s">
        <v>21</v>
      </c>
      <c r="K7608" s="5">
        <v>300.0</v>
      </c>
      <c r="N7608" s="9">
        <v>43962.0</v>
      </c>
    </row>
    <row r="7609">
      <c r="A7609" s="5">
        <v>7608.0</v>
      </c>
      <c r="B7609" s="5" t="s">
        <v>8131</v>
      </c>
      <c r="C7609" s="5" t="s">
        <v>21</v>
      </c>
      <c r="K7609" s="5">
        <v>200.0</v>
      </c>
      <c r="N7609" s="9">
        <v>44697.0</v>
      </c>
    </row>
    <row r="7610">
      <c r="A7610" s="5">
        <v>7609.0</v>
      </c>
      <c r="B7610" s="5" t="s">
        <v>8132</v>
      </c>
      <c r="C7610" s="5" t="s">
        <v>21</v>
      </c>
      <c r="K7610" s="5">
        <v>1100.0</v>
      </c>
      <c r="N7610" s="9">
        <v>45557.0</v>
      </c>
    </row>
    <row r="7611">
      <c r="A7611" s="5">
        <v>7610.0</v>
      </c>
      <c r="B7611" s="5" t="s">
        <v>8133</v>
      </c>
      <c r="C7611" s="5" t="s">
        <v>21</v>
      </c>
      <c r="K7611" s="5">
        <v>800.0</v>
      </c>
      <c r="N7611" s="9">
        <v>44599.0</v>
      </c>
    </row>
    <row r="7612">
      <c r="A7612" s="5">
        <v>7611.0</v>
      </c>
      <c r="B7612" s="5" t="s">
        <v>8134</v>
      </c>
      <c r="C7612" s="5" t="s">
        <v>21</v>
      </c>
      <c r="K7612" s="5">
        <v>700.0</v>
      </c>
      <c r="N7612" s="9">
        <v>44567.0</v>
      </c>
    </row>
    <row r="7613">
      <c r="A7613" s="5">
        <v>7612.0</v>
      </c>
      <c r="B7613" s="5" t="s">
        <v>8135</v>
      </c>
      <c r="C7613" s="5" t="s">
        <v>21</v>
      </c>
      <c r="K7613" s="5">
        <v>30.0</v>
      </c>
      <c r="N7613" s="9">
        <v>44412.0</v>
      </c>
    </row>
    <row r="7614">
      <c r="A7614" s="5">
        <v>7613.0</v>
      </c>
      <c r="B7614" s="5" t="s">
        <v>8136</v>
      </c>
      <c r="C7614" s="5" t="s">
        <v>21</v>
      </c>
      <c r="K7614" s="5">
        <v>100.0</v>
      </c>
      <c r="N7614" s="9">
        <v>44515.0</v>
      </c>
    </row>
    <row r="7615">
      <c r="A7615" s="5">
        <v>7614.0</v>
      </c>
      <c r="B7615" s="5" t="s">
        <v>8137</v>
      </c>
      <c r="C7615" s="5" t="s">
        <v>21</v>
      </c>
      <c r="K7615" s="5">
        <v>100.0</v>
      </c>
      <c r="N7615" s="9">
        <v>44836.0</v>
      </c>
    </row>
    <row r="7616">
      <c r="A7616" s="5">
        <v>7615.0</v>
      </c>
      <c r="B7616" s="5" t="s">
        <v>8138</v>
      </c>
      <c r="C7616" s="5" t="s">
        <v>21</v>
      </c>
      <c r="K7616" s="5">
        <v>200.0</v>
      </c>
      <c r="N7616" s="9">
        <v>44537.0</v>
      </c>
    </row>
    <row r="7617">
      <c r="A7617" s="5">
        <v>7616.0</v>
      </c>
      <c r="B7617" s="5" t="s">
        <v>8139</v>
      </c>
      <c r="C7617" s="5" t="s">
        <v>21</v>
      </c>
      <c r="K7617" s="5">
        <v>30.0</v>
      </c>
      <c r="N7617" s="9">
        <v>44556.0</v>
      </c>
    </row>
    <row r="7618">
      <c r="A7618" s="5">
        <v>7617.0</v>
      </c>
      <c r="B7618" s="5" t="s">
        <v>8140</v>
      </c>
      <c r="C7618" s="5" t="s">
        <v>21</v>
      </c>
      <c r="K7618" s="5">
        <v>30.0</v>
      </c>
      <c r="N7618" s="9">
        <v>44612.0</v>
      </c>
    </row>
    <row r="7619">
      <c r="A7619" s="5">
        <v>7618.0</v>
      </c>
      <c r="B7619" s="5" t="s">
        <v>8141</v>
      </c>
      <c r="C7619" s="5" t="s">
        <v>21</v>
      </c>
      <c r="K7619" s="5">
        <v>800.0</v>
      </c>
      <c r="N7619" s="9">
        <v>44195.0</v>
      </c>
    </row>
    <row r="7620">
      <c r="A7620" s="5">
        <v>7619.0</v>
      </c>
      <c r="B7620" s="5" t="s">
        <v>8142</v>
      </c>
      <c r="C7620" s="5" t="s">
        <v>21</v>
      </c>
      <c r="K7620" s="5">
        <v>300.0</v>
      </c>
      <c r="N7620" s="9">
        <v>44883.0</v>
      </c>
    </row>
    <row r="7621">
      <c r="A7621" s="5">
        <v>7620.0</v>
      </c>
      <c r="B7621" s="5" t="s">
        <v>8143</v>
      </c>
      <c r="C7621" s="5" t="s">
        <v>21</v>
      </c>
      <c r="K7621" s="5">
        <v>250.0</v>
      </c>
      <c r="N7621" s="9">
        <v>44558.0</v>
      </c>
    </row>
    <row r="7622">
      <c r="A7622" s="5">
        <v>7621.0</v>
      </c>
      <c r="B7622" s="5" t="s">
        <v>8144</v>
      </c>
      <c r="C7622" s="5" t="s">
        <v>21</v>
      </c>
      <c r="K7622" s="5">
        <v>800.0</v>
      </c>
      <c r="N7622" s="9">
        <v>44114.0</v>
      </c>
    </row>
    <row r="7623">
      <c r="A7623" s="5">
        <v>7622.0</v>
      </c>
      <c r="B7623" s="5" t="s">
        <v>8145</v>
      </c>
      <c r="C7623" s="5" t="s">
        <v>21</v>
      </c>
      <c r="K7623" s="5">
        <v>60.0</v>
      </c>
      <c r="N7623" s="9">
        <v>44524.0</v>
      </c>
    </row>
    <row r="7624">
      <c r="A7624" s="5">
        <v>7623.0</v>
      </c>
      <c r="B7624" s="5" t="s">
        <v>8146</v>
      </c>
      <c r="C7624" s="5" t="s">
        <v>21</v>
      </c>
      <c r="K7624" s="5">
        <v>300.0</v>
      </c>
      <c r="N7624" s="9">
        <v>44340.0</v>
      </c>
    </row>
    <row r="7625">
      <c r="A7625" s="5">
        <v>7624.0</v>
      </c>
      <c r="B7625" s="5" t="s">
        <v>8147</v>
      </c>
      <c r="C7625" s="5" t="s">
        <v>21</v>
      </c>
      <c r="K7625" s="5">
        <v>20.0</v>
      </c>
      <c r="N7625" s="9">
        <v>45194.0</v>
      </c>
    </row>
    <row r="7626">
      <c r="A7626" s="5">
        <v>7625.0</v>
      </c>
      <c r="B7626" s="5" t="s">
        <v>8148</v>
      </c>
      <c r="C7626" s="5" t="s">
        <v>21</v>
      </c>
      <c r="K7626" s="5">
        <v>70.0</v>
      </c>
      <c r="N7626" s="9">
        <v>44769.0</v>
      </c>
    </row>
    <row r="7627">
      <c r="A7627" s="5">
        <v>7626.0</v>
      </c>
      <c r="B7627" s="5" t="s">
        <v>8149</v>
      </c>
      <c r="C7627" s="5" t="s">
        <v>21</v>
      </c>
      <c r="K7627" s="5">
        <v>4400.0</v>
      </c>
      <c r="N7627" s="9">
        <v>44533.0</v>
      </c>
    </row>
    <row r="7628">
      <c r="A7628" s="5">
        <v>7627.0</v>
      </c>
      <c r="B7628" s="5" t="s">
        <v>8150</v>
      </c>
      <c r="C7628" s="5" t="s">
        <v>21</v>
      </c>
      <c r="K7628" s="5">
        <v>60.0</v>
      </c>
      <c r="N7628" s="9">
        <v>44481.0</v>
      </c>
    </row>
    <row r="7629">
      <c r="A7629" s="5">
        <v>7628.0</v>
      </c>
      <c r="B7629" s="5" t="s">
        <v>8151</v>
      </c>
      <c r="C7629" s="5" t="s">
        <v>21</v>
      </c>
      <c r="K7629" s="5">
        <v>350.0</v>
      </c>
      <c r="N7629" s="9">
        <v>44858.0</v>
      </c>
    </row>
    <row r="7630">
      <c r="A7630" s="5">
        <v>7629.0</v>
      </c>
      <c r="B7630" s="5" t="s">
        <v>8152</v>
      </c>
      <c r="C7630" s="5" t="s">
        <v>21</v>
      </c>
      <c r="N7630" s="9">
        <v>44697.0</v>
      </c>
    </row>
    <row r="7631">
      <c r="A7631" s="5">
        <v>7630.0</v>
      </c>
      <c r="B7631" s="5" t="s">
        <v>8153</v>
      </c>
      <c r="C7631" s="5" t="s">
        <v>21</v>
      </c>
      <c r="K7631" s="5">
        <v>1100.0</v>
      </c>
      <c r="N7631" s="9">
        <v>44449.0</v>
      </c>
    </row>
    <row r="7632">
      <c r="A7632" s="5">
        <v>7631.0</v>
      </c>
      <c r="B7632" s="5" t="s">
        <v>8154</v>
      </c>
      <c r="C7632" s="5" t="s">
        <v>21</v>
      </c>
      <c r="K7632" s="5">
        <v>202000.0</v>
      </c>
      <c r="N7632" s="9">
        <v>45105.0</v>
      </c>
    </row>
    <row r="7633">
      <c r="A7633" s="5">
        <v>7632.0</v>
      </c>
      <c r="B7633" s="5" t="s">
        <v>8155</v>
      </c>
      <c r="C7633" s="5" t="s">
        <v>21</v>
      </c>
      <c r="K7633" s="5">
        <v>250.0</v>
      </c>
      <c r="N7633" s="9">
        <v>44698.0</v>
      </c>
    </row>
    <row r="7634">
      <c r="A7634" s="5">
        <v>7633.0</v>
      </c>
      <c r="B7634" s="5" t="s">
        <v>8156</v>
      </c>
      <c r="C7634" s="5" t="s">
        <v>21</v>
      </c>
      <c r="K7634" s="5">
        <v>150.0</v>
      </c>
      <c r="N7634" s="9">
        <v>44963.0</v>
      </c>
    </row>
    <row r="7635">
      <c r="A7635" s="5">
        <v>7634.0</v>
      </c>
      <c r="B7635" s="5" t="s">
        <v>8157</v>
      </c>
      <c r="C7635" s="5" t="s">
        <v>21</v>
      </c>
      <c r="K7635" s="5">
        <v>80.0</v>
      </c>
      <c r="N7635" s="9">
        <v>44557.0</v>
      </c>
    </row>
    <row r="7636">
      <c r="A7636" s="5">
        <v>7635.0</v>
      </c>
      <c r="B7636" s="5" t="s">
        <v>8158</v>
      </c>
      <c r="C7636" s="5" t="s">
        <v>21</v>
      </c>
      <c r="K7636" s="5">
        <v>100.0</v>
      </c>
      <c r="N7636" s="9">
        <v>45074.0</v>
      </c>
    </row>
    <row r="7637">
      <c r="A7637" s="5">
        <v>7636.0</v>
      </c>
      <c r="B7637" s="5" t="s">
        <v>8159</v>
      </c>
      <c r="C7637" s="5" t="s">
        <v>21</v>
      </c>
      <c r="K7637" s="5">
        <v>500.0</v>
      </c>
      <c r="N7637" s="9">
        <v>44032.0</v>
      </c>
    </row>
    <row r="7638">
      <c r="A7638" s="5">
        <v>7637.0</v>
      </c>
      <c r="B7638" s="5" t="s">
        <v>8160</v>
      </c>
      <c r="C7638" s="5" t="s">
        <v>21</v>
      </c>
      <c r="K7638" s="5">
        <v>250.0</v>
      </c>
      <c r="N7638" s="9">
        <v>44553.0</v>
      </c>
    </row>
    <row r="7639">
      <c r="A7639" s="5">
        <v>7638.0</v>
      </c>
      <c r="B7639" s="5" t="s">
        <v>8161</v>
      </c>
      <c r="C7639" s="5" t="s">
        <v>21</v>
      </c>
      <c r="K7639" s="5">
        <v>80.0</v>
      </c>
      <c r="N7639" s="9">
        <v>44121.0</v>
      </c>
    </row>
    <row r="7640">
      <c r="A7640" s="5">
        <v>7639.0</v>
      </c>
      <c r="B7640" s="5" t="s">
        <v>8162</v>
      </c>
      <c r="C7640" s="5" t="s">
        <v>21</v>
      </c>
      <c r="K7640" s="5">
        <v>8400.0</v>
      </c>
      <c r="N7640" s="9">
        <v>44600.0</v>
      </c>
    </row>
    <row r="7641">
      <c r="A7641" s="5">
        <v>7640.0</v>
      </c>
      <c r="B7641" s="5" t="s">
        <v>284</v>
      </c>
      <c r="C7641" s="5" t="s">
        <v>21</v>
      </c>
      <c r="K7641" s="5">
        <v>450.0</v>
      </c>
      <c r="N7641" s="9">
        <v>44883.0</v>
      </c>
    </row>
    <row r="7642">
      <c r="A7642" s="5">
        <v>7641.0</v>
      </c>
      <c r="B7642" s="5" t="s">
        <v>8163</v>
      </c>
      <c r="C7642" s="5" t="s">
        <v>21</v>
      </c>
      <c r="K7642" s="5">
        <v>250.0</v>
      </c>
      <c r="N7642" s="9">
        <v>44364.0</v>
      </c>
    </row>
    <row r="7643">
      <c r="A7643" s="5">
        <v>7642.0</v>
      </c>
      <c r="B7643" s="5" t="s">
        <v>8164</v>
      </c>
      <c r="C7643" s="5" t="s">
        <v>21</v>
      </c>
      <c r="N7643" s="9">
        <v>44534.0</v>
      </c>
    </row>
    <row r="7644">
      <c r="A7644" s="5">
        <v>7643.0</v>
      </c>
      <c r="B7644" s="5" t="s">
        <v>8165</v>
      </c>
      <c r="C7644" s="5" t="s">
        <v>21</v>
      </c>
      <c r="K7644" s="5">
        <v>200.0</v>
      </c>
      <c r="N7644" s="9">
        <v>44795.0</v>
      </c>
    </row>
    <row r="7645">
      <c r="A7645" s="5">
        <v>7644.0</v>
      </c>
      <c r="B7645" s="5" t="s">
        <v>8166</v>
      </c>
      <c r="C7645" s="5" t="s">
        <v>21</v>
      </c>
      <c r="K7645" s="5">
        <v>2000.0</v>
      </c>
      <c r="N7645" s="9">
        <v>44533.0</v>
      </c>
    </row>
    <row r="7646">
      <c r="A7646" s="5">
        <v>7645.0</v>
      </c>
      <c r="B7646" s="5" t="s">
        <v>8167</v>
      </c>
      <c r="C7646" s="5" t="s">
        <v>21</v>
      </c>
      <c r="K7646" s="5">
        <v>100.0</v>
      </c>
      <c r="N7646" s="9">
        <v>44551.0</v>
      </c>
    </row>
    <row r="7647">
      <c r="A7647" s="5">
        <v>7646.0</v>
      </c>
      <c r="B7647" s="5" t="s">
        <v>8168</v>
      </c>
      <c r="C7647" s="5" t="s">
        <v>21</v>
      </c>
      <c r="K7647" s="5">
        <v>500.0</v>
      </c>
      <c r="N7647" s="9">
        <v>45197.0</v>
      </c>
    </row>
    <row r="7648">
      <c r="A7648" s="5">
        <v>7647.0</v>
      </c>
      <c r="B7648" s="5" t="s">
        <v>8169</v>
      </c>
      <c r="C7648" s="5" t="s">
        <v>21</v>
      </c>
      <c r="K7648" s="5">
        <v>400.0</v>
      </c>
      <c r="N7648" s="9">
        <v>44643.0</v>
      </c>
    </row>
    <row r="7649">
      <c r="A7649" s="5">
        <v>7648.0</v>
      </c>
      <c r="B7649" s="5" t="s">
        <v>8170</v>
      </c>
      <c r="C7649" s="5" t="s">
        <v>21</v>
      </c>
      <c r="K7649" s="5">
        <v>400.0</v>
      </c>
      <c r="N7649" s="9">
        <v>44622.0</v>
      </c>
    </row>
    <row r="7650">
      <c r="A7650" s="5">
        <v>7649.0</v>
      </c>
      <c r="B7650" s="5" t="s">
        <v>8171</v>
      </c>
      <c r="C7650" s="5" t="s">
        <v>21</v>
      </c>
      <c r="K7650" s="5">
        <v>1300.0</v>
      </c>
      <c r="N7650" s="9">
        <v>43925.0</v>
      </c>
    </row>
    <row r="7651">
      <c r="A7651" s="5">
        <v>7650.0</v>
      </c>
      <c r="B7651" s="5" t="s">
        <v>8172</v>
      </c>
      <c r="C7651" s="5" t="s">
        <v>21</v>
      </c>
      <c r="K7651" s="5">
        <v>150.0</v>
      </c>
      <c r="N7651" s="9">
        <v>44520.0</v>
      </c>
    </row>
    <row r="7652">
      <c r="A7652" s="5">
        <v>7651.0</v>
      </c>
      <c r="B7652" s="5" t="s">
        <v>8173</v>
      </c>
      <c r="C7652" s="5" t="s">
        <v>21</v>
      </c>
      <c r="K7652" s="5">
        <v>200.0</v>
      </c>
      <c r="N7652" s="9">
        <v>44693.0</v>
      </c>
    </row>
    <row r="7653">
      <c r="A7653" s="5">
        <v>7652.0</v>
      </c>
      <c r="B7653" s="5" t="s">
        <v>8174</v>
      </c>
      <c r="C7653" s="5" t="s">
        <v>21</v>
      </c>
      <c r="K7653" s="5">
        <v>350.0</v>
      </c>
      <c r="N7653" s="9">
        <v>44339.0</v>
      </c>
    </row>
    <row r="7654">
      <c r="A7654" s="5">
        <v>7653.0</v>
      </c>
      <c r="B7654" s="5" t="s">
        <v>8175</v>
      </c>
      <c r="C7654" s="5" t="s">
        <v>21</v>
      </c>
      <c r="K7654" s="5">
        <v>350.0</v>
      </c>
      <c r="N7654" s="9">
        <v>44771.0</v>
      </c>
    </row>
    <row r="7655">
      <c r="A7655" s="5">
        <v>7654.0</v>
      </c>
      <c r="B7655" s="5" t="s">
        <v>8176</v>
      </c>
      <c r="C7655" s="5" t="s">
        <v>21</v>
      </c>
      <c r="K7655" s="5">
        <v>1500.0</v>
      </c>
      <c r="N7655" s="9">
        <v>43903.0</v>
      </c>
    </row>
    <row r="7656">
      <c r="A7656" s="5">
        <v>7655.0</v>
      </c>
      <c r="B7656" s="5" t="s">
        <v>8177</v>
      </c>
      <c r="C7656" s="5" t="s">
        <v>21</v>
      </c>
      <c r="K7656" s="5">
        <v>150.0</v>
      </c>
      <c r="N7656" s="9">
        <v>44135.0</v>
      </c>
    </row>
    <row r="7657">
      <c r="A7657" s="5">
        <v>7656.0</v>
      </c>
      <c r="B7657" s="5" t="s">
        <v>8178</v>
      </c>
      <c r="C7657" s="5" t="s">
        <v>21</v>
      </c>
      <c r="K7657" s="5">
        <v>300.0</v>
      </c>
      <c r="N7657" s="9">
        <v>44529.0</v>
      </c>
    </row>
    <row r="7658">
      <c r="A7658" s="5">
        <v>7657.0</v>
      </c>
      <c r="B7658" s="5" t="s">
        <v>8179</v>
      </c>
      <c r="C7658" s="5" t="s">
        <v>21</v>
      </c>
      <c r="K7658" s="5">
        <v>150.0</v>
      </c>
      <c r="N7658" s="9">
        <v>44215.0</v>
      </c>
    </row>
    <row r="7659">
      <c r="A7659" s="5">
        <v>7658.0</v>
      </c>
      <c r="B7659" s="5" t="s">
        <v>8180</v>
      </c>
      <c r="C7659" s="5" t="s">
        <v>21</v>
      </c>
      <c r="K7659" s="5">
        <v>500.0</v>
      </c>
      <c r="N7659" s="9">
        <v>44602.0</v>
      </c>
    </row>
    <row r="7660">
      <c r="A7660" s="5">
        <v>7659.0</v>
      </c>
      <c r="B7660" s="5" t="s">
        <v>8181</v>
      </c>
      <c r="C7660" s="5" t="s">
        <v>21</v>
      </c>
      <c r="K7660" s="5">
        <v>450.0</v>
      </c>
      <c r="N7660" s="9">
        <v>44298.0</v>
      </c>
    </row>
    <row r="7661">
      <c r="A7661" s="5">
        <v>7660.0</v>
      </c>
      <c r="B7661" s="5" t="s">
        <v>8182</v>
      </c>
      <c r="C7661" s="5" t="s">
        <v>21</v>
      </c>
      <c r="K7661" s="5">
        <v>150.0</v>
      </c>
      <c r="N7661" s="9">
        <v>44652.0</v>
      </c>
    </row>
    <row r="7662">
      <c r="A7662" s="5">
        <v>7661.0</v>
      </c>
      <c r="B7662" s="5" t="s">
        <v>287</v>
      </c>
      <c r="C7662" s="5" t="s">
        <v>21</v>
      </c>
      <c r="K7662" s="5">
        <v>900.0</v>
      </c>
      <c r="N7662" s="9">
        <v>43900.0</v>
      </c>
    </row>
    <row r="7663">
      <c r="A7663" s="5">
        <v>7662.0</v>
      </c>
      <c r="B7663" s="5" t="s">
        <v>8183</v>
      </c>
      <c r="C7663" s="5" t="s">
        <v>21</v>
      </c>
      <c r="N7663" s="9">
        <v>44905.0</v>
      </c>
    </row>
    <row r="7664">
      <c r="A7664" s="5">
        <v>7663.0</v>
      </c>
      <c r="B7664" s="5" t="s">
        <v>8184</v>
      </c>
      <c r="C7664" s="5" t="s">
        <v>21</v>
      </c>
      <c r="K7664" s="5">
        <v>5400.0</v>
      </c>
      <c r="N7664" s="9">
        <v>44806.0</v>
      </c>
    </row>
    <row r="7665">
      <c r="A7665" s="5">
        <v>7664.0</v>
      </c>
      <c r="B7665" s="5" t="s">
        <v>8185</v>
      </c>
      <c r="C7665" s="5" t="s">
        <v>21</v>
      </c>
      <c r="K7665" s="5">
        <v>1200.0</v>
      </c>
      <c r="N7665" s="9">
        <v>44783.0</v>
      </c>
    </row>
    <row r="7666">
      <c r="A7666" s="5">
        <v>7665.0</v>
      </c>
      <c r="B7666" s="5" t="s">
        <v>8186</v>
      </c>
      <c r="C7666" s="5" t="s">
        <v>21</v>
      </c>
      <c r="K7666" s="5">
        <v>100.0</v>
      </c>
      <c r="N7666" s="9">
        <v>45002.0</v>
      </c>
    </row>
    <row r="7667">
      <c r="A7667" s="5">
        <v>7666.0</v>
      </c>
      <c r="B7667" s="5" t="s">
        <v>8187</v>
      </c>
      <c r="C7667" s="5" t="s">
        <v>21</v>
      </c>
      <c r="K7667" s="5">
        <v>3200.0</v>
      </c>
      <c r="N7667" s="9">
        <v>44534.0</v>
      </c>
    </row>
    <row r="7668">
      <c r="A7668" s="5">
        <v>7667.0</v>
      </c>
      <c r="B7668" s="5" t="s">
        <v>8188</v>
      </c>
      <c r="C7668" s="5" t="s">
        <v>21</v>
      </c>
      <c r="K7668" s="5">
        <v>70.0</v>
      </c>
      <c r="N7668" s="9">
        <v>44662.0</v>
      </c>
    </row>
    <row r="7669">
      <c r="A7669" s="5">
        <v>7668.0</v>
      </c>
      <c r="B7669" s="5" t="s">
        <v>8189</v>
      </c>
      <c r="C7669" s="5" t="s">
        <v>21</v>
      </c>
      <c r="K7669" s="5">
        <v>10.0</v>
      </c>
      <c r="N7669" s="9">
        <v>44582.0</v>
      </c>
    </row>
    <row r="7670">
      <c r="A7670" s="5">
        <v>7669.0</v>
      </c>
      <c r="B7670" s="5" t="s">
        <v>8190</v>
      </c>
      <c r="C7670" s="5" t="s">
        <v>21</v>
      </c>
      <c r="K7670" s="5">
        <v>300.0</v>
      </c>
      <c r="N7670" s="9">
        <v>44604.0</v>
      </c>
    </row>
    <row r="7671">
      <c r="A7671" s="5">
        <v>7670.0</v>
      </c>
      <c r="B7671" s="5" t="s">
        <v>8191</v>
      </c>
      <c r="C7671" s="5" t="s">
        <v>21</v>
      </c>
      <c r="K7671" s="5">
        <v>500.0</v>
      </c>
      <c r="N7671" s="9">
        <v>43966.0</v>
      </c>
    </row>
    <row r="7672">
      <c r="A7672" s="5">
        <v>7671.0</v>
      </c>
      <c r="B7672" s="5" t="s">
        <v>8192</v>
      </c>
      <c r="C7672" s="5" t="s">
        <v>21</v>
      </c>
      <c r="K7672" s="5">
        <v>300.0</v>
      </c>
      <c r="N7672" s="9">
        <v>44609.0</v>
      </c>
    </row>
    <row r="7673">
      <c r="A7673" s="5">
        <v>7672.0</v>
      </c>
      <c r="B7673" s="5" t="s">
        <v>8193</v>
      </c>
      <c r="C7673" s="5" t="s">
        <v>21</v>
      </c>
      <c r="K7673" s="5">
        <v>150.0</v>
      </c>
      <c r="N7673" s="9">
        <v>44621.0</v>
      </c>
    </row>
    <row r="7674">
      <c r="A7674" s="5">
        <v>7673.0</v>
      </c>
      <c r="B7674" s="5" t="s">
        <v>8194</v>
      </c>
      <c r="C7674" s="5" t="s">
        <v>21</v>
      </c>
      <c r="K7674" s="5">
        <v>450.0</v>
      </c>
      <c r="N7674" s="9">
        <v>44232.0</v>
      </c>
    </row>
    <row r="7675">
      <c r="A7675" s="5">
        <v>7674.0</v>
      </c>
      <c r="B7675" s="5" t="s">
        <v>8195</v>
      </c>
      <c r="C7675" s="5" t="s">
        <v>21</v>
      </c>
      <c r="K7675" s="5">
        <v>350.0</v>
      </c>
      <c r="N7675" s="9">
        <v>43854.0</v>
      </c>
    </row>
    <row r="7676">
      <c r="A7676" s="5">
        <v>7675.0</v>
      </c>
      <c r="B7676" s="5" t="s">
        <v>8196</v>
      </c>
      <c r="C7676" s="5" t="s">
        <v>21</v>
      </c>
      <c r="K7676" s="5">
        <v>500.0</v>
      </c>
      <c r="N7676" s="9">
        <v>43883.0</v>
      </c>
    </row>
    <row r="7677">
      <c r="A7677" s="5">
        <v>7676.0</v>
      </c>
      <c r="B7677" s="5" t="s">
        <v>8197</v>
      </c>
      <c r="C7677" s="5" t="s">
        <v>21</v>
      </c>
      <c r="K7677" s="5">
        <v>40.0</v>
      </c>
      <c r="N7677" s="9">
        <v>44618.0</v>
      </c>
    </row>
    <row r="7678">
      <c r="A7678" s="5">
        <v>7677.0</v>
      </c>
      <c r="B7678" s="5" t="s">
        <v>8198</v>
      </c>
      <c r="C7678" s="5" t="s">
        <v>21</v>
      </c>
      <c r="K7678" s="5">
        <v>4600.0</v>
      </c>
      <c r="N7678" s="9">
        <v>44174.0</v>
      </c>
    </row>
    <row r="7679">
      <c r="A7679" s="5">
        <v>7678.0</v>
      </c>
      <c r="B7679" s="5" t="s">
        <v>8199</v>
      </c>
      <c r="C7679" s="5" t="s">
        <v>21</v>
      </c>
      <c r="K7679" s="5">
        <v>4300.0</v>
      </c>
      <c r="N7679" s="9">
        <v>45534.0</v>
      </c>
    </row>
    <row r="7680">
      <c r="A7680" s="5">
        <v>7679.0</v>
      </c>
      <c r="B7680" s="5" t="s">
        <v>8200</v>
      </c>
      <c r="C7680" s="5" t="s">
        <v>21</v>
      </c>
      <c r="N7680" s="9">
        <v>44562.0</v>
      </c>
    </row>
    <row r="7681">
      <c r="A7681" s="5">
        <v>7680.0</v>
      </c>
      <c r="B7681" s="5" t="s">
        <v>247</v>
      </c>
      <c r="C7681" s="5" t="s">
        <v>21</v>
      </c>
      <c r="K7681" s="5">
        <v>1400.0</v>
      </c>
      <c r="N7681" s="9">
        <v>43840.0</v>
      </c>
    </row>
    <row r="7682">
      <c r="A7682" s="5">
        <v>7681.0</v>
      </c>
      <c r="B7682" s="5" t="s">
        <v>8201</v>
      </c>
      <c r="C7682" s="5" t="s">
        <v>21</v>
      </c>
      <c r="K7682" s="5">
        <v>20.0</v>
      </c>
      <c r="N7682" s="9">
        <v>44787.0</v>
      </c>
    </row>
    <row r="7683">
      <c r="A7683" s="5">
        <v>7682.0</v>
      </c>
      <c r="B7683" s="5" t="s">
        <v>8202</v>
      </c>
      <c r="C7683" s="5" t="s">
        <v>21</v>
      </c>
      <c r="K7683" s="5">
        <v>1000.0</v>
      </c>
      <c r="N7683" s="9">
        <v>44288.0</v>
      </c>
    </row>
    <row r="7684">
      <c r="A7684" s="5">
        <v>7683.0</v>
      </c>
      <c r="B7684" s="5" t="s">
        <v>8203</v>
      </c>
      <c r="C7684" s="5" t="s">
        <v>21</v>
      </c>
      <c r="K7684" s="5">
        <v>250.0</v>
      </c>
      <c r="N7684" s="9">
        <v>44534.0</v>
      </c>
    </row>
    <row r="7685">
      <c r="A7685" s="5">
        <v>7684.0</v>
      </c>
      <c r="B7685" s="5" t="s">
        <v>8204</v>
      </c>
      <c r="C7685" s="5" t="s">
        <v>21</v>
      </c>
      <c r="K7685" s="5">
        <v>1900.0</v>
      </c>
      <c r="N7685" s="9">
        <v>44136.0</v>
      </c>
    </row>
    <row r="7686">
      <c r="A7686" s="5">
        <v>7685.0</v>
      </c>
      <c r="B7686" s="5" t="s">
        <v>8205</v>
      </c>
      <c r="C7686" s="5" t="s">
        <v>21</v>
      </c>
      <c r="N7686" s="9">
        <v>45385.0</v>
      </c>
    </row>
    <row r="7687">
      <c r="A7687" s="5">
        <v>7686.0</v>
      </c>
      <c r="B7687" s="5" t="s">
        <v>8206</v>
      </c>
      <c r="C7687" s="5" t="s">
        <v>21</v>
      </c>
      <c r="K7687" s="5">
        <v>20.0</v>
      </c>
      <c r="N7687" s="9">
        <v>44323.0</v>
      </c>
    </row>
    <row r="7688">
      <c r="A7688" s="5">
        <v>7687.0</v>
      </c>
      <c r="B7688" s="5" t="s">
        <v>8207</v>
      </c>
      <c r="C7688" s="5" t="s">
        <v>21</v>
      </c>
      <c r="K7688" s="5">
        <v>450.0</v>
      </c>
      <c r="N7688" s="9">
        <v>44253.0</v>
      </c>
    </row>
    <row r="7689">
      <c r="A7689" s="5">
        <v>7688.0</v>
      </c>
      <c r="B7689" s="5" t="s">
        <v>8208</v>
      </c>
      <c r="C7689" s="5" t="s">
        <v>21</v>
      </c>
      <c r="K7689" s="5">
        <v>150.0</v>
      </c>
      <c r="N7689" s="9">
        <v>46133.0</v>
      </c>
    </row>
    <row r="7690">
      <c r="A7690" s="5">
        <v>7689.0</v>
      </c>
      <c r="B7690" s="5" t="s">
        <v>8209</v>
      </c>
      <c r="C7690" s="5" t="s">
        <v>21</v>
      </c>
      <c r="K7690" s="5">
        <v>1500.0</v>
      </c>
      <c r="N7690" s="9">
        <v>44368.0</v>
      </c>
    </row>
    <row r="7691">
      <c r="A7691" s="5">
        <v>7690.0</v>
      </c>
      <c r="B7691" s="5" t="s">
        <v>250</v>
      </c>
      <c r="C7691" s="5" t="s">
        <v>21</v>
      </c>
      <c r="K7691" s="5">
        <v>450.0</v>
      </c>
      <c r="N7691" s="9">
        <v>44598.0</v>
      </c>
    </row>
    <row r="7692">
      <c r="A7692" s="5">
        <v>7691.0</v>
      </c>
      <c r="B7692" s="5" t="s">
        <v>8210</v>
      </c>
      <c r="C7692" s="5" t="s">
        <v>21</v>
      </c>
      <c r="K7692" s="5">
        <v>150.0</v>
      </c>
      <c r="N7692" s="9">
        <v>44525.0</v>
      </c>
    </row>
    <row r="7693">
      <c r="A7693" s="5">
        <v>7692.0</v>
      </c>
      <c r="B7693" s="5" t="s">
        <v>8211</v>
      </c>
      <c r="C7693" s="5" t="s">
        <v>21</v>
      </c>
      <c r="K7693" s="5">
        <v>10.0</v>
      </c>
      <c r="N7693" s="9">
        <v>45005.0</v>
      </c>
    </row>
    <row r="7694">
      <c r="A7694" s="5">
        <v>7693.0</v>
      </c>
      <c r="B7694" s="5" t="s">
        <v>8212</v>
      </c>
      <c r="C7694" s="5" t="s">
        <v>21</v>
      </c>
      <c r="K7694" s="5">
        <v>50.0</v>
      </c>
      <c r="N7694" s="9">
        <v>44226.0</v>
      </c>
    </row>
    <row r="7695">
      <c r="A7695" s="5">
        <v>7694.0</v>
      </c>
      <c r="B7695" s="5" t="s">
        <v>8213</v>
      </c>
      <c r="C7695" s="5" t="s">
        <v>21</v>
      </c>
      <c r="K7695" s="5">
        <v>250.0</v>
      </c>
      <c r="N7695" s="9">
        <v>44756.0</v>
      </c>
    </row>
    <row r="7696">
      <c r="A7696" s="5">
        <v>7695.0</v>
      </c>
      <c r="B7696" s="5" t="s">
        <v>8214</v>
      </c>
      <c r="C7696" s="5" t="s">
        <v>21</v>
      </c>
      <c r="K7696" s="5">
        <v>100.0</v>
      </c>
      <c r="N7696" s="9">
        <v>45174.0</v>
      </c>
    </row>
    <row r="7697">
      <c r="A7697" s="5">
        <v>7696.0</v>
      </c>
      <c r="B7697" s="5" t="s">
        <v>8215</v>
      </c>
      <c r="C7697" s="5" t="s">
        <v>21</v>
      </c>
      <c r="K7697" s="5">
        <v>350.0</v>
      </c>
      <c r="N7697" s="9">
        <v>44552.0</v>
      </c>
    </row>
    <row r="7698">
      <c r="A7698" s="5">
        <v>7697.0</v>
      </c>
      <c r="B7698" s="5" t="s">
        <v>8216</v>
      </c>
      <c r="C7698" s="5" t="s">
        <v>21</v>
      </c>
      <c r="K7698" s="5">
        <v>700.0</v>
      </c>
      <c r="N7698" s="9">
        <v>44975.0</v>
      </c>
    </row>
    <row r="7699">
      <c r="A7699" s="5">
        <v>7698.0</v>
      </c>
      <c r="B7699" s="5" t="s">
        <v>8217</v>
      </c>
      <c r="C7699" s="5" t="s">
        <v>21</v>
      </c>
      <c r="K7699" s="5">
        <v>2100.0</v>
      </c>
      <c r="N7699" s="9">
        <v>45131.0</v>
      </c>
    </row>
    <row r="7700">
      <c r="A7700" s="5">
        <v>7699.0</v>
      </c>
      <c r="B7700" s="5" t="s">
        <v>8218</v>
      </c>
      <c r="C7700" s="5" t="s">
        <v>21</v>
      </c>
      <c r="K7700" s="5">
        <v>600.0</v>
      </c>
      <c r="N7700" s="9">
        <v>44239.0</v>
      </c>
    </row>
    <row r="7701">
      <c r="A7701" s="5">
        <v>7700.0</v>
      </c>
      <c r="B7701" s="5" t="s">
        <v>8219</v>
      </c>
      <c r="C7701" s="5" t="s">
        <v>21</v>
      </c>
      <c r="K7701" s="5">
        <v>450.0</v>
      </c>
      <c r="N7701" s="9">
        <v>44231.0</v>
      </c>
    </row>
    <row r="7702">
      <c r="A7702" s="5">
        <v>7701.0</v>
      </c>
      <c r="B7702" s="5" t="s">
        <v>253</v>
      </c>
      <c r="C7702" s="5" t="s">
        <v>21</v>
      </c>
      <c r="K7702" s="5">
        <v>300.0</v>
      </c>
      <c r="N7702" s="9">
        <v>44610.0</v>
      </c>
    </row>
    <row r="7703">
      <c r="A7703" s="5">
        <v>7702.0</v>
      </c>
      <c r="B7703" s="5" t="s">
        <v>8220</v>
      </c>
      <c r="C7703" s="5" t="s">
        <v>21</v>
      </c>
      <c r="K7703" s="5">
        <v>20.0</v>
      </c>
      <c r="N7703" s="9">
        <v>45288.0</v>
      </c>
    </row>
    <row r="7704">
      <c r="A7704" s="5">
        <v>7703.0</v>
      </c>
      <c r="B7704" s="5" t="s">
        <v>8221</v>
      </c>
      <c r="C7704" s="5" t="s">
        <v>21</v>
      </c>
      <c r="K7704" s="5">
        <v>150.0</v>
      </c>
      <c r="N7704" s="9">
        <v>44568.0</v>
      </c>
    </row>
    <row r="7705">
      <c r="A7705" s="5">
        <v>7704.0</v>
      </c>
      <c r="B7705" s="5" t="s">
        <v>8222</v>
      </c>
      <c r="C7705" s="5" t="s">
        <v>21</v>
      </c>
      <c r="K7705" s="5">
        <v>33000.0</v>
      </c>
      <c r="N7705" s="9">
        <v>43847.0</v>
      </c>
    </row>
    <row r="7706">
      <c r="A7706" s="5">
        <v>7705.0</v>
      </c>
      <c r="B7706" s="5" t="s">
        <v>8223</v>
      </c>
      <c r="C7706" s="5" t="s">
        <v>21</v>
      </c>
      <c r="K7706" s="5">
        <v>600.0</v>
      </c>
      <c r="N7706" s="9">
        <v>44883.0</v>
      </c>
    </row>
    <row r="7707">
      <c r="A7707" s="5">
        <v>7706.0</v>
      </c>
      <c r="B7707" s="5" t="s">
        <v>8224</v>
      </c>
      <c r="C7707" s="5" t="s">
        <v>21</v>
      </c>
      <c r="K7707" s="5">
        <v>150.0</v>
      </c>
      <c r="N7707" s="9">
        <v>44534.0</v>
      </c>
    </row>
    <row r="7708">
      <c r="A7708" s="5">
        <v>7707.0</v>
      </c>
      <c r="B7708" s="5" t="s">
        <v>8225</v>
      </c>
      <c r="C7708" s="5" t="s">
        <v>21</v>
      </c>
      <c r="K7708" s="5">
        <v>40.0</v>
      </c>
      <c r="N7708" s="9">
        <v>44592.0</v>
      </c>
    </row>
    <row r="7709">
      <c r="A7709" s="5">
        <v>7708.0</v>
      </c>
      <c r="B7709" s="5" t="s">
        <v>8226</v>
      </c>
      <c r="C7709" s="5" t="s">
        <v>21</v>
      </c>
      <c r="K7709" s="5">
        <v>3800.0</v>
      </c>
      <c r="N7709" s="9">
        <v>43860.0</v>
      </c>
    </row>
    <row r="7710">
      <c r="A7710" s="5">
        <v>7709.0</v>
      </c>
      <c r="B7710" s="5" t="s">
        <v>8227</v>
      </c>
      <c r="C7710" s="5" t="s">
        <v>21</v>
      </c>
      <c r="K7710" s="5">
        <v>250.0</v>
      </c>
      <c r="N7710" s="9">
        <v>44531.0</v>
      </c>
    </row>
    <row r="7711">
      <c r="A7711" s="5">
        <v>7710.0</v>
      </c>
      <c r="B7711" s="5" t="s">
        <v>8228</v>
      </c>
      <c r="C7711" s="5" t="s">
        <v>21</v>
      </c>
      <c r="K7711" s="5">
        <v>450.0</v>
      </c>
      <c r="N7711" s="9">
        <v>44530.0</v>
      </c>
    </row>
    <row r="7712">
      <c r="A7712" s="5">
        <v>7711.0</v>
      </c>
      <c r="B7712" s="5" t="s">
        <v>8229</v>
      </c>
      <c r="C7712" s="5" t="s">
        <v>21</v>
      </c>
      <c r="K7712" s="5">
        <v>9100.0</v>
      </c>
      <c r="N7712" s="9">
        <v>42997.0</v>
      </c>
    </row>
    <row r="7713">
      <c r="A7713" s="5">
        <v>7712.0</v>
      </c>
      <c r="B7713" s="5" t="s">
        <v>8230</v>
      </c>
      <c r="C7713" s="5" t="s">
        <v>21</v>
      </c>
      <c r="K7713" s="5">
        <v>300.0</v>
      </c>
      <c r="N7713" s="9">
        <v>44621.0</v>
      </c>
    </row>
    <row r="7714">
      <c r="A7714" s="5">
        <v>7713.0</v>
      </c>
      <c r="B7714" s="5" t="s">
        <v>8231</v>
      </c>
      <c r="C7714" s="5" t="s">
        <v>21</v>
      </c>
      <c r="K7714" s="5">
        <v>200.0</v>
      </c>
      <c r="N7714" s="9">
        <v>44553.0</v>
      </c>
    </row>
    <row r="7715">
      <c r="A7715" s="5">
        <v>7714.0</v>
      </c>
      <c r="B7715" s="5" t="s">
        <v>8232</v>
      </c>
      <c r="C7715" s="5" t="s">
        <v>21</v>
      </c>
      <c r="K7715" s="5">
        <v>700.0</v>
      </c>
      <c r="N7715" s="9">
        <v>43936.0</v>
      </c>
    </row>
    <row r="7716">
      <c r="A7716" s="5">
        <v>7715.0</v>
      </c>
      <c r="B7716" s="5" t="s">
        <v>8233</v>
      </c>
      <c r="C7716" s="5" t="s">
        <v>21</v>
      </c>
      <c r="K7716" s="5">
        <v>300.0</v>
      </c>
      <c r="N7716" s="9">
        <v>44684.0</v>
      </c>
    </row>
    <row r="7717">
      <c r="A7717" s="5">
        <v>7716.0</v>
      </c>
      <c r="B7717" s="5" t="s">
        <v>8234</v>
      </c>
      <c r="C7717" s="5" t="s">
        <v>21</v>
      </c>
      <c r="K7717" s="5">
        <v>500.0</v>
      </c>
      <c r="N7717" s="9">
        <v>45785.0</v>
      </c>
    </row>
    <row r="7718">
      <c r="A7718" s="5">
        <v>7717.0</v>
      </c>
      <c r="B7718" s="5" t="s">
        <v>8235</v>
      </c>
      <c r="C7718" s="5" t="s">
        <v>21</v>
      </c>
      <c r="K7718" s="5">
        <v>200.0</v>
      </c>
      <c r="N7718" s="9">
        <v>44614.0</v>
      </c>
    </row>
    <row r="7719">
      <c r="A7719" s="5">
        <v>7718.0</v>
      </c>
      <c r="B7719" s="5" t="s">
        <v>8236</v>
      </c>
      <c r="C7719" s="5" t="s">
        <v>21</v>
      </c>
      <c r="K7719" s="5">
        <v>40.0</v>
      </c>
      <c r="N7719" s="9">
        <v>45364.0</v>
      </c>
    </row>
    <row r="7720">
      <c r="A7720" s="5">
        <v>7719.0</v>
      </c>
      <c r="B7720" s="5" t="s">
        <v>8237</v>
      </c>
      <c r="C7720" s="5" t="s">
        <v>21</v>
      </c>
      <c r="K7720" s="5">
        <v>1300.0</v>
      </c>
      <c r="N7720" s="9">
        <v>44178.0</v>
      </c>
    </row>
    <row r="7721">
      <c r="A7721" s="5">
        <v>7720.0</v>
      </c>
      <c r="B7721" s="5" t="s">
        <v>8238</v>
      </c>
      <c r="C7721" s="5" t="s">
        <v>21</v>
      </c>
      <c r="K7721" s="5">
        <v>1700.0</v>
      </c>
      <c r="N7721" s="9">
        <v>44295.0</v>
      </c>
    </row>
    <row r="7722">
      <c r="A7722" s="5">
        <v>7721.0</v>
      </c>
      <c r="B7722" s="5" t="s">
        <v>8239</v>
      </c>
      <c r="C7722" s="5" t="s">
        <v>21</v>
      </c>
      <c r="K7722" s="5">
        <v>2200.0</v>
      </c>
      <c r="N7722" s="9">
        <v>44356.0</v>
      </c>
    </row>
    <row r="7723">
      <c r="A7723" s="5">
        <v>7722.0</v>
      </c>
      <c r="B7723" s="5" t="s">
        <v>8240</v>
      </c>
      <c r="C7723" s="5" t="s">
        <v>21</v>
      </c>
      <c r="K7723" s="5">
        <v>20.0</v>
      </c>
      <c r="N7723" s="9">
        <v>44537.0</v>
      </c>
    </row>
    <row r="7724">
      <c r="A7724" s="5">
        <v>7723.0</v>
      </c>
      <c r="B7724" s="5" t="s">
        <v>8241</v>
      </c>
      <c r="C7724" s="5" t="s">
        <v>21</v>
      </c>
      <c r="K7724" s="5">
        <v>150.0</v>
      </c>
      <c r="N7724" s="9">
        <v>44062.0</v>
      </c>
    </row>
    <row r="7725">
      <c r="A7725" s="5">
        <v>7724.0</v>
      </c>
      <c r="B7725" s="5" t="s">
        <v>8242</v>
      </c>
      <c r="C7725" s="5" t="s">
        <v>21</v>
      </c>
      <c r="K7725" s="5">
        <v>150.0</v>
      </c>
      <c r="N7725" s="9">
        <v>44546.0</v>
      </c>
    </row>
    <row r="7726">
      <c r="A7726" s="5">
        <v>7725.0</v>
      </c>
      <c r="B7726" s="5" t="s">
        <v>8243</v>
      </c>
      <c r="C7726" s="5" t="s">
        <v>21</v>
      </c>
      <c r="K7726" s="5">
        <v>350.0</v>
      </c>
      <c r="N7726" s="9">
        <v>44571.0</v>
      </c>
    </row>
    <row r="7727">
      <c r="A7727" s="5">
        <v>7726.0</v>
      </c>
      <c r="B7727" s="5" t="s">
        <v>8244</v>
      </c>
      <c r="C7727" s="5" t="s">
        <v>21</v>
      </c>
      <c r="K7727" s="5">
        <v>300.0</v>
      </c>
      <c r="N7727" s="9">
        <v>44680.0</v>
      </c>
    </row>
    <row r="7728">
      <c r="A7728" s="5">
        <v>7727.0</v>
      </c>
      <c r="B7728" s="5" t="s">
        <v>8245</v>
      </c>
      <c r="C7728" s="5" t="s">
        <v>21</v>
      </c>
      <c r="K7728" s="5">
        <v>400.0</v>
      </c>
      <c r="N7728" s="9">
        <v>44075.0</v>
      </c>
    </row>
    <row r="7729">
      <c r="A7729" s="5">
        <v>7728.0</v>
      </c>
      <c r="B7729" s="5" t="s">
        <v>8246</v>
      </c>
      <c r="C7729" s="5" t="s">
        <v>21</v>
      </c>
      <c r="K7729" s="5">
        <v>1500.0</v>
      </c>
      <c r="N7729" s="9">
        <v>44252.0</v>
      </c>
    </row>
    <row r="7730">
      <c r="A7730" s="5">
        <v>7729.0</v>
      </c>
      <c r="B7730" s="5" t="s">
        <v>8247</v>
      </c>
      <c r="C7730" s="5" t="s">
        <v>21</v>
      </c>
      <c r="K7730" s="5">
        <v>60.0</v>
      </c>
      <c r="N7730" s="9">
        <v>44573.0</v>
      </c>
    </row>
    <row r="7731">
      <c r="A7731" s="5">
        <v>7730.0</v>
      </c>
      <c r="B7731" s="5" t="s">
        <v>8248</v>
      </c>
      <c r="C7731" s="5" t="s">
        <v>21</v>
      </c>
      <c r="K7731" s="5">
        <v>350.0</v>
      </c>
      <c r="N7731" s="9">
        <v>44542.0</v>
      </c>
    </row>
    <row r="7732">
      <c r="A7732" s="5">
        <v>7731.0</v>
      </c>
      <c r="B7732" s="5" t="s">
        <v>8249</v>
      </c>
      <c r="C7732" s="5" t="s">
        <v>21</v>
      </c>
      <c r="K7732" s="5">
        <v>30.0</v>
      </c>
      <c r="N7732" s="9">
        <v>44665.0</v>
      </c>
    </row>
    <row r="7733">
      <c r="A7733" s="5">
        <v>7732.0</v>
      </c>
      <c r="B7733" s="5" t="s">
        <v>8250</v>
      </c>
      <c r="C7733" s="5" t="s">
        <v>21</v>
      </c>
      <c r="K7733" s="5">
        <v>200.0</v>
      </c>
      <c r="N7733" s="9">
        <v>44839.0</v>
      </c>
    </row>
    <row r="7734">
      <c r="A7734" s="5">
        <v>7733.0</v>
      </c>
      <c r="B7734" s="5" t="s">
        <v>8251</v>
      </c>
      <c r="C7734" s="5" t="s">
        <v>21</v>
      </c>
      <c r="K7734" s="5">
        <v>2700.0</v>
      </c>
      <c r="N7734" s="9">
        <v>45587.0</v>
      </c>
    </row>
    <row r="7735">
      <c r="A7735" s="5">
        <v>7734.0</v>
      </c>
      <c r="B7735" s="5" t="s">
        <v>290</v>
      </c>
      <c r="C7735" s="5" t="s">
        <v>21</v>
      </c>
      <c r="K7735" s="5">
        <v>200.0</v>
      </c>
      <c r="N7735" s="9">
        <v>44712.0</v>
      </c>
    </row>
    <row r="7736">
      <c r="A7736" s="5">
        <v>7735.0</v>
      </c>
      <c r="B7736" s="5" t="s">
        <v>8252</v>
      </c>
      <c r="C7736" s="5" t="s">
        <v>21</v>
      </c>
      <c r="K7736" s="5">
        <v>60.0</v>
      </c>
      <c r="N7736" s="9">
        <v>44935.0</v>
      </c>
    </row>
    <row r="7737">
      <c r="A7737" s="5">
        <v>7736.0</v>
      </c>
      <c r="B7737" s="5" t="s">
        <v>8253</v>
      </c>
      <c r="C7737" s="5" t="s">
        <v>21</v>
      </c>
      <c r="K7737" s="5">
        <v>400.0</v>
      </c>
      <c r="N7737" s="9">
        <v>44329.0</v>
      </c>
    </row>
    <row r="7738">
      <c r="A7738" s="5">
        <v>7737.0</v>
      </c>
      <c r="B7738" s="5" t="s">
        <v>8254</v>
      </c>
      <c r="C7738" s="5" t="s">
        <v>21</v>
      </c>
      <c r="K7738" s="5">
        <v>350.0</v>
      </c>
      <c r="N7738" s="9">
        <v>44581.0</v>
      </c>
    </row>
    <row r="7739">
      <c r="A7739" s="5">
        <v>7738.0</v>
      </c>
      <c r="B7739" s="5" t="s">
        <v>8255</v>
      </c>
      <c r="C7739" s="5" t="s">
        <v>21</v>
      </c>
      <c r="K7739" s="5">
        <v>350.0</v>
      </c>
      <c r="N7739" s="9">
        <v>44610.0</v>
      </c>
    </row>
    <row r="7740">
      <c r="A7740" s="5">
        <v>7739.0</v>
      </c>
      <c r="B7740" s="5" t="s">
        <v>8256</v>
      </c>
      <c r="C7740" s="5" t="s">
        <v>21</v>
      </c>
      <c r="K7740" s="5">
        <v>200.0</v>
      </c>
      <c r="N7740" s="9">
        <v>44281.0</v>
      </c>
    </row>
    <row r="7741">
      <c r="A7741" s="5">
        <v>7740.0</v>
      </c>
      <c r="B7741" s="5" t="s">
        <v>8257</v>
      </c>
      <c r="C7741" s="5" t="s">
        <v>21</v>
      </c>
      <c r="K7741" s="5">
        <v>30.0</v>
      </c>
      <c r="N7741" s="9">
        <v>45479.0</v>
      </c>
    </row>
    <row r="7742">
      <c r="A7742" s="5">
        <v>7741.0</v>
      </c>
      <c r="B7742" s="5" t="s">
        <v>8258</v>
      </c>
      <c r="C7742" s="5" t="s">
        <v>21</v>
      </c>
      <c r="K7742" s="5">
        <v>2000.0</v>
      </c>
      <c r="N7742" s="9">
        <v>44231.0</v>
      </c>
    </row>
    <row r="7743">
      <c r="A7743" s="5">
        <v>7742.0</v>
      </c>
      <c r="B7743" s="5" t="s">
        <v>8259</v>
      </c>
      <c r="C7743" s="5" t="s">
        <v>21</v>
      </c>
      <c r="K7743" s="5">
        <v>1100.0</v>
      </c>
      <c r="N7743" s="9">
        <v>44116.0</v>
      </c>
    </row>
    <row r="7744">
      <c r="A7744" s="5">
        <v>7743.0</v>
      </c>
      <c r="B7744" s="5" t="s">
        <v>8260</v>
      </c>
      <c r="C7744" s="5" t="s">
        <v>21</v>
      </c>
      <c r="K7744" s="5">
        <v>250.0</v>
      </c>
      <c r="N7744" s="9">
        <v>44561.0</v>
      </c>
    </row>
    <row r="7745">
      <c r="A7745" s="5">
        <v>7744.0</v>
      </c>
      <c r="B7745" s="5" t="s">
        <v>8261</v>
      </c>
      <c r="C7745" s="5" t="s">
        <v>21</v>
      </c>
      <c r="K7745" s="5">
        <v>11000.0</v>
      </c>
      <c r="N7745" s="9">
        <v>45326.0</v>
      </c>
    </row>
    <row r="7746">
      <c r="A7746" s="5">
        <v>7745.0</v>
      </c>
      <c r="B7746" s="5" t="s">
        <v>8262</v>
      </c>
      <c r="C7746" s="5" t="s">
        <v>21</v>
      </c>
      <c r="K7746" s="5">
        <v>100.0</v>
      </c>
      <c r="N7746" s="9">
        <v>45383.0</v>
      </c>
    </row>
    <row r="7747">
      <c r="A7747" s="5">
        <v>7746.0</v>
      </c>
      <c r="B7747" s="5" t="s">
        <v>8263</v>
      </c>
      <c r="C7747" s="5" t="s">
        <v>21</v>
      </c>
      <c r="K7747" s="5">
        <v>200.0</v>
      </c>
      <c r="N7747" s="9">
        <v>45200.0</v>
      </c>
    </row>
    <row r="7748">
      <c r="A7748" s="5">
        <v>7747.0</v>
      </c>
      <c r="B7748" s="5" t="s">
        <v>8264</v>
      </c>
      <c r="C7748" s="5" t="s">
        <v>21</v>
      </c>
      <c r="K7748" s="5">
        <v>90.0</v>
      </c>
      <c r="N7748" s="9">
        <v>44854.0</v>
      </c>
    </row>
    <row r="7749">
      <c r="A7749" s="5">
        <v>7748.0</v>
      </c>
      <c r="B7749" s="5" t="s">
        <v>8265</v>
      </c>
      <c r="C7749" s="5" t="s">
        <v>21</v>
      </c>
      <c r="K7749" s="5">
        <v>1100.0</v>
      </c>
      <c r="N7749" s="9">
        <v>45390.0</v>
      </c>
    </row>
    <row r="7750">
      <c r="A7750" s="5">
        <v>7749.0</v>
      </c>
      <c r="B7750" s="5" t="s">
        <v>8266</v>
      </c>
      <c r="C7750" s="5" t="s">
        <v>21</v>
      </c>
      <c r="K7750" s="5">
        <v>150.0</v>
      </c>
      <c r="N7750" s="9">
        <v>44608.0</v>
      </c>
    </row>
    <row r="7751">
      <c r="A7751" s="5">
        <v>7750.0</v>
      </c>
      <c r="B7751" s="5" t="s">
        <v>8267</v>
      </c>
      <c r="C7751" s="5" t="s">
        <v>21</v>
      </c>
      <c r="K7751" s="5">
        <v>700.0</v>
      </c>
      <c r="N7751" s="9">
        <v>44386.0</v>
      </c>
    </row>
    <row r="7752">
      <c r="A7752" s="5">
        <v>7751.0</v>
      </c>
      <c r="B7752" s="5" t="s">
        <v>8268</v>
      </c>
      <c r="C7752" s="5" t="s">
        <v>21</v>
      </c>
      <c r="K7752" s="5">
        <v>300.0</v>
      </c>
      <c r="N7752" s="9">
        <v>45070.0</v>
      </c>
    </row>
    <row r="7753">
      <c r="A7753" s="5">
        <v>7752.0</v>
      </c>
      <c r="B7753" s="5" t="s">
        <v>8269</v>
      </c>
      <c r="C7753" s="5" t="s">
        <v>21</v>
      </c>
      <c r="K7753" s="5">
        <v>350.0</v>
      </c>
      <c r="N7753" s="9">
        <v>44449.0</v>
      </c>
    </row>
    <row r="7754">
      <c r="A7754" s="5">
        <v>7753.0</v>
      </c>
      <c r="B7754" s="5" t="s">
        <v>8270</v>
      </c>
      <c r="C7754" s="5" t="s">
        <v>21</v>
      </c>
      <c r="K7754" s="5">
        <v>900.0</v>
      </c>
      <c r="N7754" s="9">
        <v>44699.0</v>
      </c>
    </row>
    <row r="7755">
      <c r="A7755" s="5">
        <v>7754.0</v>
      </c>
      <c r="B7755" s="5" t="s">
        <v>8271</v>
      </c>
      <c r="C7755" s="5" t="s">
        <v>21</v>
      </c>
      <c r="K7755" s="5">
        <v>300.0</v>
      </c>
      <c r="N7755" s="9">
        <v>44612.0</v>
      </c>
    </row>
    <row r="7756">
      <c r="A7756" s="5">
        <v>7755.0</v>
      </c>
      <c r="B7756" s="5" t="s">
        <v>8272</v>
      </c>
      <c r="C7756" s="5" t="s">
        <v>21</v>
      </c>
      <c r="N7756" s="9">
        <v>44573.0</v>
      </c>
    </row>
    <row r="7757">
      <c r="A7757" s="5">
        <v>7756.0</v>
      </c>
      <c r="B7757" s="5" t="s">
        <v>8273</v>
      </c>
      <c r="C7757" s="5" t="s">
        <v>21</v>
      </c>
      <c r="K7757" s="5">
        <v>2800.0</v>
      </c>
      <c r="N7757" s="9">
        <v>45159.0</v>
      </c>
    </row>
    <row r="7758">
      <c r="A7758" s="5">
        <v>7757.0</v>
      </c>
      <c r="B7758" s="5" t="s">
        <v>8274</v>
      </c>
      <c r="C7758" s="5" t="s">
        <v>21</v>
      </c>
      <c r="K7758" s="5">
        <v>50.0</v>
      </c>
      <c r="N7758" s="9">
        <v>44666.0</v>
      </c>
    </row>
    <row r="7759">
      <c r="A7759" s="5">
        <v>7758.0</v>
      </c>
      <c r="B7759" s="5" t="s">
        <v>8275</v>
      </c>
      <c r="C7759" s="5" t="s">
        <v>21</v>
      </c>
      <c r="K7759" s="5">
        <v>40.0</v>
      </c>
      <c r="N7759" s="9">
        <v>44207.0</v>
      </c>
    </row>
    <row r="7760">
      <c r="A7760" s="5">
        <v>7759.0</v>
      </c>
      <c r="B7760" s="5" t="s">
        <v>8276</v>
      </c>
      <c r="C7760" s="5" t="s">
        <v>21</v>
      </c>
      <c r="K7760" s="5">
        <v>150.0</v>
      </c>
      <c r="N7760" s="9">
        <v>45442.0</v>
      </c>
    </row>
    <row r="7761">
      <c r="A7761" s="5">
        <v>7760.0</v>
      </c>
      <c r="B7761" s="5" t="s">
        <v>8277</v>
      </c>
      <c r="C7761" s="5" t="s">
        <v>21</v>
      </c>
      <c r="K7761" s="5">
        <v>1000.0</v>
      </c>
      <c r="N7761" s="9">
        <v>44523.0</v>
      </c>
    </row>
    <row r="7762">
      <c r="A7762" s="5">
        <v>7761.0</v>
      </c>
      <c r="B7762" s="5" t="s">
        <v>8278</v>
      </c>
      <c r="C7762" s="5" t="s">
        <v>21</v>
      </c>
      <c r="K7762" s="5">
        <v>400.0</v>
      </c>
      <c r="N7762" s="9">
        <v>44250.0</v>
      </c>
    </row>
    <row r="7763">
      <c r="A7763" s="5">
        <v>7762.0</v>
      </c>
      <c r="B7763" s="5" t="s">
        <v>8279</v>
      </c>
      <c r="C7763" s="5" t="s">
        <v>21</v>
      </c>
      <c r="K7763" s="5">
        <v>1100.0</v>
      </c>
      <c r="N7763" s="9">
        <v>45072.0</v>
      </c>
    </row>
    <row r="7764">
      <c r="A7764" s="5">
        <v>7763.0</v>
      </c>
      <c r="B7764" s="5" t="s">
        <v>8280</v>
      </c>
      <c r="C7764" s="5" t="s">
        <v>21</v>
      </c>
      <c r="K7764" s="5">
        <v>500.0</v>
      </c>
      <c r="N7764" s="9">
        <v>44502.0</v>
      </c>
    </row>
    <row r="7765">
      <c r="A7765" s="5">
        <v>7764.0</v>
      </c>
      <c r="B7765" s="5" t="s">
        <v>8281</v>
      </c>
      <c r="C7765" s="5" t="s">
        <v>21</v>
      </c>
      <c r="K7765" s="5">
        <v>150.0</v>
      </c>
      <c r="N7765" s="9">
        <v>45391.0</v>
      </c>
    </row>
    <row r="7766">
      <c r="A7766" s="5">
        <v>7765.0</v>
      </c>
      <c r="B7766" s="5" t="s">
        <v>8282</v>
      </c>
      <c r="C7766" s="5" t="s">
        <v>21</v>
      </c>
      <c r="K7766" s="5">
        <v>350.0</v>
      </c>
      <c r="N7766" s="9">
        <v>44631.0</v>
      </c>
    </row>
    <row r="7767">
      <c r="A7767" s="5">
        <v>7766.0</v>
      </c>
      <c r="B7767" s="5" t="s">
        <v>8283</v>
      </c>
      <c r="C7767" s="5" t="s">
        <v>21</v>
      </c>
      <c r="K7767" s="5">
        <v>350.0</v>
      </c>
      <c r="N7767" s="9">
        <v>44927.0</v>
      </c>
    </row>
    <row r="7768">
      <c r="A7768" s="5">
        <v>7767.0</v>
      </c>
      <c r="B7768" s="5" t="s">
        <v>8284</v>
      </c>
      <c r="C7768" s="5" t="s">
        <v>21</v>
      </c>
      <c r="N7768" s="9">
        <v>44916.0</v>
      </c>
    </row>
    <row r="7769">
      <c r="A7769" s="5">
        <v>7768.0</v>
      </c>
      <c r="B7769" s="5" t="s">
        <v>8285</v>
      </c>
      <c r="C7769" s="5" t="s">
        <v>21</v>
      </c>
      <c r="K7769" s="5">
        <v>600.0</v>
      </c>
      <c r="N7769" s="9">
        <v>44318.0</v>
      </c>
    </row>
    <row r="7770">
      <c r="A7770" s="5">
        <v>7769.0</v>
      </c>
      <c r="B7770" s="5" t="s">
        <v>8286</v>
      </c>
      <c r="C7770" s="5" t="s">
        <v>21</v>
      </c>
      <c r="N7770" s="9">
        <v>44528.0</v>
      </c>
    </row>
    <row r="7771">
      <c r="A7771" s="5">
        <v>7770.0</v>
      </c>
      <c r="B7771" s="5" t="s">
        <v>8287</v>
      </c>
      <c r="C7771" s="5" t="s">
        <v>21</v>
      </c>
      <c r="K7771" s="5">
        <v>1400.0</v>
      </c>
      <c r="N7771" s="9">
        <v>44518.0</v>
      </c>
    </row>
    <row r="7772">
      <c r="A7772" s="5">
        <v>7771.0</v>
      </c>
      <c r="B7772" s="5" t="s">
        <v>8288</v>
      </c>
      <c r="C7772" s="5" t="s">
        <v>21</v>
      </c>
      <c r="K7772" s="5">
        <v>100.0</v>
      </c>
      <c r="N7772" s="9">
        <v>44603.0</v>
      </c>
    </row>
    <row r="7773">
      <c r="A7773" s="5">
        <v>7772.0</v>
      </c>
      <c r="B7773" s="5" t="s">
        <v>8289</v>
      </c>
      <c r="C7773" s="5" t="s">
        <v>21</v>
      </c>
      <c r="K7773" s="5">
        <v>150.0</v>
      </c>
      <c r="N7773" s="9">
        <v>44574.0</v>
      </c>
    </row>
    <row r="7774">
      <c r="A7774" s="5">
        <v>7773.0</v>
      </c>
      <c r="B7774" s="5" t="s">
        <v>8290</v>
      </c>
      <c r="C7774" s="5" t="s">
        <v>21</v>
      </c>
      <c r="K7774" s="5">
        <v>800.0</v>
      </c>
      <c r="N7774" s="9">
        <v>45253.0</v>
      </c>
    </row>
    <row r="7775">
      <c r="A7775" s="5">
        <v>7774.0</v>
      </c>
      <c r="B7775" s="5" t="s">
        <v>8291</v>
      </c>
      <c r="C7775" s="5" t="s">
        <v>21</v>
      </c>
      <c r="K7775" s="5">
        <v>150.0</v>
      </c>
      <c r="N7775" s="9">
        <v>44715.0</v>
      </c>
    </row>
    <row r="7776">
      <c r="A7776" s="5">
        <v>7775.0</v>
      </c>
      <c r="B7776" s="5" t="s">
        <v>8292</v>
      </c>
      <c r="C7776" s="5" t="s">
        <v>21</v>
      </c>
      <c r="K7776" s="5">
        <v>4000.0</v>
      </c>
      <c r="N7776" s="9">
        <v>44511.0</v>
      </c>
    </row>
    <row r="7777">
      <c r="A7777" s="5">
        <v>7776.0</v>
      </c>
      <c r="B7777" s="5" t="s">
        <v>8293</v>
      </c>
      <c r="C7777" s="5" t="s">
        <v>21</v>
      </c>
      <c r="K7777" s="5">
        <v>250.0</v>
      </c>
      <c r="N7777" s="9">
        <v>45101.0</v>
      </c>
    </row>
    <row r="7778">
      <c r="A7778" s="5">
        <v>7777.0</v>
      </c>
      <c r="B7778" s="5" t="s">
        <v>8294</v>
      </c>
      <c r="C7778" s="5" t="s">
        <v>21</v>
      </c>
      <c r="K7778" s="5">
        <v>600.0</v>
      </c>
      <c r="N7778" s="9">
        <v>44507.0</v>
      </c>
    </row>
    <row r="7779">
      <c r="A7779" s="5">
        <v>7778.0</v>
      </c>
      <c r="B7779" s="5" t="s">
        <v>8295</v>
      </c>
      <c r="C7779" s="5" t="s">
        <v>21</v>
      </c>
      <c r="K7779" s="5">
        <v>100.0</v>
      </c>
      <c r="N7779" s="9">
        <v>44592.0</v>
      </c>
    </row>
    <row r="7780">
      <c r="A7780" s="5">
        <v>7779.0</v>
      </c>
      <c r="B7780" s="5" t="s">
        <v>8296</v>
      </c>
      <c r="C7780" s="5" t="s">
        <v>21</v>
      </c>
      <c r="K7780" s="5">
        <v>90.0</v>
      </c>
      <c r="N7780" s="9">
        <v>44762.0</v>
      </c>
    </row>
    <row r="7781">
      <c r="A7781" s="5">
        <v>7780.0</v>
      </c>
      <c r="B7781" s="5" t="s">
        <v>8297</v>
      </c>
      <c r="C7781" s="5" t="s">
        <v>21</v>
      </c>
      <c r="K7781" s="5">
        <v>300.0</v>
      </c>
      <c r="N7781" s="9">
        <v>45011.0</v>
      </c>
    </row>
    <row r="7782">
      <c r="A7782" s="5">
        <v>7781.0</v>
      </c>
      <c r="B7782" s="5" t="s">
        <v>8298</v>
      </c>
      <c r="C7782" s="5" t="s">
        <v>21</v>
      </c>
      <c r="K7782" s="5">
        <v>150.0</v>
      </c>
      <c r="N7782" s="9">
        <v>45577.0</v>
      </c>
    </row>
    <row r="7783">
      <c r="A7783" s="5">
        <v>7782.0</v>
      </c>
      <c r="B7783" s="5" t="s">
        <v>8299</v>
      </c>
      <c r="C7783" s="5" t="s">
        <v>21</v>
      </c>
      <c r="K7783" s="5">
        <v>200.0</v>
      </c>
      <c r="N7783" s="9">
        <v>44962.0</v>
      </c>
    </row>
    <row r="7784">
      <c r="A7784" s="5">
        <v>7783.0</v>
      </c>
      <c r="B7784" s="5" t="s">
        <v>8300</v>
      </c>
      <c r="C7784" s="5" t="s">
        <v>21</v>
      </c>
      <c r="K7784" s="5">
        <v>80.0</v>
      </c>
      <c r="N7784" s="9">
        <v>44402.0</v>
      </c>
    </row>
    <row r="7785">
      <c r="A7785" s="5">
        <v>7784.0</v>
      </c>
      <c r="B7785" s="5" t="s">
        <v>256</v>
      </c>
      <c r="C7785" s="5" t="s">
        <v>21</v>
      </c>
      <c r="K7785" s="5">
        <v>250.0</v>
      </c>
      <c r="N7785" s="9">
        <v>44795.0</v>
      </c>
    </row>
    <row r="7786">
      <c r="A7786" s="5">
        <v>7785.0</v>
      </c>
      <c r="B7786" s="5" t="s">
        <v>8301</v>
      </c>
      <c r="C7786" s="5" t="s">
        <v>21</v>
      </c>
      <c r="K7786" s="5">
        <v>450.0</v>
      </c>
      <c r="N7786" s="9">
        <v>44463.0</v>
      </c>
    </row>
    <row r="7787">
      <c r="A7787" s="5">
        <v>7786.0</v>
      </c>
      <c r="B7787" s="5" t="s">
        <v>8302</v>
      </c>
      <c r="C7787" s="5" t="s">
        <v>21</v>
      </c>
      <c r="K7787" s="5">
        <v>20.0</v>
      </c>
      <c r="N7787" s="9">
        <v>44564.0</v>
      </c>
    </row>
    <row r="7788">
      <c r="A7788" s="5">
        <v>7787.0</v>
      </c>
      <c r="B7788" s="5" t="s">
        <v>8303</v>
      </c>
      <c r="C7788" s="5" t="s">
        <v>21</v>
      </c>
      <c r="K7788" s="5">
        <v>400.0</v>
      </c>
      <c r="N7788" s="9">
        <v>44817.0</v>
      </c>
    </row>
    <row r="7789">
      <c r="A7789" s="5">
        <v>7788.0</v>
      </c>
      <c r="B7789" s="5" t="s">
        <v>8304</v>
      </c>
      <c r="C7789" s="5" t="s">
        <v>21</v>
      </c>
      <c r="K7789" s="5">
        <v>200.0</v>
      </c>
      <c r="N7789" s="9">
        <v>45428.0</v>
      </c>
    </row>
    <row r="7790">
      <c r="A7790" s="5">
        <v>7789.0</v>
      </c>
      <c r="B7790" s="5" t="s">
        <v>8305</v>
      </c>
      <c r="C7790" s="5" t="s">
        <v>21</v>
      </c>
      <c r="K7790" s="5">
        <v>200.0</v>
      </c>
      <c r="N7790" s="9">
        <v>44520.0</v>
      </c>
    </row>
    <row r="7791">
      <c r="A7791" s="5">
        <v>7790.0</v>
      </c>
      <c r="B7791" s="5" t="s">
        <v>8306</v>
      </c>
      <c r="C7791" s="5" t="s">
        <v>21</v>
      </c>
      <c r="K7791" s="5">
        <v>1700.0</v>
      </c>
      <c r="N7791" s="9">
        <v>44465.0</v>
      </c>
    </row>
    <row r="7792">
      <c r="A7792" s="5">
        <v>7791.0</v>
      </c>
      <c r="B7792" s="5" t="s">
        <v>8307</v>
      </c>
      <c r="C7792" s="5" t="s">
        <v>21</v>
      </c>
      <c r="K7792" s="5">
        <v>250.0</v>
      </c>
      <c r="N7792" s="9">
        <v>45062.0</v>
      </c>
    </row>
    <row r="7793">
      <c r="A7793" s="5">
        <v>7792.0</v>
      </c>
      <c r="B7793" s="5" t="s">
        <v>8308</v>
      </c>
      <c r="C7793" s="5" t="s">
        <v>21</v>
      </c>
      <c r="K7793" s="5">
        <v>600.0</v>
      </c>
      <c r="N7793" s="9">
        <v>44288.0</v>
      </c>
    </row>
    <row r="7794">
      <c r="A7794" s="5">
        <v>7793.0</v>
      </c>
      <c r="B7794" s="5" t="s">
        <v>8309</v>
      </c>
      <c r="C7794" s="5" t="s">
        <v>21</v>
      </c>
      <c r="K7794" s="5">
        <v>150.0</v>
      </c>
      <c r="N7794" s="9">
        <v>44820.0</v>
      </c>
    </row>
    <row r="7795">
      <c r="A7795" s="5">
        <v>7794.0</v>
      </c>
      <c r="B7795" s="5" t="s">
        <v>8310</v>
      </c>
      <c r="C7795" s="5" t="s">
        <v>21</v>
      </c>
      <c r="K7795" s="5">
        <v>450.0</v>
      </c>
      <c r="N7795" s="9">
        <v>44677.0</v>
      </c>
    </row>
    <row r="7796">
      <c r="A7796" s="5">
        <v>7795.0</v>
      </c>
      <c r="B7796" s="5" t="s">
        <v>8311</v>
      </c>
      <c r="C7796" s="5" t="s">
        <v>21</v>
      </c>
      <c r="K7796" s="5">
        <v>1000.0</v>
      </c>
      <c r="N7796" s="9">
        <v>43884.0</v>
      </c>
    </row>
    <row r="7797">
      <c r="A7797" s="5">
        <v>7796.0</v>
      </c>
      <c r="B7797" s="5" t="s">
        <v>8312</v>
      </c>
      <c r="C7797" s="5" t="s">
        <v>21</v>
      </c>
      <c r="K7797" s="5">
        <v>1600.0</v>
      </c>
      <c r="N7797" s="9">
        <v>44556.0</v>
      </c>
    </row>
    <row r="7798">
      <c r="A7798" s="5">
        <v>7797.0</v>
      </c>
      <c r="B7798" s="5" t="s">
        <v>8313</v>
      </c>
      <c r="C7798" s="5" t="s">
        <v>21</v>
      </c>
      <c r="K7798" s="5">
        <v>3900.0</v>
      </c>
      <c r="N7798" s="9">
        <v>44013.0</v>
      </c>
    </row>
    <row r="7799">
      <c r="A7799" s="5">
        <v>7798.0</v>
      </c>
      <c r="B7799" s="5" t="s">
        <v>8314</v>
      </c>
      <c r="C7799" s="5" t="s">
        <v>21</v>
      </c>
      <c r="K7799" s="5">
        <v>200.0</v>
      </c>
      <c r="N7799" s="9">
        <v>44548.0</v>
      </c>
    </row>
    <row r="7800">
      <c r="A7800" s="5">
        <v>7799.0</v>
      </c>
      <c r="B7800" s="5" t="s">
        <v>8315</v>
      </c>
      <c r="C7800" s="5" t="s">
        <v>21</v>
      </c>
      <c r="K7800" s="5">
        <v>150.0</v>
      </c>
      <c r="N7800" s="9">
        <v>44558.0</v>
      </c>
    </row>
    <row r="7801">
      <c r="A7801" s="5">
        <v>7800.0</v>
      </c>
      <c r="B7801" s="5" t="s">
        <v>8316</v>
      </c>
      <c r="C7801" s="5" t="s">
        <v>21</v>
      </c>
      <c r="K7801" s="5">
        <v>450.0</v>
      </c>
      <c r="N7801" s="9">
        <v>45096.0</v>
      </c>
    </row>
    <row r="7802">
      <c r="A7802" s="5">
        <v>7801.0</v>
      </c>
      <c r="B7802" s="5" t="s">
        <v>8317</v>
      </c>
      <c r="C7802" s="5" t="s">
        <v>21</v>
      </c>
      <c r="K7802" s="5">
        <v>250.0</v>
      </c>
      <c r="N7802" s="9">
        <v>44543.0</v>
      </c>
    </row>
    <row r="7803">
      <c r="A7803" s="5">
        <v>7802.0</v>
      </c>
      <c r="B7803" s="5" t="s">
        <v>8318</v>
      </c>
      <c r="C7803" s="5" t="s">
        <v>21</v>
      </c>
      <c r="K7803" s="5">
        <v>800.0</v>
      </c>
      <c r="N7803" s="9">
        <v>45535.0</v>
      </c>
    </row>
    <row r="7804">
      <c r="A7804" s="5">
        <v>7803.0</v>
      </c>
      <c r="B7804" s="5" t="s">
        <v>8319</v>
      </c>
      <c r="C7804" s="5" t="s">
        <v>21</v>
      </c>
      <c r="K7804" s="5">
        <v>150.0</v>
      </c>
      <c r="N7804" s="9">
        <v>43955.0</v>
      </c>
    </row>
    <row r="7805">
      <c r="A7805" s="5">
        <v>7804.0</v>
      </c>
      <c r="B7805" s="5" t="s">
        <v>8320</v>
      </c>
      <c r="C7805" s="5" t="s">
        <v>21</v>
      </c>
      <c r="K7805" s="5">
        <v>8600.0</v>
      </c>
      <c r="N7805" s="9">
        <v>44111.0</v>
      </c>
    </row>
    <row r="7806">
      <c r="A7806" s="5">
        <v>7805.0</v>
      </c>
      <c r="B7806" s="5" t="s">
        <v>8321</v>
      </c>
      <c r="C7806" s="5" t="s">
        <v>21</v>
      </c>
      <c r="K7806" s="5">
        <v>20.0</v>
      </c>
      <c r="N7806" s="9">
        <v>44661.0</v>
      </c>
    </row>
    <row r="7807">
      <c r="A7807" s="5">
        <v>7806.0</v>
      </c>
      <c r="B7807" s="5" t="s">
        <v>8322</v>
      </c>
      <c r="C7807" s="5" t="s">
        <v>21</v>
      </c>
      <c r="K7807" s="5">
        <v>450.0</v>
      </c>
      <c r="N7807" s="9">
        <v>44347.0</v>
      </c>
    </row>
    <row r="7808">
      <c r="A7808" s="5">
        <v>7807.0</v>
      </c>
      <c r="B7808" s="5" t="s">
        <v>8323</v>
      </c>
      <c r="C7808" s="5" t="s">
        <v>21</v>
      </c>
      <c r="K7808" s="5">
        <v>150.0</v>
      </c>
      <c r="N7808" s="9">
        <v>44540.0</v>
      </c>
    </row>
    <row r="7809">
      <c r="A7809" s="5">
        <v>7808.0</v>
      </c>
      <c r="B7809" s="5" t="s">
        <v>8324</v>
      </c>
      <c r="C7809" s="5" t="s">
        <v>21</v>
      </c>
      <c r="K7809" s="5">
        <v>500.0</v>
      </c>
      <c r="N7809" s="9">
        <v>44536.0</v>
      </c>
    </row>
    <row r="7810">
      <c r="A7810" s="5">
        <v>7809.0</v>
      </c>
      <c r="B7810" s="5" t="s">
        <v>8325</v>
      </c>
      <c r="C7810" s="5" t="s">
        <v>21</v>
      </c>
      <c r="K7810" s="5">
        <v>450.0</v>
      </c>
      <c r="N7810" s="9">
        <v>44635.0</v>
      </c>
    </row>
    <row r="7811">
      <c r="A7811" s="5">
        <v>7810.0</v>
      </c>
      <c r="B7811" s="5" t="s">
        <v>8326</v>
      </c>
      <c r="C7811" s="5" t="s">
        <v>21</v>
      </c>
      <c r="F7811" s="5">
        <v>1.3</v>
      </c>
      <c r="N7811" s="9">
        <v>42908.0</v>
      </c>
      <c r="O7811" s="5" t="s">
        <v>8327</v>
      </c>
      <c r="P7811" s="5" t="s">
        <v>26</v>
      </c>
      <c r="S7811" s="5" t="s">
        <v>29</v>
      </c>
    </row>
    <row r="7812">
      <c r="A7812" s="5">
        <v>7811.0</v>
      </c>
      <c r="B7812" s="5" t="s">
        <v>8328</v>
      </c>
      <c r="C7812" s="5" t="s">
        <v>21</v>
      </c>
      <c r="K7812" s="5">
        <v>450.0</v>
      </c>
      <c r="N7812" s="9">
        <v>44382.0</v>
      </c>
    </row>
    <row r="7813">
      <c r="A7813" s="5">
        <v>7812.0</v>
      </c>
      <c r="B7813" s="5" t="s">
        <v>8329</v>
      </c>
      <c r="C7813" s="5" t="s">
        <v>21</v>
      </c>
      <c r="K7813" s="5">
        <v>70.0</v>
      </c>
      <c r="N7813" s="9">
        <v>44887.0</v>
      </c>
    </row>
    <row r="7814">
      <c r="A7814" s="5">
        <v>7813.0</v>
      </c>
      <c r="B7814" s="5" t="s">
        <v>8330</v>
      </c>
      <c r="C7814" s="5" t="s">
        <v>21</v>
      </c>
      <c r="K7814" s="5">
        <v>40.0</v>
      </c>
      <c r="N7814" s="9">
        <v>45103.0</v>
      </c>
    </row>
    <row r="7815">
      <c r="A7815" s="5">
        <v>7814.0</v>
      </c>
      <c r="B7815" s="5" t="s">
        <v>8331</v>
      </c>
      <c r="C7815" s="5" t="s">
        <v>21</v>
      </c>
      <c r="K7815" s="5">
        <v>300.0</v>
      </c>
      <c r="N7815" s="9">
        <v>44942.0</v>
      </c>
    </row>
    <row r="7816">
      <c r="A7816" s="5">
        <v>7815.0</v>
      </c>
      <c r="B7816" s="5" t="s">
        <v>8332</v>
      </c>
      <c r="C7816" s="5" t="s">
        <v>21</v>
      </c>
      <c r="K7816" s="5">
        <v>200.0</v>
      </c>
      <c r="N7816" s="9">
        <v>44530.0</v>
      </c>
    </row>
    <row r="7817">
      <c r="A7817" s="5">
        <v>7816.0</v>
      </c>
      <c r="B7817" s="5" t="s">
        <v>8333</v>
      </c>
      <c r="C7817" s="5" t="s">
        <v>21</v>
      </c>
      <c r="K7817" s="5">
        <v>3100.0</v>
      </c>
      <c r="N7817" s="9">
        <v>45025.0</v>
      </c>
    </row>
    <row r="7818">
      <c r="A7818" s="5">
        <v>7817.0</v>
      </c>
      <c r="B7818" s="5" t="s">
        <v>8334</v>
      </c>
      <c r="C7818" s="5" t="s">
        <v>21</v>
      </c>
      <c r="K7818" s="5">
        <v>400.0</v>
      </c>
      <c r="N7818" s="9">
        <v>44642.0</v>
      </c>
    </row>
    <row r="7819">
      <c r="A7819" s="5">
        <v>7818.0</v>
      </c>
      <c r="B7819" s="5" t="s">
        <v>8335</v>
      </c>
      <c r="C7819" s="5" t="s">
        <v>21</v>
      </c>
      <c r="K7819" s="5">
        <v>200.0</v>
      </c>
      <c r="N7819" s="9">
        <v>45083.0</v>
      </c>
    </row>
    <row r="7820">
      <c r="A7820" s="5">
        <v>7819.0</v>
      </c>
      <c r="B7820" s="5" t="s">
        <v>8336</v>
      </c>
      <c r="C7820" s="5" t="s">
        <v>21</v>
      </c>
      <c r="K7820" s="5">
        <v>1300.0</v>
      </c>
      <c r="N7820" s="9">
        <v>44052.0</v>
      </c>
    </row>
    <row r="7821">
      <c r="A7821" s="5">
        <v>7820.0</v>
      </c>
      <c r="B7821" s="5" t="s">
        <v>8337</v>
      </c>
      <c r="C7821" s="5" t="s">
        <v>21</v>
      </c>
      <c r="K7821" s="5">
        <v>400.0</v>
      </c>
      <c r="N7821" s="9">
        <v>44552.0</v>
      </c>
    </row>
    <row r="7822">
      <c r="A7822" s="5">
        <v>7821.0</v>
      </c>
      <c r="B7822" s="5" t="s">
        <v>8338</v>
      </c>
      <c r="C7822" s="5" t="s">
        <v>21</v>
      </c>
      <c r="K7822" s="5">
        <v>300.0</v>
      </c>
      <c r="N7822" s="9">
        <v>44319.0</v>
      </c>
    </row>
    <row r="7823">
      <c r="A7823" s="5">
        <v>7822.0</v>
      </c>
      <c r="B7823" s="5" t="s">
        <v>8339</v>
      </c>
      <c r="C7823" s="5" t="s">
        <v>21</v>
      </c>
      <c r="K7823" s="5">
        <v>250.0</v>
      </c>
      <c r="N7823" s="9">
        <v>44573.0</v>
      </c>
    </row>
    <row r="7824">
      <c r="A7824" s="5">
        <v>7823.0</v>
      </c>
      <c r="B7824" s="5" t="s">
        <v>8340</v>
      </c>
      <c r="C7824" s="5" t="s">
        <v>21</v>
      </c>
      <c r="K7824" s="5">
        <v>1600.0</v>
      </c>
      <c r="N7824" s="9">
        <v>44197.0</v>
      </c>
    </row>
    <row r="7825">
      <c r="A7825" s="5">
        <v>7824.0</v>
      </c>
      <c r="B7825" s="5" t="s">
        <v>8341</v>
      </c>
      <c r="C7825" s="5" t="s">
        <v>21</v>
      </c>
      <c r="K7825" s="5">
        <v>5100.0</v>
      </c>
      <c r="N7825" s="9">
        <v>44272.0</v>
      </c>
    </row>
    <row r="7826">
      <c r="A7826" s="5">
        <v>7825.0</v>
      </c>
      <c r="B7826" s="5" t="s">
        <v>8342</v>
      </c>
      <c r="C7826" s="5" t="s">
        <v>21</v>
      </c>
      <c r="K7826" s="5">
        <v>200.0</v>
      </c>
      <c r="N7826" s="9">
        <v>44755.0</v>
      </c>
    </row>
    <row r="7827">
      <c r="A7827" s="5">
        <v>7826.0</v>
      </c>
      <c r="B7827" s="5" t="s">
        <v>8343</v>
      </c>
      <c r="C7827" s="5" t="s">
        <v>21</v>
      </c>
      <c r="K7827" s="5">
        <v>2000.0</v>
      </c>
      <c r="N7827" s="9">
        <v>44569.0</v>
      </c>
    </row>
    <row r="7828">
      <c r="A7828" s="5">
        <v>7827.0</v>
      </c>
      <c r="B7828" s="5" t="s">
        <v>8344</v>
      </c>
      <c r="C7828" s="5" t="s">
        <v>21</v>
      </c>
      <c r="K7828" s="5">
        <v>600.0</v>
      </c>
      <c r="N7828" s="9">
        <v>43856.0</v>
      </c>
    </row>
    <row r="7829">
      <c r="A7829" s="5">
        <v>7828.0</v>
      </c>
      <c r="B7829" s="5" t="s">
        <v>8345</v>
      </c>
      <c r="C7829" s="5" t="s">
        <v>21</v>
      </c>
      <c r="K7829" s="5">
        <v>30.0</v>
      </c>
      <c r="N7829" s="9">
        <v>44224.0</v>
      </c>
    </row>
    <row r="7830">
      <c r="A7830" s="5">
        <v>7829.0</v>
      </c>
      <c r="B7830" s="5" t="s">
        <v>8346</v>
      </c>
      <c r="C7830" s="5" t="s">
        <v>21</v>
      </c>
      <c r="K7830" s="5">
        <v>10.0</v>
      </c>
      <c r="N7830" s="9">
        <v>44532.0</v>
      </c>
    </row>
    <row r="7831">
      <c r="A7831" s="5">
        <v>7830.0</v>
      </c>
      <c r="B7831" s="5" t="s">
        <v>8347</v>
      </c>
      <c r="C7831" s="5" t="s">
        <v>21</v>
      </c>
      <c r="K7831" s="5">
        <v>3400.0</v>
      </c>
      <c r="N7831" s="9">
        <v>43118.0</v>
      </c>
    </row>
    <row r="7832">
      <c r="A7832" s="5">
        <v>7831.0</v>
      </c>
      <c r="B7832" s="5" t="s">
        <v>8348</v>
      </c>
      <c r="C7832" s="5" t="s">
        <v>21</v>
      </c>
      <c r="K7832" s="5">
        <v>350.0</v>
      </c>
      <c r="N7832" s="9">
        <v>44924.0</v>
      </c>
    </row>
    <row r="7833">
      <c r="A7833" s="5">
        <v>7832.0</v>
      </c>
      <c r="B7833" s="5" t="s">
        <v>8349</v>
      </c>
      <c r="C7833" s="5" t="s">
        <v>21</v>
      </c>
      <c r="K7833" s="5">
        <v>900.0</v>
      </c>
      <c r="N7833" s="9">
        <v>44584.0</v>
      </c>
    </row>
    <row r="7834">
      <c r="A7834" s="5">
        <v>7833.0</v>
      </c>
      <c r="B7834" s="5" t="s">
        <v>8350</v>
      </c>
      <c r="C7834" s="5" t="s">
        <v>21</v>
      </c>
      <c r="K7834" s="5">
        <v>600.0</v>
      </c>
      <c r="N7834" s="9">
        <v>44482.0</v>
      </c>
    </row>
    <row r="7835">
      <c r="A7835" s="5">
        <v>7834.0</v>
      </c>
      <c r="B7835" s="5" t="s">
        <v>8351</v>
      </c>
      <c r="C7835" s="5" t="s">
        <v>21</v>
      </c>
      <c r="K7835" s="5">
        <v>1000.0</v>
      </c>
      <c r="N7835" s="9">
        <v>45553.0</v>
      </c>
    </row>
    <row r="7836">
      <c r="A7836" s="5">
        <v>7835.0</v>
      </c>
      <c r="B7836" s="5" t="s">
        <v>8352</v>
      </c>
      <c r="C7836" s="5" t="s">
        <v>21</v>
      </c>
      <c r="K7836" s="5">
        <v>350.0</v>
      </c>
      <c r="N7836" s="9">
        <v>44840.0</v>
      </c>
    </row>
    <row r="7837">
      <c r="A7837" s="5">
        <v>7836.0</v>
      </c>
      <c r="B7837" s="5" t="s">
        <v>8353</v>
      </c>
      <c r="C7837" s="5" t="s">
        <v>21</v>
      </c>
      <c r="K7837" s="5">
        <v>60.0</v>
      </c>
      <c r="N7837" s="9">
        <v>44652.0</v>
      </c>
    </row>
    <row r="7838">
      <c r="A7838" s="5">
        <v>7837.0</v>
      </c>
      <c r="B7838" s="5" t="s">
        <v>8354</v>
      </c>
      <c r="C7838" s="5" t="s">
        <v>21</v>
      </c>
      <c r="K7838" s="5">
        <v>200.0</v>
      </c>
      <c r="N7838" s="9">
        <v>45204.0</v>
      </c>
    </row>
    <row r="7839">
      <c r="A7839" s="5">
        <v>7838.0</v>
      </c>
      <c r="B7839" s="5" t="s">
        <v>8355</v>
      </c>
      <c r="C7839" s="5" t="s">
        <v>21</v>
      </c>
      <c r="K7839" s="5">
        <v>1500.0</v>
      </c>
      <c r="N7839" s="9">
        <v>44907.0</v>
      </c>
    </row>
    <row r="7840">
      <c r="A7840" s="5">
        <v>7839.0</v>
      </c>
      <c r="B7840" s="5" t="s">
        <v>8356</v>
      </c>
      <c r="C7840" s="5" t="s">
        <v>21</v>
      </c>
      <c r="K7840" s="5">
        <v>200.0</v>
      </c>
      <c r="N7840" s="9">
        <v>45106.0</v>
      </c>
    </row>
    <row r="7841">
      <c r="A7841" s="5">
        <v>7840.0</v>
      </c>
      <c r="B7841" s="5" t="s">
        <v>8357</v>
      </c>
      <c r="C7841" s="5" t="s">
        <v>21</v>
      </c>
      <c r="K7841" s="5">
        <v>250.0</v>
      </c>
      <c r="N7841" s="9">
        <v>44243.0</v>
      </c>
    </row>
    <row r="7842">
      <c r="A7842" s="5">
        <v>7841.0</v>
      </c>
      <c r="B7842" s="5" t="s">
        <v>8358</v>
      </c>
      <c r="C7842" s="5" t="s">
        <v>21</v>
      </c>
      <c r="K7842" s="5">
        <v>250.0</v>
      </c>
      <c r="N7842" s="9">
        <v>44449.0</v>
      </c>
    </row>
    <row r="7843">
      <c r="A7843" s="5">
        <v>7842.0</v>
      </c>
      <c r="B7843" s="5" t="s">
        <v>8359</v>
      </c>
      <c r="C7843" s="5" t="s">
        <v>21</v>
      </c>
      <c r="K7843" s="5">
        <v>300.0</v>
      </c>
      <c r="N7843" s="9">
        <v>44585.0</v>
      </c>
    </row>
    <row r="7844">
      <c r="A7844" s="5">
        <v>7843.0</v>
      </c>
      <c r="B7844" s="5" t="s">
        <v>8360</v>
      </c>
      <c r="C7844" s="5" t="s">
        <v>21</v>
      </c>
      <c r="K7844" s="5">
        <v>250.0</v>
      </c>
      <c r="N7844" s="9">
        <v>45595.0</v>
      </c>
    </row>
    <row r="7845">
      <c r="A7845" s="5">
        <v>7844.0</v>
      </c>
      <c r="B7845" s="5" t="s">
        <v>8361</v>
      </c>
      <c r="C7845" s="5" t="s">
        <v>21</v>
      </c>
      <c r="K7845" s="5">
        <v>1000.0</v>
      </c>
      <c r="N7845" s="9">
        <v>44620.0</v>
      </c>
    </row>
    <row r="7846">
      <c r="A7846" s="5">
        <v>7845.0</v>
      </c>
      <c r="B7846" s="5" t="s">
        <v>8362</v>
      </c>
      <c r="C7846" s="5" t="s">
        <v>21</v>
      </c>
      <c r="K7846" s="5">
        <v>2100.0</v>
      </c>
      <c r="N7846" s="9">
        <v>44685.0</v>
      </c>
    </row>
    <row r="7847">
      <c r="A7847" s="5">
        <v>7846.0</v>
      </c>
      <c r="B7847" s="5" t="s">
        <v>258</v>
      </c>
      <c r="C7847" s="5" t="s">
        <v>21</v>
      </c>
      <c r="K7847" s="5">
        <v>20.0</v>
      </c>
      <c r="N7847" s="9">
        <v>43868.0</v>
      </c>
    </row>
    <row r="7848">
      <c r="A7848" s="5">
        <v>7847.0</v>
      </c>
      <c r="B7848" s="5" t="s">
        <v>8363</v>
      </c>
      <c r="C7848" s="5" t="s">
        <v>21</v>
      </c>
      <c r="K7848" s="5">
        <v>350.0</v>
      </c>
      <c r="N7848" s="9">
        <v>44786.0</v>
      </c>
    </row>
    <row r="7849">
      <c r="A7849" s="5">
        <v>7848.0</v>
      </c>
      <c r="B7849" s="5" t="s">
        <v>8364</v>
      </c>
      <c r="C7849" s="5" t="s">
        <v>21</v>
      </c>
      <c r="K7849" s="5">
        <v>100.0</v>
      </c>
      <c r="N7849" s="9">
        <v>45545.0</v>
      </c>
    </row>
    <row r="7850">
      <c r="A7850" s="5">
        <v>7849.0</v>
      </c>
      <c r="B7850" s="5" t="s">
        <v>8365</v>
      </c>
      <c r="C7850" s="5" t="s">
        <v>21</v>
      </c>
      <c r="K7850" s="5">
        <v>13000.0</v>
      </c>
      <c r="N7850" s="9">
        <v>44207.0</v>
      </c>
    </row>
    <row r="7851">
      <c r="A7851" s="5">
        <v>7850.0</v>
      </c>
      <c r="B7851" s="5" t="s">
        <v>8366</v>
      </c>
      <c r="C7851" s="5" t="s">
        <v>21</v>
      </c>
      <c r="K7851" s="5">
        <v>200.0</v>
      </c>
      <c r="N7851" s="9">
        <v>44834.0</v>
      </c>
    </row>
    <row r="7852">
      <c r="A7852" s="5">
        <v>7851.0</v>
      </c>
      <c r="B7852" s="5" t="s">
        <v>8367</v>
      </c>
      <c r="C7852" s="5" t="s">
        <v>21</v>
      </c>
      <c r="K7852" s="5">
        <v>1700.0</v>
      </c>
      <c r="N7852" s="9">
        <v>44423.0</v>
      </c>
    </row>
    <row r="7853">
      <c r="A7853" s="5">
        <v>7852.0</v>
      </c>
      <c r="B7853" s="5" t="s">
        <v>8368</v>
      </c>
      <c r="C7853" s="5" t="s">
        <v>21</v>
      </c>
      <c r="K7853" s="5">
        <v>80.0</v>
      </c>
      <c r="N7853" s="9">
        <v>44571.0</v>
      </c>
    </row>
    <row r="7854">
      <c r="A7854" s="5">
        <v>7853.0</v>
      </c>
      <c r="B7854" s="5" t="s">
        <v>8369</v>
      </c>
      <c r="C7854" s="5" t="s">
        <v>21</v>
      </c>
      <c r="K7854" s="5">
        <v>700.0</v>
      </c>
      <c r="N7854" s="9">
        <v>44343.0</v>
      </c>
    </row>
    <row r="7855">
      <c r="A7855" s="5">
        <v>7854.0</v>
      </c>
      <c r="B7855" s="5" t="s">
        <v>8370</v>
      </c>
      <c r="C7855" s="5" t="s">
        <v>21</v>
      </c>
      <c r="N7855" s="9">
        <v>44719.0</v>
      </c>
    </row>
    <row r="7856">
      <c r="A7856" s="5">
        <v>7855.0</v>
      </c>
      <c r="B7856" s="5" t="s">
        <v>8371</v>
      </c>
      <c r="C7856" s="5" t="s">
        <v>21</v>
      </c>
      <c r="K7856" s="5">
        <v>900.0</v>
      </c>
      <c r="N7856" s="9">
        <v>44663.0</v>
      </c>
    </row>
    <row r="7857">
      <c r="A7857" s="5">
        <v>7856.0</v>
      </c>
      <c r="B7857" s="5" t="s">
        <v>8372</v>
      </c>
      <c r="C7857" s="5" t="s">
        <v>21</v>
      </c>
      <c r="K7857" s="5">
        <v>400.0</v>
      </c>
      <c r="N7857" s="9">
        <v>45597.0</v>
      </c>
    </row>
    <row r="7858">
      <c r="A7858" s="5">
        <v>7857.0</v>
      </c>
      <c r="B7858" s="5" t="s">
        <v>8373</v>
      </c>
      <c r="C7858" s="5" t="s">
        <v>21</v>
      </c>
      <c r="K7858" s="5">
        <v>300.0</v>
      </c>
      <c r="N7858" s="9">
        <v>45501.0</v>
      </c>
    </row>
    <row r="7859">
      <c r="A7859" s="5">
        <v>7858.0</v>
      </c>
      <c r="B7859" s="5" t="s">
        <v>8374</v>
      </c>
      <c r="C7859" s="5" t="s">
        <v>21</v>
      </c>
      <c r="K7859" s="5">
        <v>70.0</v>
      </c>
      <c r="N7859" s="9">
        <v>44930.0</v>
      </c>
    </row>
    <row r="7860">
      <c r="A7860" s="5">
        <v>7859.0</v>
      </c>
      <c r="B7860" s="5" t="s">
        <v>8375</v>
      </c>
      <c r="C7860" s="5" t="s">
        <v>21</v>
      </c>
      <c r="K7860" s="5">
        <v>150.0</v>
      </c>
      <c r="N7860" s="9">
        <v>45388.0</v>
      </c>
    </row>
    <row r="7861">
      <c r="A7861" s="5">
        <v>7860.0</v>
      </c>
      <c r="B7861" s="5" t="s">
        <v>8376</v>
      </c>
      <c r="C7861" s="5" t="s">
        <v>21</v>
      </c>
      <c r="K7861" s="5">
        <v>20.0</v>
      </c>
      <c r="N7861" s="9">
        <v>44946.0</v>
      </c>
    </row>
    <row r="7862">
      <c r="A7862" s="5">
        <v>7861.0</v>
      </c>
      <c r="B7862" s="5" t="s">
        <v>8377</v>
      </c>
      <c r="C7862" s="5" t="s">
        <v>21</v>
      </c>
      <c r="K7862" s="5">
        <v>300.0</v>
      </c>
      <c r="N7862" s="9">
        <v>44697.0</v>
      </c>
    </row>
    <row r="7863">
      <c r="A7863" s="5">
        <v>7862.0</v>
      </c>
      <c r="B7863" s="5" t="s">
        <v>8378</v>
      </c>
      <c r="C7863" s="5" t="s">
        <v>21</v>
      </c>
      <c r="K7863" s="5">
        <v>80.0</v>
      </c>
      <c r="N7863" s="9">
        <v>44604.0</v>
      </c>
    </row>
    <row r="7864">
      <c r="A7864" s="5">
        <v>7863.0</v>
      </c>
      <c r="B7864" s="5" t="s">
        <v>8379</v>
      </c>
      <c r="C7864" s="5" t="s">
        <v>21</v>
      </c>
      <c r="K7864" s="5">
        <v>500.0</v>
      </c>
      <c r="N7864" s="9">
        <v>43883.0</v>
      </c>
    </row>
    <row r="7865">
      <c r="A7865" s="5">
        <v>7864.0</v>
      </c>
      <c r="B7865" s="5" t="s">
        <v>8380</v>
      </c>
      <c r="C7865" s="5" t="s">
        <v>21</v>
      </c>
      <c r="K7865" s="5">
        <v>200.0</v>
      </c>
      <c r="N7865" s="9">
        <v>44746.0</v>
      </c>
    </row>
    <row r="7866">
      <c r="A7866" s="5">
        <v>7865.0</v>
      </c>
      <c r="B7866" s="5" t="s">
        <v>8381</v>
      </c>
      <c r="C7866" s="5" t="s">
        <v>21</v>
      </c>
      <c r="K7866" s="5">
        <v>1200.0</v>
      </c>
      <c r="N7866" s="9">
        <v>44553.0</v>
      </c>
    </row>
    <row r="7867">
      <c r="A7867" s="5">
        <v>7866.0</v>
      </c>
      <c r="B7867" s="5" t="s">
        <v>8382</v>
      </c>
      <c r="C7867" s="5" t="s">
        <v>21</v>
      </c>
      <c r="K7867" s="5">
        <v>400.0</v>
      </c>
      <c r="N7867" s="9">
        <v>44763.0</v>
      </c>
    </row>
    <row r="7868">
      <c r="A7868" s="5">
        <v>7867.0</v>
      </c>
      <c r="B7868" s="5" t="s">
        <v>8383</v>
      </c>
      <c r="C7868" s="5" t="s">
        <v>21</v>
      </c>
      <c r="K7868" s="5">
        <v>450.0</v>
      </c>
      <c r="N7868" s="9">
        <v>44616.0</v>
      </c>
    </row>
    <row r="7869">
      <c r="A7869" s="5">
        <v>7868.0</v>
      </c>
      <c r="B7869" s="5" t="s">
        <v>8384</v>
      </c>
      <c r="C7869" s="5" t="s">
        <v>21</v>
      </c>
      <c r="K7869" s="5">
        <v>150.0</v>
      </c>
      <c r="N7869" s="9">
        <v>44564.0</v>
      </c>
    </row>
    <row r="7870">
      <c r="A7870" s="5">
        <v>7869.0</v>
      </c>
      <c r="B7870" s="5" t="s">
        <v>8385</v>
      </c>
      <c r="C7870" s="5" t="s">
        <v>21</v>
      </c>
      <c r="K7870" s="5">
        <v>40.0</v>
      </c>
      <c r="N7870" s="9">
        <v>44256.0</v>
      </c>
    </row>
    <row r="7871">
      <c r="A7871" s="5">
        <v>7870.0</v>
      </c>
      <c r="B7871" s="5" t="s">
        <v>8386</v>
      </c>
      <c r="C7871" s="5" t="s">
        <v>21</v>
      </c>
      <c r="K7871" s="5">
        <v>3800.0</v>
      </c>
      <c r="N7871" s="9">
        <v>44624.0</v>
      </c>
    </row>
    <row r="7872">
      <c r="A7872" s="5">
        <v>7871.0</v>
      </c>
      <c r="B7872" s="5" t="s">
        <v>8387</v>
      </c>
      <c r="C7872" s="5" t="s">
        <v>21</v>
      </c>
      <c r="K7872" s="5">
        <v>100.0</v>
      </c>
      <c r="N7872" s="9">
        <v>44014.0</v>
      </c>
    </row>
    <row r="7873">
      <c r="A7873" s="5">
        <v>7872.0</v>
      </c>
      <c r="B7873" s="5" t="s">
        <v>8388</v>
      </c>
      <c r="C7873" s="5" t="s">
        <v>21</v>
      </c>
      <c r="K7873" s="5">
        <v>350.0</v>
      </c>
      <c r="N7873" s="9">
        <v>44564.0</v>
      </c>
    </row>
    <row r="7874">
      <c r="A7874" s="5">
        <v>7873.0</v>
      </c>
      <c r="B7874" s="5" t="s">
        <v>8389</v>
      </c>
      <c r="C7874" s="5" t="s">
        <v>21</v>
      </c>
      <c r="K7874" s="5">
        <v>800.0</v>
      </c>
      <c r="N7874" s="9">
        <v>43974.0</v>
      </c>
    </row>
    <row r="7875">
      <c r="A7875" s="5">
        <v>7874.0</v>
      </c>
      <c r="B7875" s="5" t="s">
        <v>8390</v>
      </c>
      <c r="C7875" s="5" t="s">
        <v>21</v>
      </c>
      <c r="K7875" s="5">
        <v>150.0</v>
      </c>
      <c r="N7875" s="9">
        <v>44362.0</v>
      </c>
    </row>
    <row r="7876">
      <c r="A7876" s="5">
        <v>7875.0</v>
      </c>
      <c r="B7876" s="5" t="s">
        <v>8391</v>
      </c>
      <c r="C7876" s="5" t="s">
        <v>21</v>
      </c>
      <c r="K7876" s="5">
        <v>600.0</v>
      </c>
      <c r="N7876" s="9">
        <v>44340.0</v>
      </c>
    </row>
    <row r="7877">
      <c r="A7877" s="5">
        <v>7876.0</v>
      </c>
      <c r="B7877" s="5" t="s">
        <v>8392</v>
      </c>
      <c r="C7877" s="5" t="s">
        <v>21</v>
      </c>
      <c r="K7877" s="5">
        <v>300.0</v>
      </c>
      <c r="N7877" s="9">
        <v>44143.0</v>
      </c>
    </row>
    <row r="7878">
      <c r="A7878" s="5">
        <v>7877.0</v>
      </c>
      <c r="B7878" s="5" t="s">
        <v>8393</v>
      </c>
      <c r="C7878" s="5" t="s">
        <v>21</v>
      </c>
      <c r="K7878" s="5">
        <v>250.0</v>
      </c>
      <c r="N7878" s="9">
        <v>45257.0</v>
      </c>
    </row>
    <row r="7879">
      <c r="A7879" s="5">
        <v>7878.0</v>
      </c>
      <c r="B7879" s="5" t="s">
        <v>8394</v>
      </c>
      <c r="C7879" s="5" t="s">
        <v>21</v>
      </c>
      <c r="K7879" s="5">
        <v>200.0</v>
      </c>
      <c r="N7879" s="9">
        <v>44348.0</v>
      </c>
    </row>
    <row r="7880">
      <c r="A7880" s="5">
        <v>7879.0</v>
      </c>
      <c r="B7880" s="5" t="s">
        <v>8395</v>
      </c>
      <c r="C7880" s="5" t="s">
        <v>21</v>
      </c>
      <c r="K7880" s="5">
        <v>5000.0</v>
      </c>
      <c r="N7880" s="9">
        <v>44207.0</v>
      </c>
    </row>
    <row r="7881">
      <c r="A7881" s="5">
        <v>7880.0</v>
      </c>
      <c r="B7881" s="5" t="s">
        <v>8396</v>
      </c>
      <c r="C7881" s="5" t="s">
        <v>21</v>
      </c>
      <c r="K7881" s="5">
        <v>200.0</v>
      </c>
      <c r="N7881" s="9">
        <v>44854.0</v>
      </c>
    </row>
    <row r="7882">
      <c r="A7882" s="5">
        <v>7881.0</v>
      </c>
      <c r="B7882" s="5" t="s">
        <v>8397</v>
      </c>
      <c r="C7882" s="5" t="s">
        <v>21</v>
      </c>
      <c r="K7882" s="5">
        <v>50.0</v>
      </c>
      <c r="N7882" s="9">
        <v>45075.0</v>
      </c>
    </row>
    <row r="7883">
      <c r="A7883" s="5">
        <v>7882.0</v>
      </c>
      <c r="B7883" s="5" t="s">
        <v>8398</v>
      </c>
      <c r="C7883" s="5" t="s">
        <v>21</v>
      </c>
      <c r="K7883" s="5">
        <v>250.0</v>
      </c>
      <c r="N7883" s="9">
        <v>44980.0</v>
      </c>
    </row>
    <row r="7884">
      <c r="A7884" s="5">
        <v>7883.0</v>
      </c>
      <c r="B7884" s="5" t="s">
        <v>8399</v>
      </c>
      <c r="C7884" s="5" t="s">
        <v>21</v>
      </c>
      <c r="K7884" s="5">
        <v>450.0</v>
      </c>
      <c r="N7884" s="9">
        <v>44544.0</v>
      </c>
    </row>
    <row r="7885">
      <c r="A7885" s="5">
        <v>7884.0</v>
      </c>
      <c r="B7885" s="5" t="s">
        <v>8400</v>
      </c>
      <c r="C7885" s="5" t="s">
        <v>21</v>
      </c>
      <c r="K7885" s="5">
        <v>100.0</v>
      </c>
      <c r="N7885" s="9">
        <v>44802.0</v>
      </c>
    </row>
    <row r="7886">
      <c r="A7886" s="5">
        <v>7885.0</v>
      </c>
      <c r="B7886" s="5" t="s">
        <v>8401</v>
      </c>
      <c r="C7886" s="5" t="s">
        <v>21</v>
      </c>
      <c r="K7886" s="5">
        <v>200.0</v>
      </c>
      <c r="N7886" s="9">
        <v>46124.0</v>
      </c>
    </row>
    <row r="7887">
      <c r="A7887" s="5">
        <v>7886.0</v>
      </c>
      <c r="B7887" s="5" t="s">
        <v>8402</v>
      </c>
      <c r="C7887" s="5" t="s">
        <v>21</v>
      </c>
      <c r="K7887" s="5">
        <v>700.0</v>
      </c>
      <c r="N7887" s="9">
        <v>44544.0</v>
      </c>
    </row>
    <row r="7888">
      <c r="A7888" s="5">
        <v>7887.0</v>
      </c>
      <c r="B7888" s="5" t="s">
        <v>8403</v>
      </c>
      <c r="C7888" s="5" t="s">
        <v>21</v>
      </c>
      <c r="K7888" s="5">
        <v>100.0</v>
      </c>
      <c r="N7888" s="9">
        <v>44595.0</v>
      </c>
    </row>
    <row r="7889">
      <c r="A7889" s="5">
        <v>7888.0</v>
      </c>
      <c r="B7889" s="5" t="s">
        <v>8404</v>
      </c>
      <c r="C7889" s="5" t="s">
        <v>21</v>
      </c>
      <c r="K7889" s="5">
        <v>200.0</v>
      </c>
      <c r="N7889" s="9">
        <v>44847.0</v>
      </c>
    </row>
    <row r="7890">
      <c r="A7890" s="5">
        <v>7889.0</v>
      </c>
      <c r="B7890" s="5" t="s">
        <v>8405</v>
      </c>
      <c r="C7890" s="5" t="s">
        <v>21</v>
      </c>
      <c r="K7890" s="5">
        <v>60.0</v>
      </c>
      <c r="N7890" s="9">
        <v>44940.0</v>
      </c>
    </row>
    <row r="7891">
      <c r="A7891" s="5">
        <v>7890.0</v>
      </c>
      <c r="B7891" s="5" t="s">
        <v>8406</v>
      </c>
      <c r="C7891" s="5" t="s">
        <v>21</v>
      </c>
      <c r="K7891" s="5">
        <v>150.0</v>
      </c>
      <c r="N7891" s="9">
        <v>44521.0</v>
      </c>
    </row>
    <row r="7892">
      <c r="A7892" s="5">
        <v>7891.0</v>
      </c>
      <c r="B7892" s="5" t="s">
        <v>8407</v>
      </c>
      <c r="C7892" s="5" t="s">
        <v>21</v>
      </c>
      <c r="K7892" s="5">
        <v>450.0</v>
      </c>
      <c r="N7892" s="9">
        <v>44583.0</v>
      </c>
    </row>
    <row r="7893">
      <c r="A7893" s="5">
        <v>7892.0</v>
      </c>
      <c r="B7893" s="5" t="s">
        <v>8408</v>
      </c>
      <c r="C7893" s="5" t="s">
        <v>21</v>
      </c>
      <c r="K7893" s="5">
        <v>10.0</v>
      </c>
      <c r="N7893" s="9">
        <v>45352.0</v>
      </c>
    </row>
    <row r="7894">
      <c r="A7894" s="5">
        <v>7893.0</v>
      </c>
      <c r="B7894" s="5" t="s">
        <v>8409</v>
      </c>
      <c r="C7894" s="5" t="s">
        <v>21</v>
      </c>
      <c r="K7894" s="5">
        <v>10.0</v>
      </c>
      <c r="N7894" s="9">
        <v>44585.0</v>
      </c>
    </row>
    <row r="7895">
      <c r="A7895" s="5">
        <v>7894.0</v>
      </c>
      <c r="B7895" s="5" t="s">
        <v>8410</v>
      </c>
      <c r="C7895" s="5" t="s">
        <v>21</v>
      </c>
      <c r="K7895" s="5">
        <v>450.0</v>
      </c>
      <c r="N7895" s="9">
        <v>43933.0</v>
      </c>
    </row>
    <row r="7896">
      <c r="A7896" s="5">
        <v>7895.0</v>
      </c>
      <c r="B7896" s="5" t="s">
        <v>8411</v>
      </c>
      <c r="C7896" s="5" t="s">
        <v>21</v>
      </c>
      <c r="K7896" s="5">
        <v>1000.0</v>
      </c>
      <c r="N7896" s="9">
        <v>44569.0</v>
      </c>
    </row>
    <row r="7897">
      <c r="A7897" s="5">
        <v>7896.0</v>
      </c>
      <c r="B7897" s="5" t="s">
        <v>8412</v>
      </c>
      <c r="C7897" s="5" t="s">
        <v>21</v>
      </c>
      <c r="K7897" s="5">
        <v>100.0</v>
      </c>
      <c r="N7897" s="9">
        <v>44582.0</v>
      </c>
    </row>
    <row r="7898">
      <c r="A7898" s="5">
        <v>7897.0</v>
      </c>
      <c r="B7898" s="5" t="s">
        <v>8413</v>
      </c>
      <c r="C7898" s="5" t="s">
        <v>21</v>
      </c>
      <c r="K7898" s="5">
        <v>250.0</v>
      </c>
      <c r="N7898" s="9">
        <v>45068.0</v>
      </c>
    </row>
    <row r="7899">
      <c r="A7899" s="5">
        <v>7898.0</v>
      </c>
      <c r="B7899" s="5" t="s">
        <v>8414</v>
      </c>
      <c r="C7899" s="5" t="s">
        <v>21</v>
      </c>
      <c r="K7899" s="5">
        <v>7000.0</v>
      </c>
      <c r="N7899" s="9">
        <v>44443.0</v>
      </c>
    </row>
    <row r="7900">
      <c r="A7900" s="5">
        <v>7899.0</v>
      </c>
      <c r="B7900" s="5" t="s">
        <v>8415</v>
      </c>
      <c r="C7900" s="5" t="s">
        <v>21</v>
      </c>
      <c r="K7900" s="5">
        <v>200.0</v>
      </c>
      <c r="N7900" s="9">
        <v>45573.0</v>
      </c>
    </row>
    <row r="7901">
      <c r="A7901" s="5">
        <v>7900.0</v>
      </c>
      <c r="B7901" s="5" t="s">
        <v>8416</v>
      </c>
      <c r="C7901" s="5" t="s">
        <v>21</v>
      </c>
      <c r="K7901" s="5">
        <v>1100.0</v>
      </c>
      <c r="N7901" s="9">
        <v>44477.0</v>
      </c>
    </row>
    <row r="7902">
      <c r="A7902" s="5">
        <v>7901.0</v>
      </c>
      <c r="B7902" s="5" t="s">
        <v>261</v>
      </c>
      <c r="C7902" s="5" t="s">
        <v>21</v>
      </c>
      <c r="K7902" s="5">
        <v>80.0</v>
      </c>
      <c r="N7902" s="9">
        <v>43963.0</v>
      </c>
    </row>
    <row r="7903">
      <c r="A7903" s="5">
        <v>7902.0</v>
      </c>
      <c r="B7903" s="5" t="s">
        <v>8417</v>
      </c>
      <c r="C7903" s="5" t="s">
        <v>21</v>
      </c>
      <c r="K7903" s="5">
        <v>500.0</v>
      </c>
      <c r="N7903" s="9">
        <v>44338.0</v>
      </c>
    </row>
    <row r="7904">
      <c r="A7904" s="5">
        <v>7903.0</v>
      </c>
      <c r="B7904" s="5" t="s">
        <v>8418</v>
      </c>
      <c r="C7904" s="5" t="s">
        <v>21</v>
      </c>
      <c r="K7904" s="5">
        <v>400.0</v>
      </c>
      <c r="N7904" s="9">
        <v>44528.0</v>
      </c>
    </row>
    <row r="7905">
      <c r="A7905" s="5">
        <v>7904.0</v>
      </c>
      <c r="B7905" s="5" t="s">
        <v>8419</v>
      </c>
      <c r="C7905" s="5" t="s">
        <v>21</v>
      </c>
      <c r="K7905" s="5">
        <v>150.0</v>
      </c>
      <c r="N7905" s="9">
        <v>44555.0</v>
      </c>
    </row>
    <row r="7906">
      <c r="A7906" s="5">
        <v>7905.0</v>
      </c>
      <c r="B7906" s="5" t="s">
        <v>8420</v>
      </c>
      <c r="C7906" s="5" t="s">
        <v>21</v>
      </c>
      <c r="K7906" s="5">
        <v>50.0</v>
      </c>
      <c r="N7906" s="9">
        <v>45537.0</v>
      </c>
    </row>
    <row r="7907">
      <c r="A7907" s="5">
        <v>7906.0</v>
      </c>
      <c r="B7907" s="5" t="s">
        <v>8421</v>
      </c>
      <c r="C7907" s="5" t="s">
        <v>21</v>
      </c>
      <c r="K7907" s="5">
        <v>250.0</v>
      </c>
      <c r="N7907" s="9">
        <v>44830.0</v>
      </c>
    </row>
    <row r="7908">
      <c r="A7908" s="5">
        <v>7907.0</v>
      </c>
      <c r="B7908" s="5" t="s">
        <v>8422</v>
      </c>
      <c r="C7908" s="5" t="s">
        <v>21</v>
      </c>
      <c r="K7908" s="5">
        <v>700.0</v>
      </c>
      <c r="N7908" s="9">
        <v>44555.0</v>
      </c>
    </row>
    <row r="7909">
      <c r="A7909" s="5">
        <v>7908.0</v>
      </c>
      <c r="B7909" s="5" t="s">
        <v>8423</v>
      </c>
      <c r="C7909" s="5" t="s">
        <v>21</v>
      </c>
      <c r="K7909" s="5">
        <v>1600.0</v>
      </c>
      <c r="N7909" s="9">
        <v>44524.0</v>
      </c>
    </row>
    <row r="7910">
      <c r="A7910" s="5">
        <v>7909.0</v>
      </c>
      <c r="B7910" s="5" t="s">
        <v>8424</v>
      </c>
      <c r="C7910" s="5" t="s">
        <v>21</v>
      </c>
      <c r="K7910" s="5">
        <v>600.0</v>
      </c>
      <c r="N7910" s="9">
        <v>44641.0</v>
      </c>
    </row>
    <row r="7911">
      <c r="A7911" s="5">
        <v>7910.0</v>
      </c>
      <c r="B7911" s="5" t="s">
        <v>8425</v>
      </c>
      <c r="C7911" s="5" t="s">
        <v>21</v>
      </c>
      <c r="K7911" s="5">
        <v>50.0</v>
      </c>
      <c r="N7911" s="9">
        <v>45003.0</v>
      </c>
    </row>
    <row r="7912">
      <c r="A7912" s="5">
        <v>7911.0</v>
      </c>
      <c r="B7912" s="5" t="s">
        <v>8426</v>
      </c>
      <c r="C7912" s="5" t="s">
        <v>21</v>
      </c>
      <c r="K7912" s="5">
        <v>600.0</v>
      </c>
      <c r="N7912" s="9">
        <v>44352.0</v>
      </c>
    </row>
    <row r="7913">
      <c r="A7913" s="5">
        <v>7912.0</v>
      </c>
      <c r="B7913" s="5" t="s">
        <v>8427</v>
      </c>
      <c r="C7913" s="5" t="s">
        <v>21</v>
      </c>
      <c r="K7913" s="5">
        <v>700.0</v>
      </c>
      <c r="N7913" s="9">
        <v>43898.0</v>
      </c>
    </row>
    <row r="7914">
      <c r="A7914" s="5">
        <v>7913.0</v>
      </c>
      <c r="B7914" s="5" t="s">
        <v>8428</v>
      </c>
      <c r="C7914" s="5" t="s">
        <v>21</v>
      </c>
      <c r="K7914" s="5">
        <v>70.0</v>
      </c>
      <c r="N7914" s="9">
        <v>44587.0</v>
      </c>
    </row>
    <row r="7915">
      <c r="A7915" s="5">
        <v>7914.0</v>
      </c>
      <c r="B7915" s="5" t="s">
        <v>8429</v>
      </c>
      <c r="C7915" s="5" t="s">
        <v>21</v>
      </c>
      <c r="K7915" s="5">
        <v>500.0</v>
      </c>
      <c r="N7915" s="9">
        <v>44935.0</v>
      </c>
    </row>
    <row r="7916">
      <c r="A7916" s="5">
        <v>7915.0</v>
      </c>
      <c r="B7916" s="5" t="s">
        <v>8430</v>
      </c>
      <c r="C7916" s="5" t="s">
        <v>21</v>
      </c>
      <c r="K7916" s="5">
        <v>200.0</v>
      </c>
      <c r="N7916" s="9">
        <v>44655.0</v>
      </c>
    </row>
    <row r="7917">
      <c r="A7917" s="5">
        <v>7916.0</v>
      </c>
      <c r="B7917" s="5" t="s">
        <v>8431</v>
      </c>
      <c r="C7917" s="5" t="s">
        <v>21</v>
      </c>
      <c r="K7917" s="5">
        <v>150.0</v>
      </c>
      <c r="N7917" s="9">
        <v>45467.0</v>
      </c>
    </row>
    <row r="7918">
      <c r="A7918" s="5">
        <v>7917.0</v>
      </c>
      <c r="B7918" s="5" t="s">
        <v>8432</v>
      </c>
      <c r="C7918" s="5" t="s">
        <v>21</v>
      </c>
      <c r="K7918" s="5">
        <v>10.0</v>
      </c>
      <c r="N7918" s="9">
        <v>45188.0</v>
      </c>
    </row>
    <row r="7919">
      <c r="A7919" s="5">
        <v>7918.0</v>
      </c>
      <c r="B7919" s="5" t="s">
        <v>8433</v>
      </c>
      <c r="C7919" s="5" t="s">
        <v>21</v>
      </c>
      <c r="K7919" s="5">
        <v>80.0</v>
      </c>
      <c r="N7919" s="9">
        <v>45501.0</v>
      </c>
    </row>
    <row r="7920">
      <c r="A7920" s="5">
        <v>7919.0</v>
      </c>
      <c r="B7920" s="5" t="s">
        <v>8434</v>
      </c>
      <c r="C7920" s="5" t="s">
        <v>21</v>
      </c>
      <c r="K7920" s="5">
        <v>20.0</v>
      </c>
      <c r="N7920" s="9">
        <v>44984.0</v>
      </c>
    </row>
    <row r="7921">
      <c r="A7921" s="5">
        <v>7920.0</v>
      </c>
      <c r="B7921" s="5" t="s">
        <v>8435</v>
      </c>
      <c r="C7921" s="5" t="s">
        <v>21</v>
      </c>
      <c r="K7921" s="5">
        <v>150.0</v>
      </c>
      <c r="N7921" s="9">
        <v>44518.0</v>
      </c>
    </row>
    <row r="7922">
      <c r="A7922" s="5">
        <v>7921.0</v>
      </c>
      <c r="B7922" s="5" t="s">
        <v>8436</v>
      </c>
      <c r="C7922" s="5" t="s">
        <v>21</v>
      </c>
      <c r="K7922" s="5">
        <v>1900.0</v>
      </c>
      <c r="N7922" s="9">
        <v>44517.0</v>
      </c>
    </row>
    <row r="7923">
      <c r="A7923" s="5">
        <v>7922.0</v>
      </c>
      <c r="B7923" s="5" t="s">
        <v>8437</v>
      </c>
      <c r="C7923" s="5" t="s">
        <v>21</v>
      </c>
      <c r="K7923" s="5">
        <v>800.0</v>
      </c>
      <c r="N7923" s="9">
        <v>44377.0</v>
      </c>
    </row>
    <row r="7924">
      <c r="A7924" s="5">
        <v>7923.0</v>
      </c>
      <c r="B7924" s="5" t="s">
        <v>8438</v>
      </c>
      <c r="C7924" s="5" t="s">
        <v>21</v>
      </c>
      <c r="K7924" s="5">
        <v>20.0</v>
      </c>
      <c r="N7924" s="9">
        <v>44581.0</v>
      </c>
    </row>
    <row r="7925">
      <c r="A7925" s="5">
        <v>7924.0</v>
      </c>
      <c r="B7925" s="5" t="s">
        <v>8439</v>
      </c>
      <c r="C7925" s="5" t="s">
        <v>21</v>
      </c>
      <c r="K7925" s="5">
        <v>50.0</v>
      </c>
      <c r="N7925" s="9">
        <v>43866.0</v>
      </c>
    </row>
    <row r="7926">
      <c r="A7926" s="5">
        <v>7925.0</v>
      </c>
      <c r="B7926" s="5" t="s">
        <v>8440</v>
      </c>
      <c r="C7926" s="5" t="s">
        <v>21</v>
      </c>
      <c r="K7926" s="5">
        <v>1600.0</v>
      </c>
      <c r="N7926" s="9">
        <v>44296.0</v>
      </c>
    </row>
    <row r="7927">
      <c r="A7927" s="5">
        <v>7926.0</v>
      </c>
      <c r="B7927" s="5" t="s">
        <v>264</v>
      </c>
      <c r="C7927" s="5" t="s">
        <v>21</v>
      </c>
      <c r="K7927" s="5">
        <v>10.0</v>
      </c>
      <c r="N7927" s="9">
        <v>44884.0</v>
      </c>
    </row>
    <row r="7928">
      <c r="A7928" s="5">
        <v>7927.0</v>
      </c>
      <c r="B7928" s="5" t="s">
        <v>8441</v>
      </c>
      <c r="C7928" s="5" t="s">
        <v>21</v>
      </c>
      <c r="K7928" s="5">
        <v>350.0</v>
      </c>
      <c r="N7928" s="9">
        <v>44628.0</v>
      </c>
    </row>
    <row r="7929">
      <c r="A7929" s="5">
        <v>7928.0</v>
      </c>
      <c r="B7929" s="5" t="s">
        <v>8442</v>
      </c>
      <c r="C7929" s="5" t="s">
        <v>21</v>
      </c>
      <c r="K7929" s="5">
        <v>500.0</v>
      </c>
      <c r="N7929" s="9">
        <v>45026.0</v>
      </c>
    </row>
    <row r="7930">
      <c r="A7930" s="5">
        <v>7929.0</v>
      </c>
      <c r="B7930" s="5" t="s">
        <v>8443</v>
      </c>
      <c r="C7930" s="5" t="s">
        <v>21</v>
      </c>
      <c r="K7930" s="5">
        <v>400.0</v>
      </c>
      <c r="N7930" s="9">
        <v>44653.0</v>
      </c>
    </row>
    <row r="7931">
      <c r="A7931" s="5">
        <v>7930.0</v>
      </c>
      <c r="B7931" s="5" t="s">
        <v>8444</v>
      </c>
      <c r="C7931" s="5" t="s">
        <v>21</v>
      </c>
      <c r="K7931" s="5">
        <v>150.0</v>
      </c>
      <c r="N7931" s="9">
        <v>44522.0</v>
      </c>
    </row>
    <row r="7932">
      <c r="A7932" s="5">
        <v>7931.0</v>
      </c>
      <c r="B7932" s="5" t="s">
        <v>8445</v>
      </c>
      <c r="C7932" s="5" t="s">
        <v>21</v>
      </c>
      <c r="K7932" s="5">
        <v>1100.0</v>
      </c>
      <c r="N7932" s="9">
        <v>43994.0</v>
      </c>
    </row>
    <row r="7933">
      <c r="A7933" s="5">
        <v>7932.0</v>
      </c>
      <c r="B7933" s="5" t="s">
        <v>8446</v>
      </c>
      <c r="C7933" s="5" t="s">
        <v>21</v>
      </c>
      <c r="K7933" s="5">
        <v>10.0</v>
      </c>
      <c r="N7933" s="9">
        <v>44532.0</v>
      </c>
    </row>
    <row r="7934">
      <c r="A7934" s="5">
        <v>7933.0</v>
      </c>
      <c r="B7934" s="5" t="s">
        <v>8447</v>
      </c>
      <c r="C7934" s="5" t="s">
        <v>21</v>
      </c>
      <c r="K7934" s="5">
        <v>500.0</v>
      </c>
      <c r="N7934" s="9">
        <v>45497.0</v>
      </c>
    </row>
    <row r="7935">
      <c r="A7935" s="5">
        <v>7934.0</v>
      </c>
      <c r="B7935" s="5" t="s">
        <v>8448</v>
      </c>
      <c r="C7935" s="5" t="s">
        <v>21</v>
      </c>
      <c r="K7935" s="5">
        <v>350.0</v>
      </c>
      <c r="N7935" s="9">
        <v>44551.0</v>
      </c>
    </row>
    <row r="7936">
      <c r="A7936" s="5">
        <v>7935.0</v>
      </c>
      <c r="B7936" s="5" t="s">
        <v>8449</v>
      </c>
      <c r="C7936" s="5" t="s">
        <v>21</v>
      </c>
      <c r="K7936" s="5">
        <v>300.0</v>
      </c>
      <c r="N7936" s="9">
        <v>45627.0</v>
      </c>
    </row>
    <row r="7937">
      <c r="A7937" s="5">
        <v>7936.0</v>
      </c>
      <c r="B7937" s="5" t="s">
        <v>8450</v>
      </c>
      <c r="C7937" s="5" t="s">
        <v>21</v>
      </c>
      <c r="K7937" s="5">
        <v>300.0</v>
      </c>
      <c r="N7937" s="9">
        <v>44522.0</v>
      </c>
    </row>
    <row r="7938">
      <c r="A7938" s="5">
        <v>7937.0</v>
      </c>
      <c r="B7938" s="5" t="s">
        <v>8451</v>
      </c>
      <c r="C7938" s="5" t="s">
        <v>21</v>
      </c>
      <c r="K7938" s="5">
        <v>60.0</v>
      </c>
      <c r="N7938" s="9">
        <v>44553.0</v>
      </c>
    </row>
    <row r="7939">
      <c r="A7939" s="5">
        <v>7938.0</v>
      </c>
      <c r="B7939" s="5" t="s">
        <v>8452</v>
      </c>
      <c r="C7939" s="5" t="s">
        <v>21</v>
      </c>
      <c r="K7939" s="5">
        <v>250.0</v>
      </c>
      <c r="N7939" s="9">
        <v>45501.0</v>
      </c>
    </row>
    <row r="7940">
      <c r="A7940" s="5">
        <v>7939.0</v>
      </c>
      <c r="B7940" s="5" t="s">
        <v>8453</v>
      </c>
      <c r="C7940" s="5" t="s">
        <v>21</v>
      </c>
      <c r="K7940" s="5">
        <v>1200.0</v>
      </c>
      <c r="N7940" s="9">
        <v>45386.0</v>
      </c>
    </row>
    <row r="7941">
      <c r="A7941" s="5">
        <v>7940.0</v>
      </c>
      <c r="B7941" s="5" t="s">
        <v>8454</v>
      </c>
      <c r="C7941" s="5" t="s">
        <v>21</v>
      </c>
      <c r="K7941" s="5">
        <v>1000.0</v>
      </c>
      <c r="N7941" s="9">
        <v>44448.0</v>
      </c>
    </row>
    <row r="7942">
      <c r="A7942" s="5">
        <v>7941.0</v>
      </c>
      <c r="B7942" s="5" t="s">
        <v>8455</v>
      </c>
      <c r="C7942" s="5" t="s">
        <v>21</v>
      </c>
      <c r="K7942" s="5">
        <v>60.0</v>
      </c>
      <c r="N7942" s="9">
        <v>45641.0</v>
      </c>
    </row>
    <row r="7943">
      <c r="A7943" s="5">
        <v>7942.0</v>
      </c>
      <c r="B7943" s="5" t="s">
        <v>8456</v>
      </c>
      <c r="C7943" s="5" t="s">
        <v>21</v>
      </c>
      <c r="K7943" s="5">
        <v>450.0</v>
      </c>
      <c r="N7943" s="9">
        <v>44607.0</v>
      </c>
    </row>
    <row r="7944">
      <c r="A7944" s="5">
        <v>7943.0</v>
      </c>
      <c r="B7944" s="5" t="s">
        <v>8457</v>
      </c>
      <c r="C7944" s="5" t="s">
        <v>21</v>
      </c>
      <c r="K7944" s="5">
        <v>50.0</v>
      </c>
      <c r="N7944" s="9">
        <v>44545.0</v>
      </c>
    </row>
    <row r="7945">
      <c r="A7945" s="5">
        <v>7944.0</v>
      </c>
      <c r="B7945" s="5" t="s">
        <v>8458</v>
      </c>
      <c r="C7945" s="5" t="s">
        <v>21</v>
      </c>
      <c r="K7945" s="5">
        <v>60.0</v>
      </c>
      <c r="N7945" s="9">
        <v>44581.0</v>
      </c>
    </row>
    <row r="7946">
      <c r="A7946" s="5">
        <v>7945.0</v>
      </c>
      <c r="B7946" s="5" t="s">
        <v>8459</v>
      </c>
      <c r="C7946" s="5" t="s">
        <v>21</v>
      </c>
      <c r="K7946" s="5">
        <v>250.0</v>
      </c>
      <c r="N7946" s="9">
        <v>44619.0</v>
      </c>
    </row>
    <row r="7947">
      <c r="A7947" s="5">
        <v>7946.0</v>
      </c>
      <c r="B7947" s="5" t="s">
        <v>8460</v>
      </c>
      <c r="C7947" s="5" t="s">
        <v>21</v>
      </c>
      <c r="N7947" s="9">
        <v>44312.0</v>
      </c>
    </row>
    <row r="7948">
      <c r="A7948" s="5">
        <v>7947.0</v>
      </c>
      <c r="B7948" s="5" t="s">
        <v>8461</v>
      </c>
      <c r="C7948" s="5" t="s">
        <v>21</v>
      </c>
      <c r="K7948" s="5">
        <v>1200.0</v>
      </c>
      <c r="N7948" s="9">
        <v>43970.0</v>
      </c>
    </row>
    <row r="7949">
      <c r="A7949" s="5">
        <v>7948.0</v>
      </c>
      <c r="B7949" s="5" t="s">
        <v>8462</v>
      </c>
      <c r="C7949" s="5" t="s">
        <v>21</v>
      </c>
      <c r="K7949" s="5">
        <v>300.0</v>
      </c>
      <c r="N7949" s="9">
        <v>43878.0</v>
      </c>
    </row>
    <row r="7950">
      <c r="A7950" s="5">
        <v>7949.0</v>
      </c>
      <c r="B7950" s="5" t="s">
        <v>8463</v>
      </c>
      <c r="C7950" s="5" t="s">
        <v>21</v>
      </c>
      <c r="K7950" s="5">
        <v>300.0</v>
      </c>
      <c r="N7950" s="9">
        <v>44655.0</v>
      </c>
    </row>
    <row r="7951">
      <c r="A7951" s="5">
        <v>7950.0</v>
      </c>
      <c r="B7951" s="5" t="s">
        <v>8464</v>
      </c>
      <c r="C7951" s="5" t="s">
        <v>21</v>
      </c>
      <c r="K7951" s="5">
        <v>250.0</v>
      </c>
      <c r="N7951" s="9">
        <v>44712.0</v>
      </c>
    </row>
    <row r="7952">
      <c r="A7952" s="5">
        <v>7951.0</v>
      </c>
      <c r="B7952" s="5" t="s">
        <v>8465</v>
      </c>
      <c r="C7952" s="5" t="s">
        <v>21</v>
      </c>
      <c r="K7952" s="5">
        <v>4600.0</v>
      </c>
      <c r="N7952" s="9">
        <v>44001.0</v>
      </c>
    </row>
    <row r="7953">
      <c r="A7953" s="5">
        <v>7952.0</v>
      </c>
      <c r="B7953" s="5" t="s">
        <v>8466</v>
      </c>
      <c r="C7953" s="5" t="s">
        <v>21</v>
      </c>
      <c r="N7953" s="9">
        <v>44639.0</v>
      </c>
    </row>
    <row r="7954">
      <c r="A7954" s="5">
        <v>7953.0</v>
      </c>
      <c r="B7954" s="5" t="s">
        <v>8467</v>
      </c>
      <c r="C7954" s="5" t="s">
        <v>21</v>
      </c>
      <c r="K7954" s="5">
        <v>800.0</v>
      </c>
      <c r="N7954" s="9">
        <v>44501.0</v>
      </c>
    </row>
    <row r="7955">
      <c r="A7955" s="5">
        <v>7954.0</v>
      </c>
      <c r="B7955" s="5" t="s">
        <v>8468</v>
      </c>
      <c r="C7955" s="5" t="s">
        <v>21</v>
      </c>
      <c r="K7955" s="5">
        <v>2700.0</v>
      </c>
      <c r="N7955" s="9">
        <v>44782.0</v>
      </c>
    </row>
    <row r="7956">
      <c r="A7956" s="5">
        <v>7955.0</v>
      </c>
      <c r="B7956" s="5" t="s">
        <v>8469</v>
      </c>
      <c r="C7956" s="5" t="s">
        <v>21</v>
      </c>
      <c r="K7956" s="5">
        <v>200.0</v>
      </c>
      <c r="N7956" s="9">
        <v>44529.0</v>
      </c>
    </row>
    <row r="7957">
      <c r="A7957" s="5">
        <v>7956.0</v>
      </c>
      <c r="B7957" s="5" t="s">
        <v>8470</v>
      </c>
      <c r="C7957" s="5" t="s">
        <v>21</v>
      </c>
      <c r="K7957" s="5">
        <v>40.0</v>
      </c>
      <c r="N7957" s="9">
        <v>44503.0</v>
      </c>
    </row>
    <row r="7958">
      <c r="A7958" s="5">
        <v>7957.0</v>
      </c>
      <c r="B7958" s="5" t="s">
        <v>8471</v>
      </c>
      <c r="C7958" s="5" t="s">
        <v>21</v>
      </c>
      <c r="K7958" s="5">
        <v>350.0</v>
      </c>
      <c r="N7958" s="9">
        <v>44583.0</v>
      </c>
    </row>
    <row r="7959">
      <c r="A7959" s="5">
        <v>7958.0</v>
      </c>
      <c r="B7959" s="5" t="s">
        <v>8472</v>
      </c>
      <c r="C7959" s="5" t="s">
        <v>21</v>
      </c>
      <c r="K7959" s="5">
        <v>1700.0</v>
      </c>
      <c r="N7959" s="9">
        <v>44481.0</v>
      </c>
    </row>
    <row r="7960">
      <c r="A7960" s="5">
        <v>7959.0</v>
      </c>
      <c r="B7960" s="5" t="s">
        <v>8473</v>
      </c>
      <c r="C7960" s="5" t="s">
        <v>21</v>
      </c>
      <c r="K7960" s="5">
        <v>1700.0</v>
      </c>
      <c r="N7960" s="9">
        <v>44619.0</v>
      </c>
    </row>
    <row r="7961">
      <c r="A7961" s="5">
        <v>7960.0</v>
      </c>
      <c r="B7961" s="5" t="s">
        <v>8474</v>
      </c>
      <c r="C7961" s="5" t="s">
        <v>21</v>
      </c>
      <c r="K7961" s="5">
        <v>6200.0</v>
      </c>
      <c r="N7961" s="9">
        <v>44538.0</v>
      </c>
    </row>
    <row r="7962">
      <c r="A7962" s="5">
        <v>7961.0</v>
      </c>
      <c r="B7962" s="5" t="s">
        <v>8475</v>
      </c>
      <c r="C7962" s="5" t="s">
        <v>21</v>
      </c>
      <c r="K7962" s="5">
        <v>150.0</v>
      </c>
      <c r="N7962" s="9">
        <v>45522.0</v>
      </c>
    </row>
    <row r="7963">
      <c r="A7963" s="5">
        <v>7962.0</v>
      </c>
      <c r="B7963" s="5" t="s">
        <v>8476</v>
      </c>
      <c r="C7963" s="5" t="s">
        <v>21</v>
      </c>
      <c r="K7963" s="5">
        <v>350.0</v>
      </c>
      <c r="N7963" s="9">
        <v>45500.0</v>
      </c>
    </row>
    <row r="7964">
      <c r="A7964" s="5">
        <v>7963.0</v>
      </c>
      <c r="B7964" s="5" t="s">
        <v>8477</v>
      </c>
      <c r="C7964" s="5" t="s">
        <v>21</v>
      </c>
      <c r="N7964" s="9">
        <v>43931.0</v>
      </c>
    </row>
    <row r="7965">
      <c r="A7965" s="5">
        <v>7964.0</v>
      </c>
      <c r="B7965" s="5" t="s">
        <v>8478</v>
      </c>
      <c r="C7965" s="5" t="s">
        <v>21</v>
      </c>
      <c r="K7965" s="5">
        <v>350.0</v>
      </c>
      <c r="N7965" s="9">
        <v>44563.0</v>
      </c>
    </row>
    <row r="7966">
      <c r="A7966" s="5">
        <v>7965.0</v>
      </c>
      <c r="B7966" s="5" t="s">
        <v>8479</v>
      </c>
      <c r="C7966" s="5" t="s">
        <v>21</v>
      </c>
      <c r="K7966" s="5">
        <v>30.0</v>
      </c>
      <c r="N7966" s="9">
        <v>43860.0</v>
      </c>
    </row>
    <row r="7967">
      <c r="A7967" s="5">
        <v>7966.0</v>
      </c>
      <c r="B7967" s="5" t="s">
        <v>8480</v>
      </c>
      <c r="C7967" s="5" t="s">
        <v>21</v>
      </c>
      <c r="K7967" s="5">
        <v>1500.0</v>
      </c>
      <c r="N7967" s="9">
        <v>45397.0</v>
      </c>
    </row>
    <row r="7968">
      <c r="A7968" s="5">
        <v>7967.0</v>
      </c>
      <c r="B7968" s="5" t="s">
        <v>8481</v>
      </c>
      <c r="C7968" s="5" t="s">
        <v>21</v>
      </c>
      <c r="K7968" s="5">
        <v>300.0</v>
      </c>
      <c r="N7968" s="9">
        <v>44552.0</v>
      </c>
    </row>
    <row r="7969">
      <c r="A7969" s="5">
        <v>7968.0</v>
      </c>
      <c r="B7969" s="5" t="s">
        <v>8482</v>
      </c>
      <c r="C7969" s="5" t="s">
        <v>21</v>
      </c>
      <c r="K7969" s="5">
        <v>1800.0</v>
      </c>
      <c r="N7969" s="9">
        <v>44526.0</v>
      </c>
    </row>
    <row r="7970">
      <c r="A7970" s="5">
        <v>7969.0</v>
      </c>
      <c r="B7970" s="5" t="s">
        <v>8483</v>
      </c>
      <c r="C7970" s="5" t="s">
        <v>21</v>
      </c>
      <c r="K7970" s="5">
        <v>150.0</v>
      </c>
      <c r="N7970" s="9">
        <v>44052.0</v>
      </c>
    </row>
    <row r="7971">
      <c r="A7971" s="5">
        <v>7970.0</v>
      </c>
      <c r="B7971" s="5" t="s">
        <v>8484</v>
      </c>
      <c r="C7971" s="5" t="s">
        <v>21</v>
      </c>
      <c r="K7971" s="5">
        <v>20.0</v>
      </c>
      <c r="N7971" s="9">
        <v>44035.0</v>
      </c>
    </row>
    <row r="7972">
      <c r="A7972" s="5">
        <v>7971.0</v>
      </c>
      <c r="B7972" s="5" t="s">
        <v>8485</v>
      </c>
      <c r="C7972" s="5" t="s">
        <v>21</v>
      </c>
      <c r="K7972" s="5">
        <v>450.0</v>
      </c>
      <c r="N7972" s="9">
        <v>45484.0</v>
      </c>
    </row>
    <row r="7973">
      <c r="A7973" s="5">
        <v>7972.0</v>
      </c>
      <c r="B7973" s="5" t="s">
        <v>8486</v>
      </c>
      <c r="C7973" s="5" t="s">
        <v>21</v>
      </c>
      <c r="K7973" s="5">
        <v>50.0</v>
      </c>
      <c r="N7973" s="9">
        <v>45051.0</v>
      </c>
    </row>
    <row r="7974">
      <c r="A7974" s="5">
        <v>7973.0</v>
      </c>
      <c r="B7974" s="5" t="s">
        <v>8487</v>
      </c>
      <c r="C7974" s="5" t="s">
        <v>21</v>
      </c>
      <c r="K7974" s="5">
        <v>300.0</v>
      </c>
      <c r="N7974" s="9">
        <v>44350.0</v>
      </c>
    </row>
    <row r="7975">
      <c r="A7975" s="5">
        <v>7974.0</v>
      </c>
      <c r="B7975" s="5" t="s">
        <v>8488</v>
      </c>
      <c r="C7975" s="5" t="s">
        <v>21</v>
      </c>
      <c r="K7975" s="5">
        <v>2900.0</v>
      </c>
      <c r="N7975" s="9">
        <v>43906.0</v>
      </c>
    </row>
    <row r="7976">
      <c r="A7976" s="5">
        <v>7975.0</v>
      </c>
      <c r="B7976" s="5" t="s">
        <v>8489</v>
      </c>
      <c r="C7976" s="5" t="s">
        <v>21</v>
      </c>
      <c r="K7976" s="5">
        <v>200.0</v>
      </c>
      <c r="N7976" s="9">
        <v>44534.0</v>
      </c>
    </row>
    <row r="7977">
      <c r="A7977" s="5">
        <v>7976.0</v>
      </c>
      <c r="B7977" s="5" t="s">
        <v>8490</v>
      </c>
      <c r="C7977" s="5" t="s">
        <v>21</v>
      </c>
      <c r="K7977" s="5">
        <v>60.0</v>
      </c>
      <c r="N7977" s="9">
        <v>43844.0</v>
      </c>
    </row>
    <row r="7978">
      <c r="A7978" s="5">
        <v>7977.0</v>
      </c>
      <c r="B7978" s="5" t="s">
        <v>8491</v>
      </c>
      <c r="C7978" s="5" t="s">
        <v>21</v>
      </c>
      <c r="K7978" s="5">
        <v>800.0</v>
      </c>
      <c r="N7978" s="9">
        <v>44184.0</v>
      </c>
    </row>
    <row r="7979">
      <c r="A7979" s="5">
        <v>7978.0</v>
      </c>
      <c r="B7979" s="5" t="s">
        <v>8492</v>
      </c>
      <c r="C7979" s="5" t="s">
        <v>21</v>
      </c>
      <c r="K7979" s="5">
        <v>700.0</v>
      </c>
      <c r="N7979" s="9">
        <v>44380.0</v>
      </c>
    </row>
    <row r="7980">
      <c r="A7980" s="5">
        <v>7979.0</v>
      </c>
      <c r="B7980" s="5" t="s">
        <v>8493</v>
      </c>
      <c r="C7980" s="5" t="s">
        <v>21</v>
      </c>
      <c r="K7980" s="5">
        <v>235000.0</v>
      </c>
      <c r="N7980" s="9">
        <v>46085.0</v>
      </c>
    </row>
    <row r="7981">
      <c r="A7981" s="5">
        <v>7980.0</v>
      </c>
      <c r="B7981" s="5" t="s">
        <v>8494</v>
      </c>
      <c r="C7981" s="5" t="s">
        <v>21</v>
      </c>
      <c r="K7981" s="5">
        <v>450.0</v>
      </c>
      <c r="N7981" s="9">
        <v>44582.0</v>
      </c>
    </row>
    <row r="7982">
      <c r="A7982" s="5">
        <v>7981.0</v>
      </c>
      <c r="B7982" s="5" t="s">
        <v>266</v>
      </c>
      <c r="C7982" s="5" t="s">
        <v>21</v>
      </c>
      <c r="K7982" s="5">
        <v>10.0</v>
      </c>
      <c r="N7982" s="9">
        <v>44163.0</v>
      </c>
    </row>
    <row r="7983">
      <c r="A7983" s="5">
        <v>7982.0</v>
      </c>
      <c r="B7983" s="5" t="s">
        <v>8495</v>
      </c>
      <c r="C7983" s="5" t="s">
        <v>21</v>
      </c>
      <c r="N7983" s="9">
        <v>44552.0</v>
      </c>
    </row>
    <row r="7984">
      <c r="A7984" s="5">
        <v>7983.0</v>
      </c>
      <c r="B7984" s="5" t="s">
        <v>8496</v>
      </c>
      <c r="C7984" s="5" t="s">
        <v>21</v>
      </c>
      <c r="K7984" s="5">
        <v>100.0</v>
      </c>
      <c r="N7984" s="9">
        <v>44952.0</v>
      </c>
    </row>
    <row r="7985">
      <c r="A7985" s="5">
        <v>7984.0</v>
      </c>
      <c r="B7985" s="5" t="s">
        <v>8497</v>
      </c>
      <c r="C7985" s="5" t="s">
        <v>21</v>
      </c>
      <c r="K7985" s="5">
        <v>20.0</v>
      </c>
      <c r="N7985" s="9">
        <v>44771.0</v>
      </c>
    </row>
    <row r="7986">
      <c r="A7986" s="5">
        <v>7985.0</v>
      </c>
      <c r="B7986" s="5" t="s">
        <v>8498</v>
      </c>
      <c r="C7986" s="5" t="s">
        <v>21</v>
      </c>
      <c r="K7986" s="5">
        <v>400.0</v>
      </c>
      <c r="N7986" s="9">
        <v>44347.0</v>
      </c>
    </row>
    <row r="7987">
      <c r="A7987" s="5">
        <v>7986.0</v>
      </c>
      <c r="B7987" s="5" t="s">
        <v>8499</v>
      </c>
      <c r="C7987" s="5" t="s">
        <v>21</v>
      </c>
      <c r="K7987" s="5">
        <v>3100.0</v>
      </c>
      <c r="N7987" s="9">
        <v>43973.0</v>
      </c>
    </row>
    <row r="7988">
      <c r="A7988" s="5">
        <v>7987.0</v>
      </c>
      <c r="B7988" s="5" t="s">
        <v>8500</v>
      </c>
      <c r="C7988" s="5" t="s">
        <v>21</v>
      </c>
      <c r="K7988" s="5">
        <v>150.0</v>
      </c>
      <c r="N7988" s="9">
        <v>44097.0</v>
      </c>
    </row>
    <row r="7989">
      <c r="A7989" s="5">
        <v>7988.0</v>
      </c>
      <c r="B7989" s="5" t="s">
        <v>8501</v>
      </c>
      <c r="C7989" s="5" t="s">
        <v>21</v>
      </c>
      <c r="K7989" s="5">
        <v>150.0</v>
      </c>
      <c r="N7989" s="9">
        <v>45728.0</v>
      </c>
    </row>
    <row r="7990">
      <c r="A7990" s="5">
        <v>7989.0</v>
      </c>
      <c r="B7990" s="5" t="s">
        <v>8502</v>
      </c>
      <c r="C7990" s="5" t="s">
        <v>21</v>
      </c>
      <c r="K7990" s="5">
        <v>60.0</v>
      </c>
      <c r="N7990" s="9">
        <v>44585.0</v>
      </c>
    </row>
    <row r="7991">
      <c r="A7991" s="5">
        <v>7990.0</v>
      </c>
      <c r="B7991" s="5" t="s">
        <v>8503</v>
      </c>
      <c r="C7991" s="5" t="s">
        <v>21</v>
      </c>
      <c r="K7991" s="5">
        <v>250.0</v>
      </c>
      <c r="N7991" s="9">
        <v>44718.0</v>
      </c>
    </row>
    <row r="7992">
      <c r="A7992" s="5">
        <v>7991.0</v>
      </c>
      <c r="B7992" s="5" t="s">
        <v>8504</v>
      </c>
      <c r="C7992" s="5" t="s">
        <v>21</v>
      </c>
      <c r="K7992" s="5">
        <v>350.0</v>
      </c>
      <c r="N7992" s="9">
        <v>44718.0</v>
      </c>
    </row>
    <row r="7993">
      <c r="A7993" s="5">
        <v>7992.0</v>
      </c>
      <c r="B7993" s="5" t="s">
        <v>8505</v>
      </c>
      <c r="C7993" s="5" t="s">
        <v>21</v>
      </c>
      <c r="K7993" s="5">
        <v>300.0</v>
      </c>
      <c r="N7993" s="9">
        <v>45783.0</v>
      </c>
    </row>
    <row r="7994">
      <c r="A7994" s="5">
        <v>7993.0</v>
      </c>
      <c r="B7994" s="5" t="s">
        <v>8506</v>
      </c>
      <c r="C7994" s="5" t="s">
        <v>21</v>
      </c>
      <c r="K7994" s="5">
        <v>100.0</v>
      </c>
      <c r="N7994" s="9">
        <v>44599.0</v>
      </c>
    </row>
    <row r="7995">
      <c r="A7995" s="5">
        <v>7994.0</v>
      </c>
      <c r="B7995" s="5" t="s">
        <v>8507</v>
      </c>
      <c r="C7995" s="5" t="s">
        <v>21</v>
      </c>
      <c r="K7995" s="5">
        <v>1300.0</v>
      </c>
      <c r="N7995" s="9">
        <v>44356.0</v>
      </c>
    </row>
    <row r="7996">
      <c r="A7996" s="5">
        <v>7995.0</v>
      </c>
      <c r="B7996" s="5" t="s">
        <v>8508</v>
      </c>
      <c r="C7996" s="5" t="s">
        <v>21</v>
      </c>
      <c r="K7996" s="5">
        <v>800.0</v>
      </c>
      <c r="N7996" s="9">
        <v>44368.0</v>
      </c>
    </row>
    <row r="7997">
      <c r="A7997" s="5">
        <v>7996.0</v>
      </c>
      <c r="B7997" s="5" t="s">
        <v>8509</v>
      </c>
      <c r="C7997" s="5" t="s">
        <v>21</v>
      </c>
      <c r="K7997" s="5">
        <v>150.0</v>
      </c>
      <c r="N7997" s="9">
        <v>45041.0</v>
      </c>
    </row>
    <row r="7998">
      <c r="A7998" s="5">
        <v>7997.0</v>
      </c>
      <c r="B7998" s="5" t="s">
        <v>8510</v>
      </c>
      <c r="C7998" s="5" t="s">
        <v>21</v>
      </c>
      <c r="K7998" s="5">
        <v>1700.0</v>
      </c>
      <c r="N7998" s="9">
        <v>44120.0</v>
      </c>
    </row>
    <row r="7999">
      <c r="A7999" s="5">
        <v>7998.0</v>
      </c>
      <c r="B7999" s="5" t="s">
        <v>8511</v>
      </c>
      <c r="C7999" s="5" t="s">
        <v>21</v>
      </c>
      <c r="K7999" s="5">
        <v>300.0</v>
      </c>
      <c r="N7999" s="9">
        <v>44530.0</v>
      </c>
    </row>
    <row r="8000">
      <c r="A8000" s="5">
        <v>7999.0</v>
      </c>
      <c r="B8000" s="5" t="s">
        <v>8512</v>
      </c>
      <c r="C8000" s="5" t="s">
        <v>21</v>
      </c>
      <c r="K8000" s="5">
        <v>500.0</v>
      </c>
      <c r="N8000" s="9">
        <v>44646.0</v>
      </c>
    </row>
    <row r="8001">
      <c r="A8001" s="5">
        <v>8000.0</v>
      </c>
      <c r="B8001" s="5" t="s">
        <v>8513</v>
      </c>
      <c r="C8001" s="5" t="s">
        <v>21</v>
      </c>
      <c r="N8001" s="9">
        <v>44065.0</v>
      </c>
    </row>
    <row r="8002">
      <c r="A8002" s="5">
        <v>8001.0</v>
      </c>
      <c r="B8002" s="5" t="s">
        <v>8514</v>
      </c>
      <c r="C8002" s="5" t="s">
        <v>21</v>
      </c>
      <c r="K8002" s="5">
        <v>350.0</v>
      </c>
      <c r="N8002" s="9">
        <v>45031.0</v>
      </c>
    </row>
    <row r="8003">
      <c r="A8003" s="5">
        <v>8002.0</v>
      </c>
      <c r="B8003" s="5" t="s">
        <v>8515</v>
      </c>
      <c r="C8003" s="5" t="s">
        <v>21</v>
      </c>
      <c r="K8003" s="5">
        <v>300.0</v>
      </c>
      <c r="N8003" s="9">
        <v>44539.0</v>
      </c>
    </row>
    <row r="8004">
      <c r="A8004" s="5">
        <v>8003.0</v>
      </c>
      <c r="B8004" s="5" t="s">
        <v>8516</v>
      </c>
      <c r="C8004" s="5" t="s">
        <v>21</v>
      </c>
      <c r="K8004" s="5">
        <v>30.0</v>
      </c>
      <c r="N8004" s="9">
        <v>44403.0</v>
      </c>
    </row>
    <row r="8005">
      <c r="A8005" s="5">
        <v>8004.0</v>
      </c>
      <c r="B8005" s="5" t="s">
        <v>8517</v>
      </c>
      <c r="C8005" s="5" t="s">
        <v>21</v>
      </c>
      <c r="K8005" s="5">
        <v>300.0</v>
      </c>
      <c r="N8005" s="9">
        <v>44681.0</v>
      </c>
    </row>
    <row r="8006">
      <c r="A8006" s="5">
        <v>8005.0</v>
      </c>
      <c r="B8006" s="5" t="s">
        <v>8518</v>
      </c>
      <c r="C8006" s="5" t="s">
        <v>21</v>
      </c>
      <c r="K8006" s="5">
        <v>1000.0</v>
      </c>
      <c r="N8006" s="9">
        <v>43926.0</v>
      </c>
    </row>
    <row r="8007">
      <c r="A8007" s="5">
        <v>8006.0</v>
      </c>
      <c r="B8007" s="5" t="s">
        <v>8519</v>
      </c>
      <c r="C8007" s="5" t="s">
        <v>21</v>
      </c>
      <c r="K8007" s="5">
        <v>1100.0</v>
      </c>
      <c r="N8007" s="9">
        <v>44571.0</v>
      </c>
    </row>
    <row r="8008">
      <c r="A8008" s="5">
        <v>8007.0</v>
      </c>
      <c r="B8008" s="5" t="s">
        <v>8520</v>
      </c>
      <c r="C8008" s="5" t="s">
        <v>21</v>
      </c>
      <c r="K8008" s="5">
        <v>400.0</v>
      </c>
      <c r="N8008" s="9">
        <v>44551.0</v>
      </c>
    </row>
    <row r="8009">
      <c r="A8009" s="5">
        <v>8008.0</v>
      </c>
      <c r="B8009" s="5" t="s">
        <v>8521</v>
      </c>
      <c r="C8009" s="5" t="s">
        <v>21</v>
      </c>
      <c r="K8009" s="5">
        <v>700.0</v>
      </c>
      <c r="N8009" s="9">
        <v>44210.0</v>
      </c>
    </row>
    <row r="8010">
      <c r="A8010" s="5">
        <v>8009.0</v>
      </c>
      <c r="B8010" s="5" t="s">
        <v>8522</v>
      </c>
      <c r="C8010" s="5" t="s">
        <v>21</v>
      </c>
      <c r="K8010" s="5">
        <v>900.0</v>
      </c>
      <c r="N8010" s="9">
        <v>44176.0</v>
      </c>
    </row>
    <row r="8011">
      <c r="A8011" s="5">
        <v>8010.0</v>
      </c>
      <c r="B8011" s="5" t="s">
        <v>8523</v>
      </c>
      <c r="C8011" s="5" t="s">
        <v>21</v>
      </c>
      <c r="K8011" s="5">
        <v>20.0</v>
      </c>
      <c r="N8011" s="9">
        <v>43983.0</v>
      </c>
    </row>
    <row r="8012">
      <c r="A8012" s="5">
        <v>8011.0</v>
      </c>
      <c r="B8012" s="5" t="s">
        <v>8524</v>
      </c>
      <c r="C8012" s="5" t="s">
        <v>21</v>
      </c>
      <c r="K8012" s="5">
        <v>60.0</v>
      </c>
      <c r="N8012" s="9">
        <v>45359.0</v>
      </c>
    </row>
    <row r="8013">
      <c r="A8013" s="5">
        <v>8012.0</v>
      </c>
      <c r="B8013" s="5" t="s">
        <v>8525</v>
      </c>
      <c r="C8013" s="5" t="s">
        <v>21</v>
      </c>
      <c r="K8013" s="5">
        <v>1600.0</v>
      </c>
      <c r="N8013" s="9">
        <v>45074.0</v>
      </c>
    </row>
    <row r="8014">
      <c r="A8014" s="5">
        <v>8013.0</v>
      </c>
      <c r="B8014" s="5" t="s">
        <v>8526</v>
      </c>
      <c r="C8014" s="5" t="s">
        <v>21</v>
      </c>
      <c r="K8014" s="5">
        <v>100.0</v>
      </c>
      <c r="N8014" s="9">
        <v>44559.0</v>
      </c>
    </row>
    <row r="8015">
      <c r="A8015" s="5">
        <v>8014.0</v>
      </c>
      <c r="B8015" s="5" t="s">
        <v>8527</v>
      </c>
      <c r="C8015" s="5" t="s">
        <v>21</v>
      </c>
      <c r="K8015" s="5">
        <v>1700.0</v>
      </c>
      <c r="N8015" s="9">
        <v>44515.0</v>
      </c>
    </row>
    <row r="8016">
      <c r="A8016" s="5">
        <v>8015.0</v>
      </c>
      <c r="B8016" s="5" t="s">
        <v>8528</v>
      </c>
      <c r="C8016" s="5" t="s">
        <v>21</v>
      </c>
      <c r="K8016" s="5">
        <v>100.0</v>
      </c>
      <c r="N8016" s="9">
        <v>45289.0</v>
      </c>
    </row>
    <row r="8017">
      <c r="A8017" s="5">
        <v>8016.0</v>
      </c>
      <c r="B8017" s="5" t="s">
        <v>8529</v>
      </c>
      <c r="C8017" s="5" t="s">
        <v>21</v>
      </c>
      <c r="K8017" s="5">
        <v>40.0</v>
      </c>
      <c r="N8017" s="9">
        <v>45611.0</v>
      </c>
    </row>
    <row r="8018">
      <c r="A8018" s="5">
        <v>8017.0</v>
      </c>
      <c r="B8018" s="5" t="s">
        <v>8530</v>
      </c>
      <c r="C8018" s="5" t="s">
        <v>21</v>
      </c>
      <c r="K8018" s="5">
        <v>250.0</v>
      </c>
      <c r="N8018" s="9">
        <v>45118.0</v>
      </c>
    </row>
    <row r="8019">
      <c r="A8019" s="5">
        <v>8018.0</v>
      </c>
      <c r="B8019" s="5" t="s">
        <v>8531</v>
      </c>
      <c r="C8019" s="5" t="s">
        <v>21</v>
      </c>
      <c r="K8019" s="5">
        <v>80.0</v>
      </c>
      <c r="N8019" s="9">
        <v>44258.0</v>
      </c>
    </row>
    <row r="8020">
      <c r="A8020" s="5">
        <v>8019.0</v>
      </c>
      <c r="B8020" s="5" t="s">
        <v>8532</v>
      </c>
      <c r="C8020" s="5" t="s">
        <v>21</v>
      </c>
      <c r="K8020" s="5">
        <v>600.0</v>
      </c>
      <c r="N8020" s="9">
        <v>44536.0</v>
      </c>
    </row>
    <row r="8021">
      <c r="A8021" s="5">
        <v>8020.0</v>
      </c>
      <c r="B8021" s="5" t="s">
        <v>8533</v>
      </c>
      <c r="C8021" s="5" t="s">
        <v>21</v>
      </c>
      <c r="K8021" s="5">
        <v>200.0</v>
      </c>
      <c r="N8021" s="9">
        <v>44707.0</v>
      </c>
    </row>
    <row r="8022">
      <c r="A8022" s="5">
        <v>8021.0</v>
      </c>
      <c r="B8022" s="5" t="s">
        <v>8534</v>
      </c>
      <c r="C8022" s="5" t="s">
        <v>21</v>
      </c>
      <c r="K8022" s="5">
        <v>5500.0</v>
      </c>
      <c r="N8022" s="9">
        <v>44407.0</v>
      </c>
    </row>
    <row r="8023">
      <c r="A8023" s="5">
        <v>8022.0</v>
      </c>
      <c r="B8023" s="5" t="s">
        <v>8535</v>
      </c>
      <c r="C8023" s="5" t="s">
        <v>21</v>
      </c>
      <c r="K8023" s="5">
        <v>10.0</v>
      </c>
      <c r="N8023" s="9">
        <v>44661.0</v>
      </c>
    </row>
    <row r="8024">
      <c r="A8024" s="5">
        <v>8023.0</v>
      </c>
      <c r="B8024" s="5" t="s">
        <v>8536</v>
      </c>
      <c r="C8024" s="5" t="s">
        <v>21</v>
      </c>
      <c r="K8024" s="5">
        <v>40.0</v>
      </c>
      <c r="N8024" s="9">
        <v>44526.0</v>
      </c>
    </row>
    <row r="8025">
      <c r="A8025" s="5">
        <v>8024.0</v>
      </c>
      <c r="B8025" s="5" t="s">
        <v>8537</v>
      </c>
      <c r="C8025" s="5" t="s">
        <v>21</v>
      </c>
      <c r="K8025" s="5">
        <v>500.0</v>
      </c>
      <c r="N8025" s="9">
        <v>44053.0</v>
      </c>
    </row>
    <row r="8026">
      <c r="A8026" s="5">
        <v>8025.0</v>
      </c>
      <c r="B8026" s="5" t="s">
        <v>8538</v>
      </c>
      <c r="C8026" s="5" t="s">
        <v>21</v>
      </c>
      <c r="K8026" s="5">
        <v>1800.0</v>
      </c>
      <c r="N8026" s="9">
        <v>44562.0</v>
      </c>
    </row>
    <row r="8027">
      <c r="A8027" s="5">
        <v>8026.0</v>
      </c>
      <c r="B8027" s="5" t="s">
        <v>293</v>
      </c>
      <c r="C8027" s="5" t="s">
        <v>21</v>
      </c>
      <c r="K8027" s="5">
        <v>3100.0</v>
      </c>
      <c r="N8027" s="9">
        <v>44163.0</v>
      </c>
    </row>
    <row r="8028">
      <c r="A8028" s="5">
        <v>8027.0</v>
      </c>
      <c r="B8028" s="5" t="s">
        <v>8539</v>
      </c>
      <c r="C8028" s="5" t="s">
        <v>21</v>
      </c>
      <c r="K8028" s="5">
        <v>150.0</v>
      </c>
      <c r="N8028" s="9">
        <v>45210.0</v>
      </c>
    </row>
    <row r="8029">
      <c r="A8029" s="5">
        <v>8028.0</v>
      </c>
      <c r="B8029" s="5" t="s">
        <v>8540</v>
      </c>
      <c r="C8029" s="5" t="s">
        <v>21</v>
      </c>
      <c r="K8029" s="5">
        <v>400.0</v>
      </c>
      <c r="N8029" s="9">
        <v>44150.0</v>
      </c>
    </row>
    <row r="8030">
      <c r="A8030" s="5">
        <v>8029.0</v>
      </c>
      <c r="B8030" s="5" t="s">
        <v>8541</v>
      </c>
      <c r="C8030" s="5" t="s">
        <v>21</v>
      </c>
      <c r="K8030" s="5">
        <v>4600.0</v>
      </c>
      <c r="N8030" s="9">
        <v>44087.0</v>
      </c>
    </row>
    <row r="8031">
      <c r="A8031" s="5">
        <v>8030.0</v>
      </c>
      <c r="B8031" s="5" t="s">
        <v>8542</v>
      </c>
      <c r="C8031" s="5" t="s">
        <v>21</v>
      </c>
      <c r="K8031" s="5">
        <v>100.0</v>
      </c>
      <c r="N8031" s="9">
        <v>44637.0</v>
      </c>
    </row>
    <row r="8032">
      <c r="A8032" s="5">
        <v>8031.0</v>
      </c>
      <c r="B8032" s="5" t="s">
        <v>8543</v>
      </c>
      <c r="C8032" s="5" t="s">
        <v>21</v>
      </c>
      <c r="K8032" s="5">
        <v>8000.0</v>
      </c>
      <c r="N8032" s="9">
        <v>46091.0</v>
      </c>
    </row>
    <row r="8033">
      <c r="A8033" s="5">
        <v>8032.0</v>
      </c>
      <c r="B8033" s="5" t="s">
        <v>8544</v>
      </c>
      <c r="C8033" s="5" t="s">
        <v>21</v>
      </c>
      <c r="K8033" s="5">
        <v>600.0</v>
      </c>
      <c r="N8033" s="9">
        <v>44072.0</v>
      </c>
    </row>
    <row r="8034">
      <c r="A8034" s="5">
        <v>8033.0</v>
      </c>
      <c r="B8034" s="5" t="s">
        <v>8545</v>
      </c>
      <c r="C8034" s="5" t="s">
        <v>21</v>
      </c>
      <c r="K8034" s="5">
        <v>500.0</v>
      </c>
      <c r="N8034" s="9">
        <v>44590.0</v>
      </c>
    </row>
    <row r="8035">
      <c r="A8035" s="5">
        <v>8034.0</v>
      </c>
      <c r="B8035" s="5" t="s">
        <v>8546</v>
      </c>
      <c r="C8035" s="5" t="s">
        <v>21</v>
      </c>
      <c r="K8035" s="5">
        <v>350.0</v>
      </c>
      <c r="N8035" s="9">
        <v>44552.0</v>
      </c>
    </row>
    <row r="8036">
      <c r="A8036" s="5">
        <v>8035.0</v>
      </c>
      <c r="B8036" s="5" t="s">
        <v>8547</v>
      </c>
      <c r="C8036" s="5" t="s">
        <v>21</v>
      </c>
      <c r="K8036" s="5">
        <v>900.0</v>
      </c>
      <c r="N8036" s="9">
        <v>45142.0</v>
      </c>
    </row>
    <row r="8037">
      <c r="A8037" s="5">
        <v>8036.0</v>
      </c>
      <c r="B8037" s="5" t="s">
        <v>8548</v>
      </c>
      <c r="C8037" s="5" t="s">
        <v>21</v>
      </c>
      <c r="K8037" s="5">
        <v>10.0</v>
      </c>
      <c r="N8037" s="9">
        <v>44910.0</v>
      </c>
    </row>
    <row r="8038">
      <c r="A8038" s="5">
        <v>8037.0</v>
      </c>
      <c r="B8038" s="5" t="s">
        <v>8549</v>
      </c>
      <c r="C8038" s="5" t="s">
        <v>21</v>
      </c>
      <c r="K8038" s="5">
        <v>250.0</v>
      </c>
      <c r="N8038" s="9">
        <v>44608.0</v>
      </c>
    </row>
    <row r="8039">
      <c r="A8039" s="5">
        <v>8038.0</v>
      </c>
      <c r="B8039" s="5" t="s">
        <v>8550</v>
      </c>
      <c r="C8039" s="5" t="s">
        <v>21</v>
      </c>
      <c r="K8039" s="5">
        <v>300.0</v>
      </c>
      <c r="N8039" s="9">
        <v>44333.0</v>
      </c>
    </row>
    <row r="8040">
      <c r="A8040" s="5">
        <v>8039.0</v>
      </c>
      <c r="B8040" s="5" t="s">
        <v>8551</v>
      </c>
      <c r="C8040" s="5" t="s">
        <v>21</v>
      </c>
      <c r="K8040" s="5">
        <v>800.0</v>
      </c>
      <c r="N8040" s="9">
        <v>44682.0</v>
      </c>
    </row>
    <row r="8041">
      <c r="A8041" s="5">
        <v>8040.0</v>
      </c>
      <c r="B8041" s="5" t="s">
        <v>8552</v>
      </c>
      <c r="C8041" s="5" t="s">
        <v>21</v>
      </c>
      <c r="K8041" s="5">
        <v>500.0</v>
      </c>
      <c r="N8041" s="9">
        <v>44355.0</v>
      </c>
    </row>
    <row r="8042">
      <c r="A8042" s="5">
        <v>8041.0</v>
      </c>
      <c r="B8042" s="5" t="s">
        <v>8553</v>
      </c>
      <c r="C8042" s="5" t="s">
        <v>21</v>
      </c>
      <c r="K8042" s="5">
        <v>50.0</v>
      </c>
      <c r="N8042" s="9">
        <v>44887.0</v>
      </c>
    </row>
    <row r="8043">
      <c r="A8043" s="5">
        <v>8042.0</v>
      </c>
      <c r="B8043" s="5" t="s">
        <v>8554</v>
      </c>
      <c r="C8043" s="5" t="s">
        <v>21</v>
      </c>
      <c r="K8043" s="5">
        <v>100.0</v>
      </c>
      <c r="N8043" s="9">
        <v>44643.0</v>
      </c>
    </row>
    <row r="8044">
      <c r="A8044" s="5">
        <v>8043.0</v>
      </c>
      <c r="B8044" s="5" t="s">
        <v>8555</v>
      </c>
      <c r="C8044" s="5" t="s">
        <v>21</v>
      </c>
      <c r="K8044" s="5">
        <v>100.0</v>
      </c>
      <c r="N8044" s="9">
        <v>45614.0</v>
      </c>
    </row>
    <row r="8045">
      <c r="A8045" s="5">
        <v>8044.0</v>
      </c>
      <c r="B8045" s="5" t="s">
        <v>8556</v>
      </c>
      <c r="C8045" s="5" t="s">
        <v>21</v>
      </c>
      <c r="K8045" s="5">
        <v>250.0</v>
      </c>
      <c r="N8045" s="9">
        <v>44359.0</v>
      </c>
    </row>
    <row r="8046">
      <c r="A8046" s="5">
        <v>8045.0</v>
      </c>
      <c r="B8046" s="5" t="s">
        <v>8557</v>
      </c>
      <c r="C8046" s="5" t="s">
        <v>21</v>
      </c>
      <c r="K8046" s="5">
        <v>250.0</v>
      </c>
      <c r="N8046" s="9">
        <v>44980.0</v>
      </c>
    </row>
    <row r="8047">
      <c r="A8047" s="5">
        <v>8046.0</v>
      </c>
      <c r="B8047" s="5" t="s">
        <v>8558</v>
      </c>
      <c r="C8047" s="5" t="s">
        <v>21</v>
      </c>
      <c r="K8047" s="5">
        <v>600.0</v>
      </c>
      <c r="N8047" s="9">
        <v>44349.0</v>
      </c>
    </row>
    <row r="8048">
      <c r="A8048" s="5">
        <v>8047.0</v>
      </c>
      <c r="B8048" s="5" t="s">
        <v>8559</v>
      </c>
      <c r="C8048" s="5" t="s">
        <v>21</v>
      </c>
      <c r="K8048" s="5">
        <v>10.0</v>
      </c>
      <c r="N8048" s="9">
        <v>44580.0</v>
      </c>
    </row>
    <row r="8049">
      <c r="A8049" s="5">
        <v>8048.0</v>
      </c>
      <c r="B8049" s="5" t="s">
        <v>8560</v>
      </c>
      <c r="C8049" s="5" t="s">
        <v>21</v>
      </c>
      <c r="K8049" s="5">
        <v>100.0</v>
      </c>
      <c r="N8049" s="9">
        <v>44667.0</v>
      </c>
    </row>
    <row r="8050">
      <c r="A8050" s="5">
        <v>8049.0</v>
      </c>
      <c r="B8050" s="5" t="s">
        <v>8561</v>
      </c>
      <c r="C8050" s="5" t="s">
        <v>21</v>
      </c>
      <c r="K8050" s="5">
        <v>800.0</v>
      </c>
      <c r="N8050" s="9">
        <v>44287.0</v>
      </c>
    </row>
    <row r="8051">
      <c r="A8051" s="5">
        <v>8050.0</v>
      </c>
      <c r="B8051" s="5" t="s">
        <v>8562</v>
      </c>
      <c r="C8051" s="5" t="s">
        <v>21</v>
      </c>
      <c r="K8051" s="5">
        <v>800.0</v>
      </c>
      <c r="N8051" s="9">
        <v>44538.0</v>
      </c>
    </row>
    <row r="8052">
      <c r="A8052" s="5">
        <v>8051.0</v>
      </c>
      <c r="B8052" s="5" t="s">
        <v>8563</v>
      </c>
      <c r="C8052" s="5" t="s">
        <v>21</v>
      </c>
      <c r="K8052" s="5">
        <v>100.0</v>
      </c>
      <c r="N8052" s="9">
        <v>45203.0</v>
      </c>
    </row>
    <row r="8053">
      <c r="A8053" s="5">
        <v>8052.0</v>
      </c>
      <c r="B8053" s="5" t="s">
        <v>8564</v>
      </c>
      <c r="C8053" s="5" t="s">
        <v>21</v>
      </c>
      <c r="K8053" s="5">
        <v>150.0</v>
      </c>
      <c r="N8053" s="9">
        <v>44851.0</v>
      </c>
    </row>
    <row r="8054">
      <c r="A8054" s="5">
        <v>8053.0</v>
      </c>
      <c r="B8054" s="5" t="s">
        <v>8565</v>
      </c>
      <c r="C8054" s="5" t="s">
        <v>21</v>
      </c>
      <c r="K8054" s="5">
        <v>600.0</v>
      </c>
      <c r="N8054" s="9">
        <v>44767.0</v>
      </c>
    </row>
    <row r="8055">
      <c r="A8055" s="5">
        <v>8054.0</v>
      </c>
      <c r="B8055" s="5" t="s">
        <v>8566</v>
      </c>
      <c r="C8055" s="5" t="s">
        <v>21</v>
      </c>
      <c r="K8055" s="5">
        <v>350.0</v>
      </c>
      <c r="N8055" s="9">
        <v>44597.0</v>
      </c>
    </row>
    <row r="8056">
      <c r="A8056" s="5">
        <v>8055.0</v>
      </c>
      <c r="B8056" s="5" t="s">
        <v>8567</v>
      </c>
      <c r="C8056" s="5" t="s">
        <v>21</v>
      </c>
      <c r="K8056" s="5">
        <v>80.0</v>
      </c>
      <c r="N8056" s="9">
        <v>44517.0</v>
      </c>
    </row>
    <row r="8057">
      <c r="A8057" s="5">
        <v>8056.0</v>
      </c>
      <c r="B8057" s="5" t="s">
        <v>8568</v>
      </c>
      <c r="C8057" s="5" t="s">
        <v>21</v>
      </c>
      <c r="K8057" s="5">
        <v>1500.0</v>
      </c>
      <c r="N8057" s="9">
        <v>44366.0</v>
      </c>
    </row>
    <row r="8058">
      <c r="A8058" s="5">
        <v>8057.0</v>
      </c>
      <c r="B8058" s="5" t="s">
        <v>8569</v>
      </c>
      <c r="C8058" s="5" t="s">
        <v>21</v>
      </c>
      <c r="K8058" s="5">
        <v>600.0</v>
      </c>
      <c r="N8058" s="9">
        <v>44408.0</v>
      </c>
    </row>
    <row r="8059">
      <c r="A8059" s="5">
        <v>8058.0</v>
      </c>
      <c r="B8059" s="5" t="s">
        <v>8570</v>
      </c>
      <c r="C8059" s="5" t="s">
        <v>21</v>
      </c>
      <c r="N8059" s="9">
        <v>44582.0</v>
      </c>
    </row>
    <row r="8060">
      <c r="A8060" s="5">
        <v>8059.0</v>
      </c>
      <c r="B8060" s="5" t="s">
        <v>8571</v>
      </c>
      <c r="C8060" s="5" t="s">
        <v>21</v>
      </c>
      <c r="K8060" s="5">
        <v>800.0</v>
      </c>
      <c r="N8060" s="9">
        <v>45729.0</v>
      </c>
    </row>
    <row r="8061">
      <c r="A8061" s="5">
        <v>8060.0</v>
      </c>
      <c r="B8061" s="5" t="s">
        <v>8572</v>
      </c>
      <c r="C8061" s="5" t="s">
        <v>21</v>
      </c>
      <c r="K8061" s="5">
        <v>100.0</v>
      </c>
      <c r="N8061" s="9">
        <v>43878.0</v>
      </c>
    </row>
    <row r="8062">
      <c r="A8062" s="5">
        <v>8061.0</v>
      </c>
      <c r="B8062" s="5" t="s">
        <v>8573</v>
      </c>
      <c r="C8062" s="5" t="s">
        <v>21</v>
      </c>
      <c r="K8062" s="5">
        <v>200.0</v>
      </c>
      <c r="N8062" s="9">
        <v>44562.0</v>
      </c>
    </row>
    <row r="8063">
      <c r="A8063" s="5">
        <v>8062.0</v>
      </c>
      <c r="B8063" s="5" t="s">
        <v>8574</v>
      </c>
      <c r="C8063" s="5" t="s">
        <v>21</v>
      </c>
      <c r="K8063" s="5">
        <v>1100.0</v>
      </c>
      <c r="N8063" s="9">
        <v>44709.0</v>
      </c>
    </row>
    <row r="8064">
      <c r="A8064" s="5">
        <v>8063.0</v>
      </c>
      <c r="B8064" s="5" t="s">
        <v>8575</v>
      </c>
      <c r="C8064" s="5" t="s">
        <v>21</v>
      </c>
      <c r="K8064" s="5">
        <v>3200.0</v>
      </c>
      <c r="N8064" s="9">
        <v>44727.0</v>
      </c>
    </row>
    <row r="8065">
      <c r="A8065" s="5">
        <v>8064.0</v>
      </c>
      <c r="B8065" s="5" t="s">
        <v>8576</v>
      </c>
      <c r="C8065" s="5" t="s">
        <v>21</v>
      </c>
      <c r="K8065" s="5">
        <v>3700.0</v>
      </c>
      <c r="N8065" s="9">
        <v>44482.0</v>
      </c>
    </row>
    <row r="8066">
      <c r="A8066" s="5">
        <v>8065.0</v>
      </c>
      <c r="B8066" s="5" t="s">
        <v>8577</v>
      </c>
      <c r="C8066" s="5" t="s">
        <v>21</v>
      </c>
      <c r="K8066" s="5">
        <v>800.0</v>
      </c>
      <c r="N8066" s="9">
        <v>44542.0</v>
      </c>
    </row>
    <row r="8067">
      <c r="A8067" s="5">
        <v>8066.0</v>
      </c>
      <c r="B8067" s="5" t="s">
        <v>8578</v>
      </c>
      <c r="C8067" s="5" t="s">
        <v>21</v>
      </c>
      <c r="K8067" s="5">
        <v>1800.0</v>
      </c>
      <c r="N8067" s="9">
        <v>45195.0</v>
      </c>
    </row>
    <row r="8068">
      <c r="A8068" s="5">
        <v>8067.0</v>
      </c>
      <c r="B8068" s="5" t="s">
        <v>8579</v>
      </c>
      <c r="C8068" s="5" t="s">
        <v>21</v>
      </c>
      <c r="K8068" s="5">
        <v>350.0</v>
      </c>
      <c r="N8068" s="9">
        <v>44816.0</v>
      </c>
    </row>
    <row r="8069">
      <c r="A8069" s="5">
        <v>8068.0</v>
      </c>
      <c r="B8069" s="5" t="s">
        <v>269</v>
      </c>
      <c r="C8069" s="5" t="s">
        <v>21</v>
      </c>
      <c r="K8069" s="5">
        <v>30.0</v>
      </c>
      <c r="N8069" s="9">
        <v>44869.0</v>
      </c>
    </row>
    <row r="8070">
      <c r="A8070" s="5">
        <v>8069.0</v>
      </c>
      <c r="B8070" s="5" t="s">
        <v>8580</v>
      </c>
      <c r="C8070" s="5" t="s">
        <v>21</v>
      </c>
      <c r="K8070" s="5">
        <v>600.0</v>
      </c>
      <c r="N8070" s="9">
        <v>44544.0</v>
      </c>
    </row>
    <row r="8071">
      <c r="A8071" s="5">
        <v>8070.0</v>
      </c>
      <c r="B8071" s="5" t="s">
        <v>8581</v>
      </c>
      <c r="C8071" s="5" t="s">
        <v>21</v>
      </c>
      <c r="K8071" s="5">
        <v>250.0</v>
      </c>
      <c r="N8071" s="9">
        <v>44552.0</v>
      </c>
    </row>
    <row r="8072">
      <c r="A8072" s="5">
        <v>8071.0</v>
      </c>
      <c r="B8072" s="5" t="s">
        <v>8582</v>
      </c>
      <c r="C8072" s="5" t="s">
        <v>21</v>
      </c>
      <c r="K8072" s="5">
        <v>1900.0</v>
      </c>
      <c r="N8072" s="9">
        <v>45222.0</v>
      </c>
    </row>
    <row r="8073">
      <c r="A8073" s="5">
        <v>8072.0</v>
      </c>
      <c r="B8073" s="5" t="s">
        <v>8583</v>
      </c>
      <c r="C8073" s="5" t="s">
        <v>21</v>
      </c>
      <c r="K8073" s="5">
        <v>1700.0</v>
      </c>
      <c r="N8073" s="9">
        <v>44538.0</v>
      </c>
    </row>
    <row r="8074">
      <c r="A8074" s="5">
        <v>8073.0</v>
      </c>
      <c r="B8074" s="5" t="s">
        <v>8584</v>
      </c>
      <c r="C8074" s="5" t="s">
        <v>21</v>
      </c>
      <c r="K8074" s="5">
        <v>200.0</v>
      </c>
      <c r="N8074" s="9">
        <v>44049.0</v>
      </c>
    </row>
    <row r="8075">
      <c r="A8075" s="5">
        <v>8074.0</v>
      </c>
      <c r="B8075" s="5" t="s">
        <v>8585</v>
      </c>
      <c r="C8075" s="5" t="s">
        <v>21</v>
      </c>
      <c r="K8075" s="5">
        <v>800.0</v>
      </c>
      <c r="N8075" s="9">
        <v>42945.0</v>
      </c>
    </row>
    <row r="8076">
      <c r="A8076" s="5">
        <v>8075.0</v>
      </c>
      <c r="B8076" s="5" t="s">
        <v>8586</v>
      </c>
      <c r="C8076" s="5" t="s">
        <v>21</v>
      </c>
      <c r="K8076" s="5">
        <v>4700.0</v>
      </c>
      <c r="N8076" s="9">
        <v>44248.0</v>
      </c>
    </row>
    <row r="8077">
      <c r="A8077" s="5">
        <v>8076.0</v>
      </c>
      <c r="B8077" s="5" t="s">
        <v>295</v>
      </c>
      <c r="C8077" s="5" t="s">
        <v>21</v>
      </c>
      <c r="K8077" s="5">
        <v>12000.0</v>
      </c>
      <c r="N8077" s="9">
        <v>42997.0</v>
      </c>
    </row>
    <row r="8078">
      <c r="A8078" s="5">
        <v>8077.0</v>
      </c>
      <c r="B8078" s="5" t="s">
        <v>8587</v>
      </c>
      <c r="C8078" s="5" t="s">
        <v>21</v>
      </c>
      <c r="K8078" s="5">
        <v>800.0</v>
      </c>
      <c r="N8078" s="9">
        <v>44352.0</v>
      </c>
    </row>
    <row r="8079">
      <c r="A8079" s="5">
        <v>8078.0</v>
      </c>
      <c r="B8079" s="5" t="s">
        <v>8588</v>
      </c>
      <c r="C8079" s="5" t="s">
        <v>21</v>
      </c>
      <c r="K8079" s="5">
        <v>1600.0</v>
      </c>
      <c r="N8079" s="9">
        <v>44400.0</v>
      </c>
    </row>
    <row r="8080">
      <c r="A8080" s="5">
        <v>8079.0</v>
      </c>
      <c r="B8080" s="5" t="s">
        <v>8589</v>
      </c>
      <c r="C8080" s="5" t="s">
        <v>21</v>
      </c>
      <c r="K8080" s="5">
        <v>400.0</v>
      </c>
      <c r="N8080" s="9">
        <v>44477.0</v>
      </c>
    </row>
    <row r="8081">
      <c r="A8081" s="5">
        <v>8080.0</v>
      </c>
      <c r="B8081" s="5" t="s">
        <v>8590</v>
      </c>
      <c r="C8081" s="5" t="s">
        <v>21</v>
      </c>
      <c r="K8081" s="5">
        <v>3600.0</v>
      </c>
      <c r="N8081" s="9">
        <v>44762.0</v>
      </c>
    </row>
    <row r="8082">
      <c r="A8082" s="5">
        <v>8081.0</v>
      </c>
      <c r="B8082" s="5" t="s">
        <v>8591</v>
      </c>
      <c r="C8082" s="5" t="s">
        <v>21</v>
      </c>
      <c r="N8082" s="9">
        <v>43914.0</v>
      </c>
    </row>
    <row r="8083">
      <c r="A8083" s="5">
        <v>8082.0</v>
      </c>
      <c r="B8083" s="5" t="s">
        <v>8592</v>
      </c>
      <c r="C8083" s="5" t="s">
        <v>21</v>
      </c>
      <c r="N8083" s="9">
        <v>44364.0</v>
      </c>
    </row>
    <row r="8084">
      <c r="A8084" s="5">
        <v>8083.0</v>
      </c>
      <c r="B8084" s="5" t="s">
        <v>8593</v>
      </c>
      <c r="C8084" s="5" t="s">
        <v>21</v>
      </c>
      <c r="K8084" s="5">
        <v>400.0</v>
      </c>
      <c r="N8084" s="9">
        <v>44508.0</v>
      </c>
    </row>
    <row r="8085">
      <c r="A8085" s="5">
        <v>8084.0</v>
      </c>
      <c r="B8085" s="5" t="s">
        <v>8594</v>
      </c>
      <c r="C8085" s="5" t="s">
        <v>21</v>
      </c>
      <c r="K8085" s="5">
        <v>250.0</v>
      </c>
      <c r="N8085" s="9">
        <v>44573.0</v>
      </c>
    </row>
    <row r="8086">
      <c r="A8086" s="5">
        <v>8085.0</v>
      </c>
      <c r="B8086" s="5" t="s">
        <v>8595</v>
      </c>
      <c r="C8086" s="5" t="s">
        <v>21</v>
      </c>
      <c r="K8086" s="5">
        <v>300.0</v>
      </c>
      <c r="N8086" s="9">
        <v>44997.0</v>
      </c>
    </row>
    <row r="8087">
      <c r="A8087" s="5">
        <v>8086.0</v>
      </c>
      <c r="B8087" s="5" t="s">
        <v>8596</v>
      </c>
      <c r="C8087" s="5" t="s">
        <v>21</v>
      </c>
      <c r="K8087" s="5">
        <v>900.0</v>
      </c>
      <c r="N8087" s="9">
        <v>44527.0</v>
      </c>
    </row>
    <row r="8088">
      <c r="A8088" s="5">
        <v>8087.0</v>
      </c>
      <c r="B8088" s="5" t="s">
        <v>8597</v>
      </c>
      <c r="C8088" s="5" t="s">
        <v>21</v>
      </c>
      <c r="K8088" s="5">
        <v>150.0</v>
      </c>
      <c r="N8088" s="9">
        <v>45140.0</v>
      </c>
    </row>
    <row r="8089">
      <c r="A8089" s="5">
        <v>8088.0</v>
      </c>
      <c r="B8089" s="5" t="s">
        <v>8598</v>
      </c>
      <c r="C8089" s="5" t="s">
        <v>21</v>
      </c>
      <c r="K8089" s="5">
        <v>250.0</v>
      </c>
      <c r="N8089" s="9">
        <v>44882.0</v>
      </c>
    </row>
    <row r="8090">
      <c r="A8090" s="5">
        <v>8089.0</v>
      </c>
      <c r="B8090" s="5" t="s">
        <v>8599</v>
      </c>
      <c r="C8090" s="5" t="s">
        <v>21</v>
      </c>
      <c r="K8090" s="5">
        <v>300.0</v>
      </c>
      <c r="N8090" s="9">
        <v>44591.0</v>
      </c>
    </row>
    <row r="8091">
      <c r="A8091" s="5">
        <v>8090.0</v>
      </c>
      <c r="B8091" s="5" t="s">
        <v>8600</v>
      </c>
      <c r="C8091" s="5" t="s">
        <v>21</v>
      </c>
      <c r="K8091" s="5">
        <v>700.0</v>
      </c>
      <c r="N8091" s="9">
        <v>44412.0</v>
      </c>
    </row>
    <row r="8092">
      <c r="A8092" s="5">
        <v>8091.0</v>
      </c>
      <c r="B8092" s="5" t="s">
        <v>8601</v>
      </c>
      <c r="C8092" s="5" t="s">
        <v>21</v>
      </c>
      <c r="K8092" s="5">
        <v>4100.0</v>
      </c>
      <c r="N8092" s="9">
        <v>43882.0</v>
      </c>
    </row>
    <row r="8093">
      <c r="A8093" s="5">
        <v>8092.0</v>
      </c>
      <c r="B8093" s="5" t="s">
        <v>8602</v>
      </c>
      <c r="C8093" s="5" t="s">
        <v>21</v>
      </c>
      <c r="K8093" s="5">
        <v>1000.0</v>
      </c>
      <c r="N8093" s="9">
        <v>44519.0</v>
      </c>
    </row>
    <row r="8094">
      <c r="A8094" s="5">
        <v>8093.0</v>
      </c>
      <c r="B8094" s="5" t="s">
        <v>8603</v>
      </c>
      <c r="C8094" s="5" t="s">
        <v>21</v>
      </c>
      <c r="K8094" s="5">
        <v>90.0</v>
      </c>
      <c r="N8094" s="9">
        <v>44999.0</v>
      </c>
    </row>
    <row r="8095">
      <c r="A8095" s="5">
        <v>8094.0</v>
      </c>
      <c r="B8095" s="5" t="s">
        <v>8604</v>
      </c>
      <c r="C8095" s="5" t="s">
        <v>21</v>
      </c>
      <c r="K8095" s="5">
        <v>150.0</v>
      </c>
      <c r="N8095" s="9">
        <v>44993.0</v>
      </c>
    </row>
    <row r="8096">
      <c r="A8096" s="5">
        <v>8095.0</v>
      </c>
      <c r="B8096" s="5" t="s">
        <v>8605</v>
      </c>
      <c r="C8096" s="5" t="s">
        <v>21</v>
      </c>
      <c r="K8096" s="5">
        <v>250.0</v>
      </c>
      <c r="N8096" s="9">
        <v>44314.0</v>
      </c>
    </row>
    <row r="8097">
      <c r="A8097" s="5">
        <v>8096.0</v>
      </c>
      <c r="B8097" s="5" t="s">
        <v>8606</v>
      </c>
      <c r="C8097" s="5" t="s">
        <v>21</v>
      </c>
      <c r="K8097" s="5">
        <v>700.0</v>
      </c>
      <c r="N8097" s="9">
        <v>44351.0</v>
      </c>
    </row>
    <row r="8098">
      <c r="A8098" s="5">
        <v>8097.0</v>
      </c>
      <c r="B8098" s="5" t="s">
        <v>8607</v>
      </c>
      <c r="C8098" s="5" t="s">
        <v>21</v>
      </c>
      <c r="K8098" s="5">
        <v>70.0</v>
      </c>
      <c r="N8098" s="9">
        <v>45176.0</v>
      </c>
    </row>
    <row r="8099">
      <c r="A8099" s="5">
        <v>8098.0</v>
      </c>
      <c r="B8099" s="5" t="s">
        <v>8608</v>
      </c>
      <c r="C8099" s="5" t="s">
        <v>21</v>
      </c>
      <c r="K8099" s="5">
        <v>100.0</v>
      </c>
      <c r="N8099" s="9">
        <v>44786.0</v>
      </c>
    </row>
    <row r="8100">
      <c r="A8100" s="5">
        <v>8099.0</v>
      </c>
      <c r="B8100" s="5" t="s">
        <v>8609</v>
      </c>
      <c r="C8100" s="5" t="s">
        <v>21</v>
      </c>
      <c r="K8100" s="5">
        <v>1000.0</v>
      </c>
      <c r="N8100" s="9">
        <v>44012.0</v>
      </c>
    </row>
    <row r="8101">
      <c r="A8101" s="5">
        <v>8100.0</v>
      </c>
      <c r="B8101" s="5" t="s">
        <v>8610</v>
      </c>
      <c r="C8101" s="5" t="s">
        <v>21</v>
      </c>
      <c r="K8101" s="5">
        <v>350.0</v>
      </c>
      <c r="N8101" s="9">
        <v>44403.0</v>
      </c>
    </row>
    <row r="8102">
      <c r="A8102" s="5">
        <v>8101.0</v>
      </c>
      <c r="B8102" s="5" t="s">
        <v>8611</v>
      </c>
      <c r="C8102" s="5" t="s">
        <v>21</v>
      </c>
      <c r="K8102" s="5">
        <v>30.0</v>
      </c>
      <c r="N8102" s="9">
        <v>45589.0</v>
      </c>
    </row>
    <row r="8103">
      <c r="A8103" s="5">
        <v>8102.0</v>
      </c>
      <c r="B8103" s="5" t="s">
        <v>8612</v>
      </c>
      <c r="C8103" s="5" t="s">
        <v>21</v>
      </c>
      <c r="K8103" s="5">
        <v>1500.0</v>
      </c>
      <c r="N8103" s="9">
        <v>43985.0</v>
      </c>
    </row>
    <row r="8104">
      <c r="A8104" s="5">
        <v>8103.0</v>
      </c>
      <c r="B8104" s="5" t="s">
        <v>8613</v>
      </c>
      <c r="C8104" s="5" t="s">
        <v>21</v>
      </c>
      <c r="K8104" s="5">
        <v>1400.0</v>
      </c>
      <c r="N8104" s="9">
        <v>43874.0</v>
      </c>
    </row>
    <row r="8105">
      <c r="A8105" s="5">
        <v>8104.0</v>
      </c>
      <c r="B8105" s="5" t="s">
        <v>8614</v>
      </c>
      <c r="C8105" s="5" t="s">
        <v>21</v>
      </c>
      <c r="K8105" s="5">
        <v>600.0</v>
      </c>
      <c r="N8105" s="9">
        <v>43905.0</v>
      </c>
    </row>
    <row r="8106">
      <c r="A8106" s="5">
        <v>8105.0</v>
      </c>
      <c r="B8106" s="5" t="s">
        <v>8615</v>
      </c>
      <c r="C8106" s="5" t="s">
        <v>21</v>
      </c>
      <c r="K8106" s="5">
        <v>30.0</v>
      </c>
      <c r="N8106" s="9">
        <v>44168.0</v>
      </c>
    </row>
    <row r="8107">
      <c r="A8107" s="5">
        <v>8106.0</v>
      </c>
      <c r="B8107" s="5" t="s">
        <v>8616</v>
      </c>
      <c r="C8107" s="5" t="s">
        <v>21</v>
      </c>
      <c r="K8107" s="5">
        <v>40.0</v>
      </c>
      <c r="N8107" s="9">
        <v>44774.0</v>
      </c>
    </row>
    <row r="8108">
      <c r="A8108" s="5">
        <v>8107.0</v>
      </c>
      <c r="B8108" s="5" t="s">
        <v>8617</v>
      </c>
      <c r="C8108" s="5" t="s">
        <v>21</v>
      </c>
      <c r="K8108" s="5">
        <v>350.0</v>
      </c>
      <c r="N8108" s="9">
        <v>43946.0</v>
      </c>
    </row>
    <row r="8109">
      <c r="A8109" s="5">
        <v>8108.0</v>
      </c>
      <c r="B8109" s="5" t="s">
        <v>8618</v>
      </c>
      <c r="C8109" s="5" t="s">
        <v>21</v>
      </c>
      <c r="K8109" s="5">
        <v>600.0</v>
      </c>
      <c r="N8109" s="9">
        <v>44614.0</v>
      </c>
    </row>
    <row r="8110">
      <c r="A8110" s="5">
        <v>8109.0</v>
      </c>
      <c r="B8110" s="5" t="s">
        <v>8619</v>
      </c>
      <c r="C8110" s="5" t="s">
        <v>21</v>
      </c>
      <c r="K8110" s="5">
        <v>300.0</v>
      </c>
      <c r="N8110" s="9">
        <v>44677.0</v>
      </c>
    </row>
    <row r="8111">
      <c r="A8111" s="5">
        <v>8110.0</v>
      </c>
      <c r="B8111" s="5" t="s">
        <v>8620</v>
      </c>
      <c r="C8111" s="5" t="s">
        <v>21</v>
      </c>
      <c r="K8111" s="5">
        <v>450.0</v>
      </c>
      <c r="N8111" s="9">
        <v>43930.0</v>
      </c>
    </row>
    <row r="8112">
      <c r="A8112" s="5">
        <v>8111.0</v>
      </c>
      <c r="B8112" s="5" t="s">
        <v>8621</v>
      </c>
      <c r="C8112" s="5" t="s">
        <v>21</v>
      </c>
      <c r="K8112" s="5">
        <v>4400.0</v>
      </c>
      <c r="N8112" s="9">
        <v>44180.0</v>
      </c>
    </row>
    <row r="8113">
      <c r="A8113" s="5">
        <v>8112.0</v>
      </c>
      <c r="B8113" s="5" t="s">
        <v>8622</v>
      </c>
      <c r="C8113" s="5" t="s">
        <v>21</v>
      </c>
      <c r="K8113" s="5">
        <v>800.0</v>
      </c>
      <c r="N8113" s="9">
        <v>44291.0</v>
      </c>
    </row>
    <row r="8114">
      <c r="A8114" s="5">
        <v>8113.0</v>
      </c>
      <c r="B8114" s="5" t="s">
        <v>8623</v>
      </c>
      <c r="C8114" s="5" t="s">
        <v>21</v>
      </c>
      <c r="K8114" s="5">
        <v>30.0</v>
      </c>
      <c r="N8114" s="9">
        <v>44238.0</v>
      </c>
    </row>
    <row r="8115">
      <c r="A8115" s="5">
        <v>8114.0</v>
      </c>
      <c r="B8115" s="5" t="s">
        <v>8624</v>
      </c>
      <c r="C8115" s="5" t="s">
        <v>21</v>
      </c>
      <c r="K8115" s="5">
        <v>100.0</v>
      </c>
      <c r="N8115" s="9">
        <v>44587.0</v>
      </c>
    </row>
    <row r="8116">
      <c r="A8116" s="5">
        <v>8115.0</v>
      </c>
      <c r="B8116" s="5" t="s">
        <v>8625</v>
      </c>
      <c r="C8116" s="5" t="s">
        <v>21</v>
      </c>
      <c r="K8116" s="5">
        <v>250.0</v>
      </c>
      <c r="N8116" s="9">
        <v>45290.0</v>
      </c>
    </row>
    <row r="8117">
      <c r="A8117" s="5">
        <v>8116.0</v>
      </c>
      <c r="B8117" s="5" t="s">
        <v>8626</v>
      </c>
      <c r="C8117" s="5" t="s">
        <v>21</v>
      </c>
      <c r="K8117" s="5">
        <v>350.0</v>
      </c>
      <c r="N8117" s="9">
        <v>44560.0</v>
      </c>
    </row>
    <row r="8118">
      <c r="A8118" s="5">
        <v>8117.0</v>
      </c>
      <c r="B8118" s="5" t="s">
        <v>8627</v>
      </c>
      <c r="C8118" s="5" t="s">
        <v>21</v>
      </c>
      <c r="K8118" s="5">
        <v>600.0</v>
      </c>
      <c r="N8118" s="9">
        <v>44634.0</v>
      </c>
    </row>
    <row r="8119">
      <c r="A8119" s="5">
        <v>8118.0</v>
      </c>
      <c r="B8119" s="5" t="s">
        <v>8628</v>
      </c>
      <c r="C8119" s="5" t="s">
        <v>21</v>
      </c>
      <c r="K8119" s="5">
        <v>150.0</v>
      </c>
      <c r="N8119" s="9">
        <v>44652.0</v>
      </c>
    </row>
    <row r="8120">
      <c r="A8120" s="5">
        <v>8119.0</v>
      </c>
      <c r="B8120" s="5" t="s">
        <v>8629</v>
      </c>
      <c r="C8120" s="5" t="s">
        <v>21</v>
      </c>
      <c r="K8120" s="5">
        <v>800.0</v>
      </c>
      <c r="N8120" s="9">
        <v>44621.0</v>
      </c>
    </row>
    <row r="8121">
      <c r="A8121" s="5">
        <v>8120.0</v>
      </c>
      <c r="B8121" s="5" t="s">
        <v>8630</v>
      </c>
      <c r="C8121" s="5" t="s">
        <v>21</v>
      </c>
      <c r="K8121" s="5">
        <v>200.0</v>
      </c>
      <c r="N8121" s="9">
        <v>44520.0</v>
      </c>
    </row>
    <row r="8122">
      <c r="A8122" s="5">
        <v>8121.0</v>
      </c>
      <c r="B8122" s="5" t="s">
        <v>8631</v>
      </c>
      <c r="C8122" s="5" t="s">
        <v>21</v>
      </c>
      <c r="K8122" s="5">
        <v>100.0</v>
      </c>
      <c r="N8122" s="9">
        <v>44863.0</v>
      </c>
    </row>
    <row r="8123">
      <c r="A8123" s="5">
        <v>8122.0</v>
      </c>
      <c r="B8123" s="5" t="s">
        <v>8632</v>
      </c>
      <c r="C8123" s="5" t="s">
        <v>21</v>
      </c>
      <c r="K8123" s="5">
        <v>150.0</v>
      </c>
      <c r="N8123" s="9">
        <v>44682.0</v>
      </c>
    </row>
    <row r="8124">
      <c r="A8124" s="5">
        <v>8123.0</v>
      </c>
      <c r="B8124" s="5" t="s">
        <v>8633</v>
      </c>
      <c r="C8124" s="5" t="s">
        <v>21</v>
      </c>
      <c r="K8124" s="5">
        <v>2200.0</v>
      </c>
      <c r="N8124" s="9">
        <v>44540.0</v>
      </c>
    </row>
    <row r="8125">
      <c r="A8125" s="5">
        <v>8124.0</v>
      </c>
      <c r="B8125" s="5" t="s">
        <v>8634</v>
      </c>
      <c r="C8125" s="5" t="s">
        <v>21</v>
      </c>
      <c r="K8125" s="5">
        <v>300.0</v>
      </c>
      <c r="N8125" s="9">
        <v>45142.0</v>
      </c>
    </row>
    <row r="8126">
      <c r="A8126" s="5">
        <v>8125.0</v>
      </c>
      <c r="B8126" s="5" t="s">
        <v>8635</v>
      </c>
      <c r="C8126" s="5" t="s">
        <v>21</v>
      </c>
      <c r="K8126" s="5">
        <v>100.0</v>
      </c>
      <c r="N8126" s="9">
        <v>44716.0</v>
      </c>
    </row>
    <row r="8127">
      <c r="A8127" s="5">
        <v>8126.0</v>
      </c>
      <c r="B8127" s="5" t="s">
        <v>8636</v>
      </c>
      <c r="C8127" s="5" t="s">
        <v>21</v>
      </c>
      <c r="K8127" s="5">
        <v>500.0</v>
      </c>
      <c r="N8127" s="9">
        <v>44644.0</v>
      </c>
    </row>
    <row r="8128">
      <c r="A8128" s="5">
        <v>8127.0</v>
      </c>
      <c r="B8128" s="5" t="s">
        <v>8637</v>
      </c>
      <c r="C8128" s="5" t="s">
        <v>21</v>
      </c>
      <c r="K8128" s="5">
        <v>1600.0</v>
      </c>
      <c r="N8128" s="9">
        <v>44565.0</v>
      </c>
    </row>
    <row r="8129">
      <c r="A8129" s="5">
        <v>8128.0</v>
      </c>
      <c r="B8129" s="5" t="s">
        <v>8638</v>
      </c>
      <c r="C8129" s="5" t="s">
        <v>21</v>
      </c>
      <c r="N8129" s="9">
        <v>45610.0</v>
      </c>
    </row>
    <row r="8130">
      <c r="A8130" s="5">
        <v>8129.0</v>
      </c>
      <c r="B8130" s="5" t="s">
        <v>8639</v>
      </c>
      <c r="C8130" s="5" t="s">
        <v>21</v>
      </c>
      <c r="K8130" s="5">
        <v>100.0</v>
      </c>
      <c r="N8130" s="9">
        <v>44543.0</v>
      </c>
    </row>
    <row r="8131">
      <c r="A8131" s="5">
        <v>8130.0</v>
      </c>
      <c r="B8131" s="5" t="s">
        <v>8640</v>
      </c>
      <c r="C8131" s="5" t="s">
        <v>21</v>
      </c>
      <c r="K8131" s="5">
        <v>450.0</v>
      </c>
      <c r="N8131" s="9">
        <v>44347.0</v>
      </c>
    </row>
    <row r="8132">
      <c r="A8132" s="5">
        <v>8131.0</v>
      </c>
      <c r="B8132" s="5" t="s">
        <v>8641</v>
      </c>
      <c r="C8132" s="5" t="s">
        <v>21</v>
      </c>
      <c r="K8132" s="5">
        <v>500.0</v>
      </c>
      <c r="N8132" s="9">
        <v>44830.0</v>
      </c>
    </row>
    <row r="8133">
      <c r="A8133" s="5">
        <v>8132.0</v>
      </c>
      <c r="B8133" s="5" t="s">
        <v>8642</v>
      </c>
      <c r="C8133" s="5" t="s">
        <v>21</v>
      </c>
      <c r="K8133" s="5">
        <v>3200.0</v>
      </c>
      <c r="N8133" s="9">
        <v>43918.0</v>
      </c>
    </row>
    <row r="8134">
      <c r="A8134" s="5">
        <v>8133.0</v>
      </c>
      <c r="B8134" s="5" t="s">
        <v>8643</v>
      </c>
      <c r="C8134" s="5" t="s">
        <v>21</v>
      </c>
      <c r="K8134" s="5">
        <v>400.0</v>
      </c>
      <c r="N8134" s="9">
        <v>44335.0</v>
      </c>
    </row>
    <row r="8135">
      <c r="A8135" s="5">
        <v>8134.0</v>
      </c>
      <c r="B8135" s="5" t="s">
        <v>8644</v>
      </c>
      <c r="C8135" s="5" t="s">
        <v>21</v>
      </c>
      <c r="K8135" s="5">
        <v>50.0</v>
      </c>
      <c r="N8135" s="9">
        <v>45512.0</v>
      </c>
    </row>
    <row r="8136">
      <c r="A8136" s="5">
        <v>8135.0</v>
      </c>
      <c r="B8136" s="5" t="s">
        <v>8645</v>
      </c>
      <c r="C8136" s="5" t="s">
        <v>21</v>
      </c>
      <c r="K8136" s="5">
        <v>300.0</v>
      </c>
      <c r="N8136" s="9">
        <v>45655.0</v>
      </c>
    </row>
    <row r="8137">
      <c r="A8137" s="5">
        <v>8136.0</v>
      </c>
      <c r="B8137" s="5" t="s">
        <v>8646</v>
      </c>
      <c r="C8137" s="5" t="s">
        <v>21</v>
      </c>
      <c r="K8137" s="5">
        <v>350.0</v>
      </c>
      <c r="N8137" s="9">
        <v>44734.0</v>
      </c>
    </row>
    <row r="8138">
      <c r="A8138" s="5">
        <v>8137.0</v>
      </c>
      <c r="B8138" s="5" t="s">
        <v>8647</v>
      </c>
      <c r="C8138" s="5" t="s">
        <v>21</v>
      </c>
      <c r="K8138" s="5">
        <v>900.0</v>
      </c>
      <c r="N8138" s="9">
        <v>44742.0</v>
      </c>
    </row>
    <row r="8139">
      <c r="A8139" s="5">
        <v>8138.0</v>
      </c>
      <c r="B8139" s="5" t="s">
        <v>8648</v>
      </c>
      <c r="C8139" s="5" t="s">
        <v>21</v>
      </c>
      <c r="K8139" s="5">
        <v>500.0</v>
      </c>
      <c r="N8139" s="9">
        <v>45556.0</v>
      </c>
    </row>
    <row r="8140">
      <c r="A8140" s="5">
        <v>8139.0</v>
      </c>
      <c r="B8140" s="5" t="s">
        <v>8649</v>
      </c>
      <c r="C8140" s="5" t="s">
        <v>21</v>
      </c>
      <c r="K8140" s="5">
        <v>900.0</v>
      </c>
      <c r="N8140" s="9">
        <v>44363.0</v>
      </c>
    </row>
    <row r="8141">
      <c r="A8141" s="5">
        <v>8140.0</v>
      </c>
      <c r="B8141" s="5" t="s">
        <v>8650</v>
      </c>
      <c r="C8141" s="5" t="s">
        <v>21</v>
      </c>
      <c r="K8141" s="5">
        <v>600.0</v>
      </c>
      <c r="N8141" s="9">
        <v>44682.0</v>
      </c>
    </row>
    <row r="8142">
      <c r="A8142" s="5">
        <v>8141.0</v>
      </c>
      <c r="B8142" s="5" t="s">
        <v>8651</v>
      </c>
      <c r="C8142" s="5" t="s">
        <v>21</v>
      </c>
      <c r="K8142" s="5">
        <v>2000.0</v>
      </c>
      <c r="N8142" s="9">
        <v>44181.0</v>
      </c>
    </row>
    <row r="8143">
      <c r="A8143" s="5">
        <v>8142.0</v>
      </c>
      <c r="B8143" s="5" t="s">
        <v>8652</v>
      </c>
      <c r="C8143" s="5" t="s">
        <v>21</v>
      </c>
      <c r="K8143" s="5">
        <v>300.0</v>
      </c>
      <c r="N8143" s="9">
        <v>44374.0</v>
      </c>
    </row>
    <row r="8144">
      <c r="A8144" s="5">
        <v>8143.0</v>
      </c>
      <c r="B8144" s="5" t="s">
        <v>8653</v>
      </c>
      <c r="C8144" s="5" t="s">
        <v>21</v>
      </c>
      <c r="K8144" s="5">
        <v>100.0</v>
      </c>
      <c r="N8144" s="9">
        <v>44581.0</v>
      </c>
    </row>
    <row r="8145">
      <c r="A8145" s="5">
        <v>8144.0</v>
      </c>
      <c r="B8145" s="5" t="s">
        <v>8654</v>
      </c>
      <c r="C8145" s="5" t="s">
        <v>21</v>
      </c>
      <c r="K8145" s="5">
        <v>400.0</v>
      </c>
      <c r="N8145" s="9">
        <v>45568.0</v>
      </c>
    </row>
    <row r="8146">
      <c r="A8146" s="5">
        <v>8145.0</v>
      </c>
      <c r="B8146" s="5" t="s">
        <v>8655</v>
      </c>
      <c r="C8146" s="5" t="s">
        <v>21</v>
      </c>
      <c r="K8146" s="5">
        <v>30.0</v>
      </c>
      <c r="N8146" s="9">
        <v>43932.0</v>
      </c>
    </row>
    <row r="8147">
      <c r="A8147" s="5">
        <v>8146.0</v>
      </c>
      <c r="B8147" s="5" t="s">
        <v>8656</v>
      </c>
      <c r="C8147" s="5" t="s">
        <v>21</v>
      </c>
      <c r="K8147" s="5">
        <v>600.0</v>
      </c>
      <c r="N8147" s="9">
        <v>44597.0</v>
      </c>
    </row>
    <row r="8148">
      <c r="A8148" s="5">
        <v>8147.0</v>
      </c>
      <c r="B8148" s="5" t="s">
        <v>8657</v>
      </c>
      <c r="C8148" s="5" t="s">
        <v>21</v>
      </c>
      <c r="K8148" s="5">
        <v>150.0</v>
      </c>
      <c r="N8148" s="9">
        <v>45355.0</v>
      </c>
    </row>
    <row r="8149">
      <c r="A8149" s="5">
        <v>8148.0</v>
      </c>
      <c r="B8149" s="5" t="s">
        <v>8658</v>
      </c>
      <c r="C8149" s="5" t="s">
        <v>21</v>
      </c>
      <c r="K8149" s="5">
        <v>2300.0</v>
      </c>
      <c r="N8149" s="9">
        <v>43948.0</v>
      </c>
    </row>
    <row r="8150">
      <c r="A8150" s="5">
        <v>8149.0</v>
      </c>
      <c r="B8150" s="5" t="s">
        <v>8659</v>
      </c>
      <c r="C8150" s="5" t="s">
        <v>21</v>
      </c>
      <c r="K8150" s="5">
        <v>800.0</v>
      </c>
      <c r="N8150" s="9">
        <v>45091.0</v>
      </c>
    </row>
    <row r="8151">
      <c r="A8151" s="5">
        <v>8150.0</v>
      </c>
      <c r="B8151" s="5" t="s">
        <v>8660</v>
      </c>
      <c r="C8151" s="5" t="s">
        <v>21</v>
      </c>
      <c r="K8151" s="5">
        <v>80.0</v>
      </c>
      <c r="N8151" s="9">
        <v>45698.0</v>
      </c>
    </row>
    <row r="8152">
      <c r="A8152" s="5">
        <v>8151.0</v>
      </c>
      <c r="B8152" s="5" t="s">
        <v>8661</v>
      </c>
      <c r="C8152" s="5" t="s">
        <v>21</v>
      </c>
      <c r="K8152" s="5">
        <v>400.0</v>
      </c>
      <c r="N8152" s="9">
        <v>44387.0</v>
      </c>
    </row>
    <row r="8153">
      <c r="A8153" s="5">
        <v>8152.0</v>
      </c>
      <c r="B8153" s="5" t="s">
        <v>8662</v>
      </c>
      <c r="C8153" s="5" t="s">
        <v>21</v>
      </c>
      <c r="N8153" s="9">
        <v>44158.0</v>
      </c>
    </row>
    <row r="8154">
      <c r="A8154" s="5">
        <v>8153.0</v>
      </c>
      <c r="B8154" s="5" t="s">
        <v>8663</v>
      </c>
      <c r="C8154" s="5" t="s">
        <v>21</v>
      </c>
      <c r="K8154" s="5">
        <v>700.0</v>
      </c>
      <c r="N8154" s="9">
        <v>45122.0</v>
      </c>
    </row>
    <row r="8155">
      <c r="A8155" s="5">
        <v>8154.0</v>
      </c>
      <c r="B8155" s="5" t="s">
        <v>8664</v>
      </c>
      <c r="C8155" s="5" t="s">
        <v>21</v>
      </c>
      <c r="K8155" s="5">
        <v>600.0</v>
      </c>
      <c r="N8155" s="9">
        <v>44539.0</v>
      </c>
    </row>
    <row r="8156">
      <c r="A8156" s="5">
        <v>8155.0</v>
      </c>
      <c r="B8156" s="5" t="s">
        <v>8665</v>
      </c>
      <c r="C8156" s="5" t="s">
        <v>21</v>
      </c>
      <c r="N8156" s="9">
        <v>44570.0</v>
      </c>
    </row>
    <row r="8157">
      <c r="A8157" s="5">
        <v>8156.0</v>
      </c>
      <c r="B8157" s="5" t="s">
        <v>8666</v>
      </c>
      <c r="C8157" s="5" t="s">
        <v>21</v>
      </c>
      <c r="K8157" s="5">
        <v>100.0</v>
      </c>
      <c r="N8157" s="9">
        <v>44443.0</v>
      </c>
    </row>
    <row r="8158">
      <c r="A8158" s="5">
        <v>8157.0</v>
      </c>
      <c r="B8158" s="5" t="s">
        <v>8667</v>
      </c>
      <c r="C8158" s="5" t="s">
        <v>21</v>
      </c>
      <c r="K8158" s="5">
        <v>600.0</v>
      </c>
      <c r="N8158" s="9">
        <v>44608.0</v>
      </c>
    </row>
    <row r="8159">
      <c r="A8159" s="5">
        <v>8158.0</v>
      </c>
      <c r="B8159" s="5" t="s">
        <v>8668</v>
      </c>
      <c r="C8159" s="5" t="s">
        <v>21</v>
      </c>
      <c r="K8159" s="5">
        <v>300.0</v>
      </c>
      <c r="N8159" s="9">
        <v>44651.0</v>
      </c>
    </row>
    <row r="8160">
      <c r="A8160" s="5">
        <v>8159.0</v>
      </c>
      <c r="B8160" s="5" t="s">
        <v>8669</v>
      </c>
      <c r="C8160" s="5" t="s">
        <v>21</v>
      </c>
      <c r="K8160" s="5">
        <v>450.0</v>
      </c>
      <c r="N8160" s="9">
        <v>45252.0</v>
      </c>
    </row>
    <row r="8161">
      <c r="A8161" s="5">
        <v>8160.0</v>
      </c>
      <c r="B8161" s="5" t="s">
        <v>8670</v>
      </c>
      <c r="C8161" s="5" t="s">
        <v>21</v>
      </c>
      <c r="K8161" s="5">
        <v>600.0</v>
      </c>
      <c r="N8161" s="9">
        <v>43903.0</v>
      </c>
    </row>
    <row r="8162">
      <c r="A8162" s="5">
        <v>8161.0</v>
      </c>
      <c r="B8162" s="5" t="s">
        <v>8671</v>
      </c>
      <c r="C8162" s="5" t="s">
        <v>21</v>
      </c>
      <c r="K8162" s="5">
        <v>2100.0</v>
      </c>
      <c r="N8162" s="9">
        <v>44373.0</v>
      </c>
    </row>
    <row r="8163">
      <c r="A8163" s="5">
        <v>8162.0</v>
      </c>
      <c r="B8163" s="5" t="s">
        <v>8672</v>
      </c>
      <c r="C8163" s="5" t="s">
        <v>21</v>
      </c>
      <c r="K8163" s="5">
        <v>5600.0</v>
      </c>
      <c r="N8163" s="9">
        <v>44490.0</v>
      </c>
    </row>
    <row r="8164">
      <c r="A8164" s="5">
        <v>8163.0</v>
      </c>
      <c r="B8164" s="5" t="s">
        <v>8673</v>
      </c>
      <c r="C8164" s="5" t="s">
        <v>21</v>
      </c>
      <c r="K8164" s="5">
        <v>300.0</v>
      </c>
      <c r="N8164" s="9">
        <v>44591.0</v>
      </c>
    </row>
    <row r="8165">
      <c r="A8165" s="5">
        <v>8164.0</v>
      </c>
      <c r="B8165" s="5" t="s">
        <v>8674</v>
      </c>
      <c r="C8165" s="5" t="s">
        <v>21</v>
      </c>
      <c r="K8165" s="5">
        <v>700.0</v>
      </c>
      <c r="N8165" s="9">
        <v>44735.0</v>
      </c>
    </row>
    <row r="8166">
      <c r="A8166" s="5">
        <v>8165.0</v>
      </c>
      <c r="B8166" s="5" t="s">
        <v>8675</v>
      </c>
      <c r="C8166" s="5" t="s">
        <v>21</v>
      </c>
      <c r="K8166" s="5">
        <v>450.0</v>
      </c>
      <c r="N8166" s="9">
        <v>45343.0</v>
      </c>
    </row>
    <row r="8167">
      <c r="A8167" s="5">
        <v>8166.0</v>
      </c>
      <c r="B8167" s="5" t="s">
        <v>8676</v>
      </c>
      <c r="C8167" s="5" t="s">
        <v>21</v>
      </c>
      <c r="K8167" s="5">
        <v>400.0</v>
      </c>
      <c r="N8167" s="9">
        <v>44469.0</v>
      </c>
    </row>
    <row r="8168">
      <c r="A8168" s="5">
        <v>8167.0</v>
      </c>
      <c r="B8168" s="5" t="s">
        <v>8677</v>
      </c>
      <c r="C8168" s="5" t="s">
        <v>21</v>
      </c>
      <c r="K8168" s="5">
        <v>7600.0</v>
      </c>
      <c r="N8168" s="9">
        <v>43892.0</v>
      </c>
    </row>
    <row r="8169">
      <c r="A8169" s="5">
        <v>8168.0</v>
      </c>
      <c r="B8169" s="5" t="s">
        <v>8678</v>
      </c>
      <c r="C8169" s="5" t="s">
        <v>21</v>
      </c>
      <c r="K8169" s="5">
        <v>100.0</v>
      </c>
      <c r="N8169" s="9">
        <v>44599.0</v>
      </c>
    </row>
    <row r="8170">
      <c r="A8170" s="5">
        <v>8169.0</v>
      </c>
      <c r="B8170" s="5" t="s">
        <v>8679</v>
      </c>
      <c r="C8170" s="5" t="s">
        <v>21</v>
      </c>
      <c r="K8170" s="5">
        <v>600.0</v>
      </c>
      <c r="N8170" s="9">
        <v>44559.0</v>
      </c>
    </row>
    <row r="8171">
      <c r="A8171" s="5">
        <v>8170.0</v>
      </c>
      <c r="B8171" s="5" t="s">
        <v>8680</v>
      </c>
      <c r="C8171" s="5" t="s">
        <v>21</v>
      </c>
      <c r="K8171" s="5">
        <v>30.0</v>
      </c>
      <c r="N8171" s="9">
        <v>45010.0</v>
      </c>
    </row>
    <row r="8172">
      <c r="A8172" s="5">
        <v>8171.0</v>
      </c>
      <c r="B8172" s="5" t="s">
        <v>8681</v>
      </c>
      <c r="C8172" s="5" t="s">
        <v>21</v>
      </c>
      <c r="K8172" s="5">
        <v>800.0</v>
      </c>
      <c r="N8172" s="9">
        <v>45415.0</v>
      </c>
    </row>
    <row r="8173">
      <c r="A8173" s="5">
        <v>8172.0</v>
      </c>
      <c r="B8173" s="5" t="s">
        <v>8682</v>
      </c>
      <c r="C8173" s="5" t="s">
        <v>21</v>
      </c>
      <c r="K8173" s="5">
        <v>150.0</v>
      </c>
      <c r="N8173" s="9">
        <v>44859.0</v>
      </c>
    </row>
    <row r="8174">
      <c r="A8174" s="5">
        <v>8173.0</v>
      </c>
      <c r="B8174" s="5" t="s">
        <v>8683</v>
      </c>
      <c r="C8174" s="5" t="s">
        <v>21</v>
      </c>
      <c r="K8174" s="5">
        <v>60.0</v>
      </c>
      <c r="N8174" s="9">
        <v>45559.0</v>
      </c>
    </row>
    <row r="8175">
      <c r="A8175" s="5">
        <v>8174.0</v>
      </c>
      <c r="B8175" s="5" t="s">
        <v>8684</v>
      </c>
      <c r="C8175" s="5" t="s">
        <v>21</v>
      </c>
      <c r="K8175" s="5">
        <v>400.0</v>
      </c>
      <c r="N8175" s="9">
        <v>44869.0</v>
      </c>
    </row>
    <row r="8176">
      <c r="A8176" s="5">
        <v>8175.0</v>
      </c>
      <c r="B8176" s="5" t="s">
        <v>8685</v>
      </c>
      <c r="C8176" s="5" t="s">
        <v>21</v>
      </c>
      <c r="K8176" s="5">
        <v>200.0</v>
      </c>
      <c r="N8176" s="9">
        <v>44574.0</v>
      </c>
    </row>
    <row r="8177">
      <c r="A8177" s="5">
        <v>8176.0</v>
      </c>
      <c r="B8177" s="5" t="s">
        <v>8686</v>
      </c>
      <c r="C8177" s="5" t="s">
        <v>21</v>
      </c>
      <c r="K8177" s="5">
        <v>1400.0</v>
      </c>
      <c r="N8177" s="9">
        <v>44671.0</v>
      </c>
    </row>
    <row r="8178">
      <c r="A8178" s="5">
        <v>8177.0</v>
      </c>
      <c r="B8178" s="5" t="s">
        <v>8687</v>
      </c>
      <c r="C8178" s="5" t="s">
        <v>21</v>
      </c>
      <c r="K8178" s="5">
        <v>500.0</v>
      </c>
      <c r="N8178" s="9">
        <v>43905.0</v>
      </c>
    </row>
    <row r="8179">
      <c r="A8179" s="5">
        <v>8178.0</v>
      </c>
      <c r="B8179" s="5" t="s">
        <v>8688</v>
      </c>
      <c r="C8179" s="5" t="s">
        <v>21</v>
      </c>
      <c r="K8179" s="5">
        <v>100.0</v>
      </c>
      <c r="N8179" s="9">
        <v>44261.0</v>
      </c>
    </row>
    <row r="8180">
      <c r="A8180" s="5">
        <v>8179.0</v>
      </c>
      <c r="B8180" s="5" t="s">
        <v>8689</v>
      </c>
      <c r="C8180" s="5" t="s">
        <v>21</v>
      </c>
      <c r="K8180" s="5">
        <v>150.0</v>
      </c>
      <c r="N8180" s="9">
        <v>44908.0</v>
      </c>
    </row>
    <row r="8181">
      <c r="A8181" s="5">
        <v>8180.0</v>
      </c>
      <c r="B8181" s="5" t="s">
        <v>8690</v>
      </c>
      <c r="C8181" s="5" t="s">
        <v>21</v>
      </c>
      <c r="K8181" s="5">
        <v>100.0</v>
      </c>
      <c r="N8181" s="9">
        <v>44732.0</v>
      </c>
    </row>
    <row r="8182">
      <c r="A8182" s="5">
        <v>8181.0</v>
      </c>
      <c r="B8182" s="5" t="s">
        <v>8691</v>
      </c>
      <c r="C8182" s="5" t="s">
        <v>21</v>
      </c>
      <c r="K8182" s="5">
        <v>150.0</v>
      </c>
      <c r="N8182" s="9">
        <v>45272.0</v>
      </c>
    </row>
    <row r="8183">
      <c r="A8183" s="5">
        <v>8182.0</v>
      </c>
      <c r="B8183" s="5" t="s">
        <v>8692</v>
      </c>
      <c r="C8183" s="5" t="s">
        <v>21</v>
      </c>
      <c r="K8183" s="5">
        <v>200.0</v>
      </c>
      <c r="N8183" s="9">
        <v>44468.0</v>
      </c>
    </row>
    <row r="8184">
      <c r="A8184" s="5">
        <v>8183.0</v>
      </c>
      <c r="B8184" s="5" t="s">
        <v>8693</v>
      </c>
      <c r="C8184" s="5" t="s">
        <v>21</v>
      </c>
      <c r="K8184" s="5">
        <v>2200.0</v>
      </c>
      <c r="N8184" s="9">
        <v>44396.0</v>
      </c>
    </row>
    <row r="8185">
      <c r="A8185" s="5">
        <v>8184.0</v>
      </c>
      <c r="B8185" s="5" t="s">
        <v>8694</v>
      </c>
      <c r="C8185" s="5" t="s">
        <v>21</v>
      </c>
      <c r="K8185" s="5">
        <v>300.0</v>
      </c>
      <c r="N8185" s="9">
        <v>43899.0</v>
      </c>
    </row>
    <row r="8186">
      <c r="A8186" s="5">
        <v>8185.0</v>
      </c>
      <c r="B8186" s="5" t="s">
        <v>8695</v>
      </c>
      <c r="C8186" s="5" t="s">
        <v>21</v>
      </c>
      <c r="K8186" s="5">
        <v>600.0</v>
      </c>
      <c r="N8186" s="9">
        <v>44749.0</v>
      </c>
    </row>
    <row r="8187">
      <c r="A8187" s="5">
        <v>8186.0</v>
      </c>
      <c r="B8187" s="5" t="s">
        <v>8696</v>
      </c>
      <c r="C8187" s="5" t="s">
        <v>21</v>
      </c>
      <c r="K8187" s="5">
        <v>200.0</v>
      </c>
      <c r="N8187" s="9">
        <v>44595.0</v>
      </c>
    </row>
    <row r="8188">
      <c r="A8188" s="5">
        <v>8187.0</v>
      </c>
      <c r="B8188" s="5" t="s">
        <v>8697</v>
      </c>
      <c r="C8188" s="5" t="s">
        <v>21</v>
      </c>
      <c r="K8188" s="5">
        <v>80.0</v>
      </c>
      <c r="N8188" s="9">
        <v>44234.0</v>
      </c>
    </row>
    <row r="8189">
      <c r="A8189" s="5">
        <v>8188.0</v>
      </c>
      <c r="B8189" s="5" t="s">
        <v>8698</v>
      </c>
      <c r="C8189" s="5" t="s">
        <v>21</v>
      </c>
      <c r="K8189" s="5">
        <v>500.0</v>
      </c>
      <c r="N8189" s="9">
        <v>44291.0</v>
      </c>
    </row>
    <row r="8190">
      <c r="A8190" s="5">
        <v>8189.0</v>
      </c>
      <c r="B8190" s="5" t="s">
        <v>8699</v>
      </c>
      <c r="C8190" s="5" t="s">
        <v>21</v>
      </c>
      <c r="K8190" s="5">
        <v>100.0</v>
      </c>
      <c r="N8190" s="9">
        <v>44894.0</v>
      </c>
    </row>
    <row r="8191">
      <c r="A8191" s="5">
        <v>8190.0</v>
      </c>
      <c r="B8191" s="5" t="s">
        <v>8700</v>
      </c>
      <c r="C8191" s="5" t="s">
        <v>21</v>
      </c>
      <c r="N8191" s="9">
        <v>43876.0</v>
      </c>
    </row>
    <row r="8192">
      <c r="A8192" s="5">
        <v>8191.0</v>
      </c>
      <c r="B8192" s="5" t="s">
        <v>8701</v>
      </c>
      <c r="C8192" s="5" t="s">
        <v>21</v>
      </c>
      <c r="K8192" s="5">
        <v>90.0</v>
      </c>
      <c r="N8192" s="9">
        <v>44067.0</v>
      </c>
    </row>
    <row r="8193">
      <c r="A8193" s="5">
        <v>8192.0</v>
      </c>
      <c r="B8193" s="5" t="s">
        <v>272</v>
      </c>
      <c r="C8193" s="5" t="s">
        <v>21</v>
      </c>
      <c r="K8193" s="5">
        <v>1100.0</v>
      </c>
      <c r="N8193" s="9">
        <v>44190.0</v>
      </c>
    </row>
    <row r="8194">
      <c r="A8194" s="5">
        <v>8193.0</v>
      </c>
      <c r="B8194" s="5" t="s">
        <v>8702</v>
      </c>
      <c r="C8194" s="5" t="s">
        <v>21</v>
      </c>
      <c r="K8194" s="5">
        <v>350.0</v>
      </c>
      <c r="N8194" s="9">
        <v>45037.0</v>
      </c>
    </row>
    <row r="8195">
      <c r="A8195" s="5">
        <v>8194.0</v>
      </c>
      <c r="B8195" s="5" t="s">
        <v>8703</v>
      </c>
      <c r="C8195" s="5" t="s">
        <v>21</v>
      </c>
      <c r="K8195" s="5">
        <v>150.0</v>
      </c>
      <c r="N8195" s="9">
        <v>44520.0</v>
      </c>
    </row>
    <row r="8196">
      <c r="A8196" s="5">
        <v>8195.0</v>
      </c>
      <c r="B8196" s="5" t="s">
        <v>8704</v>
      </c>
      <c r="C8196" s="5" t="s">
        <v>21</v>
      </c>
      <c r="K8196" s="5">
        <v>350.0</v>
      </c>
      <c r="N8196" s="9">
        <v>45434.0</v>
      </c>
    </row>
    <row r="8197">
      <c r="A8197" s="5">
        <v>8196.0</v>
      </c>
      <c r="B8197" s="5" t="s">
        <v>8705</v>
      </c>
      <c r="C8197" s="5" t="s">
        <v>21</v>
      </c>
      <c r="K8197" s="5">
        <v>200.0</v>
      </c>
      <c r="N8197" s="9">
        <v>44638.0</v>
      </c>
    </row>
    <row r="8198">
      <c r="A8198" s="5">
        <v>8197.0</v>
      </c>
      <c r="B8198" s="5" t="s">
        <v>8706</v>
      </c>
      <c r="C8198" s="5" t="s">
        <v>21</v>
      </c>
      <c r="K8198" s="5">
        <v>700.0</v>
      </c>
      <c r="N8198" s="9">
        <v>44659.0</v>
      </c>
    </row>
    <row r="8199">
      <c r="A8199" s="5">
        <v>8198.0</v>
      </c>
      <c r="B8199" s="5" t="s">
        <v>8707</v>
      </c>
      <c r="C8199" s="5" t="s">
        <v>21</v>
      </c>
      <c r="K8199" s="5">
        <v>7900.0</v>
      </c>
      <c r="N8199" s="9">
        <v>46085.0</v>
      </c>
    </row>
    <row r="8200">
      <c r="A8200" s="5">
        <v>8199.0</v>
      </c>
      <c r="B8200" s="5" t="s">
        <v>8708</v>
      </c>
      <c r="C8200" s="5" t="s">
        <v>21</v>
      </c>
      <c r="K8200" s="5">
        <v>1500.0</v>
      </c>
      <c r="N8200" s="9">
        <v>44511.0</v>
      </c>
    </row>
    <row r="8201">
      <c r="A8201" s="5">
        <v>8200.0</v>
      </c>
      <c r="B8201" s="5" t="s">
        <v>8709</v>
      </c>
      <c r="C8201" s="5" t="s">
        <v>21</v>
      </c>
      <c r="K8201" s="5">
        <v>450.0</v>
      </c>
      <c r="N8201" s="9">
        <v>44410.0</v>
      </c>
    </row>
    <row r="8202">
      <c r="A8202" s="5">
        <v>8201.0</v>
      </c>
      <c r="B8202" s="5" t="s">
        <v>8710</v>
      </c>
      <c r="C8202" s="5" t="s">
        <v>21</v>
      </c>
      <c r="K8202" s="5">
        <v>450.0</v>
      </c>
      <c r="N8202" s="9">
        <v>45583.0</v>
      </c>
    </row>
    <row r="8203">
      <c r="A8203" s="5">
        <v>8202.0</v>
      </c>
      <c r="B8203" s="5" t="s">
        <v>8711</v>
      </c>
      <c r="C8203" s="5" t="s">
        <v>21</v>
      </c>
      <c r="K8203" s="5">
        <v>90.0</v>
      </c>
      <c r="N8203" s="9">
        <v>44280.0</v>
      </c>
    </row>
    <row r="8204">
      <c r="A8204" s="5">
        <v>8203.0</v>
      </c>
      <c r="B8204" s="5" t="s">
        <v>8712</v>
      </c>
      <c r="C8204" s="5" t="s">
        <v>21</v>
      </c>
      <c r="K8204" s="5">
        <v>1000.0</v>
      </c>
      <c r="N8204" s="9">
        <v>44952.0</v>
      </c>
    </row>
    <row r="8205">
      <c r="A8205" s="5">
        <v>8204.0</v>
      </c>
      <c r="B8205" s="5" t="s">
        <v>8713</v>
      </c>
      <c r="C8205" s="5" t="s">
        <v>21</v>
      </c>
      <c r="K8205" s="5">
        <v>250.0</v>
      </c>
      <c r="N8205" s="9">
        <v>44580.0</v>
      </c>
    </row>
    <row r="8206">
      <c r="A8206" s="5">
        <v>8205.0</v>
      </c>
      <c r="B8206" s="5" t="s">
        <v>8714</v>
      </c>
      <c r="C8206" s="5" t="s">
        <v>21</v>
      </c>
      <c r="K8206" s="5">
        <v>250.0</v>
      </c>
      <c r="N8206" s="9">
        <v>44737.0</v>
      </c>
    </row>
    <row r="8207">
      <c r="A8207" s="5">
        <v>8206.0</v>
      </c>
      <c r="B8207" s="5" t="s">
        <v>8715</v>
      </c>
      <c r="C8207" s="5" t="s">
        <v>21</v>
      </c>
      <c r="K8207" s="5">
        <v>150.0</v>
      </c>
      <c r="N8207" s="9">
        <v>45041.0</v>
      </c>
    </row>
    <row r="8208">
      <c r="A8208" s="5">
        <v>8207.0</v>
      </c>
      <c r="B8208" s="5" t="s">
        <v>8716</v>
      </c>
      <c r="C8208" s="5" t="s">
        <v>21</v>
      </c>
      <c r="K8208" s="5">
        <v>200.0</v>
      </c>
      <c r="N8208" s="9">
        <v>44439.0</v>
      </c>
    </row>
    <row r="8209">
      <c r="A8209" s="5">
        <v>8208.0</v>
      </c>
      <c r="B8209" s="5" t="s">
        <v>8717</v>
      </c>
      <c r="C8209" s="5" t="s">
        <v>21</v>
      </c>
      <c r="K8209" s="5">
        <v>600.0</v>
      </c>
      <c r="N8209" s="9">
        <v>45634.0</v>
      </c>
    </row>
    <row r="8210">
      <c r="A8210" s="5">
        <v>8209.0</v>
      </c>
      <c r="B8210" s="5" t="s">
        <v>8718</v>
      </c>
      <c r="C8210" s="5" t="s">
        <v>21</v>
      </c>
      <c r="K8210" s="5">
        <v>350.0</v>
      </c>
      <c r="N8210" s="9">
        <v>44173.0</v>
      </c>
    </row>
    <row r="8211">
      <c r="A8211" s="5">
        <v>8210.0</v>
      </c>
      <c r="B8211" s="5" t="s">
        <v>8719</v>
      </c>
      <c r="C8211" s="5" t="s">
        <v>21</v>
      </c>
      <c r="K8211" s="5">
        <v>200.0</v>
      </c>
      <c r="N8211" s="9">
        <v>44561.0</v>
      </c>
    </row>
    <row r="8212">
      <c r="A8212" s="5">
        <v>8211.0</v>
      </c>
      <c r="B8212" s="5" t="s">
        <v>8720</v>
      </c>
      <c r="C8212" s="5" t="s">
        <v>21</v>
      </c>
      <c r="K8212" s="5">
        <v>1000.0</v>
      </c>
      <c r="N8212" s="9">
        <v>44441.0</v>
      </c>
    </row>
    <row r="8213">
      <c r="A8213" s="5">
        <v>8212.0</v>
      </c>
      <c r="B8213" s="5" t="s">
        <v>297</v>
      </c>
      <c r="C8213" s="5" t="s">
        <v>21</v>
      </c>
      <c r="K8213" s="5">
        <v>1200.0</v>
      </c>
      <c r="N8213" s="9">
        <v>44450.0</v>
      </c>
    </row>
    <row r="8214">
      <c r="A8214" s="5">
        <v>8213.0</v>
      </c>
      <c r="B8214" s="5" t="s">
        <v>8721</v>
      </c>
      <c r="C8214" s="5" t="s">
        <v>21</v>
      </c>
      <c r="K8214" s="5">
        <v>1100.0</v>
      </c>
      <c r="N8214" s="9">
        <v>43915.0</v>
      </c>
    </row>
    <row r="8215">
      <c r="A8215" s="5">
        <v>8214.0</v>
      </c>
      <c r="B8215" s="5" t="s">
        <v>8722</v>
      </c>
      <c r="C8215" s="5" t="s">
        <v>21</v>
      </c>
      <c r="K8215" s="5">
        <v>2300.0</v>
      </c>
      <c r="N8215" s="9">
        <v>44034.0</v>
      </c>
    </row>
    <row r="8216">
      <c r="A8216" s="5">
        <v>8215.0</v>
      </c>
      <c r="B8216" s="5" t="s">
        <v>8723</v>
      </c>
      <c r="C8216" s="5" t="s">
        <v>21</v>
      </c>
      <c r="K8216" s="5">
        <v>60.0</v>
      </c>
      <c r="N8216" s="9">
        <v>44409.0</v>
      </c>
    </row>
    <row r="8217">
      <c r="A8217" s="5">
        <v>8216.0</v>
      </c>
      <c r="B8217" s="5" t="s">
        <v>8724</v>
      </c>
      <c r="C8217" s="5" t="s">
        <v>21</v>
      </c>
      <c r="K8217" s="5">
        <v>1000.0</v>
      </c>
      <c r="N8217" s="9">
        <v>44103.0</v>
      </c>
    </row>
    <row r="8218">
      <c r="A8218" s="5">
        <v>8217.0</v>
      </c>
      <c r="B8218" s="5" t="s">
        <v>8725</v>
      </c>
      <c r="C8218" s="5" t="s">
        <v>21</v>
      </c>
      <c r="K8218" s="5">
        <v>400.0</v>
      </c>
      <c r="N8218" s="9">
        <v>44657.0</v>
      </c>
    </row>
    <row r="8219">
      <c r="A8219" s="5">
        <v>8218.0</v>
      </c>
      <c r="B8219" s="5" t="s">
        <v>8726</v>
      </c>
      <c r="C8219" s="5" t="s">
        <v>21</v>
      </c>
      <c r="K8219" s="5">
        <v>1500.0</v>
      </c>
      <c r="N8219" s="9">
        <v>45385.0</v>
      </c>
    </row>
    <row r="8220">
      <c r="A8220" s="5">
        <v>8219.0</v>
      </c>
      <c r="B8220" s="5" t="s">
        <v>8727</v>
      </c>
      <c r="C8220" s="5" t="s">
        <v>21</v>
      </c>
      <c r="K8220" s="5">
        <v>700.0</v>
      </c>
      <c r="N8220" s="9">
        <v>44005.0</v>
      </c>
    </row>
    <row r="8221">
      <c r="A8221" s="5">
        <v>8220.0</v>
      </c>
      <c r="B8221" s="5" t="s">
        <v>8728</v>
      </c>
      <c r="C8221" s="5" t="s">
        <v>21</v>
      </c>
      <c r="K8221" s="5">
        <v>400.0</v>
      </c>
      <c r="N8221" s="9">
        <v>45783.0</v>
      </c>
    </row>
    <row r="8222">
      <c r="A8222" s="5">
        <v>8221.0</v>
      </c>
      <c r="B8222" s="5" t="s">
        <v>8729</v>
      </c>
      <c r="C8222" s="5" t="s">
        <v>21</v>
      </c>
      <c r="K8222" s="5">
        <v>300.0</v>
      </c>
      <c r="N8222" s="9">
        <v>45118.0</v>
      </c>
    </row>
    <row r="8223">
      <c r="A8223" s="5">
        <v>8222.0</v>
      </c>
      <c r="B8223" s="5" t="s">
        <v>8730</v>
      </c>
      <c r="C8223" s="5" t="s">
        <v>21</v>
      </c>
      <c r="K8223" s="5">
        <v>700.0</v>
      </c>
      <c r="N8223" s="9">
        <v>44980.0</v>
      </c>
    </row>
    <row r="8224">
      <c r="A8224" s="5">
        <v>8223.0</v>
      </c>
      <c r="B8224" s="5" t="s">
        <v>8731</v>
      </c>
      <c r="C8224" s="5" t="s">
        <v>21</v>
      </c>
      <c r="K8224" s="5">
        <v>300.0</v>
      </c>
      <c r="N8224" s="9">
        <v>44374.0</v>
      </c>
    </row>
    <row r="8225">
      <c r="A8225" s="5">
        <v>8224.0</v>
      </c>
      <c r="B8225" s="5" t="s">
        <v>8732</v>
      </c>
      <c r="C8225" s="5" t="s">
        <v>21</v>
      </c>
      <c r="K8225" s="5">
        <v>150.0</v>
      </c>
      <c r="N8225" s="9">
        <v>45050.0</v>
      </c>
    </row>
    <row r="8226">
      <c r="A8226" s="5">
        <v>8225.0</v>
      </c>
      <c r="B8226" s="5" t="s">
        <v>8733</v>
      </c>
      <c r="C8226" s="5" t="s">
        <v>21</v>
      </c>
      <c r="K8226" s="5">
        <v>150.0</v>
      </c>
      <c r="N8226" s="9">
        <v>44541.0</v>
      </c>
    </row>
    <row r="8227">
      <c r="A8227" s="5">
        <v>8226.0</v>
      </c>
      <c r="B8227" s="5" t="s">
        <v>8734</v>
      </c>
      <c r="C8227" s="5" t="s">
        <v>21</v>
      </c>
      <c r="K8227" s="5">
        <v>10.0</v>
      </c>
      <c r="N8227" s="9">
        <v>45085.0</v>
      </c>
    </row>
    <row r="8228">
      <c r="A8228" s="5">
        <v>8227.0</v>
      </c>
      <c r="B8228" s="5" t="s">
        <v>8735</v>
      </c>
      <c r="C8228" s="5" t="s">
        <v>21</v>
      </c>
      <c r="K8228" s="5">
        <v>250.0</v>
      </c>
      <c r="N8228" s="9">
        <v>44412.0</v>
      </c>
    </row>
    <row r="8229">
      <c r="A8229" s="5">
        <v>8228.0</v>
      </c>
      <c r="B8229" s="5" t="s">
        <v>8736</v>
      </c>
      <c r="C8229" s="5" t="s">
        <v>21</v>
      </c>
      <c r="K8229" s="5">
        <v>400.0</v>
      </c>
      <c r="N8229" s="9">
        <v>44901.0</v>
      </c>
    </row>
    <row r="8230">
      <c r="A8230" s="5">
        <v>8229.0</v>
      </c>
      <c r="B8230" s="5" t="s">
        <v>8737</v>
      </c>
      <c r="C8230" s="5" t="s">
        <v>21</v>
      </c>
      <c r="K8230" s="5">
        <v>300.0</v>
      </c>
      <c r="N8230" s="9">
        <v>44372.0</v>
      </c>
    </row>
    <row r="8231">
      <c r="A8231" s="5">
        <v>8230.0</v>
      </c>
      <c r="B8231" s="5" t="s">
        <v>8738</v>
      </c>
      <c r="C8231" s="5" t="s">
        <v>21</v>
      </c>
      <c r="K8231" s="5">
        <v>70.0</v>
      </c>
      <c r="N8231" s="9">
        <v>44217.0</v>
      </c>
    </row>
    <row r="8232">
      <c r="A8232" s="5">
        <v>8231.0</v>
      </c>
      <c r="B8232" s="5" t="s">
        <v>8739</v>
      </c>
      <c r="C8232" s="5" t="s">
        <v>21</v>
      </c>
      <c r="K8232" s="5">
        <v>900.0</v>
      </c>
      <c r="N8232" s="9">
        <v>44645.0</v>
      </c>
    </row>
    <row r="8233">
      <c r="A8233" s="5">
        <v>8232.0</v>
      </c>
      <c r="B8233" s="5" t="s">
        <v>8740</v>
      </c>
      <c r="C8233" s="5" t="s">
        <v>21</v>
      </c>
      <c r="K8233" s="5">
        <v>150.0</v>
      </c>
      <c r="N8233" s="9">
        <v>44965.0</v>
      </c>
    </row>
    <row r="8234">
      <c r="A8234" s="5">
        <v>8233.0</v>
      </c>
      <c r="B8234" s="5" t="s">
        <v>8741</v>
      </c>
      <c r="C8234" s="5" t="s">
        <v>21</v>
      </c>
      <c r="K8234" s="5">
        <v>500.0</v>
      </c>
      <c r="N8234" s="9">
        <v>45582.0</v>
      </c>
    </row>
    <row r="8235">
      <c r="A8235" s="5">
        <v>8234.0</v>
      </c>
      <c r="B8235" s="5" t="s">
        <v>8742</v>
      </c>
      <c r="C8235" s="5" t="s">
        <v>21</v>
      </c>
      <c r="K8235" s="5">
        <v>300.0</v>
      </c>
      <c r="N8235" s="9">
        <v>44535.0</v>
      </c>
    </row>
    <row r="8236">
      <c r="A8236" s="5">
        <v>8235.0</v>
      </c>
      <c r="B8236" s="5" t="s">
        <v>8743</v>
      </c>
      <c r="C8236" s="5" t="s">
        <v>21</v>
      </c>
      <c r="K8236" s="5">
        <v>60.0</v>
      </c>
      <c r="N8236" s="9">
        <v>44564.0</v>
      </c>
    </row>
    <row r="8237">
      <c r="A8237" s="5">
        <v>8236.0</v>
      </c>
      <c r="B8237" s="5" t="s">
        <v>8744</v>
      </c>
      <c r="C8237" s="5" t="s">
        <v>21</v>
      </c>
      <c r="K8237" s="5">
        <v>250.0</v>
      </c>
      <c r="N8237" s="9">
        <v>44892.0</v>
      </c>
    </row>
    <row r="8238">
      <c r="A8238" s="5">
        <v>8237.0</v>
      </c>
      <c r="B8238" s="5" t="s">
        <v>8745</v>
      </c>
      <c r="C8238" s="5" t="s">
        <v>21</v>
      </c>
      <c r="K8238" s="5">
        <v>2300.0</v>
      </c>
      <c r="N8238" s="9">
        <v>44119.0</v>
      </c>
    </row>
    <row r="8239">
      <c r="A8239" s="5">
        <v>8238.0</v>
      </c>
      <c r="B8239" s="5" t="s">
        <v>8746</v>
      </c>
      <c r="C8239" s="5" t="s">
        <v>21</v>
      </c>
      <c r="K8239" s="5">
        <v>100.0</v>
      </c>
      <c r="N8239" s="9">
        <v>44582.0</v>
      </c>
    </row>
    <row r="8240">
      <c r="A8240" s="5">
        <v>8239.0</v>
      </c>
      <c r="B8240" s="5" t="s">
        <v>8747</v>
      </c>
      <c r="C8240" s="5" t="s">
        <v>21</v>
      </c>
      <c r="K8240" s="5">
        <v>4700.0</v>
      </c>
      <c r="N8240" s="9">
        <v>45088.0</v>
      </c>
    </row>
    <row r="8241">
      <c r="A8241" s="5">
        <v>8240.0</v>
      </c>
      <c r="B8241" s="5" t="s">
        <v>8748</v>
      </c>
      <c r="C8241" s="5" t="s">
        <v>21</v>
      </c>
      <c r="K8241" s="5">
        <v>6200.0</v>
      </c>
      <c r="N8241" s="9">
        <v>43952.0</v>
      </c>
    </row>
    <row r="8242">
      <c r="A8242" s="5">
        <v>8241.0</v>
      </c>
      <c r="B8242" s="5" t="s">
        <v>8749</v>
      </c>
      <c r="C8242" s="5" t="s">
        <v>21</v>
      </c>
      <c r="K8242" s="5">
        <v>1000.0</v>
      </c>
      <c r="N8242" s="9">
        <v>44621.0</v>
      </c>
    </row>
    <row r="8243">
      <c r="A8243" s="5">
        <v>8242.0</v>
      </c>
      <c r="B8243" s="5" t="s">
        <v>8750</v>
      </c>
      <c r="C8243" s="5" t="s">
        <v>21</v>
      </c>
      <c r="K8243" s="5">
        <v>300.0</v>
      </c>
      <c r="N8243" s="9">
        <v>45282.0</v>
      </c>
    </row>
    <row r="8244">
      <c r="A8244" s="5">
        <v>8243.0</v>
      </c>
      <c r="B8244" s="5" t="s">
        <v>8751</v>
      </c>
      <c r="C8244" s="5" t="s">
        <v>21</v>
      </c>
      <c r="K8244" s="5">
        <v>100.0</v>
      </c>
      <c r="N8244" s="9">
        <v>44597.0</v>
      </c>
    </row>
    <row r="8245">
      <c r="A8245" s="5">
        <v>8244.0</v>
      </c>
      <c r="B8245" s="5" t="s">
        <v>8752</v>
      </c>
      <c r="C8245" s="5" t="s">
        <v>21</v>
      </c>
      <c r="K8245" s="5">
        <v>600.0</v>
      </c>
      <c r="N8245" s="9">
        <v>45257.0</v>
      </c>
    </row>
    <row r="8246">
      <c r="A8246" s="5">
        <v>8245.0</v>
      </c>
      <c r="B8246" s="5" t="s">
        <v>8753</v>
      </c>
      <c r="C8246" s="5" t="s">
        <v>21</v>
      </c>
      <c r="K8246" s="5">
        <v>250.0</v>
      </c>
      <c r="N8246" s="9">
        <v>45011.0</v>
      </c>
    </row>
    <row r="8247">
      <c r="A8247" s="5">
        <v>8246.0</v>
      </c>
      <c r="B8247" s="5" t="s">
        <v>8754</v>
      </c>
      <c r="C8247" s="5" t="s">
        <v>21</v>
      </c>
      <c r="K8247" s="5">
        <v>80.0</v>
      </c>
      <c r="N8247" s="9">
        <v>44640.0</v>
      </c>
    </row>
    <row r="8248">
      <c r="A8248" s="5">
        <v>8247.0</v>
      </c>
      <c r="B8248" s="5" t="s">
        <v>8755</v>
      </c>
      <c r="C8248" s="5" t="s">
        <v>21</v>
      </c>
      <c r="K8248" s="5">
        <v>10.0</v>
      </c>
      <c r="N8248" s="9">
        <v>44380.0</v>
      </c>
    </row>
    <row r="8249">
      <c r="A8249" s="5">
        <v>8248.0</v>
      </c>
      <c r="B8249" s="5" t="s">
        <v>8756</v>
      </c>
      <c r="C8249" s="5" t="s">
        <v>21</v>
      </c>
      <c r="K8249" s="5">
        <v>2200.0</v>
      </c>
      <c r="N8249" s="9">
        <v>43944.0</v>
      </c>
    </row>
    <row r="8250">
      <c r="A8250" s="5">
        <v>8249.0</v>
      </c>
      <c r="B8250" s="5" t="s">
        <v>8757</v>
      </c>
      <c r="C8250" s="5" t="s">
        <v>21</v>
      </c>
      <c r="K8250" s="5">
        <v>500.0</v>
      </c>
      <c r="N8250" s="9">
        <v>44346.0</v>
      </c>
    </row>
    <row r="8251">
      <c r="A8251" s="5">
        <v>8250.0</v>
      </c>
      <c r="B8251" s="5" t="s">
        <v>8758</v>
      </c>
      <c r="C8251" s="5" t="s">
        <v>21</v>
      </c>
      <c r="K8251" s="5">
        <v>150.0</v>
      </c>
      <c r="N8251" s="9">
        <v>44849.0</v>
      </c>
    </row>
    <row r="8252">
      <c r="A8252" s="5">
        <v>8251.0</v>
      </c>
      <c r="B8252" s="5" t="s">
        <v>8759</v>
      </c>
      <c r="C8252" s="5" t="s">
        <v>21</v>
      </c>
      <c r="K8252" s="5">
        <v>600.0</v>
      </c>
      <c r="N8252" s="9">
        <v>44755.0</v>
      </c>
    </row>
    <row r="8253">
      <c r="A8253" s="5">
        <v>8252.0</v>
      </c>
      <c r="B8253" s="5" t="s">
        <v>8760</v>
      </c>
      <c r="C8253" s="5" t="s">
        <v>21</v>
      </c>
      <c r="K8253" s="5">
        <v>150.0</v>
      </c>
      <c r="N8253" s="9">
        <v>44258.0</v>
      </c>
    </row>
    <row r="8254">
      <c r="A8254" s="5">
        <v>8253.0</v>
      </c>
      <c r="B8254" s="5" t="s">
        <v>8761</v>
      </c>
      <c r="C8254" s="5" t="s">
        <v>21</v>
      </c>
      <c r="K8254" s="5">
        <v>40.0</v>
      </c>
      <c r="N8254" s="9">
        <v>44526.0</v>
      </c>
    </row>
    <row r="8255">
      <c r="A8255" s="5">
        <v>8254.0</v>
      </c>
      <c r="B8255" s="5" t="s">
        <v>8762</v>
      </c>
      <c r="C8255" s="5" t="s">
        <v>21</v>
      </c>
      <c r="K8255" s="5">
        <v>300.0</v>
      </c>
      <c r="N8255" s="9">
        <v>45100.0</v>
      </c>
    </row>
    <row r="8256">
      <c r="A8256" s="5">
        <v>8255.0</v>
      </c>
      <c r="B8256" s="5" t="s">
        <v>8763</v>
      </c>
      <c r="C8256" s="5" t="s">
        <v>21</v>
      </c>
      <c r="K8256" s="5">
        <v>500.0</v>
      </c>
      <c r="N8256" s="9">
        <v>44212.0</v>
      </c>
    </row>
    <row r="8257">
      <c r="A8257" s="5">
        <v>8256.0</v>
      </c>
      <c r="B8257" s="5" t="s">
        <v>8764</v>
      </c>
      <c r="C8257" s="5" t="s">
        <v>21</v>
      </c>
      <c r="K8257" s="5">
        <v>10.0</v>
      </c>
      <c r="N8257" s="9">
        <v>44575.0</v>
      </c>
    </row>
    <row r="8258">
      <c r="A8258" s="5">
        <v>8257.0</v>
      </c>
      <c r="B8258" s="5" t="s">
        <v>8765</v>
      </c>
      <c r="C8258" s="5" t="s">
        <v>21</v>
      </c>
      <c r="K8258" s="5">
        <v>20.0</v>
      </c>
      <c r="N8258" s="9">
        <v>44055.0</v>
      </c>
    </row>
    <row r="8259">
      <c r="A8259" s="5">
        <v>8258.0</v>
      </c>
      <c r="B8259" s="5" t="s">
        <v>8766</v>
      </c>
      <c r="C8259" s="5" t="s">
        <v>21</v>
      </c>
      <c r="K8259" s="5">
        <v>300.0</v>
      </c>
      <c r="N8259" s="9">
        <v>44342.0</v>
      </c>
    </row>
    <row r="8260">
      <c r="A8260" s="5">
        <v>8259.0</v>
      </c>
      <c r="B8260" s="5" t="s">
        <v>8767</v>
      </c>
      <c r="C8260" s="5" t="s">
        <v>21</v>
      </c>
      <c r="K8260" s="5">
        <v>8200.0</v>
      </c>
      <c r="N8260" s="9">
        <v>43869.0</v>
      </c>
    </row>
    <row r="8261">
      <c r="A8261" s="5">
        <v>8260.0</v>
      </c>
      <c r="B8261" s="5" t="s">
        <v>8768</v>
      </c>
      <c r="C8261" s="5" t="s">
        <v>21</v>
      </c>
      <c r="K8261" s="5">
        <v>500.0</v>
      </c>
      <c r="N8261" s="9">
        <v>44726.0</v>
      </c>
    </row>
    <row r="8262">
      <c r="A8262" s="5">
        <v>8261.0</v>
      </c>
      <c r="B8262" s="5" t="s">
        <v>8769</v>
      </c>
      <c r="C8262" s="5" t="s">
        <v>21</v>
      </c>
      <c r="N8262" s="9">
        <v>44754.0</v>
      </c>
    </row>
    <row r="8263">
      <c r="A8263" s="5">
        <v>8262.0</v>
      </c>
      <c r="B8263" s="5" t="s">
        <v>8770</v>
      </c>
      <c r="C8263" s="5" t="s">
        <v>21</v>
      </c>
      <c r="K8263" s="5">
        <v>1300.0</v>
      </c>
      <c r="N8263" s="9">
        <v>44347.0</v>
      </c>
    </row>
    <row r="8264">
      <c r="A8264" s="5">
        <v>8263.0</v>
      </c>
      <c r="B8264" s="5" t="s">
        <v>8771</v>
      </c>
      <c r="C8264" s="5" t="s">
        <v>21</v>
      </c>
      <c r="K8264" s="5">
        <v>1600.0</v>
      </c>
      <c r="N8264" s="9">
        <v>44047.0</v>
      </c>
    </row>
    <row r="8265">
      <c r="A8265" s="5">
        <v>8264.0</v>
      </c>
      <c r="B8265" s="5" t="s">
        <v>8772</v>
      </c>
      <c r="C8265" s="5" t="s">
        <v>21</v>
      </c>
      <c r="K8265" s="5">
        <v>450.0</v>
      </c>
      <c r="N8265" s="9">
        <v>45507.0</v>
      </c>
    </row>
    <row r="8266">
      <c r="A8266" s="5">
        <v>8265.0</v>
      </c>
      <c r="B8266" s="5" t="s">
        <v>8773</v>
      </c>
      <c r="C8266" s="5" t="s">
        <v>21</v>
      </c>
      <c r="K8266" s="5">
        <v>60.0</v>
      </c>
      <c r="N8266" s="9">
        <v>44591.0</v>
      </c>
    </row>
    <row r="8267">
      <c r="A8267" s="5">
        <v>8266.0</v>
      </c>
      <c r="B8267" s="5" t="s">
        <v>8774</v>
      </c>
      <c r="C8267" s="5" t="s">
        <v>21</v>
      </c>
      <c r="K8267" s="5">
        <v>350.0</v>
      </c>
      <c r="N8267" s="9">
        <v>44538.0</v>
      </c>
    </row>
    <row r="8268">
      <c r="A8268" s="5">
        <v>8267.0</v>
      </c>
      <c r="B8268" s="5" t="s">
        <v>8775</v>
      </c>
      <c r="C8268" s="5" t="s">
        <v>21</v>
      </c>
      <c r="K8268" s="5">
        <v>450.0</v>
      </c>
      <c r="N8268" s="9">
        <v>44529.0</v>
      </c>
    </row>
    <row r="8269">
      <c r="A8269" s="5">
        <v>8268.0</v>
      </c>
      <c r="B8269" s="5" t="s">
        <v>8776</v>
      </c>
      <c r="C8269" s="5" t="s">
        <v>21</v>
      </c>
      <c r="K8269" s="5">
        <v>250.0</v>
      </c>
      <c r="N8269" s="9">
        <v>44965.0</v>
      </c>
    </row>
    <row r="8270">
      <c r="A8270" s="5">
        <v>8269.0</v>
      </c>
      <c r="B8270" s="5" t="s">
        <v>8777</v>
      </c>
      <c r="C8270" s="5" t="s">
        <v>21</v>
      </c>
      <c r="K8270" s="5">
        <v>100.0</v>
      </c>
      <c r="N8270" s="9">
        <v>45541.0</v>
      </c>
    </row>
    <row r="8271">
      <c r="A8271" s="5">
        <v>8270.0</v>
      </c>
      <c r="B8271" s="5" t="s">
        <v>8778</v>
      </c>
      <c r="C8271" s="5" t="s">
        <v>21</v>
      </c>
      <c r="K8271" s="5">
        <v>150.0</v>
      </c>
      <c r="N8271" s="9">
        <v>44296.0</v>
      </c>
    </row>
    <row r="8272">
      <c r="A8272" s="5">
        <v>8271.0</v>
      </c>
      <c r="B8272" s="5" t="s">
        <v>8779</v>
      </c>
      <c r="C8272" s="5" t="s">
        <v>21</v>
      </c>
      <c r="K8272" s="5">
        <v>1800.0</v>
      </c>
      <c r="N8272" s="9">
        <v>43882.0</v>
      </c>
    </row>
    <row r="8273">
      <c r="A8273" s="5">
        <v>8272.0</v>
      </c>
      <c r="B8273" s="5" t="s">
        <v>8780</v>
      </c>
      <c r="C8273" s="5" t="s">
        <v>21</v>
      </c>
      <c r="K8273" s="5">
        <v>700.0</v>
      </c>
      <c r="N8273" s="9">
        <v>44515.0</v>
      </c>
    </row>
    <row r="8274">
      <c r="A8274" s="5">
        <v>8273.0</v>
      </c>
      <c r="B8274" s="5" t="s">
        <v>8781</v>
      </c>
      <c r="C8274" s="5" t="s">
        <v>21</v>
      </c>
      <c r="K8274" s="5">
        <v>60.0</v>
      </c>
      <c r="N8274" s="9">
        <v>43880.0</v>
      </c>
    </row>
    <row r="8275">
      <c r="A8275" s="5">
        <v>8274.0</v>
      </c>
      <c r="B8275" s="5" t="s">
        <v>8782</v>
      </c>
      <c r="C8275" s="5" t="s">
        <v>21</v>
      </c>
      <c r="K8275" s="5">
        <v>800.0</v>
      </c>
      <c r="N8275" s="9">
        <v>44612.0</v>
      </c>
    </row>
    <row r="8276">
      <c r="A8276" s="5">
        <v>8275.0</v>
      </c>
      <c r="B8276" s="5" t="s">
        <v>8783</v>
      </c>
      <c r="C8276" s="5" t="s">
        <v>21</v>
      </c>
      <c r="K8276" s="5">
        <v>50.0</v>
      </c>
      <c r="N8276" s="9">
        <v>44944.0</v>
      </c>
    </row>
    <row r="8277">
      <c r="A8277" s="5">
        <v>8276.0</v>
      </c>
      <c r="B8277" s="5" t="s">
        <v>8784</v>
      </c>
      <c r="C8277" s="5" t="s">
        <v>21</v>
      </c>
      <c r="K8277" s="5">
        <v>900.0</v>
      </c>
      <c r="N8277" s="9">
        <v>44575.0</v>
      </c>
    </row>
    <row r="8278">
      <c r="A8278" s="5">
        <v>8277.0</v>
      </c>
      <c r="B8278" s="5" t="s">
        <v>8785</v>
      </c>
      <c r="C8278" s="5" t="s">
        <v>21</v>
      </c>
      <c r="K8278" s="5">
        <v>1400.0</v>
      </c>
      <c r="N8278" s="9">
        <v>44036.0</v>
      </c>
    </row>
    <row r="8279">
      <c r="A8279" s="5">
        <v>8278.0</v>
      </c>
      <c r="B8279" s="5" t="s">
        <v>8786</v>
      </c>
      <c r="C8279" s="5" t="s">
        <v>21</v>
      </c>
      <c r="K8279" s="5">
        <v>1100.0</v>
      </c>
      <c r="N8279" s="9">
        <v>44704.0</v>
      </c>
    </row>
    <row r="8280">
      <c r="A8280" s="5">
        <v>8279.0</v>
      </c>
      <c r="B8280" s="5" t="s">
        <v>8787</v>
      </c>
      <c r="C8280" s="5" t="s">
        <v>21</v>
      </c>
      <c r="K8280" s="5">
        <v>400.0</v>
      </c>
      <c r="N8280" s="9">
        <v>44150.0</v>
      </c>
    </row>
    <row r="8281">
      <c r="A8281" s="5">
        <v>8280.0</v>
      </c>
      <c r="B8281" s="5" t="s">
        <v>8788</v>
      </c>
      <c r="C8281" s="5" t="s">
        <v>21</v>
      </c>
      <c r="K8281" s="5">
        <v>500.0</v>
      </c>
      <c r="N8281" s="9">
        <v>44028.0</v>
      </c>
    </row>
    <row r="8282">
      <c r="A8282" s="5">
        <v>8281.0</v>
      </c>
      <c r="B8282" s="5" t="s">
        <v>8789</v>
      </c>
      <c r="C8282" s="5" t="s">
        <v>21</v>
      </c>
      <c r="K8282" s="5">
        <v>150.0</v>
      </c>
      <c r="N8282" s="9">
        <v>45253.0</v>
      </c>
    </row>
    <row r="8283">
      <c r="A8283" s="5">
        <v>8282.0</v>
      </c>
      <c r="B8283" s="5" t="s">
        <v>8790</v>
      </c>
      <c r="C8283" s="5" t="s">
        <v>21</v>
      </c>
      <c r="K8283" s="5">
        <v>2000.0</v>
      </c>
      <c r="N8283" s="9">
        <v>44521.0</v>
      </c>
    </row>
    <row r="8284">
      <c r="A8284" s="5">
        <v>8283.0</v>
      </c>
      <c r="B8284" s="5" t="s">
        <v>8791</v>
      </c>
      <c r="C8284" s="5" t="s">
        <v>21</v>
      </c>
      <c r="K8284" s="5">
        <v>1600.0</v>
      </c>
      <c r="N8284" s="9">
        <v>44636.0</v>
      </c>
    </row>
    <row r="8285">
      <c r="A8285" s="5">
        <v>8284.0</v>
      </c>
      <c r="B8285" s="5" t="s">
        <v>8792</v>
      </c>
      <c r="C8285" s="5" t="s">
        <v>21</v>
      </c>
      <c r="K8285" s="5">
        <v>500.0</v>
      </c>
      <c r="N8285" s="9">
        <v>45140.0</v>
      </c>
    </row>
    <row r="8286">
      <c r="A8286" s="5">
        <v>8285.0</v>
      </c>
      <c r="B8286" s="5" t="s">
        <v>8793</v>
      </c>
      <c r="C8286" s="5" t="s">
        <v>21</v>
      </c>
      <c r="K8286" s="5">
        <v>2000.0</v>
      </c>
      <c r="N8286" s="9">
        <v>44542.0</v>
      </c>
    </row>
    <row r="8287">
      <c r="A8287" s="5">
        <v>8286.0</v>
      </c>
      <c r="B8287" s="5" t="s">
        <v>8794</v>
      </c>
      <c r="C8287" s="5" t="s">
        <v>21</v>
      </c>
      <c r="K8287" s="5">
        <v>1000.0</v>
      </c>
      <c r="N8287" s="9">
        <v>43921.0</v>
      </c>
    </row>
    <row r="8288">
      <c r="A8288" s="5">
        <v>8287.0</v>
      </c>
      <c r="B8288" s="5" t="s">
        <v>8795</v>
      </c>
      <c r="C8288" s="5" t="s">
        <v>21</v>
      </c>
      <c r="K8288" s="5">
        <v>500.0</v>
      </c>
      <c r="N8288" s="9">
        <v>43891.0</v>
      </c>
    </row>
    <row r="8289">
      <c r="A8289" s="5">
        <v>8288.0</v>
      </c>
      <c r="B8289" s="5" t="s">
        <v>8796</v>
      </c>
      <c r="C8289" s="5" t="s">
        <v>21</v>
      </c>
      <c r="K8289" s="5">
        <v>500.0</v>
      </c>
      <c r="N8289" s="9">
        <v>45112.0</v>
      </c>
    </row>
    <row r="8290">
      <c r="A8290" s="5">
        <v>8289.0</v>
      </c>
      <c r="B8290" s="5" t="s">
        <v>8797</v>
      </c>
      <c r="C8290" s="5" t="s">
        <v>21</v>
      </c>
      <c r="K8290" s="5">
        <v>450.0</v>
      </c>
      <c r="N8290" s="9">
        <v>44287.0</v>
      </c>
    </row>
    <row r="8291">
      <c r="A8291" s="5">
        <v>8290.0</v>
      </c>
      <c r="B8291" s="5" t="s">
        <v>8798</v>
      </c>
      <c r="C8291" s="5" t="s">
        <v>21</v>
      </c>
      <c r="K8291" s="5">
        <v>80.0</v>
      </c>
      <c r="N8291" s="9">
        <v>44942.0</v>
      </c>
    </row>
    <row r="8292">
      <c r="A8292" s="5">
        <v>8291.0</v>
      </c>
      <c r="B8292" s="5" t="s">
        <v>8799</v>
      </c>
      <c r="C8292" s="5" t="s">
        <v>21</v>
      </c>
      <c r="K8292" s="5">
        <v>4000.0</v>
      </c>
      <c r="N8292" s="9">
        <v>45479.0</v>
      </c>
    </row>
    <row r="8293">
      <c r="A8293" s="5">
        <v>8292.0</v>
      </c>
      <c r="B8293" s="5" t="s">
        <v>8800</v>
      </c>
      <c r="C8293" s="5" t="s">
        <v>21</v>
      </c>
      <c r="K8293" s="5">
        <v>700.0</v>
      </c>
      <c r="N8293" s="9">
        <v>44295.0</v>
      </c>
    </row>
    <row r="8294">
      <c r="A8294" s="5">
        <v>8293.0</v>
      </c>
      <c r="B8294" s="5" t="s">
        <v>8801</v>
      </c>
      <c r="C8294" s="5" t="s">
        <v>21</v>
      </c>
      <c r="K8294" s="5">
        <v>350.0</v>
      </c>
      <c r="N8294" s="9">
        <v>44315.0</v>
      </c>
    </row>
    <row r="8295">
      <c r="A8295" s="5">
        <v>8294.0</v>
      </c>
      <c r="B8295" s="5" t="s">
        <v>8802</v>
      </c>
      <c r="C8295" s="5" t="s">
        <v>21</v>
      </c>
      <c r="K8295" s="5">
        <v>250.0</v>
      </c>
      <c r="N8295" s="9">
        <v>44704.0</v>
      </c>
    </row>
    <row r="8296">
      <c r="A8296" s="5">
        <v>8295.0</v>
      </c>
      <c r="B8296" s="5" t="s">
        <v>8803</v>
      </c>
      <c r="C8296" s="5" t="s">
        <v>21</v>
      </c>
      <c r="K8296" s="5">
        <v>150.0</v>
      </c>
      <c r="N8296" s="9">
        <v>44209.0</v>
      </c>
    </row>
    <row r="8297">
      <c r="A8297" s="5">
        <v>8296.0</v>
      </c>
      <c r="B8297" s="5" t="s">
        <v>8804</v>
      </c>
      <c r="C8297" s="5" t="s">
        <v>21</v>
      </c>
      <c r="N8297" s="9">
        <v>44549.0</v>
      </c>
    </row>
    <row r="8298">
      <c r="A8298" s="5">
        <v>8297.0</v>
      </c>
      <c r="B8298" s="5" t="s">
        <v>8805</v>
      </c>
      <c r="C8298" s="5" t="s">
        <v>21</v>
      </c>
      <c r="K8298" s="5">
        <v>400.0</v>
      </c>
      <c r="N8298" s="9">
        <v>44245.0</v>
      </c>
    </row>
    <row r="8299">
      <c r="A8299" s="5">
        <v>8298.0</v>
      </c>
      <c r="B8299" s="5" t="s">
        <v>8806</v>
      </c>
      <c r="C8299" s="5" t="s">
        <v>21</v>
      </c>
      <c r="K8299" s="5">
        <v>200.0</v>
      </c>
      <c r="N8299" s="9">
        <v>44630.0</v>
      </c>
    </row>
    <row r="8300">
      <c r="A8300" s="5">
        <v>8299.0</v>
      </c>
      <c r="B8300" s="5" t="s">
        <v>8807</v>
      </c>
      <c r="C8300" s="5" t="s">
        <v>21</v>
      </c>
      <c r="K8300" s="5">
        <v>100.0</v>
      </c>
      <c r="N8300" s="9">
        <v>45235.0</v>
      </c>
    </row>
    <row r="8301">
      <c r="A8301" s="5">
        <v>8300.0</v>
      </c>
      <c r="B8301" s="5" t="s">
        <v>8808</v>
      </c>
      <c r="C8301" s="5" t="s">
        <v>21</v>
      </c>
      <c r="K8301" s="5">
        <v>90.0</v>
      </c>
      <c r="N8301" s="9">
        <v>44764.0</v>
      </c>
    </row>
    <row r="8302">
      <c r="A8302" s="5">
        <v>8301.0</v>
      </c>
      <c r="B8302" s="5" t="s">
        <v>8809</v>
      </c>
      <c r="C8302" s="5" t="s">
        <v>21</v>
      </c>
      <c r="K8302" s="5">
        <v>300.0</v>
      </c>
      <c r="N8302" s="9">
        <v>44569.0</v>
      </c>
    </row>
    <row r="8303">
      <c r="A8303" s="5">
        <v>8302.0</v>
      </c>
      <c r="B8303" s="5" t="s">
        <v>8810</v>
      </c>
      <c r="C8303" s="5" t="s">
        <v>21</v>
      </c>
      <c r="K8303" s="5">
        <v>600.0</v>
      </c>
      <c r="N8303" s="9">
        <v>44971.0</v>
      </c>
    </row>
    <row r="8304">
      <c r="A8304" s="5">
        <v>8303.0</v>
      </c>
      <c r="B8304" s="5" t="s">
        <v>8811</v>
      </c>
      <c r="C8304" s="5" t="s">
        <v>21</v>
      </c>
      <c r="K8304" s="5">
        <v>50.0</v>
      </c>
      <c r="N8304" s="9">
        <v>44450.0</v>
      </c>
    </row>
    <row r="8305">
      <c r="A8305" s="5">
        <v>8304.0</v>
      </c>
      <c r="B8305" s="5" t="s">
        <v>8812</v>
      </c>
      <c r="C8305" s="5" t="s">
        <v>21</v>
      </c>
      <c r="K8305" s="5">
        <v>1200.0</v>
      </c>
      <c r="N8305" s="9">
        <v>43991.0</v>
      </c>
    </row>
    <row r="8306">
      <c r="A8306" s="5">
        <v>8305.0</v>
      </c>
      <c r="B8306" s="5" t="s">
        <v>8813</v>
      </c>
      <c r="C8306" s="5" t="s">
        <v>21</v>
      </c>
      <c r="K8306" s="5">
        <v>2600.0</v>
      </c>
      <c r="N8306" s="9">
        <v>43896.0</v>
      </c>
    </row>
    <row r="8307">
      <c r="A8307" s="5">
        <v>8306.0</v>
      </c>
      <c r="B8307" s="5" t="s">
        <v>8814</v>
      </c>
      <c r="C8307" s="5" t="s">
        <v>21</v>
      </c>
      <c r="K8307" s="5">
        <v>3800.0</v>
      </c>
      <c r="N8307" s="9">
        <v>44290.0</v>
      </c>
    </row>
    <row r="8308">
      <c r="A8308" s="5">
        <v>8307.0</v>
      </c>
      <c r="B8308" s="5" t="s">
        <v>8815</v>
      </c>
      <c r="C8308" s="5" t="s">
        <v>21</v>
      </c>
      <c r="K8308" s="5">
        <v>150.0</v>
      </c>
      <c r="N8308" s="9">
        <v>44744.0</v>
      </c>
    </row>
    <row r="8309">
      <c r="A8309" s="5">
        <v>8308.0</v>
      </c>
      <c r="B8309" s="5" t="s">
        <v>8816</v>
      </c>
      <c r="C8309" s="5" t="s">
        <v>21</v>
      </c>
      <c r="K8309" s="5">
        <v>350.0</v>
      </c>
      <c r="N8309" s="9">
        <v>45140.0</v>
      </c>
    </row>
    <row r="8310">
      <c r="A8310" s="5">
        <v>8309.0</v>
      </c>
      <c r="B8310" s="5" t="s">
        <v>8817</v>
      </c>
      <c r="C8310" s="5" t="s">
        <v>21</v>
      </c>
      <c r="K8310" s="5">
        <v>4300.0</v>
      </c>
      <c r="N8310" s="9">
        <v>44447.0</v>
      </c>
    </row>
    <row r="8311">
      <c r="A8311" s="5">
        <v>8310.0</v>
      </c>
      <c r="B8311" s="5" t="s">
        <v>8818</v>
      </c>
      <c r="C8311" s="5" t="s">
        <v>21</v>
      </c>
      <c r="K8311" s="5">
        <v>1000.0</v>
      </c>
      <c r="N8311" s="9">
        <v>44479.0</v>
      </c>
    </row>
    <row r="8312">
      <c r="A8312" s="5">
        <v>8311.0</v>
      </c>
      <c r="B8312" s="5" t="s">
        <v>8819</v>
      </c>
      <c r="C8312" s="5" t="s">
        <v>21</v>
      </c>
      <c r="K8312" s="5">
        <v>1100.0</v>
      </c>
      <c r="N8312" s="9">
        <v>43860.0</v>
      </c>
    </row>
    <row r="8313">
      <c r="A8313" s="5">
        <v>8312.0</v>
      </c>
      <c r="B8313" s="5" t="s">
        <v>8820</v>
      </c>
      <c r="C8313" s="5" t="s">
        <v>21</v>
      </c>
      <c r="K8313" s="5">
        <v>20.0</v>
      </c>
      <c r="N8313" s="9">
        <v>44606.0</v>
      </c>
    </row>
    <row r="8314">
      <c r="A8314" s="5">
        <v>8313.0</v>
      </c>
      <c r="B8314" s="5" t="s">
        <v>8821</v>
      </c>
      <c r="C8314" s="5" t="s">
        <v>21</v>
      </c>
      <c r="N8314" s="9">
        <v>44858.0</v>
      </c>
    </row>
    <row r="8315">
      <c r="A8315" s="5">
        <v>8314.0</v>
      </c>
      <c r="B8315" s="5" t="s">
        <v>8822</v>
      </c>
      <c r="C8315" s="5" t="s">
        <v>21</v>
      </c>
      <c r="K8315" s="5">
        <v>250.0</v>
      </c>
      <c r="N8315" s="9">
        <v>44821.0</v>
      </c>
    </row>
    <row r="8316">
      <c r="A8316" s="5">
        <v>8315.0</v>
      </c>
      <c r="B8316" s="5" t="s">
        <v>8823</v>
      </c>
      <c r="C8316" s="5" t="s">
        <v>21</v>
      </c>
      <c r="K8316" s="5">
        <v>300.0</v>
      </c>
      <c r="N8316" s="9">
        <v>45127.0</v>
      </c>
    </row>
    <row r="8317">
      <c r="A8317" s="5">
        <v>8316.0</v>
      </c>
      <c r="B8317" s="5" t="s">
        <v>8824</v>
      </c>
      <c r="C8317" s="5" t="s">
        <v>21</v>
      </c>
      <c r="K8317" s="5">
        <v>60.0</v>
      </c>
      <c r="N8317" s="9">
        <v>44552.0</v>
      </c>
    </row>
    <row r="8318">
      <c r="A8318" s="5">
        <v>8317.0</v>
      </c>
      <c r="B8318" s="5" t="s">
        <v>8825</v>
      </c>
      <c r="C8318" s="5" t="s">
        <v>21</v>
      </c>
      <c r="K8318" s="5">
        <v>200.0</v>
      </c>
      <c r="N8318" s="9">
        <v>44302.0</v>
      </c>
    </row>
    <row r="8319">
      <c r="A8319" s="5">
        <v>8318.0</v>
      </c>
      <c r="B8319" s="5" t="s">
        <v>8826</v>
      </c>
      <c r="C8319" s="5" t="s">
        <v>21</v>
      </c>
      <c r="K8319" s="5">
        <v>80.0</v>
      </c>
      <c r="N8319" s="9">
        <v>44097.0</v>
      </c>
    </row>
    <row r="8320">
      <c r="A8320" s="5">
        <v>8319.0</v>
      </c>
      <c r="B8320" s="5" t="s">
        <v>8827</v>
      </c>
      <c r="C8320" s="5" t="s">
        <v>21</v>
      </c>
      <c r="K8320" s="5">
        <v>250.0</v>
      </c>
      <c r="N8320" s="9">
        <v>44766.0</v>
      </c>
    </row>
    <row r="8321">
      <c r="A8321" s="5">
        <v>8320.0</v>
      </c>
      <c r="B8321" s="5" t="s">
        <v>8828</v>
      </c>
      <c r="C8321" s="5" t="s">
        <v>21</v>
      </c>
      <c r="K8321" s="5">
        <v>500.0</v>
      </c>
      <c r="N8321" s="9">
        <v>44883.0</v>
      </c>
    </row>
    <row r="8322">
      <c r="A8322" s="5">
        <v>8321.0</v>
      </c>
      <c r="B8322" s="5" t="s">
        <v>8829</v>
      </c>
      <c r="C8322" s="5" t="s">
        <v>21</v>
      </c>
      <c r="K8322" s="5">
        <v>150.0</v>
      </c>
      <c r="N8322" s="9">
        <v>44922.0</v>
      </c>
    </row>
    <row r="8323">
      <c r="A8323" s="5">
        <v>8322.0</v>
      </c>
      <c r="B8323" s="5" t="s">
        <v>8830</v>
      </c>
      <c r="C8323" s="5" t="s">
        <v>21</v>
      </c>
      <c r="K8323" s="5">
        <v>2700.0</v>
      </c>
      <c r="N8323" s="9">
        <v>43862.0</v>
      </c>
    </row>
    <row r="8324">
      <c r="A8324" s="5">
        <v>8323.0</v>
      </c>
      <c r="B8324" s="5" t="s">
        <v>300</v>
      </c>
      <c r="C8324" s="5" t="s">
        <v>21</v>
      </c>
      <c r="K8324" s="5">
        <v>450.0</v>
      </c>
      <c r="N8324" s="9">
        <v>45345.0</v>
      </c>
    </row>
    <row r="8325">
      <c r="A8325" s="5">
        <v>8324.0</v>
      </c>
      <c r="B8325" s="5" t="s">
        <v>8831</v>
      </c>
      <c r="C8325" s="5" t="s">
        <v>21</v>
      </c>
      <c r="K8325" s="5">
        <v>22000.0</v>
      </c>
      <c r="N8325" s="9">
        <v>43851.0</v>
      </c>
    </row>
    <row r="8326">
      <c r="A8326" s="5">
        <v>8325.0</v>
      </c>
      <c r="B8326" s="5" t="s">
        <v>8832</v>
      </c>
      <c r="C8326" s="5" t="s">
        <v>21</v>
      </c>
      <c r="K8326" s="5">
        <v>450.0</v>
      </c>
      <c r="N8326" s="9">
        <v>44548.0</v>
      </c>
    </row>
    <row r="8327">
      <c r="A8327" s="5">
        <v>8326.0</v>
      </c>
      <c r="B8327" s="5" t="s">
        <v>8833</v>
      </c>
      <c r="C8327" s="5" t="s">
        <v>21</v>
      </c>
      <c r="K8327" s="5">
        <v>150.0</v>
      </c>
      <c r="N8327" s="9">
        <v>45097.0</v>
      </c>
    </row>
    <row r="8328">
      <c r="A8328" s="5">
        <v>8327.0</v>
      </c>
      <c r="B8328" s="5" t="s">
        <v>8834</v>
      </c>
      <c r="C8328" s="5" t="s">
        <v>21</v>
      </c>
      <c r="K8328" s="5">
        <v>450.0</v>
      </c>
      <c r="N8328" s="9">
        <v>44519.0</v>
      </c>
    </row>
    <row r="8329">
      <c r="A8329" s="5">
        <v>8328.0</v>
      </c>
      <c r="B8329" s="5" t="s">
        <v>8835</v>
      </c>
      <c r="C8329" s="5" t="s">
        <v>21</v>
      </c>
      <c r="K8329" s="5">
        <v>2400.0</v>
      </c>
      <c r="N8329" s="9">
        <v>43882.0</v>
      </c>
    </row>
    <row r="8330">
      <c r="A8330" s="5">
        <v>8329.0</v>
      </c>
      <c r="B8330" s="5" t="s">
        <v>8836</v>
      </c>
      <c r="C8330" s="5" t="s">
        <v>21</v>
      </c>
      <c r="K8330" s="5">
        <v>50.0</v>
      </c>
      <c r="N8330" s="9">
        <v>44659.0</v>
      </c>
    </row>
    <row r="8331">
      <c r="A8331" s="5">
        <v>8330.0</v>
      </c>
      <c r="B8331" s="5" t="s">
        <v>8837</v>
      </c>
      <c r="C8331" s="5" t="s">
        <v>21</v>
      </c>
      <c r="K8331" s="5">
        <v>450.0</v>
      </c>
      <c r="N8331" s="9">
        <v>44531.0</v>
      </c>
    </row>
    <row r="8332">
      <c r="A8332" s="5">
        <v>8331.0</v>
      </c>
      <c r="B8332" s="5" t="s">
        <v>8838</v>
      </c>
      <c r="C8332" s="5" t="s">
        <v>21</v>
      </c>
      <c r="K8332" s="5">
        <v>500.0</v>
      </c>
      <c r="N8332" s="9">
        <v>44549.0</v>
      </c>
    </row>
    <row r="8333">
      <c r="A8333" s="5">
        <v>8332.0</v>
      </c>
      <c r="B8333" s="5" t="s">
        <v>8839</v>
      </c>
      <c r="C8333" s="5" t="s">
        <v>21</v>
      </c>
      <c r="K8333" s="5">
        <v>40.0</v>
      </c>
      <c r="N8333" s="9">
        <v>44341.0</v>
      </c>
    </row>
    <row r="8334">
      <c r="A8334" s="5">
        <v>8333.0</v>
      </c>
      <c r="B8334" s="5" t="s">
        <v>8840</v>
      </c>
      <c r="C8334" s="5" t="s">
        <v>21</v>
      </c>
      <c r="K8334" s="5">
        <v>1000.0</v>
      </c>
      <c r="N8334" s="9">
        <v>43847.0</v>
      </c>
    </row>
    <row r="8335">
      <c r="A8335" s="5">
        <v>8334.0</v>
      </c>
      <c r="B8335" s="5" t="s">
        <v>8841</v>
      </c>
      <c r="C8335" s="5" t="s">
        <v>21</v>
      </c>
      <c r="K8335" s="5">
        <v>1200.0</v>
      </c>
      <c r="N8335" s="9">
        <v>43898.0</v>
      </c>
    </row>
    <row r="8336">
      <c r="A8336" s="5">
        <v>8335.0</v>
      </c>
      <c r="B8336" s="5" t="s">
        <v>8842</v>
      </c>
      <c r="C8336" s="5" t="s">
        <v>21</v>
      </c>
      <c r="N8336" s="9">
        <v>44518.0</v>
      </c>
    </row>
    <row r="8337">
      <c r="A8337" s="5">
        <v>8336.0</v>
      </c>
      <c r="B8337" s="5" t="s">
        <v>8843</v>
      </c>
      <c r="C8337" s="5" t="s">
        <v>21</v>
      </c>
      <c r="K8337" s="5">
        <v>10.0</v>
      </c>
      <c r="N8337" s="9">
        <v>44991.0</v>
      </c>
    </row>
    <row r="8338">
      <c r="A8338" s="5">
        <v>8337.0</v>
      </c>
      <c r="B8338" s="5" t="s">
        <v>275</v>
      </c>
      <c r="C8338" s="5" t="s">
        <v>21</v>
      </c>
      <c r="K8338" s="5">
        <v>90.0</v>
      </c>
      <c r="N8338" s="9">
        <v>44582.0</v>
      </c>
    </row>
    <row r="8339">
      <c r="A8339" s="5">
        <v>8338.0</v>
      </c>
      <c r="B8339" s="5" t="s">
        <v>8844</v>
      </c>
      <c r="C8339" s="5" t="s">
        <v>21</v>
      </c>
      <c r="K8339" s="5">
        <v>200.0</v>
      </c>
      <c r="N8339" s="9">
        <v>44540.0</v>
      </c>
    </row>
    <row r="8340">
      <c r="A8340" s="5">
        <v>8339.0</v>
      </c>
      <c r="B8340" s="5" t="s">
        <v>8845</v>
      </c>
      <c r="C8340" s="5" t="s">
        <v>21</v>
      </c>
      <c r="K8340" s="5">
        <v>200.0</v>
      </c>
      <c r="N8340" s="9">
        <v>45021.0</v>
      </c>
    </row>
    <row r="8341">
      <c r="A8341" s="5">
        <v>8340.0</v>
      </c>
      <c r="B8341" s="5" t="s">
        <v>8846</v>
      </c>
      <c r="C8341" s="5" t="s">
        <v>21</v>
      </c>
      <c r="K8341" s="5">
        <v>100.0</v>
      </c>
      <c r="N8341" s="9">
        <v>44916.0</v>
      </c>
    </row>
    <row r="8342">
      <c r="A8342" s="5">
        <v>8341.0</v>
      </c>
      <c r="B8342" s="5" t="s">
        <v>8847</v>
      </c>
      <c r="C8342" s="5" t="s">
        <v>21</v>
      </c>
      <c r="K8342" s="5">
        <v>20.0</v>
      </c>
      <c r="N8342" s="9">
        <v>44677.0</v>
      </c>
    </row>
    <row r="8343">
      <c r="A8343" s="5">
        <v>8342.0</v>
      </c>
      <c r="B8343" s="5" t="s">
        <v>8848</v>
      </c>
      <c r="C8343" s="5" t="s">
        <v>21</v>
      </c>
      <c r="K8343" s="5">
        <v>400.0</v>
      </c>
      <c r="N8343" s="9">
        <v>45278.0</v>
      </c>
    </row>
    <row r="8344">
      <c r="A8344" s="5">
        <v>8343.0</v>
      </c>
      <c r="B8344" s="5" t="s">
        <v>8849</v>
      </c>
      <c r="C8344" s="5" t="s">
        <v>21</v>
      </c>
      <c r="K8344" s="5">
        <v>150.0</v>
      </c>
      <c r="N8344" s="9">
        <v>45671.0</v>
      </c>
    </row>
    <row r="8345">
      <c r="A8345" s="5">
        <v>8344.0</v>
      </c>
      <c r="B8345" s="5" t="s">
        <v>8850</v>
      </c>
      <c r="C8345" s="5" t="s">
        <v>21</v>
      </c>
      <c r="K8345" s="5">
        <v>1600.0</v>
      </c>
      <c r="N8345" s="9">
        <v>44507.0</v>
      </c>
    </row>
    <row r="8346">
      <c r="A8346" s="5">
        <v>8345.0</v>
      </c>
      <c r="B8346" s="5" t="s">
        <v>8851</v>
      </c>
      <c r="C8346" s="5" t="s">
        <v>21</v>
      </c>
      <c r="K8346" s="5">
        <v>300.0</v>
      </c>
      <c r="N8346" s="9">
        <v>43859.0</v>
      </c>
    </row>
    <row r="8347">
      <c r="A8347" s="5">
        <v>8346.0</v>
      </c>
      <c r="B8347" s="5" t="s">
        <v>8852</v>
      </c>
      <c r="C8347" s="5" t="s">
        <v>21</v>
      </c>
      <c r="K8347" s="5">
        <v>1000.0</v>
      </c>
      <c r="N8347" s="9">
        <v>44767.0</v>
      </c>
    </row>
    <row r="8348">
      <c r="A8348" s="5">
        <v>8347.0</v>
      </c>
      <c r="B8348" s="5" t="s">
        <v>8853</v>
      </c>
      <c r="C8348" s="5" t="s">
        <v>21</v>
      </c>
      <c r="K8348" s="5">
        <v>450.0</v>
      </c>
      <c r="N8348" s="9">
        <v>43894.0</v>
      </c>
    </row>
    <row r="8349">
      <c r="A8349" s="5">
        <v>8348.0</v>
      </c>
      <c r="B8349" s="5" t="s">
        <v>8854</v>
      </c>
      <c r="C8349" s="5" t="s">
        <v>21</v>
      </c>
      <c r="K8349" s="5">
        <v>400.0</v>
      </c>
      <c r="N8349" s="9">
        <v>44631.0</v>
      </c>
    </row>
    <row r="8350">
      <c r="A8350" s="5">
        <v>8349.0</v>
      </c>
      <c r="B8350" s="5" t="s">
        <v>8855</v>
      </c>
      <c r="C8350" s="5" t="s">
        <v>21</v>
      </c>
      <c r="K8350" s="5">
        <v>70.0</v>
      </c>
      <c r="N8350" s="9">
        <v>45042.0</v>
      </c>
    </row>
    <row r="8351">
      <c r="A8351" s="5">
        <v>8350.0</v>
      </c>
      <c r="B8351" s="5" t="s">
        <v>8856</v>
      </c>
      <c r="C8351" s="5" t="s">
        <v>21</v>
      </c>
      <c r="K8351" s="5">
        <v>50.0</v>
      </c>
      <c r="N8351" s="9">
        <v>44364.0</v>
      </c>
    </row>
    <row r="8352">
      <c r="A8352" s="5">
        <v>8351.0</v>
      </c>
      <c r="B8352" s="5" t="s">
        <v>8857</v>
      </c>
      <c r="C8352" s="5" t="s">
        <v>21</v>
      </c>
      <c r="K8352" s="5">
        <v>250.0</v>
      </c>
      <c r="N8352" s="9">
        <v>44557.0</v>
      </c>
    </row>
    <row r="8353">
      <c r="A8353" s="5">
        <v>8352.0</v>
      </c>
      <c r="B8353" s="5" t="s">
        <v>8858</v>
      </c>
      <c r="C8353" s="5" t="s">
        <v>21</v>
      </c>
      <c r="K8353" s="5">
        <v>1000.0</v>
      </c>
      <c r="N8353" s="9">
        <v>43910.0</v>
      </c>
    </row>
    <row r="8354">
      <c r="A8354" s="5">
        <v>8353.0</v>
      </c>
      <c r="B8354" s="5" t="s">
        <v>8859</v>
      </c>
      <c r="C8354" s="5" t="s">
        <v>21</v>
      </c>
      <c r="K8354" s="5">
        <v>90.0</v>
      </c>
      <c r="N8354" s="9">
        <v>45501.0</v>
      </c>
    </row>
    <row r="8355">
      <c r="A8355" s="5">
        <v>8354.0</v>
      </c>
      <c r="B8355" s="5" t="s">
        <v>8860</v>
      </c>
      <c r="C8355" s="5" t="s">
        <v>21</v>
      </c>
      <c r="K8355" s="5">
        <v>700.0</v>
      </c>
      <c r="N8355" s="9">
        <v>43867.0</v>
      </c>
    </row>
    <row r="8356">
      <c r="A8356" s="5">
        <v>8355.0</v>
      </c>
      <c r="B8356" s="5" t="s">
        <v>8861</v>
      </c>
      <c r="C8356" s="5" t="s">
        <v>21</v>
      </c>
      <c r="K8356" s="5">
        <v>1500.0</v>
      </c>
      <c r="N8356" s="9">
        <v>44057.0</v>
      </c>
    </row>
    <row r="8357">
      <c r="A8357" s="5">
        <v>8356.0</v>
      </c>
      <c r="B8357" s="5" t="s">
        <v>8862</v>
      </c>
      <c r="C8357" s="5" t="s">
        <v>21</v>
      </c>
      <c r="K8357" s="5">
        <v>700.0</v>
      </c>
      <c r="N8357" s="9">
        <v>44531.0</v>
      </c>
    </row>
    <row r="8358">
      <c r="A8358" s="5">
        <v>8357.0</v>
      </c>
      <c r="B8358" s="5" t="s">
        <v>8863</v>
      </c>
      <c r="C8358" s="5" t="s">
        <v>21</v>
      </c>
      <c r="K8358" s="5">
        <v>800.0</v>
      </c>
      <c r="N8358" s="9">
        <v>44433.0</v>
      </c>
    </row>
    <row r="8359">
      <c r="A8359" s="5">
        <v>8358.0</v>
      </c>
      <c r="B8359" s="5" t="s">
        <v>8864</v>
      </c>
      <c r="C8359" s="5" t="s">
        <v>21</v>
      </c>
      <c r="K8359" s="5">
        <v>200.0</v>
      </c>
      <c r="N8359" s="9">
        <v>45174.0</v>
      </c>
    </row>
    <row r="8360">
      <c r="A8360" s="5">
        <v>8359.0</v>
      </c>
      <c r="B8360" s="5" t="s">
        <v>8865</v>
      </c>
      <c r="C8360" s="5" t="s">
        <v>21</v>
      </c>
      <c r="K8360" s="5">
        <v>900.0</v>
      </c>
      <c r="N8360" s="9">
        <v>44540.0</v>
      </c>
    </row>
    <row r="8361">
      <c r="A8361" s="5">
        <v>8360.0</v>
      </c>
      <c r="B8361" s="5" t="s">
        <v>8866</v>
      </c>
      <c r="C8361" s="5" t="s">
        <v>21</v>
      </c>
      <c r="K8361" s="5">
        <v>30.0</v>
      </c>
      <c r="N8361" s="9">
        <v>44196.0</v>
      </c>
    </row>
    <row r="8362">
      <c r="A8362" s="5">
        <v>8361.0</v>
      </c>
      <c r="B8362" s="5" t="s">
        <v>8867</v>
      </c>
      <c r="C8362" s="5" t="s">
        <v>21</v>
      </c>
      <c r="K8362" s="5">
        <v>800.0</v>
      </c>
      <c r="N8362" s="9">
        <v>43974.0</v>
      </c>
    </row>
    <row r="8363">
      <c r="A8363" s="5">
        <v>8362.0</v>
      </c>
      <c r="B8363" s="5" t="s">
        <v>8868</v>
      </c>
      <c r="C8363" s="5" t="s">
        <v>21</v>
      </c>
      <c r="K8363" s="5">
        <v>60.0</v>
      </c>
      <c r="N8363" s="9">
        <v>45509.0</v>
      </c>
    </row>
    <row r="8364">
      <c r="A8364" s="5">
        <v>8363.0</v>
      </c>
      <c r="B8364" s="5" t="s">
        <v>8869</v>
      </c>
      <c r="C8364" s="5" t="s">
        <v>21</v>
      </c>
      <c r="K8364" s="5">
        <v>700.0</v>
      </c>
      <c r="N8364" s="9">
        <v>44296.0</v>
      </c>
    </row>
    <row r="8365">
      <c r="A8365" s="5">
        <v>8364.0</v>
      </c>
      <c r="B8365" s="5" t="s">
        <v>8870</v>
      </c>
      <c r="C8365" s="5" t="s">
        <v>21</v>
      </c>
      <c r="K8365" s="5">
        <v>100.0</v>
      </c>
      <c r="N8365" s="9">
        <v>44747.0</v>
      </c>
    </row>
    <row r="8366">
      <c r="A8366" s="5">
        <v>8365.0</v>
      </c>
      <c r="B8366" s="5" t="s">
        <v>8871</v>
      </c>
      <c r="C8366" s="5" t="s">
        <v>21</v>
      </c>
      <c r="K8366" s="5">
        <v>5500.0</v>
      </c>
      <c r="N8366" s="9">
        <v>43870.0</v>
      </c>
    </row>
    <row r="8367">
      <c r="A8367" s="5">
        <v>8366.0</v>
      </c>
      <c r="B8367" s="5" t="s">
        <v>8872</v>
      </c>
      <c r="C8367" s="5" t="s">
        <v>21</v>
      </c>
      <c r="K8367" s="5">
        <v>250.0</v>
      </c>
      <c r="N8367" s="9">
        <v>44715.0</v>
      </c>
    </row>
    <row r="8368">
      <c r="A8368" s="5">
        <v>8367.0</v>
      </c>
      <c r="B8368" s="5" t="s">
        <v>8873</v>
      </c>
      <c r="C8368" s="5" t="s">
        <v>21</v>
      </c>
      <c r="K8368" s="5">
        <v>300.0</v>
      </c>
      <c r="N8368" s="9">
        <v>44239.0</v>
      </c>
    </row>
    <row r="8369">
      <c r="A8369" s="5">
        <v>8368.0</v>
      </c>
      <c r="B8369" s="5" t="s">
        <v>8874</v>
      </c>
      <c r="C8369" s="5" t="s">
        <v>21</v>
      </c>
      <c r="K8369" s="5">
        <v>2100.0</v>
      </c>
      <c r="N8369" s="9">
        <v>44123.0</v>
      </c>
    </row>
    <row r="8370">
      <c r="A8370" s="5">
        <v>8369.0</v>
      </c>
      <c r="B8370" s="5" t="s">
        <v>8875</v>
      </c>
      <c r="C8370" s="5" t="s">
        <v>21</v>
      </c>
      <c r="K8370" s="5">
        <v>1400.0</v>
      </c>
      <c r="N8370" s="9">
        <v>44534.0</v>
      </c>
    </row>
    <row r="8371">
      <c r="A8371" s="5">
        <v>8370.0</v>
      </c>
      <c r="B8371" s="5" t="s">
        <v>303</v>
      </c>
      <c r="C8371" s="5" t="s">
        <v>21</v>
      </c>
      <c r="K8371" s="5">
        <v>450.0</v>
      </c>
      <c r="N8371" s="9">
        <v>44618.0</v>
      </c>
    </row>
    <row r="8372">
      <c r="A8372" s="5">
        <v>8371.0</v>
      </c>
      <c r="B8372" s="5" t="s">
        <v>8876</v>
      </c>
      <c r="C8372" s="5" t="s">
        <v>21</v>
      </c>
      <c r="K8372" s="5">
        <v>300.0</v>
      </c>
      <c r="N8372" s="9">
        <v>45177.0</v>
      </c>
    </row>
    <row r="8373">
      <c r="A8373" s="5">
        <v>8372.0</v>
      </c>
      <c r="B8373" s="5" t="s">
        <v>8877</v>
      </c>
      <c r="C8373" s="5" t="s">
        <v>21</v>
      </c>
      <c r="K8373" s="5">
        <v>800.0</v>
      </c>
      <c r="N8373" s="9">
        <v>44237.0</v>
      </c>
    </row>
    <row r="8374">
      <c r="A8374" s="5">
        <v>8373.0</v>
      </c>
      <c r="B8374" s="5" t="s">
        <v>8878</v>
      </c>
      <c r="C8374" s="5" t="s">
        <v>21</v>
      </c>
      <c r="K8374" s="5">
        <v>600.0</v>
      </c>
      <c r="N8374" s="9">
        <v>44402.0</v>
      </c>
    </row>
    <row r="8375">
      <c r="A8375" s="5">
        <v>8374.0</v>
      </c>
      <c r="B8375" s="5" t="s">
        <v>8879</v>
      </c>
      <c r="C8375" s="5" t="s">
        <v>21</v>
      </c>
      <c r="K8375" s="5">
        <v>300.0</v>
      </c>
      <c r="N8375" s="9">
        <v>44314.0</v>
      </c>
    </row>
    <row r="8376">
      <c r="A8376" s="5">
        <v>8375.0</v>
      </c>
      <c r="B8376" s="5" t="s">
        <v>8880</v>
      </c>
      <c r="C8376" s="5" t="s">
        <v>21</v>
      </c>
      <c r="N8376" s="9">
        <v>44993.0</v>
      </c>
    </row>
    <row r="8377">
      <c r="A8377" s="5">
        <v>8376.0</v>
      </c>
      <c r="B8377" s="5" t="s">
        <v>8881</v>
      </c>
      <c r="C8377" s="5" t="s">
        <v>21</v>
      </c>
      <c r="K8377" s="5">
        <v>40.0</v>
      </c>
      <c r="N8377" s="9">
        <v>44348.0</v>
      </c>
    </row>
    <row r="8378">
      <c r="A8378" s="5">
        <v>8377.0</v>
      </c>
      <c r="B8378" s="5" t="s">
        <v>8882</v>
      </c>
      <c r="C8378" s="5" t="s">
        <v>21</v>
      </c>
      <c r="K8378" s="5">
        <v>400.0</v>
      </c>
      <c r="N8378" s="9">
        <v>44894.0</v>
      </c>
    </row>
    <row r="8379">
      <c r="A8379" s="5">
        <v>8378.0</v>
      </c>
      <c r="B8379" s="5" t="s">
        <v>8883</v>
      </c>
      <c r="C8379" s="5" t="s">
        <v>21</v>
      </c>
      <c r="K8379" s="5">
        <v>1500.0</v>
      </c>
      <c r="N8379" s="9">
        <v>44821.0</v>
      </c>
    </row>
    <row r="8380">
      <c r="A8380" s="5">
        <v>8379.0</v>
      </c>
      <c r="B8380" s="5" t="s">
        <v>8884</v>
      </c>
      <c r="C8380" s="5" t="s">
        <v>21</v>
      </c>
      <c r="K8380" s="5">
        <v>300.0</v>
      </c>
      <c r="N8380" s="9">
        <v>44081.0</v>
      </c>
    </row>
    <row r="8381">
      <c r="A8381" s="5">
        <v>8380.0</v>
      </c>
      <c r="B8381" s="5" t="s">
        <v>8885</v>
      </c>
      <c r="C8381" s="5" t="s">
        <v>21</v>
      </c>
      <c r="K8381" s="5">
        <v>20.0</v>
      </c>
      <c r="N8381" s="9">
        <v>43885.0</v>
      </c>
    </row>
    <row r="8382">
      <c r="A8382" s="5">
        <v>8381.0</v>
      </c>
      <c r="B8382" s="5" t="s">
        <v>8886</v>
      </c>
      <c r="C8382" s="5" t="s">
        <v>21</v>
      </c>
      <c r="K8382" s="5">
        <v>250.0</v>
      </c>
      <c r="N8382" s="9">
        <v>44580.0</v>
      </c>
    </row>
    <row r="8383">
      <c r="A8383" s="5">
        <v>8382.0</v>
      </c>
      <c r="B8383" s="5" t="s">
        <v>8887</v>
      </c>
      <c r="C8383" s="5" t="s">
        <v>21</v>
      </c>
      <c r="K8383" s="5">
        <v>1000.0</v>
      </c>
      <c r="N8383" s="9">
        <v>44615.0</v>
      </c>
    </row>
    <row r="8384">
      <c r="A8384" s="5">
        <v>8383.0</v>
      </c>
      <c r="B8384" s="5" t="s">
        <v>8888</v>
      </c>
      <c r="C8384" s="5" t="s">
        <v>21</v>
      </c>
      <c r="K8384" s="5">
        <v>70.0</v>
      </c>
      <c r="N8384" s="9">
        <v>44863.0</v>
      </c>
    </row>
    <row r="8385">
      <c r="A8385" s="5">
        <v>8384.0</v>
      </c>
      <c r="B8385" s="5" t="s">
        <v>8889</v>
      </c>
      <c r="C8385" s="5" t="s">
        <v>21</v>
      </c>
      <c r="K8385" s="5">
        <v>700.0</v>
      </c>
      <c r="N8385" s="9">
        <v>44563.0</v>
      </c>
    </row>
    <row r="8386">
      <c r="A8386" s="5">
        <v>8385.0</v>
      </c>
      <c r="B8386" s="5" t="s">
        <v>8890</v>
      </c>
      <c r="C8386" s="5" t="s">
        <v>21</v>
      </c>
      <c r="K8386" s="5">
        <v>1300.0</v>
      </c>
      <c r="N8386" s="9">
        <v>44292.0</v>
      </c>
    </row>
    <row r="8387">
      <c r="A8387" s="5">
        <v>8386.0</v>
      </c>
      <c r="B8387" s="5" t="s">
        <v>8891</v>
      </c>
      <c r="C8387" s="5" t="s">
        <v>21</v>
      </c>
      <c r="K8387" s="5">
        <v>3900.0</v>
      </c>
      <c r="N8387" s="9">
        <v>44029.0</v>
      </c>
    </row>
    <row r="8388">
      <c r="A8388" s="5">
        <v>8387.0</v>
      </c>
      <c r="B8388" s="5" t="s">
        <v>8892</v>
      </c>
      <c r="C8388" s="5" t="s">
        <v>21</v>
      </c>
      <c r="N8388" s="9">
        <v>44518.0</v>
      </c>
    </row>
    <row r="8389">
      <c r="A8389" s="5">
        <v>8388.0</v>
      </c>
      <c r="B8389" s="5" t="s">
        <v>8893</v>
      </c>
      <c r="C8389" s="5" t="s">
        <v>21</v>
      </c>
      <c r="K8389" s="5">
        <v>90.0</v>
      </c>
      <c r="N8389" s="9">
        <v>44556.0</v>
      </c>
    </row>
    <row r="8390">
      <c r="A8390" s="5">
        <v>8389.0</v>
      </c>
      <c r="B8390" s="5" t="s">
        <v>8894</v>
      </c>
      <c r="C8390" s="5" t="s">
        <v>21</v>
      </c>
      <c r="K8390" s="5">
        <v>150.0</v>
      </c>
      <c r="N8390" s="9">
        <v>44845.0</v>
      </c>
    </row>
    <row r="8391">
      <c r="A8391" s="5">
        <v>8390.0</v>
      </c>
      <c r="B8391" s="5" t="s">
        <v>8895</v>
      </c>
      <c r="C8391" s="5" t="s">
        <v>21</v>
      </c>
      <c r="K8391" s="5">
        <v>40.0</v>
      </c>
      <c r="N8391" s="9">
        <v>44601.0</v>
      </c>
    </row>
    <row r="8392">
      <c r="A8392" s="5">
        <v>8391.0</v>
      </c>
      <c r="B8392" s="5" t="s">
        <v>8896</v>
      </c>
      <c r="C8392" s="5" t="s">
        <v>21</v>
      </c>
      <c r="K8392" s="5">
        <v>200.0</v>
      </c>
      <c r="N8392" s="9">
        <v>44618.0</v>
      </c>
    </row>
    <row r="8393">
      <c r="A8393" s="5">
        <v>8392.0</v>
      </c>
      <c r="B8393" s="5" t="s">
        <v>8897</v>
      </c>
      <c r="C8393" s="5" t="s">
        <v>21</v>
      </c>
      <c r="K8393" s="5">
        <v>10.0</v>
      </c>
      <c r="N8393" s="9">
        <v>44659.0</v>
      </c>
    </row>
    <row r="8394">
      <c r="A8394" s="5">
        <v>8393.0</v>
      </c>
      <c r="B8394" s="5" t="s">
        <v>8898</v>
      </c>
      <c r="C8394" s="5" t="s">
        <v>21</v>
      </c>
      <c r="K8394" s="5">
        <v>90.0</v>
      </c>
      <c r="N8394" s="9">
        <v>44575.0</v>
      </c>
    </row>
    <row r="8395">
      <c r="A8395" s="5">
        <v>8394.0</v>
      </c>
      <c r="B8395" s="5" t="s">
        <v>8899</v>
      </c>
      <c r="C8395" s="5" t="s">
        <v>21</v>
      </c>
      <c r="K8395" s="5">
        <v>3500.0</v>
      </c>
      <c r="N8395" s="9">
        <v>44477.0</v>
      </c>
    </row>
    <row r="8396">
      <c r="A8396" s="5">
        <v>8395.0</v>
      </c>
      <c r="B8396" s="5" t="s">
        <v>8900</v>
      </c>
      <c r="C8396" s="5" t="s">
        <v>21</v>
      </c>
      <c r="K8396" s="5">
        <v>600.0</v>
      </c>
      <c r="N8396" s="9">
        <v>45816.0</v>
      </c>
    </row>
    <row r="8397">
      <c r="A8397" s="5">
        <v>8396.0</v>
      </c>
      <c r="B8397" s="5" t="s">
        <v>8901</v>
      </c>
      <c r="C8397" s="5" t="s">
        <v>21</v>
      </c>
      <c r="K8397" s="5">
        <v>500.0</v>
      </c>
      <c r="N8397" s="9">
        <v>44642.0</v>
      </c>
    </row>
    <row r="8398">
      <c r="A8398" s="5">
        <v>8397.0</v>
      </c>
      <c r="B8398" s="5" t="s">
        <v>8902</v>
      </c>
      <c r="C8398" s="5" t="s">
        <v>21</v>
      </c>
      <c r="K8398" s="5">
        <v>3300.0</v>
      </c>
      <c r="N8398" s="9">
        <v>44021.0</v>
      </c>
    </row>
    <row r="8399">
      <c r="A8399" s="5">
        <v>8398.0</v>
      </c>
      <c r="B8399" s="5" t="s">
        <v>8903</v>
      </c>
      <c r="C8399" s="5" t="s">
        <v>21</v>
      </c>
      <c r="K8399" s="5">
        <v>150.0</v>
      </c>
      <c r="N8399" s="9">
        <v>45062.0</v>
      </c>
    </row>
    <row r="8400">
      <c r="A8400" s="5">
        <v>8399.0</v>
      </c>
      <c r="B8400" s="5" t="s">
        <v>8904</v>
      </c>
      <c r="C8400" s="5" t="s">
        <v>21</v>
      </c>
      <c r="K8400" s="5">
        <v>600.0</v>
      </c>
      <c r="N8400" s="9">
        <v>44555.0</v>
      </c>
    </row>
    <row r="8401">
      <c r="A8401" s="5">
        <v>8400.0</v>
      </c>
      <c r="B8401" s="5" t="s">
        <v>8905</v>
      </c>
      <c r="C8401" s="5" t="s">
        <v>21</v>
      </c>
      <c r="K8401" s="5">
        <v>300.0</v>
      </c>
      <c r="N8401" s="9">
        <v>44626.0</v>
      </c>
    </row>
    <row r="8402">
      <c r="A8402" s="5">
        <v>8401.0</v>
      </c>
      <c r="B8402" s="5" t="s">
        <v>8906</v>
      </c>
      <c r="C8402" s="5" t="s">
        <v>21</v>
      </c>
      <c r="K8402" s="5">
        <v>300.0</v>
      </c>
      <c r="N8402" s="9">
        <v>44232.0</v>
      </c>
    </row>
    <row r="8403">
      <c r="A8403" s="5">
        <v>8402.0</v>
      </c>
      <c r="B8403" s="5" t="s">
        <v>8907</v>
      </c>
      <c r="C8403" s="5" t="s">
        <v>21</v>
      </c>
      <c r="K8403" s="5">
        <v>300.0</v>
      </c>
      <c r="N8403" s="9">
        <v>44690.0</v>
      </c>
    </row>
    <row r="8404">
      <c r="A8404" s="5">
        <v>8403.0</v>
      </c>
      <c r="B8404" s="5" t="s">
        <v>8908</v>
      </c>
      <c r="C8404" s="5" t="s">
        <v>21</v>
      </c>
      <c r="K8404" s="5">
        <v>150.0</v>
      </c>
      <c r="N8404" s="9">
        <v>44727.0</v>
      </c>
    </row>
    <row r="8405">
      <c r="A8405" s="5">
        <v>8404.0</v>
      </c>
      <c r="B8405" s="5" t="s">
        <v>8909</v>
      </c>
      <c r="C8405" s="5" t="s">
        <v>21</v>
      </c>
      <c r="K8405" s="5">
        <v>90.0</v>
      </c>
      <c r="N8405" s="9">
        <v>44729.0</v>
      </c>
    </row>
    <row r="8406">
      <c r="A8406" s="5">
        <v>8405.0</v>
      </c>
      <c r="B8406" s="5" t="s">
        <v>8910</v>
      </c>
      <c r="C8406" s="5" t="s">
        <v>21</v>
      </c>
      <c r="K8406" s="5">
        <v>3700.0</v>
      </c>
      <c r="N8406" s="9">
        <v>45378.0</v>
      </c>
    </row>
    <row r="8407">
      <c r="A8407" s="5">
        <v>8406.0</v>
      </c>
      <c r="B8407" s="5" t="s">
        <v>8911</v>
      </c>
      <c r="C8407" s="5" t="s">
        <v>21</v>
      </c>
      <c r="K8407" s="5">
        <v>30.0</v>
      </c>
      <c r="N8407" s="9">
        <v>44468.0</v>
      </c>
    </row>
    <row r="8408">
      <c r="A8408" s="5">
        <v>8407.0</v>
      </c>
      <c r="B8408" s="5" t="s">
        <v>8912</v>
      </c>
      <c r="C8408" s="5" t="s">
        <v>21</v>
      </c>
      <c r="K8408" s="5">
        <v>250.0</v>
      </c>
      <c r="N8408" s="9">
        <v>44545.0</v>
      </c>
    </row>
    <row r="8409">
      <c r="A8409" s="5">
        <v>8408.0</v>
      </c>
      <c r="B8409" s="5" t="s">
        <v>8913</v>
      </c>
      <c r="C8409" s="5" t="s">
        <v>21</v>
      </c>
      <c r="N8409" s="9">
        <v>44518.0</v>
      </c>
    </row>
    <row r="8410">
      <c r="A8410" s="5">
        <v>8409.0</v>
      </c>
      <c r="B8410" s="5" t="s">
        <v>8914</v>
      </c>
      <c r="C8410" s="5" t="s">
        <v>21</v>
      </c>
      <c r="K8410" s="5">
        <v>150.0</v>
      </c>
      <c r="N8410" s="9">
        <v>45378.0</v>
      </c>
    </row>
    <row r="8411">
      <c r="A8411" s="5">
        <v>8410.0</v>
      </c>
      <c r="B8411" s="5" t="s">
        <v>8915</v>
      </c>
      <c r="C8411" s="5" t="s">
        <v>21</v>
      </c>
      <c r="K8411" s="5">
        <v>600.0</v>
      </c>
      <c r="N8411" s="9">
        <v>44228.0</v>
      </c>
    </row>
    <row r="8412">
      <c r="A8412" s="5">
        <v>8411.0</v>
      </c>
      <c r="B8412" s="5" t="s">
        <v>8916</v>
      </c>
      <c r="C8412" s="5" t="s">
        <v>21</v>
      </c>
      <c r="K8412" s="5">
        <v>40000.0</v>
      </c>
      <c r="N8412" s="9">
        <v>46090.0</v>
      </c>
    </row>
    <row r="8413">
      <c r="A8413" s="5">
        <v>8412.0</v>
      </c>
      <c r="B8413" s="5" t="s">
        <v>8917</v>
      </c>
      <c r="C8413" s="5" t="s">
        <v>21</v>
      </c>
      <c r="K8413" s="5">
        <v>300.0</v>
      </c>
      <c r="N8413" s="9">
        <v>44621.0</v>
      </c>
    </row>
    <row r="8414">
      <c r="A8414" s="5">
        <v>8413.0</v>
      </c>
      <c r="B8414" s="5" t="s">
        <v>8918</v>
      </c>
      <c r="C8414" s="5" t="s">
        <v>21</v>
      </c>
      <c r="K8414" s="5">
        <v>50.0</v>
      </c>
      <c r="N8414" s="9">
        <v>44564.0</v>
      </c>
    </row>
    <row r="8415">
      <c r="A8415" s="5">
        <v>8414.0</v>
      </c>
      <c r="B8415" s="5" t="s">
        <v>8919</v>
      </c>
      <c r="C8415" s="5" t="s">
        <v>21</v>
      </c>
      <c r="K8415" s="5">
        <v>450.0</v>
      </c>
      <c r="N8415" s="9">
        <v>44644.0</v>
      </c>
    </row>
    <row r="8416">
      <c r="A8416" s="5">
        <v>8415.0</v>
      </c>
      <c r="B8416" s="5" t="s">
        <v>8920</v>
      </c>
      <c r="C8416" s="5" t="s">
        <v>21</v>
      </c>
      <c r="F8416" s="5">
        <v>0.4</v>
      </c>
      <c r="N8416" s="9">
        <v>45744.0</v>
      </c>
    </row>
    <row r="8417">
      <c r="A8417" s="5">
        <v>8416.0</v>
      </c>
      <c r="B8417" s="5" t="s">
        <v>277</v>
      </c>
      <c r="C8417" s="5" t="s">
        <v>21</v>
      </c>
      <c r="K8417" s="5">
        <v>10.0</v>
      </c>
      <c r="N8417" s="9">
        <v>44628.0</v>
      </c>
    </row>
    <row r="8418">
      <c r="A8418" s="5">
        <v>8417.0</v>
      </c>
      <c r="B8418" s="5" t="s">
        <v>8921</v>
      </c>
      <c r="C8418" s="5" t="s">
        <v>21</v>
      </c>
      <c r="K8418" s="5">
        <v>250.0</v>
      </c>
      <c r="N8418" s="9">
        <v>44786.0</v>
      </c>
    </row>
    <row r="8419">
      <c r="A8419" s="5">
        <v>8418.0</v>
      </c>
      <c r="B8419" s="5" t="s">
        <v>8922</v>
      </c>
      <c r="C8419" s="5" t="s">
        <v>21</v>
      </c>
      <c r="K8419" s="5">
        <v>10.0</v>
      </c>
      <c r="N8419" s="9">
        <v>44100.0</v>
      </c>
    </row>
    <row r="8420">
      <c r="A8420" s="5">
        <v>8419.0</v>
      </c>
      <c r="B8420" s="5" t="s">
        <v>8923</v>
      </c>
      <c r="C8420" s="5" t="s">
        <v>21</v>
      </c>
      <c r="K8420" s="5">
        <v>900.0</v>
      </c>
      <c r="N8420" s="9">
        <v>44616.0</v>
      </c>
    </row>
    <row r="8421">
      <c r="A8421" s="5">
        <v>8420.0</v>
      </c>
      <c r="B8421" s="5" t="s">
        <v>8924</v>
      </c>
      <c r="C8421" s="5" t="s">
        <v>21</v>
      </c>
      <c r="K8421" s="5">
        <v>90.0</v>
      </c>
      <c r="N8421" s="9">
        <v>44027.0</v>
      </c>
    </row>
    <row r="8422">
      <c r="A8422" s="5">
        <v>8421.0</v>
      </c>
      <c r="B8422" s="5" t="s">
        <v>8925</v>
      </c>
      <c r="C8422" s="5" t="s">
        <v>21</v>
      </c>
      <c r="K8422" s="5">
        <v>900.0</v>
      </c>
      <c r="N8422" s="9">
        <v>44455.0</v>
      </c>
    </row>
    <row r="8423">
      <c r="A8423" s="5">
        <v>8422.0</v>
      </c>
      <c r="B8423" s="5" t="s">
        <v>8926</v>
      </c>
      <c r="C8423" s="5" t="s">
        <v>21</v>
      </c>
      <c r="K8423" s="5">
        <v>2100.0</v>
      </c>
      <c r="N8423" s="9">
        <v>44535.0</v>
      </c>
    </row>
    <row r="8424">
      <c r="A8424" s="5">
        <v>8423.0</v>
      </c>
      <c r="B8424" s="5" t="s">
        <v>8927</v>
      </c>
      <c r="C8424" s="5" t="s">
        <v>21</v>
      </c>
      <c r="K8424" s="5">
        <v>200.0</v>
      </c>
      <c r="N8424" s="9">
        <v>45080.0</v>
      </c>
    </row>
    <row r="8425">
      <c r="A8425" s="5">
        <v>8424.0</v>
      </c>
      <c r="B8425" s="5" t="s">
        <v>8928</v>
      </c>
      <c r="C8425" s="5" t="s">
        <v>21</v>
      </c>
      <c r="K8425" s="5">
        <v>100.0</v>
      </c>
      <c r="N8425" s="9">
        <v>44741.0</v>
      </c>
    </row>
    <row r="8426">
      <c r="A8426" s="5">
        <v>8425.0</v>
      </c>
      <c r="B8426" s="5" t="s">
        <v>8929</v>
      </c>
      <c r="C8426" s="5" t="s">
        <v>21</v>
      </c>
      <c r="N8426" s="9">
        <v>44572.0</v>
      </c>
    </row>
    <row r="8427">
      <c r="A8427" s="5">
        <v>8426.0</v>
      </c>
      <c r="B8427" s="5" t="s">
        <v>8930</v>
      </c>
      <c r="C8427" s="5" t="s">
        <v>21</v>
      </c>
      <c r="K8427" s="5">
        <v>40.0</v>
      </c>
      <c r="N8427" s="9">
        <v>45572.0</v>
      </c>
    </row>
    <row r="8428">
      <c r="A8428" s="5">
        <v>8427.0</v>
      </c>
      <c r="B8428" s="5" t="s">
        <v>8931</v>
      </c>
      <c r="C8428" s="5" t="s">
        <v>21</v>
      </c>
      <c r="K8428" s="5">
        <v>400.0</v>
      </c>
      <c r="N8428" s="9">
        <v>44551.0</v>
      </c>
    </row>
    <row r="8429">
      <c r="A8429" s="5">
        <v>8428.0</v>
      </c>
      <c r="B8429" s="5" t="s">
        <v>8932</v>
      </c>
      <c r="C8429" s="5" t="s">
        <v>21</v>
      </c>
      <c r="K8429" s="5">
        <v>1300.0</v>
      </c>
      <c r="N8429" s="9">
        <v>44521.0</v>
      </c>
    </row>
    <row r="8430">
      <c r="A8430" s="5">
        <v>8429.0</v>
      </c>
      <c r="B8430" s="5" t="s">
        <v>8933</v>
      </c>
      <c r="C8430" s="5" t="s">
        <v>21</v>
      </c>
      <c r="K8430" s="5">
        <v>1600.0</v>
      </c>
      <c r="N8430" s="9">
        <v>44517.0</v>
      </c>
    </row>
    <row r="8431">
      <c r="A8431" s="5">
        <v>8430.0</v>
      </c>
      <c r="B8431" s="5" t="s">
        <v>8934</v>
      </c>
      <c r="C8431" s="5" t="s">
        <v>21</v>
      </c>
      <c r="K8431" s="5">
        <v>250.0</v>
      </c>
      <c r="N8431" s="9">
        <v>44645.0</v>
      </c>
    </row>
    <row r="8432">
      <c r="A8432" s="5">
        <v>8431.0</v>
      </c>
      <c r="B8432" s="5" t="s">
        <v>8935</v>
      </c>
      <c r="C8432" s="5" t="s">
        <v>21</v>
      </c>
      <c r="N8432" s="9">
        <v>44545.0</v>
      </c>
    </row>
    <row r="8433">
      <c r="A8433" s="5">
        <v>8432.0</v>
      </c>
      <c r="B8433" s="5" t="s">
        <v>8936</v>
      </c>
      <c r="C8433" s="5" t="s">
        <v>21</v>
      </c>
      <c r="K8433" s="5">
        <v>250.0</v>
      </c>
      <c r="N8433" s="9">
        <v>44514.0</v>
      </c>
    </row>
    <row r="8434">
      <c r="A8434" s="5">
        <v>8433.0</v>
      </c>
      <c r="B8434" s="5" t="s">
        <v>8937</v>
      </c>
      <c r="C8434" s="5" t="s">
        <v>21</v>
      </c>
      <c r="K8434" s="5">
        <v>1500.0</v>
      </c>
      <c r="N8434" s="9">
        <v>44543.0</v>
      </c>
    </row>
    <row r="8435">
      <c r="A8435" s="5">
        <v>8434.0</v>
      </c>
      <c r="B8435" s="5" t="s">
        <v>8938</v>
      </c>
      <c r="C8435" s="5" t="s">
        <v>21</v>
      </c>
      <c r="K8435" s="5">
        <v>3700.0</v>
      </c>
      <c r="N8435" s="9">
        <v>45273.0</v>
      </c>
    </row>
    <row r="8436">
      <c r="A8436" s="5">
        <v>8435.0</v>
      </c>
      <c r="B8436" s="5" t="s">
        <v>8939</v>
      </c>
      <c r="C8436" s="5" t="s">
        <v>21</v>
      </c>
      <c r="K8436" s="5">
        <v>1000.0</v>
      </c>
      <c r="N8436" s="9">
        <v>44499.0</v>
      </c>
    </row>
    <row r="8437">
      <c r="A8437" s="5">
        <v>8436.0</v>
      </c>
      <c r="B8437" s="5" t="s">
        <v>8940</v>
      </c>
      <c r="C8437" s="5" t="s">
        <v>21</v>
      </c>
      <c r="K8437" s="5">
        <v>1300.0</v>
      </c>
      <c r="N8437" s="9">
        <v>44050.0</v>
      </c>
    </row>
    <row r="8438">
      <c r="A8438" s="5">
        <v>8437.0</v>
      </c>
      <c r="B8438" s="5" t="s">
        <v>8941</v>
      </c>
      <c r="C8438" s="5" t="s">
        <v>21</v>
      </c>
      <c r="K8438" s="5">
        <v>350.0</v>
      </c>
      <c r="N8438" s="9">
        <v>45127.0</v>
      </c>
    </row>
    <row r="8439">
      <c r="A8439" s="5">
        <v>8438.0</v>
      </c>
      <c r="B8439" s="5" t="s">
        <v>8942</v>
      </c>
      <c r="C8439" s="5" t="s">
        <v>21</v>
      </c>
      <c r="K8439" s="5">
        <v>350.0</v>
      </c>
      <c r="N8439" s="9">
        <v>45178.0</v>
      </c>
    </row>
    <row r="8440">
      <c r="A8440" s="5">
        <v>8439.0</v>
      </c>
      <c r="B8440" s="5" t="s">
        <v>8943</v>
      </c>
      <c r="C8440" s="5" t="s">
        <v>21</v>
      </c>
      <c r="K8440" s="5">
        <v>60.0</v>
      </c>
      <c r="N8440" s="9">
        <v>44568.0</v>
      </c>
    </row>
    <row r="8441">
      <c r="A8441" s="5">
        <v>8440.0</v>
      </c>
      <c r="B8441" s="5" t="s">
        <v>8944</v>
      </c>
      <c r="C8441" s="5" t="s">
        <v>21</v>
      </c>
      <c r="K8441" s="5">
        <v>200.0</v>
      </c>
      <c r="N8441" s="9">
        <v>44225.0</v>
      </c>
    </row>
    <row r="8442">
      <c r="A8442" s="5">
        <v>8441.0</v>
      </c>
      <c r="B8442" s="5" t="s">
        <v>8945</v>
      </c>
      <c r="C8442" s="5" t="s">
        <v>21</v>
      </c>
      <c r="N8442" s="9">
        <v>44534.0</v>
      </c>
    </row>
    <row r="8443">
      <c r="A8443" s="5">
        <v>8442.0</v>
      </c>
      <c r="B8443" s="5" t="s">
        <v>8946</v>
      </c>
      <c r="C8443" s="5" t="s">
        <v>21</v>
      </c>
      <c r="K8443" s="5">
        <v>10.0</v>
      </c>
      <c r="N8443" s="9">
        <v>44657.0</v>
      </c>
    </row>
    <row r="8444">
      <c r="A8444" s="5">
        <v>8443.0</v>
      </c>
      <c r="B8444" s="5" t="s">
        <v>8947</v>
      </c>
      <c r="C8444" s="5" t="s">
        <v>21</v>
      </c>
      <c r="K8444" s="5">
        <v>100.0</v>
      </c>
      <c r="N8444" s="9">
        <v>44373.0</v>
      </c>
    </row>
    <row r="8445">
      <c r="A8445" s="5">
        <v>8444.0</v>
      </c>
      <c r="B8445" s="5" t="s">
        <v>8948</v>
      </c>
      <c r="C8445" s="5" t="s">
        <v>21</v>
      </c>
      <c r="K8445" s="5">
        <v>500.0</v>
      </c>
      <c r="N8445" s="9">
        <v>44422.0</v>
      </c>
    </row>
    <row r="8446">
      <c r="A8446" s="5">
        <v>8445.0</v>
      </c>
      <c r="B8446" s="5" t="s">
        <v>8949</v>
      </c>
      <c r="C8446" s="5" t="s">
        <v>21</v>
      </c>
      <c r="K8446" s="5">
        <v>150.0</v>
      </c>
      <c r="N8446" s="9">
        <v>44300.0</v>
      </c>
    </row>
    <row r="8447">
      <c r="A8447" s="5">
        <v>8446.0</v>
      </c>
      <c r="B8447" s="5" t="s">
        <v>8950</v>
      </c>
      <c r="C8447" s="5" t="s">
        <v>21</v>
      </c>
      <c r="K8447" s="5">
        <v>250.0</v>
      </c>
      <c r="N8447" s="9">
        <v>44572.0</v>
      </c>
    </row>
    <row r="8448">
      <c r="A8448" s="5">
        <v>8447.0</v>
      </c>
      <c r="B8448" s="5" t="s">
        <v>8951</v>
      </c>
      <c r="C8448" s="5" t="s">
        <v>21</v>
      </c>
      <c r="K8448" s="5">
        <v>700.0</v>
      </c>
      <c r="N8448" s="9">
        <v>44562.0</v>
      </c>
    </row>
    <row r="8449">
      <c r="A8449" s="5">
        <v>8448.0</v>
      </c>
      <c r="B8449" s="5" t="s">
        <v>8952</v>
      </c>
      <c r="C8449" s="5" t="s">
        <v>21</v>
      </c>
      <c r="K8449" s="5">
        <v>150.0</v>
      </c>
      <c r="N8449" s="9">
        <v>44138.0</v>
      </c>
    </row>
    <row r="8450">
      <c r="A8450" s="5">
        <v>8449.0</v>
      </c>
      <c r="B8450" s="5" t="s">
        <v>8953</v>
      </c>
      <c r="C8450" s="5" t="s">
        <v>21</v>
      </c>
      <c r="K8450" s="5">
        <v>60.0</v>
      </c>
      <c r="N8450" s="9">
        <v>44462.0</v>
      </c>
    </row>
    <row r="8451">
      <c r="A8451" s="5">
        <v>8450.0</v>
      </c>
      <c r="B8451" s="5" t="s">
        <v>8954</v>
      </c>
      <c r="C8451" s="5" t="s">
        <v>21</v>
      </c>
      <c r="K8451" s="5">
        <v>1000.0</v>
      </c>
      <c r="N8451" s="9">
        <v>45333.0</v>
      </c>
    </row>
    <row r="8452">
      <c r="A8452" s="5">
        <v>8451.0</v>
      </c>
      <c r="B8452" s="5" t="s">
        <v>280</v>
      </c>
      <c r="C8452" s="5" t="s">
        <v>21</v>
      </c>
      <c r="N8452" s="9">
        <v>44628.0</v>
      </c>
    </row>
    <row r="8453">
      <c r="A8453" s="5">
        <v>8452.0</v>
      </c>
      <c r="B8453" s="5" t="s">
        <v>8955</v>
      </c>
      <c r="C8453" s="5" t="s">
        <v>21</v>
      </c>
      <c r="K8453" s="5">
        <v>250.0</v>
      </c>
      <c r="N8453" s="9">
        <v>45096.0</v>
      </c>
    </row>
    <row r="8454">
      <c r="A8454" s="5">
        <v>8453.0</v>
      </c>
      <c r="B8454" s="5" t="s">
        <v>8956</v>
      </c>
      <c r="C8454" s="5" t="s">
        <v>21</v>
      </c>
      <c r="K8454" s="5">
        <v>20.0</v>
      </c>
      <c r="N8454" s="9">
        <v>44279.0</v>
      </c>
    </row>
    <row r="8455">
      <c r="A8455" s="5">
        <v>8454.0</v>
      </c>
      <c r="B8455" s="5" t="s">
        <v>8957</v>
      </c>
      <c r="C8455" s="5" t="s">
        <v>21</v>
      </c>
      <c r="K8455" s="5">
        <v>400.0</v>
      </c>
      <c r="N8455" s="9">
        <v>44484.0</v>
      </c>
    </row>
    <row r="8456">
      <c r="A8456" s="5">
        <v>8455.0</v>
      </c>
      <c r="B8456" s="5" t="s">
        <v>8958</v>
      </c>
      <c r="C8456" s="5" t="s">
        <v>21</v>
      </c>
      <c r="K8456" s="5">
        <v>10.0</v>
      </c>
      <c r="N8456" s="9">
        <v>43924.0</v>
      </c>
    </row>
    <row r="8457">
      <c r="A8457" s="5">
        <v>8456.0</v>
      </c>
      <c r="B8457" s="5" t="s">
        <v>8959</v>
      </c>
      <c r="C8457" s="5" t="s">
        <v>21</v>
      </c>
      <c r="K8457" s="5">
        <v>500.0</v>
      </c>
      <c r="N8457" s="9">
        <v>44619.0</v>
      </c>
    </row>
    <row r="8458">
      <c r="A8458" s="5">
        <v>8457.0</v>
      </c>
      <c r="B8458" s="5" t="s">
        <v>8960</v>
      </c>
      <c r="C8458" s="5" t="s">
        <v>21</v>
      </c>
      <c r="K8458" s="5">
        <v>150.0</v>
      </c>
      <c r="N8458" s="9">
        <v>44811.0</v>
      </c>
    </row>
    <row r="8459">
      <c r="A8459" s="5">
        <v>8458.0</v>
      </c>
      <c r="B8459" s="5" t="s">
        <v>8961</v>
      </c>
      <c r="C8459" s="5" t="s">
        <v>21</v>
      </c>
      <c r="N8459" s="9">
        <v>44519.0</v>
      </c>
    </row>
    <row r="8460">
      <c r="A8460" s="5">
        <v>8459.0</v>
      </c>
      <c r="B8460" s="5" t="s">
        <v>8962</v>
      </c>
      <c r="C8460" s="5" t="s">
        <v>21</v>
      </c>
      <c r="K8460" s="5">
        <v>500.0</v>
      </c>
      <c r="N8460" s="9">
        <v>44581.0</v>
      </c>
    </row>
    <row r="8461">
      <c r="A8461" s="5">
        <v>8460.0</v>
      </c>
      <c r="B8461" s="5" t="s">
        <v>8963</v>
      </c>
      <c r="C8461" s="5" t="s">
        <v>21</v>
      </c>
      <c r="K8461" s="5">
        <v>20.0</v>
      </c>
      <c r="N8461" s="9">
        <v>44662.0</v>
      </c>
    </row>
    <row r="8462">
      <c r="A8462" s="5">
        <v>8461.0</v>
      </c>
      <c r="B8462" s="5" t="s">
        <v>8964</v>
      </c>
      <c r="C8462" s="5" t="s">
        <v>21</v>
      </c>
      <c r="K8462" s="5">
        <v>2700.0</v>
      </c>
      <c r="N8462" s="9">
        <v>44403.0</v>
      </c>
    </row>
    <row r="8463">
      <c r="A8463" s="5">
        <v>8462.0</v>
      </c>
      <c r="B8463" s="5" t="s">
        <v>8965</v>
      </c>
      <c r="C8463" s="5" t="s">
        <v>21</v>
      </c>
      <c r="K8463" s="5">
        <v>200.0</v>
      </c>
      <c r="N8463" s="9">
        <v>44627.0</v>
      </c>
    </row>
    <row r="8464">
      <c r="A8464" s="5">
        <v>8463.0</v>
      </c>
      <c r="B8464" s="5" t="s">
        <v>8966</v>
      </c>
      <c r="C8464" s="5" t="s">
        <v>21</v>
      </c>
      <c r="K8464" s="5">
        <v>250.0</v>
      </c>
      <c r="N8464" s="9">
        <v>44564.0</v>
      </c>
    </row>
    <row r="8465">
      <c r="A8465" s="5">
        <v>8464.0</v>
      </c>
      <c r="B8465" s="5" t="s">
        <v>8967</v>
      </c>
      <c r="C8465" s="5" t="s">
        <v>21</v>
      </c>
      <c r="K8465" s="5">
        <v>350.0</v>
      </c>
      <c r="N8465" s="9">
        <v>44443.0</v>
      </c>
    </row>
    <row r="8466">
      <c r="A8466" s="5">
        <v>8465.0</v>
      </c>
      <c r="B8466" s="5" t="s">
        <v>8968</v>
      </c>
      <c r="C8466" s="5" t="s">
        <v>21</v>
      </c>
      <c r="K8466" s="5">
        <v>30.0</v>
      </c>
      <c r="N8466" s="9">
        <v>44880.0</v>
      </c>
    </row>
    <row r="8467">
      <c r="A8467" s="5">
        <v>8466.0</v>
      </c>
      <c r="B8467" s="5" t="s">
        <v>8969</v>
      </c>
      <c r="C8467" s="5" t="s">
        <v>21</v>
      </c>
      <c r="K8467" s="5">
        <v>3100.0</v>
      </c>
      <c r="N8467" s="9">
        <v>45715.0</v>
      </c>
    </row>
    <row r="8468">
      <c r="A8468" s="5">
        <v>8467.0</v>
      </c>
      <c r="B8468" s="5" t="s">
        <v>8970</v>
      </c>
      <c r="C8468" s="5" t="s">
        <v>21</v>
      </c>
      <c r="K8468" s="5">
        <v>500.0</v>
      </c>
      <c r="N8468" s="9">
        <v>43914.0</v>
      </c>
    </row>
    <row r="8469">
      <c r="A8469" s="5">
        <v>8468.0</v>
      </c>
      <c r="B8469" s="5" t="s">
        <v>8971</v>
      </c>
      <c r="C8469" s="5" t="s">
        <v>21</v>
      </c>
      <c r="K8469" s="5">
        <v>500.0</v>
      </c>
      <c r="N8469" s="9">
        <v>44132.0</v>
      </c>
    </row>
    <row r="8470">
      <c r="A8470" s="5">
        <v>8469.0</v>
      </c>
      <c r="B8470" s="5" t="s">
        <v>8972</v>
      </c>
      <c r="C8470" s="5" t="s">
        <v>21</v>
      </c>
      <c r="N8470" s="9">
        <v>44524.0</v>
      </c>
    </row>
    <row r="8471">
      <c r="A8471" s="5">
        <v>8470.0</v>
      </c>
      <c r="B8471" s="5" t="s">
        <v>8973</v>
      </c>
      <c r="C8471" s="5" t="s">
        <v>21</v>
      </c>
      <c r="K8471" s="5">
        <v>1500.0</v>
      </c>
      <c r="N8471" s="9">
        <v>44364.0</v>
      </c>
    </row>
    <row r="8472">
      <c r="A8472" s="5">
        <v>8471.0</v>
      </c>
      <c r="B8472" s="5" t="s">
        <v>8974</v>
      </c>
      <c r="C8472" s="5" t="s">
        <v>21</v>
      </c>
      <c r="K8472" s="5">
        <v>150.0</v>
      </c>
      <c r="N8472" s="9">
        <v>44534.0</v>
      </c>
    </row>
    <row r="8473">
      <c r="A8473" s="5">
        <v>8472.0</v>
      </c>
      <c r="B8473" s="5" t="s">
        <v>8975</v>
      </c>
      <c r="C8473" s="5" t="s">
        <v>21</v>
      </c>
      <c r="K8473" s="5">
        <v>350.0</v>
      </c>
      <c r="N8473" s="9">
        <v>44500.0</v>
      </c>
    </row>
    <row r="8474">
      <c r="A8474" s="5">
        <v>8473.0</v>
      </c>
      <c r="B8474" s="5" t="s">
        <v>8976</v>
      </c>
      <c r="C8474" s="5" t="s">
        <v>21</v>
      </c>
      <c r="K8474" s="5">
        <v>1300.0</v>
      </c>
      <c r="N8474" s="9">
        <v>44353.0</v>
      </c>
    </row>
    <row r="8475">
      <c r="A8475" s="5">
        <v>8474.0</v>
      </c>
      <c r="B8475" s="5" t="s">
        <v>8977</v>
      </c>
      <c r="C8475" s="5" t="s">
        <v>21</v>
      </c>
      <c r="K8475" s="5">
        <v>600.0</v>
      </c>
      <c r="N8475" s="9">
        <v>45041.0</v>
      </c>
    </row>
    <row r="8476">
      <c r="A8476" s="5">
        <v>8475.0</v>
      </c>
      <c r="B8476" s="5" t="s">
        <v>8978</v>
      </c>
      <c r="C8476" s="5" t="s">
        <v>21</v>
      </c>
      <c r="K8476" s="5">
        <v>600.0</v>
      </c>
      <c r="N8476" s="9">
        <v>43912.0</v>
      </c>
    </row>
    <row r="8477">
      <c r="A8477" s="5">
        <v>8476.0</v>
      </c>
      <c r="B8477" s="5" t="s">
        <v>8979</v>
      </c>
      <c r="C8477" s="5" t="s">
        <v>21</v>
      </c>
      <c r="K8477" s="5">
        <v>80.0</v>
      </c>
      <c r="N8477" s="9">
        <v>44643.0</v>
      </c>
    </row>
    <row r="8478">
      <c r="A8478" s="5">
        <v>8477.0</v>
      </c>
      <c r="B8478" s="5" t="s">
        <v>8980</v>
      </c>
      <c r="C8478" s="5" t="s">
        <v>21</v>
      </c>
      <c r="K8478" s="5">
        <v>250.0</v>
      </c>
      <c r="N8478" s="9">
        <v>44266.0</v>
      </c>
    </row>
    <row r="8479">
      <c r="A8479" s="5">
        <v>8478.0</v>
      </c>
      <c r="B8479" s="5" t="s">
        <v>8981</v>
      </c>
      <c r="C8479" s="5" t="s">
        <v>21</v>
      </c>
      <c r="K8479" s="5">
        <v>450.0</v>
      </c>
      <c r="N8479" s="9">
        <v>44865.0</v>
      </c>
    </row>
    <row r="8480">
      <c r="A8480" s="5">
        <v>8479.0</v>
      </c>
      <c r="B8480" s="5" t="s">
        <v>8982</v>
      </c>
      <c r="C8480" s="5" t="s">
        <v>21</v>
      </c>
      <c r="K8480" s="5">
        <v>300.0</v>
      </c>
      <c r="N8480" s="9">
        <v>44755.0</v>
      </c>
    </row>
    <row r="8481">
      <c r="A8481" s="5">
        <v>8480.0</v>
      </c>
      <c r="B8481" s="5" t="s">
        <v>8983</v>
      </c>
      <c r="C8481" s="5" t="s">
        <v>21</v>
      </c>
      <c r="K8481" s="5">
        <v>20.0</v>
      </c>
      <c r="N8481" s="9">
        <v>45356.0</v>
      </c>
    </row>
    <row r="8482">
      <c r="A8482" s="5">
        <v>8481.0</v>
      </c>
      <c r="B8482" s="5" t="s">
        <v>8984</v>
      </c>
      <c r="C8482" s="5" t="s">
        <v>21</v>
      </c>
      <c r="K8482" s="5">
        <v>900.0</v>
      </c>
      <c r="N8482" s="9">
        <v>44052.0</v>
      </c>
    </row>
    <row r="8483">
      <c r="A8483" s="5">
        <v>8482.0</v>
      </c>
      <c r="B8483" s="5" t="s">
        <v>747</v>
      </c>
      <c r="C8483" s="5" t="s">
        <v>21</v>
      </c>
      <c r="K8483" s="5">
        <v>1500.0</v>
      </c>
      <c r="N8483" s="9">
        <v>44318.0</v>
      </c>
    </row>
    <row r="8484">
      <c r="A8484" s="5">
        <v>8483.0</v>
      </c>
      <c r="B8484" s="5" t="s">
        <v>8985</v>
      </c>
      <c r="C8484" s="5" t="s">
        <v>21</v>
      </c>
      <c r="K8484" s="5">
        <v>1300.0</v>
      </c>
      <c r="N8484" s="9">
        <v>44440.0</v>
      </c>
    </row>
    <row r="8485">
      <c r="A8485" s="5">
        <v>8484.0</v>
      </c>
      <c r="B8485" s="5" t="s">
        <v>8986</v>
      </c>
      <c r="C8485" s="5" t="s">
        <v>21</v>
      </c>
      <c r="K8485" s="5">
        <v>200.0</v>
      </c>
      <c r="N8485" s="9">
        <v>45237.0</v>
      </c>
    </row>
    <row r="8486">
      <c r="A8486" s="5">
        <v>8485.0</v>
      </c>
      <c r="B8486" s="5" t="s">
        <v>8987</v>
      </c>
      <c r="C8486" s="5" t="s">
        <v>21</v>
      </c>
      <c r="K8486" s="5">
        <v>250.0</v>
      </c>
      <c r="N8486" s="9">
        <v>44733.0</v>
      </c>
    </row>
    <row r="8487">
      <c r="A8487" s="5">
        <v>8486.0</v>
      </c>
      <c r="B8487" s="5" t="s">
        <v>8988</v>
      </c>
      <c r="C8487" s="5" t="s">
        <v>21</v>
      </c>
      <c r="K8487" s="5">
        <v>100.0</v>
      </c>
      <c r="N8487" s="9">
        <v>45078.0</v>
      </c>
    </row>
    <row r="8488">
      <c r="A8488" s="5">
        <v>8487.0</v>
      </c>
      <c r="B8488" s="5" t="s">
        <v>8989</v>
      </c>
      <c r="C8488" s="5" t="s">
        <v>21</v>
      </c>
      <c r="K8488" s="5">
        <v>80.0</v>
      </c>
      <c r="N8488" s="9">
        <v>44509.0</v>
      </c>
    </row>
    <row r="8489">
      <c r="A8489" s="5">
        <v>8488.0</v>
      </c>
      <c r="B8489" s="5" t="s">
        <v>8990</v>
      </c>
      <c r="C8489" s="5" t="s">
        <v>21</v>
      </c>
      <c r="K8489" s="5">
        <v>400.0</v>
      </c>
      <c r="N8489" s="9">
        <v>44300.0</v>
      </c>
    </row>
    <row r="8490">
      <c r="A8490" s="5">
        <v>8489.0</v>
      </c>
      <c r="B8490" s="5" t="s">
        <v>8991</v>
      </c>
      <c r="C8490" s="5" t="s">
        <v>21</v>
      </c>
      <c r="K8490" s="5">
        <v>100.0</v>
      </c>
      <c r="N8490" s="9">
        <v>44781.0</v>
      </c>
    </row>
    <row r="8491">
      <c r="A8491" s="5">
        <v>8490.0</v>
      </c>
      <c r="B8491" s="5" t="s">
        <v>8992</v>
      </c>
      <c r="C8491" s="5" t="s">
        <v>21</v>
      </c>
      <c r="K8491" s="5">
        <v>300.0</v>
      </c>
      <c r="N8491" s="9">
        <v>44215.0</v>
      </c>
    </row>
    <row r="8492">
      <c r="A8492" s="5">
        <v>8491.0</v>
      </c>
      <c r="B8492" s="5" t="s">
        <v>8993</v>
      </c>
      <c r="C8492" s="5" t="s">
        <v>21</v>
      </c>
      <c r="K8492" s="5">
        <v>300.0</v>
      </c>
      <c r="N8492" s="9">
        <v>44958.0</v>
      </c>
    </row>
    <row r="8493">
      <c r="A8493" s="5">
        <v>8492.0</v>
      </c>
      <c r="B8493" s="5" t="s">
        <v>8994</v>
      </c>
      <c r="C8493" s="5" t="s">
        <v>21</v>
      </c>
      <c r="N8493" s="9">
        <v>44518.0</v>
      </c>
    </row>
    <row r="8494">
      <c r="A8494" s="5">
        <v>8493.0</v>
      </c>
      <c r="B8494" s="5" t="s">
        <v>8995</v>
      </c>
      <c r="C8494" s="5" t="s">
        <v>21</v>
      </c>
      <c r="K8494" s="5">
        <v>500.0</v>
      </c>
      <c r="N8494" s="9">
        <v>44434.0</v>
      </c>
    </row>
    <row r="8495">
      <c r="A8495" s="5">
        <v>8494.0</v>
      </c>
      <c r="B8495" s="5" t="s">
        <v>8996</v>
      </c>
      <c r="C8495" s="5" t="s">
        <v>21</v>
      </c>
      <c r="K8495" s="5">
        <v>60.0</v>
      </c>
      <c r="N8495" s="9">
        <v>43921.0</v>
      </c>
    </row>
    <row r="8496">
      <c r="A8496" s="5">
        <v>8495.0</v>
      </c>
      <c r="B8496" s="5" t="s">
        <v>8997</v>
      </c>
      <c r="C8496" s="5" t="s">
        <v>21</v>
      </c>
      <c r="K8496" s="5">
        <v>10.0</v>
      </c>
      <c r="N8496" s="9">
        <v>44620.0</v>
      </c>
    </row>
    <row r="8497">
      <c r="A8497" s="5">
        <v>8496.0</v>
      </c>
      <c r="B8497" s="5" t="s">
        <v>8998</v>
      </c>
      <c r="C8497" s="5" t="s">
        <v>21</v>
      </c>
      <c r="K8497" s="5">
        <v>50.0</v>
      </c>
      <c r="N8497" s="9">
        <v>44662.0</v>
      </c>
    </row>
    <row r="8498">
      <c r="A8498" s="5">
        <v>8497.0</v>
      </c>
      <c r="B8498" s="5" t="s">
        <v>8999</v>
      </c>
      <c r="C8498" s="5" t="s">
        <v>21</v>
      </c>
      <c r="K8498" s="5">
        <v>600.0</v>
      </c>
      <c r="N8498" s="9">
        <v>45253.0</v>
      </c>
    </row>
    <row r="8499">
      <c r="A8499" s="5">
        <v>8498.0</v>
      </c>
      <c r="B8499" s="5" t="s">
        <v>9000</v>
      </c>
      <c r="C8499" s="5" t="s">
        <v>21</v>
      </c>
      <c r="K8499" s="5">
        <v>600.0</v>
      </c>
      <c r="N8499" s="9">
        <v>44498.0</v>
      </c>
    </row>
    <row r="8500">
      <c r="A8500" s="5">
        <v>8499.0</v>
      </c>
      <c r="B8500" s="5" t="s">
        <v>9001</v>
      </c>
      <c r="C8500" s="5" t="s">
        <v>21</v>
      </c>
      <c r="K8500" s="5">
        <v>500.0</v>
      </c>
      <c r="N8500" s="9">
        <v>45100.0</v>
      </c>
    </row>
    <row r="8501">
      <c r="A8501" s="5">
        <v>8500.0</v>
      </c>
      <c r="B8501" s="5" t="s">
        <v>9002</v>
      </c>
      <c r="C8501" s="5" t="s">
        <v>21</v>
      </c>
      <c r="K8501" s="5">
        <v>200.0</v>
      </c>
      <c r="N8501" s="9">
        <v>45466.0</v>
      </c>
    </row>
    <row r="8502">
      <c r="A8502" s="5">
        <v>8501.0</v>
      </c>
      <c r="B8502" s="5" t="s">
        <v>9003</v>
      </c>
      <c r="C8502" s="5" t="s">
        <v>21</v>
      </c>
      <c r="K8502" s="5">
        <v>2500.0</v>
      </c>
      <c r="N8502" s="9">
        <v>44340.0</v>
      </c>
    </row>
    <row r="8503">
      <c r="A8503" s="5">
        <v>8502.0</v>
      </c>
      <c r="B8503" s="5" t="s">
        <v>9004</v>
      </c>
      <c r="C8503" s="5" t="s">
        <v>21</v>
      </c>
      <c r="K8503" s="5">
        <v>200.0</v>
      </c>
      <c r="N8503" s="9">
        <v>44878.0</v>
      </c>
    </row>
    <row r="8504">
      <c r="A8504" s="5">
        <v>8503.0</v>
      </c>
      <c r="B8504" s="5" t="s">
        <v>9005</v>
      </c>
      <c r="C8504" s="5" t="s">
        <v>21</v>
      </c>
      <c r="K8504" s="5">
        <v>300.0</v>
      </c>
      <c r="N8504" s="9">
        <v>44120.0</v>
      </c>
    </row>
    <row r="8505">
      <c r="A8505" s="5">
        <v>8504.0</v>
      </c>
      <c r="B8505" s="5" t="s">
        <v>9006</v>
      </c>
      <c r="C8505" s="5" t="s">
        <v>21</v>
      </c>
      <c r="K8505" s="5">
        <v>800.0</v>
      </c>
      <c r="N8505" s="9">
        <v>45501.0</v>
      </c>
    </row>
    <row r="8506">
      <c r="A8506" s="5">
        <v>8505.0</v>
      </c>
      <c r="B8506" s="5" t="s">
        <v>9007</v>
      </c>
      <c r="C8506" s="5" t="s">
        <v>21</v>
      </c>
      <c r="K8506" s="5">
        <v>600.0</v>
      </c>
      <c r="N8506" s="9">
        <v>44434.0</v>
      </c>
    </row>
    <row r="8507">
      <c r="A8507" s="5">
        <v>8506.0</v>
      </c>
      <c r="B8507" s="5" t="s">
        <v>9008</v>
      </c>
      <c r="C8507" s="5" t="s">
        <v>21</v>
      </c>
      <c r="K8507" s="5">
        <v>700.0</v>
      </c>
      <c r="N8507" s="9">
        <v>44648.0</v>
      </c>
    </row>
    <row r="8508">
      <c r="A8508" s="5">
        <v>8507.0</v>
      </c>
      <c r="B8508" s="5" t="s">
        <v>9009</v>
      </c>
      <c r="C8508" s="5" t="s">
        <v>21</v>
      </c>
      <c r="K8508" s="5">
        <v>250.0</v>
      </c>
      <c r="N8508" s="9">
        <v>44250.0</v>
      </c>
    </row>
    <row r="8509">
      <c r="A8509" s="5">
        <v>8508.0</v>
      </c>
      <c r="B8509" s="5" t="s">
        <v>9010</v>
      </c>
      <c r="C8509" s="5" t="s">
        <v>21</v>
      </c>
      <c r="K8509" s="5">
        <v>400.0</v>
      </c>
      <c r="N8509" s="9">
        <v>45120.0</v>
      </c>
    </row>
    <row r="8510">
      <c r="A8510" s="5">
        <v>8509.0</v>
      </c>
      <c r="B8510" s="5" t="s">
        <v>9011</v>
      </c>
      <c r="C8510" s="5" t="s">
        <v>21</v>
      </c>
      <c r="K8510" s="5">
        <v>700.0</v>
      </c>
      <c r="N8510" s="9">
        <v>44528.0</v>
      </c>
    </row>
    <row r="8511">
      <c r="A8511" s="5">
        <v>8510.0</v>
      </c>
      <c r="B8511" s="5" t="s">
        <v>9012</v>
      </c>
      <c r="C8511" s="5" t="s">
        <v>21</v>
      </c>
      <c r="K8511" s="5">
        <v>1100.0</v>
      </c>
      <c r="N8511" s="9">
        <v>45140.0</v>
      </c>
    </row>
    <row r="8512">
      <c r="A8512" s="5">
        <v>8511.0</v>
      </c>
      <c r="B8512" s="5" t="s">
        <v>9013</v>
      </c>
      <c r="C8512" s="5" t="s">
        <v>21</v>
      </c>
      <c r="K8512" s="5">
        <v>600.0</v>
      </c>
      <c r="N8512" s="9">
        <v>44788.0</v>
      </c>
    </row>
    <row r="8513">
      <c r="A8513" s="5">
        <v>8512.0</v>
      </c>
      <c r="B8513" s="5" t="s">
        <v>9014</v>
      </c>
      <c r="C8513" s="5" t="s">
        <v>21</v>
      </c>
      <c r="K8513" s="5">
        <v>450.0</v>
      </c>
      <c r="N8513" s="9">
        <v>45141.0</v>
      </c>
    </row>
    <row r="8514">
      <c r="A8514" s="5">
        <v>8513.0</v>
      </c>
      <c r="B8514" s="5" t="s">
        <v>9015</v>
      </c>
      <c r="C8514" s="5" t="s">
        <v>21</v>
      </c>
      <c r="K8514" s="5">
        <v>4700.0</v>
      </c>
      <c r="N8514" s="9">
        <v>44251.0</v>
      </c>
    </row>
    <row r="8515">
      <c r="A8515" s="5">
        <v>8514.0</v>
      </c>
      <c r="B8515" s="5" t="s">
        <v>9016</v>
      </c>
      <c r="C8515" s="5" t="s">
        <v>21</v>
      </c>
      <c r="K8515" s="5">
        <v>150.0</v>
      </c>
      <c r="N8515" s="9">
        <v>45080.0</v>
      </c>
    </row>
    <row r="8516">
      <c r="A8516" s="5">
        <v>8515.0</v>
      </c>
      <c r="B8516" s="5" t="s">
        <v>9017</v>
      </c>
      <c r="C8516" s="5" t="s">
        <v>21</v>
      </c>
      <c r="K8516" s="5">
        <v>700.0</v>
      </c>
      <c r="N8516" s="9">
        <v>44462.0</v>
      </c>
    </row>
    <row r="8517">
      <c r="A8517" s="5">
        <v>8516.0</v>
      </c>
      <c r="B8517" s="5" t="s">
        <v>9018</v>
      </c>
      <c r="C8517" s="5" t="s">
        <v>21</v>
      </c>
      <c r="N8517" s="9">
        <v>44529.0</v>
      </c>
    </row>
    <row r="8518">
      <c r="A8518" s="5">
        <v>8517.0</v>
      </c>
      <c r="B8518" s="5" t="s">
        <v>9019</v>
      </c>
      <c r="C8518" s="5" t="s">
        <v>21</v>
      </c>
      <c r="K8518" s="5">
        <v>800.0</v>
      </c>
      <c r="N8518" s="9">
        <v>44162.0</v>
      </c>
    </row>
    <row r="8519">
      <c r="A8519" s="5">
        <v>8518.0</v>
      </c>
      <c r="B8519" s="5" t="s">
        <v>9020</v>
      </c>
      <c r="C8519" s="5" t="s">
        <v>21</v>
      </c>
      <c r="K8519" s="5">
        <v>200.0</v>
      </c>
      <c r="N8519" s="9">
        <v>45571.0</v>
      </c>
    </row>
    <row r="8520">
      <c r="A8520" s="5">
        <v>8519.0</v>
      </c>
      <c r="B8520" s="5" t="s">
        <v>9021</v>
      </c>
      <c r="C8520" s="5" t="s">
        <v>21</v>
      </c>
      <c r="K8520" s="5">
        <v>100.0</v>
      </c>
      <c r="N8520" s="9">
        <v>44548.0</v>
      </c>
    </row>
    <row r="8521">
      <c r="A8521" s="5">
        <v>8520.0</v>
      </c>
      <c r="B8521" s="5" t="s">
        <v>9022</v>
      </c>
      <c r="C8521" s="5" t="s">
        <v>21</v>
      </c>
      <c r="K8521" s="5">
        <v>500.0</v>
      </c>
      <c r="N8521" s="9">
        <v>45490.0</v>
      </c>
    </row>
    <row r="8522">
      <c r="A8522" s="5">
        <v>8521.0</v>
      </c>
      <c r="B8522" s="5" t="s">
        <v>9023</v>
      </c>
      <c r="C8522" s="5" t="s">
        <v>21</v>
      </c>
      <c r="K8522" s="5">
        <v>20.0</v>
      </c>
      <c r="N8522" s="9">
        <v>45145.0</v>
      </c>
    </row>
    <row r="8523">
      <c r="A8523" s="5">
        <v>8522.0</v>
      </c>
      <c r="B8523" s="5" t="s">
        <v>9024</v>
      </c>
      <c r="C8523" s="5" t="s">
        <v>21</v>
      </c>
      <c r="K8523" s="5">
        <v>250.0</v>
      </c>
      <c r="N8523" s="9">
        <v>44926.0</v>
      </c>
    </row>
    <row r="8524">
      <c r="A8524" s="5">
        <v>8523.0</v>
      </c>
      <c r="B8524" s="5" t="s">
        <v>9025</v>
      </c>
      <c r="C8524" s="5" t="s">
        <v>21</v>
      </c>
      <c r="K8524" s="5">
        <v>40.0</v>
      </c>
      <c r="N8524" s="9">
        <v>44615.0</v>
      </c>
    </row>
    <row r="8525">
      <c r="A8525" s="5">
        <v>8524.0</v>
      </c>
      <c r="B8525" s="5" t="s">
        <v>9026</v>
      </c>
      <c r="C8525" s="5" t="s">
        <v>21</v>
      </c>
      <c r="K8525" s="5">
        <v>200.0</v>
      </c>
      <c r="N8525" s="9">
        <v>44615.0</v>
      </c>
    </row>
    <row r="8526">
      <c r="A8526" s="5">
        <v>8525.0</v>
      </c>
      <c r="B8526" s="5" t="s">
        <v>9027</v>
      </c>
      <c r="C8526" s="5" t="s">
        <v>21</v>
      </c>
      <c r="K8526" s="5">
        <v>10.0</v>
      </c>
      <c r="N8526" s="9">
        <v>44581.0</v>
      </c>
    </row>
    <row r="8527">
      <c r="A8527" s="5">
        <v>8526.0</v>
      </c>
      <c r="B8527" s="5" t="s">
        <v>9028</v>
      </c>
      <c r="C8527" s="5" t="s">
        <v>21</v>
      </c>
      <c r="K8527" s="5">
        <v>500.0</v>
      </c>
      <c r="N8527" s="9">
        <v>44237.0</v>
      </c>
    </row>
    <row r="8528">
      <c r="A8528" s="5">
        <v>8527.0</v>
      </c>
      <c r="B8528" s="5" t="s">
        <v>9029</v>
      </c>
      <c r="C8528" s="5" t="s">
        <v>21</v>
      </c>
      <c r="K8528" s="5">
        <v>50.0</v>
      </c>
      <c r="N8528" s="9">
        <v>44606.0</v>
      </c>
    </row>
    <row r="8529">
      <c r="A8529" s="5">
        <v>8528.0</v>
      </c>
      <c r="B8529" s="5" t="s">
        <v>9030</v>
      </c>
      <c r="C8529" s="5" t="s">
        <v>21</v>
      </c>
      <c r="K8529" s="5">
        <v>40.0</v>
      </c>
      <c r="N8529" s="9">
        <v>44386.0</v>
      </c>
    </row>
    <row r="8530">
      <c r="A8530" s="5">
        <v>8529.0</v>
      </c>
      <c r="B8530" s="5" t="s">
        <v>9031</v>
      </c>
      <c r="C8530" s="5" t="s">
        <v>21</v>
      </c>
      <c r="K8530" s="5">
        <v>450.0</v>
      </c>
      <c r="N8530" s="9">
        <v>44580.0</v>
      </c>
    </row>
    <row r="8531">
      <c r="A8531" s="5">
        <v>8530.0</v>
      </c>
      <c r="B8531" s="5" t="s">
        <v>9032</v>
      </c>
      <c r="C8531" s="5" t="s">
        <v>21</v>
      </c>
      <c r="K8531" s="5">
        <v>70.0</v>
      </c>
      <c r="N8531" s="9">
        <v>44652.0</v>
      </c>
    </row>
    <row r="8532">
      <c r="A8532" s="5">
        <v>8531.0</v>
      </c>
      <c r="B8532" s="5" t="s">
        <v>9033</v>
      </c>
      <c r="C8532" s="5" t="s">
        <v>21</v>
      </c>
      <c r="K8532" s="5">
        <v>300.0</v>
      </c>
      <c r="N8532" s="9">
        <v>44696.0</v>
      </c>
    </row>
    <row r="8533">
      <c r="A8533" s="5">
        <v>8532.0</v>
      </c>
      <c r="B8533" s="5" t="s">
        <v>9034</v>
      </c>
      <c r="C8533" s="5" t="s">
        <v>21</v>
      </c>
      <c r="K8533" s="5">
        <v>700.0</v>
      </c>
      <c r="N8533" s="9">
        <v>45330.0</v>
      </c>
    </row>
    <row r="8534">
      <c r="A8534" s="5">
        <v>8533.0</v>
      </c>
      <c r="B8534" s="5" t="s">
        <v>9035</v>
      </c>
      <c r="C8534" s="5" t="s">
        <v>21</v>
      </c>
      <c r="K8534" s="5">
        <v>250.0</v>
      </c>
      <c r="N8534" s="9">
        <v>44628.0</v>
      </c>
    </row>
    <row r="8535">
      <c r="A8535" s="5">
        <v>8534.0</v>
      </c>
      <c r="B8535" s="5" t="s">
        <v>9036</v>
      </c>
      <c r="C8535" s="5" t="s">
        <v>21</v>
      </c>
      <c r="K8535" s="5">
        <v>300.0</v>
      </c>
      <c r="N8535" s="9">
        <v>45155.0</v>
      </c>
    </row>
    <row r="8536">
      <c r="A8536" s="5">
        <v>8535.0</v>
      </c>
      <c r="B8536" s="5" t="s">
        <v>9037</v>
      </c>
      <c r="C8536" s="5" t="s">
        <v>21</v>
      </c>
      <c r="K8536" s="5">
        <v>800.0</v>
      </c>
      <c r="N8536" s="9">
        <v>44561.0</v>
      </c>
    </row>
    <row r="8537">
      <c r="A8537" s="5">
        <v>8536.0</v>
      </c>
      <c r="B8537" s="5" t="s">
        <v>9038</v>
      </c>
      <c r="C8537" s="5" t="s">
        <v>21</v>
      </c>
      <c r="N8537" s="9">
        <v>45471.0</v>
      </c>
    </row>
    <row r="8538">
      <c r="A8538" s="5">
        <v>8537.0</v>
      </c>
      <c r="B8538" s="5" t="s">
        <v>9039</v>
      </c>
      <c r="C8538" s="5" t="s">
        <v>21</v>
      </c>
      <c r="K8538" s="5">
        <v>1800.0</v>
      </c>
      <c r="N8538" s="9">
        <v>44104.0</v>
      </c>
    </row>
    <row r="8539">
      <c r="A8539" s="5">
        <v>8538.0</v>
      </c>
      <c r="B8539" s="5" t="s">
        <v>9040</v>
      </c>
      <c r="C8539" s="5" t="s">
        <v>21</v>
      </c>
      <c r="K8539" s="5">
        <v>1500.0</v>
      </c>
      <c r="N8539" s="9">
        <v>44718.0</v>
      </c>
    </row>
    <row r="8540">
      <c r="A8540" s="5">
        <v>8539.0</v>
      </c>
      <c r="B8540" s="5" t="s">
        <v>9041</v>
      </c>
      <c r="C8540" s="5" t="s">
        <v>21</v>
      </c>
      <c r="K8540" s="5">
        <v>350.0</v>
      </c>
      <c r="N8540" s="9">
        <v>45205.0</v>
      </c>
    </row>
    <row r="8541">
      <c r="A8541" s="5">
        <v>8540.0</v>
      </c>
      <c r="B8541" s="5" t="s">
        <v>9042</v>
      </c>
      <c r="C8541" s="5" t="s">
        <v>21</v>
      </c>
      <c r="K8541" s="5">
        <v>250.0</v>
      </c>
      <c r="N8541" s="9">
        <v>45412.0</v>
      </c>
    </row>
    <row r="8542">
      <c r="A8542" s="5">
        <v>8541.0</v>
      </c>
      <c r="B8542" s="5" t="s">
        <v>9043</v>
      </c>
      <c r="C8542" s="5" t="s">
        <v>21</v>
      </c>
      <c r="K8542" s="5">
        <v>250.0</v>
      </c>
      <c r="N8542" s="9">
        <v>44560.0</v>
      </c>
    </row>
    <row r="8543">
      <c r="A8543" s="5">
        <v>8542.0</v>
      </c>
      <c r="B8543" s="5" t="s">
        <v>9044</v>
      </c>
      <c r="C8543" s="5" t="s">
        <v>21</v>
      </c>
      <c r="K8543" s="5">
        <v>10.0</v>
      </c>
      <c r="N8543" s="9">
        <v>44771.0</v>
      </c>
    </row>
    <row r="8544">
      <c r="A8544" s="5">
        <v>8543.0</v>
      </c>
      <c r="B8544" s="5" t="s">
        <v>9045</v>
      </c>
      <c r="C8544" s="5" t="s">
        <v>21</v>
      </c>
      <c r="K8544" s="5">
        <v>600.0</v>
      </c>
      <c r="N8544" s="9">
        <v>44683.0</v>
      </c>
    </row>
    <row r="8545">
      <c r="A8545" s="5">
        <v>8544.0</v>
      </c>
      <c r="B8545" s="5" t="s">
        <v>9046</v>
      </c>
      <c r="C8545" s="5" t="s">
        <v>21</v>
      </c>
      <c r="N8545" s="9">
        <v>44614.0</v>
      </c>
    </row>
    <row r="8546">
      <c r="A8546" s="5">
        <v>8545.0</v>
      </c>
      <c r="B8546" s="5" t="s">
        <v>9047</v>
      </c>
      <c r="C8546" s="5" t="s">
        <v>21</v>
      </c>
      <c r="K8546" s="5">
        <v>350.0</v>
      </c>
      <c r="N8546" s="9">
        <v>44559.0</v>
      </c>
    </row>
    <row r="8547">
      <c r="A8547" s="5">
        <v>8546.0</v>
      </c>
      <c r="B8547" s="5" t="s">
        <v>9048</v>
      </c>
      <c r="C8547" s="5" t="s">
        <v>21</v>
      </c>
      <c r="K8547" s="5">
        <v>400.0</v>
      </c>
      <c r="N8547" s="9">
        <v>44599.0</v>
      </c>
    </row>
    <row r="8548">
      <c r="A8548" s="5">
        <v>8547.0</v>
      </c>
      <c r="B8548" s="5" t="s">
        <v>9049</v>
      </c>
      <c r="C8548" s="5" t="s">
        <v>21</v>
      </c>
      <c r="K8548" s="5">
        <v>500.0</v>
      </c>
      <c r="N8548" s="9">
        <v>45511.0</v>
      </c>
    </row>
    <row r="8549">
      <c r="A8549" s="5">
        <v>8548.0</v>
      </c>
      <c r="B8549" s="5" t="s">
        <v>9050</v>
      </c>
      <c r="C8549" s="5" t="s">
        <v>21</v>
      </c>
      <c r="K8549" s="5">
        <v>1100.0</v>
      </c>
      <c r="N8549" s="9">
        <v>43892.0</v>
      </c>
    </row>
    <row r="8550">
      <c r="A8550" s="5">
        <v>8549.0</v>
      </c>
      <c r="B8550" s="5" t="s">
        <v>9051</v>
      </c>
      <c r="C8550" s="5" t="s">
        <v>21</v>
      </c>
      <c r="K8550" s="5">
        <v>500.0</v>
      </c>
      <c r="N8550" s="9">
        <v>45244.0</v>
      </c>
    </row>
    <row r="8551">
      <c r="A8551" s="5">
        <v>8550.0</v>
      </c>
      <c r="B8551" s="5" t="s">
        <v>9052</v>
      </c>
      <c r="C8551" s="5" t="s">
        <v>21</v>
      </c>
      <c r="K8551" s="5">
        <v>10.0</v>
      </c>
      <c r="N8551" s="9">
        <v>44568.0</v>
      </c>
    </row>
    <row r="8552">
      <c r="A8552" s="5">
        <v>8551.0</v>
      </c>
      <c r="B8552" s="5" t="s">
        <v>9053</v>
      </c>
      <c r="C8552" s="5" t="s">
        <v>21</v>
      </c>
      <c r="K8552" s="5">
        <v>350.0</v>
      </c>
      <c r="N8552" s="9">
        <v>44087.0</v>
      </c>
    </row>
    <row r="8553">
      <c r="A8553" s="5">
        <v>8552.0</v>
      </c>
      <c r="B8553" s="5" t="s">
        <v>306</v>
      </c>
      <c r="C8553" s="5" t="s">
        <v>21</v>
      </c>
      <c r="K8553" s="5">
        <v>200.0</v>
      </c>
      <c r="N8553" s="9">
        <v>44413.0</v>
      </c>
    </row>
    <row r="8554">
      <c r="A8554" s="5">
        <v>8553.0</v>
      </c>
      <c r="B8554" s="5" t="s">
        <v>9054</v>
      </c>
      <c r="C8554" s="5" t="s">
        <v>21</v>
      </c>
      <c r="K8554" s="5">
        <v>5400.0</v>
      </c>
      <c r="N8554" s="9">
        <v>44598.0</v>
      </c>
    </row>
    <row r="8555">
      <c r="A8555" s="5">
        <v>8554.0</v>
      </c>
      <c r="B8555" s="5" t="s">
        <v>9055</v>
      </c>
      <c r="C8555" s="5" t="s">
        <v>21</v>
      </c>
      <c r="K8555" s="5">
        <v>200.0</v>
      </c>
      <c r="N8555" s="9">
        <v>44648.0</v>
      </c>
    </row>
    <row r="8556">
      <c r="A8556" s="5">
        <v>8555.0</v>
      </c>
      <c r="B8556" s="5" t="s">
        <v>9056</v>
      </c>
      <c r="C8556" s="5" t="s">
        <v>21</v>
      </c>
      <c r="K8556" s="5">
        <v>150.0</v>
      </c>
      <c r="N8556" s="9">
        <v>45388.0</v>
      </c>
    </row>
    <row r="8557">
      <c r="A8557" s="5">
        <v>8556.0</v>
      </c>
      <c r="B8557" s="5" t="s">
        <v>9057</v>
      </c>
      <c r="C8557" s="5" t="s">
        <v>21</v>
      </c>
      <c r="K8557" s="5">
        <v>150.0</v>
      </c>
      <c r="N8557" s="9">
        <v>45593.0</v>
      </c>
    </row>
    <row r="8558">
      <c r="A8558" s="5">
        <v>8557.0</v>
      </c>
      <c r="B8558" s="5" t="s">
        <v>9058</v>
      </c>
      <c r="C8558" s="5" t="s">
        <v>21</v>
      </c>
      <c r="K8558" s="5">
        <v>100.0</v>
      </c>
      <c r="N8558" s="9">
        <v>45165.0</v>
      </c>
    </row>
    <row r="8559">
      <c r="A8559" s="5">
        <v>8558.0</v>
      </c>
      <c r="B8559" s="5" t="s">
        <v>9059</v>
      </c>
      <c r="C8559" s="5" t="s">
        <v>21</v>
      </c>
      <c r="K8559" s="5">
        <v>7400.0</v>
      </c>
      <c r="N8559" s="9">
        <v>44595.0</v>
      </c>
    </row>
    <row r="8560">
      <c r="A8560" s="5">
        <v>8559.0</v>
      </c>
      <c r="B8560" s="5" t="s">
        <v>9060</v>
      </c>
      <c r="C8560" s="5" t="s">
        <v>21</v>
      </c>
      <c r="K8560" s="5">
        <v>350.0</v>
      </c>
      <c r="N8560" s="9">
        <v>43850.0</v>
      </c>
    </row>
    <row r="8561">
      <c r="A8561" s="5">
        <v>8560.0</v>
      </c>
      <c r="B8561" s="5" t="s">
        <v>9061</v>
      </c>
      <c r="C8561" s="5" t="s">
        <v>21</v>
      </c>
      <c r="K8561" s="5">
        <v>40.0</v>
      </c>
      <c r="N8561" s="9">
        <v>45179.0</v>
      </c>
    </row>
    <row r="8562">
      <c r="A8562" s="5">
        <v>8561.0</v>
      </c>
      <c r="B8562" s="5" t="s">
        <v>9062</v>
      </c>
      <c r="C8562" s="5" t="s">
        <v>21</v>
      </c>
      <c r="K8562" s="5">
        <v>250.0</v>
      </c>
      <c r="N8562" s="9">
        <v>44578.0</v>
      </c>
    </row>
    <row r="8563">
      <c r="A8563" s="5">
        <v>8562.0</v>
      </c>
      <c r="B8563" s="5" t="s">
        <v>9063</v>
      </c>
      <c r="C8563" s="5" t="s">
        <v>21</v>
      </c>
      <c r="K8563" s="5">
        <v>17000.0</v>
      </c>
      <c r="N8563" s="9">
        <v>45507.0</v>
      </c>
    </row>
    <row r="8564">
      <c r="A8564" s="5">
        <v>8563.0</v>
      </c>
      <c r="B8564" s="5" t="s">
        <v>9064</v>
      </c>
      <c r="C8564" s="5" t="s">
        <v>21</v>
      </c>
      <c r="K8564" s="5">
        <v>500.0</v>
      </c>
      <c r="N8564" s="9">
        <v>44988.0</v>
      </c>
    </row>
    <row r="8565">
      <c r="A8565" s="5">
        <v>8564.0</v>
      </c>
      <c r="B8565" s="5" t="s">
        <v>9065</v>
      </c>
      <c r="C8565" s="5" t="s">
        <v>21</v>
      </c>
      <c r="K8565" s="5">
        <v>250.0</v>
      </c>
      <c r="N8565" s="9">
        <v>44572.0</v>
      </c>
    </row>
    <row r="8566">
      <c r="A8566" s="5">
        <v>8565.0</v>
      </c>
      <c r="B8566" s="5" t="s">
        <v>9066</v>
      </c>
      <c r="C8566" s="5" t="s">
        <v>21</v>
      </c>
      <c r="K8566" s="5">
        <v>2300.0</v>
      </c>
      <c r="N8566" s="9">
        <v>44001.0</v>
      </c>
    </row>
    <row r="8567">
      <c r="A8567" s="5">
        <v>8566.0</v>
      </c>
      <c r="B8567" s="5" t="s">
        <v>9067</v>
      </c>
      <c r="C8567" s="5" t="s">
        <v>21</v>
      </c>
      <c r="K8567" s="5">
        <v>350.0</v>
      </c>
      <c r="N8567" s="9">
        <v>44533.0</v>
      </c>
    </row>
    <row r="8568">
      <c r="A8568" s="5">
        <v>8567.0</v>
      </c>
      <c r="B8568" s="5" t="s">
        <v>9068</v>
      </c>
      <c r="C8568" s="5" t="s">
        <v>21</v>
      </c>
      <c r="K8568" s="5">
        <v>150.0</v>
      </c>
      <c r="N8568" s="9">
        <v>44966.0</v>
      </c>
    </row>
    <row r="8569">
      <c r="A8569" s="5">
        <v>8568.0</v>
      </c>
      <c r="B8569" s="5" t="s">
        <v>9069</v>
      </c>
      <c r="C8569" s="5" t="s">
        <v>21</v>
      </c>
      <c r="K8569" s="5">
        <v>150.0</v>
      </c>
      <c r="N8569" s="9">
        <v>44727.0</v>
      </c>
    </row>
    <row r="8570">
      <c r="A8570" s="5">
        <v>8569.0</v>
      </c>
      <c r="B8570" s="5" t="s">
        <v>9070</v>
      </c>
      <c r="C8570" s="5" t="s">
        <v>21</v>
      </c>
      <c r="K8570" s="5">
        <v>300.0</v>
      </c>
      <c r="N8570" s="9">
        <v>44980.0</v>
      </c>
    </row>
    <row r="8571">
      <c r="A8571" s="5">
        <v>8570.0</v>
      </c>
      <c r="B8571" s="5" t="s">
        <v>9071</v>
      </c>
      <c r="C8571" s="5" t="s">
        <v>21</v>
      </c>
      <c r="N8571" s="9">
        <v>45165.0</v>
      </c>
    </row>
    <row r="8572">
      <c r="A8572" s="5">
        <v>8571.0</v>
      </c>
      <c r="B8572" s="5" t="s">
        <v>9072</v>
      </c>
      <c r="C8572" s="5" t="s">
        <v>21</v>
      </c>
      <c r="K8572" s="5">
        <v>250.0</v>
      </c>
      <c r="N8572" s="9">
        <v>44543.0</v>
      </c>
    </row>
    <row r="8573">
      <c r="A8573" s="5">
        <v>8572.0</v>
      </c>
      <c r="B8573" s="5" t="s">
        <v>9073</v>
      </c>
      <c r="C8573" s="5" t="s">
        <v>21</v>
      </c>
      <c r="K8573" s="5">
        <v>350.0</v>
      </c>
      <c r="N8573" s="9">
        <v>44572.0</v>
      </c>
    </row>
    <row r="8574">
      <c r="A8574" s="5">
        <v>8573.0</v>
      </c>
      <c r="B8574" s="5" t="s">
        <v>9074</v>
      </c>
      <c r="C8574" s="5" t="s">
        <v>21</v>
      </c>
      <c r="N8574" s="9">
        <v>44828.0</v>
      </c>
    </row>
    <row r="8575">
      <c r="A8575" s="5">
        <v>8574.0</v>
      </c>
      <c r="B8575" s="5" t="s">
        <v>9075</v>
      </c>
      <c r="C8575" s="5" t="s">
        <v>21</v>
      </c>
      <c r="K8575" s="5">
        <v>4500.0</v>
      </c>
      <c r="N8575" s="9">
        <v>43839.0</v>
      </c>
    </row>
    <row r="8576">
      <c r="A8576" s="5">
        <v>8575.0</v>
      </c>
      <c r="B8576" s="5" t="s">
        <v>9076</v>
      </c>
      <c r="C8576" s="5" t="s">
        <v>21</v>
      </c>
      <c r="K8576" s="5">
        <v>3200.0</v>
      </c>
      <c r="N8576" s="9">
        <v>43852.0</v>
      </c>
    </row>
    <row r="8577">
      <c r="A8577" s="5">
        <v>8576.0</v>
      </c>
      <c r="B8577" s="5" t="s">
        <v>9077</v>
      </c>
      <c r="C8577" s="5" t="s">
        <v>21</v>
      </c>
      <c r="K8577" s="5">
        <v>3000.0</v>
      </c>
      <c r="N8577" s="9">
        <v>45187.0</v>
      </c>
    </row>
    <row r="8578">
      <c r="A8578" s="5">
        <v>8577.0</v>
      </c>
      <c r="B8578" s="5" t="s">
        <v>9078</v>
      </c>
      <c r="C8578" s="5" t="s">
        <v>21</v>
      </c>
      <c r="K8578" s="5">
        <v>450.0</v>
      </c>
      <c r="N8578" s="9">
        <v>44578.0</v>
      </c>
    </row>
    <row r="8579">
      <c r="A8579" s="5">
        <v>8578.0</v>
      </c>
      <c r="B8579" s="5" t="s">
        <v>9079</v>
      </c>
      <c r="C8579" s="5" t="s">
        <v>21</v>
      </c>
      <c r="K8579" s="5">
        <v>350.0</v>
      </c>
      <c r="N8579" s="9">
        <v>45443.0</v>
      </c>
    </row>
    <row r="8580">
      <c r="A8580" s="5">
        <v>8579.0</v>
      </c>
      <c r="B8580" s="5" t="s">
        <v>9080</v>
      </c>
      <c r="C8580" s="5" t="s">
        <v>21</v>
      </c>
      <c r="K8580" s="5">
        <v>700.0</v>
      </c>
      <c r="N8580" s="9">
        <v>44794.0</v>
      </c>
    </row>
    <row r="8581">
      <c r="A8581" s="5">
        <v>8580.0</v>
      </c>
      <c r="B8581" s="5" t="s">
        <v>9081</v>
      </c>
      <c r="C8581" s="5" t="s">
        <v>21</v>
      </c>
      <c r="K8581" s="5">
        <v>500.0</v>
      </c>
      <c r="N8581" s="9">
        <v>44170.0</v>
      </c>
    </row>
    <row r="8582">
      <c r="A8582" s="5">
        <v>8581.0</v>
      </c>
      <c r="B8582" s="5" t="s">
        <v>9082</v>
      </c>
      <c r="C8582" s="5" t="s">
        <v>21</v>
      </c>
      <c r="K8582" s="5">
        <v>200.0</v>
      </c>
      <c r="N8582" s="9">
        <v>46124.0</v>
      </c>
    </row>
    <row r="8583">
      <c r="A8583" s="5">
        <v>8582.0</v>
      </c>
      <c r="B8583" s="5" t="s">
        <v>9083</v>
      </c>
      <c r="C8583" s="5" t="s">
        <v>21</v>
      </c>
      <c r="K8583" s="5">
        <v>200.0</v>
      </c>
      <c r="N8583" s="9">
        <v>44591.0</v>
      </c>
    </row>
    <row r="8584">
      <c r="A8584" s="5">
        <v>8583.0</v>
      </c>
      <c r="B8584" s="5" t="s">
        <v>9084</v>
      </c>
      <c r="C8584" s="5" t="s">
        <v>21</v>
      </c>
      <c r="K8584" s="5">
        <v>700.0</v>
      </c>
      <c r="N8584" s="9">
        <v>44532.0</v>
      </c>
    </row>
    <row r="8585">
      <c r="A8585" s="5">
        <v>8584.0</v>
      </c>
      <c r="B8585" s="5" t="s">
        <v>9085</v>
      </c>
      <c r="C8585" s="5" t="s">
        <v>21</v>
      </c>
      <c r="K8585" s="5">
        <v>450.0</v>
      </c>
      <c r="N8585" s="9">
        <v>44567.0</v>
      </c>
    </row>
    <row r="8586">
      <c r="A8586" s="5">
        <v>8585.0</v>
      </c>
      <c r="B8586" s="5" t="s">
        <v>9086</v>
      </c>
      <c r="C8586" s="5" t="s">
        <v>21</v>
      </c>
      <c r="K8586" s="5">
        <v>350.0</v>
      </c>
      <c r="N8586" s="9">
        <v>45095.0</v>
      </c>
    </row>
    <row r="8587">
      <c r="A8587" s="5">
        <v>8586.0</v>
      </c>
      <c r="B8587" s="5" t="s">
        <v>9087</v>
      </c>
      <c r="C8587" s="5" t="s">
        <v>21</v>
      </c>
      <c r="K8587" s="5">
        <v>800.0</v>
      </c>
      <c r="N8587" s="9">
        <v>44612.0</v>
      </c>
    </row>
    <row r="8588">
      <c r="A8588" s="5">
        <v>8587.0</v>
      </c>
      <c r="B8588" s="5" t="s">
        <v>9088</v>
      </c>
      <c r="C8588" s="5" t="s">
        <v>21</v>
      </c>
      <c r="K8588" s="5">
        <v>1200.0</v>
      </c>
      <c r="N8588" s="9">
        <v>44173.0</v>
      </c>
    </row>
    <row r="8589">
      <c r="A8589" s="5">
        <v>8588.0</v>
      </c>
      <c r="B8589" s="5" t="s">
        <v>9089</v>
      </c>
      <c r="C8589" s="5" t="s">
        <v>21</v>
      </c>
      <c r="K8589" s="5">
        <v>200.0</v>
      </c>
      <c r="N8589" s="9">
        <v>44000.0</v>
      </c>
    </row>
    <row r="8590">
      <c r="A8590" s="5">
        <v>8589.0</v>
      </c>
      <c r="B8590" s="5" t="s">
        <v>9090</v>
      </c>
      <c r="C8590" s="5" t="s">
        <v>21</v>
      </c>
      <c r="K8590" s="5">
        <v>400.0</v>
      </c>
      <c r="N8590" s="9">
        <v>43871.0</v>
      </c>
    </row>
    <row r="8591">
      <c r="A8591" s="5">
        <v>8590.0</v>
      </c>
      <c r="B8591" s="5" t="s">
        <v>9091</v>
      </c>
      <c r="C8591" s="5" t="s">
        <v>21</v>
      </c>
      <c r="K8591" s="5">
        <v>60.0</v>
      </c>
      <c r="N8591" s="9">
        <v>44670.0</v>
      </c>
    </row>
    <row r="8592">
      <c r="A8592" s="5">
        <v>8591.0</v>
      </c>
      <c r="B8592" s="5" t="s">
        <v>9092</v>
      </c>
      <c r="C8592" s="5" t="s">
        <v>21</v>
      </c>
      <c r="K8592" s="5">
        <v>200.0</v>
      </c>
      <c r="N8592" s="9">
        <v>44661.0</v>
      </c>
    </row>
    <row r="8593">
      <c r="A8593" s="5">
        <v>8592.0</v>
      </c>
      <c r="B8593" s="5" t="s">
        <v>9093</v>
      </c>
      <c r="C8593" s="5" t="s">
        <v>21</v>
      </c>
      <c r="K8593" s="5">
        <v>60.0</v>
      </c>
      <c r="N8593" s="9">
        <v>44160.0</v>
      </c>
    </row>
    <row r="8594">
      <c r="A8594" s="5">
        <v>8593.0</v>
      </c>
      <c r="B8594" s="5" t="s">
        <v>9094</v>
      </c>
      <c r="C8594" s="5" t="s">
        <v>21</v>
      </c>
      <c r="K8594" s="5">
        <v>90.0</v>
      </c>
      <c r="N8594" s="9">
        <v>44538.0</v>
      </c>
    </row>
    <row r="8595">
      <c r="A8595" s="5">
        <v>8594.0</v>
      </c>
      <c r="B8595" s="5" t="s">
        <v>9095</v>
      </c>
      <c r="C8595" s="5" t="s">
        <v>21</v>
      </c>
      <c r="K8595" s="5">
        <v>600.0</v>
      </c>
      <c r="N8595" s="9">
        <v>44534.0</v>
      </c>
    </row>
    <row r="8596">
      <c r="A8596" s="5">
        <v>8595.0</v>
      </c>
      <c r="B8596" s="5" t="s">
        <v>9096</v>
      </c>
      <c r="C8596" s="5" t="s">
        <v>21</v>
      </c>
      <c r="K8596" s="5">
        <v>800.0</v>
      </c>
      <c r="N8596" s="9">
        <v>44533.0</v>
      </c>
    </row>
    <row r="8597">
      <c r="A8597" s="5">
        <v>8596.0</v>
      </c>
      <c r="B8597" s="5" t="s">
        <v>9097</v>
      </c>
      <c r="C8597" s="5" t="s">
        <v>21</v>
      </c>
      <c r="K8597" s="5">
        <v>300.0</v>
      </c>
      <c r="N8597" s="9">
        <v>43975.0</v>
      </c>
    </row>
    <row r="8598">
      <c r="A8598" s="5">
        <v>8597.0</v>
      </c>
      <c r="B8598" s="5" t="s">
        <v>9098</v>
      </c>
      <c r="C8598" s="5" t="s">
        <v>21</v>
      </c>
      <c r="K8598" s="5">
        <v>450.0</v>
      </c>
      <c r="N8598" s="9">
        <v>44938.0</v>
      </c>
    </row>
    <row r="8599">
      <c r="A8599" s="5">
        <v>8598.0</v>
      </c>
      <c r="B8599" s="5" t="s">
        <v>9099</v>
      </c>
      <c r="C8599" s="5" t="s">
        <v>21</v>
      </c>
      <c r="K8599" s="5">
        <v>70.0</v>
      </c>
      <c r="N8599" s="9">
        <v>45142.0</v>
      </c>
    </row>
    <row r="8600">
      <c r="A8600" s="5">
        <v>8599.0</v>
      </c>
      <c r="B8600" s="5" t="s">
        <v>9100</v>
      </c>
      <c r="C8600" s="5" t="s">
        <v>21</v>
      </c>
      <c r="N8600" s="9">
        <v>44557.0</v>
      </c>
    </row>
    <row r="8601">
      <c r="A8601" s="5">
        <v>8600.0</v>
      </c>
      <c r="B8601" s="5" t="s">
        <v>9101</v>
      </c>
      <c r="C8601" s="5" t="s">
        <v>21</v>
      </c>
      <c r="K8601" s="5">
        <v>10.0</v>
      </c>
      <c r="N8601" s="9">
        <v>44652.0</v>
      </c>
    </row>
    <row r="8602">
      <c r="A8602" s="5">
        <v>8601.0</v>
      </c>
      <c r="B8602" s="5" t="s">
        <v>9102</v>
      </c>
      <c r="C8602" s="5" t="s">
        <v>21</v>
      </c>
      <c r="K8602" s="5">
        <v>250.0</v>
      </c>
      <c r="N8602" s="9">
        <v>44667.0</v>
      </c>
    </row>
    <row r="8603">
      <c r="A8603" s="5">
        <v>8602.0</v>
      </c>
      <c r="B8603" s="5" t="s">
        <v>309</v>
      </c>
      <c r="C8603" s="5" t="s">
        <v>21</v>
      </c>
      <c r="K8603" s="5">
        <v>8000.0</v>
      </c>
      <c r="N8603" s="9">
        <v>43934.0</v>
      </c>
    </row>
    <row r="8604">
      <c r="A8604" s="5">
        <v>8603.0</v>
      </c>
      <c r="B8604" s="5" t="s">
        <v>9103</v>
      </c>
      <c r="C8604" s="5" t="s">
        <v>21</v>
      </c>
      <c r="K8604" s="5">
        <v>150.0</v>
      </c>
      <c r="N8604" s="9">
        <v>45061.0</v>
      </c>
    </row>
    <row r="8605">
      <c r="A8605" s="5">
        <v>8604.0</v>
      </c>
      <c r="B8605" s="5" t="s">
        <v>9104</v>
      </c>
      <c r="C8605" s="5" t="s">
        <v>21</v>
      </c>
      <c r="K8605" s="5">
        <v>600.0</v>
      </c>
      <c r="N8605" s="9">
        <v>44561.0</v>
      </c>
    </row>
    <row r="8606">
      <c r="A8606" s="5">
        <v>8605.0</v>
      </c>
      <c r="B8606" s="5" t="s">
        <v>9105</v>
      </c>
      <c r="C8606" s="5" t="s">
        <v>21</v>
      </c>
      <c r="K8606" s="5">
        <v>300.0</v>
      </c>
      <c r="N8606" s="9">
        <v>44563.0</v>
      </c>
    </row>
    <row r="8607">
      <c r="A8607" s="5">
        <v>8606.0</v>
      </c>
      <c r="B8607" s="5" t="s">
        <v>9106</v>
      </c>
      <c r="C8607" s="5" t="s">
        <v>21</v>
      </c>
      <c r="K8607" s="5">
        <v>450.0</v>
      </c>
      <c r="N8607" s="9">
        <v>44336.0</v>
      </c>
    </row>
    <row r="8608">
      <c r="A8608" s="5">
        <v>8607.0</v>
      </c>
      <c r="B8608" s="5" t="s">
        <v>9107</v>
      </c>
      <c r="C8608" s="5" t="s">
        <v>21</v>
      </c>
      <c r="K8608" s="5">
        <v>70.0</v>
      </c>
      <c r="N8608" s="9">
        <v>45320.0</v>
      </c>
    </row>
    <row r="8609">
      <c r="A8609" s="5">
        <v>8608.0</v>
      </c>
      <c r="B8609" s="5" t="s">
        <v>9108</v>
      </c>
      <c r="C8609" s="5" t="s">
        <v>21</v>
      </c>
      <c r="K8609" s="5">
        <v>250.0</v>
      </c>
      <c r="N8609" s="9">
        <v>44544.0</v>
      </c>
    </row>
    <row r="8610">
      <c r="A8610" s="5">
        <v>8609.0</v>
      </c>
      <c r="B8610" s="5" t="s">
        <v>9109</v>
      </c>
      <c r="C8610" s="5" t="s">
        <v>21</v>
      </c>
      <c r="K8610" s="5">
        <v>400.0</v>
      </c>
      <c r="N8610" s="9">
        <v>45117.0</v>
      </c>
    </row>
    <row r="8611">
      <c r="A8611" s="5">
        <v>8610.0</v>
      </c>
      <c r="B8611" s="5" t="s">
        <v>9110</v>
      </c>
      <c r="C8611" s="5" t="s">
        <v>21</v>
      </c>
      <c r="K8611" s="5">
        <v>500.0</v>
      </c>
      <c r="N8611" s="9">
        <v>44650.0</v>
      </c>
    </row>
    <row r="8612">
      <c r="A8612" s="5">
        <v>8611.0</v>
      </c>
      <c r="B8612" s="5" t="s">
        <v>9111</v>
      </c>
      <c r="C8612" s="5" t="s">
        <v>21</v>
      </c>
      <c r="K8612" s="5">
        <v>700.0</v>
      </c>
      <c r="N8612" s="9">
        <v>44054.0</v>
      </c>
    </row>
    <row r="8613">
      <c r="A8613" s="5">
        <v>8612.0</v>
      </c>
      <c r="B8613" s="5" t="s">
        <v>9112</v>
      </c>
      <c r="C8613" s="5" t="s">
        <v>21</v>
      </c>
      <c r="K8613" s="5">
        <v>2200.0</v>
      </c>
      <c r="N8613" s="9">
        <v>44407.0</v>
      </c>
    </row>
    <row r="8614">
      <c r="A8614" s="5">
        <v>8613.0</v>
      </c>
      <c r="B8614" s="5" t="s">
        <v>9113</v>
      </c>
      <c r="C8614" s="5" t="s">
        <v>21</v>
      </c>
      <c r="K8614" s="5">
        <v>400.0</v>
      </c>
      <c r="N8614" s="9">
        <v>45498.0</v>
      </c>
    </row>
    <row r="8615">
      <c r="A8615" s="5">
        <v>8614.0</v>
      </c>
      <c r="B8615" s="5" t="s">
        <v>9114</v>
      </c>
      <c r="C8615" s="5" t="s">
        <v>21</v>
      </c>
      <c r="K8615" s="5">
        <v>900.0</v>
      </c>
      <c r="N8615" s="9">
        <v>44611.0</v>
      </c>
    </row>
    <row r="8616">
      <c r="A8616" s="5">
        <v>8615.0</v>
      </c>
      <c r="B8616" s="5" t="s">
        <v>9115</v>
      </c>
      <c r="C8616" s="5" t="s">
        <v>21</v>
      </c>
      <c r="K8616" s="5">
        <v>300.0</v>
      </c>
      <c r="N8616" s="9">
        <v>45226.0</v>
      </c>
    </row>
    <row r="8617">
      <c r="A8617" s="5">
        <v>8616.0</v>
      </c>
      <c r="B8617" s="5" t="s">
        <v>9116</v>
      </c>
      <c r="C8617" s="5" t="s">
        <v>21</v>
      </c>
      <c r="K8617" s="5">
        <v>1000.0</v>
      </c>
      <c r="N8617" s="9">
        <v>44532.0</v>
      </c>
    </row>
    <row r="8618">
      <c r="A8618" s="5">
        <v>8617.0</v>
      </c>
      <c r="B8618" s="5" t="s">
        <v>9117</v>
      </c>
      <c r="C8618" s="5" t="s">
        <v>21</v>
      </c>
      <c r="N8618" s="9">
        <v>44518.0</v>
      </c>
    </row>
    <row r="8619">
      <c r="A8619" s="5">
        <v>8618.0</v>
      </c>
      <c r="B8619" s="5" t="s">
        <v>9118</v>
      </c>
      <c r="C8619" s="5" t="s">
        <v>21</v>
      </c>
      <c r="N8619" s="9">
        <v>44540.0</v>
      </c>
    </row>
    <row r="8620">
      <c r="A8620" s="5">
        <v>8619.0</v>
      </c>
      <c r="B8620" s="5" t="s">
        <v>9119</v>
      </c>
      <c r="C8620" s="5" t="s">
        <v>21</v>
      </c>
      <c r="K8620" s="5">
        <v>4500.0</v>
      </c>
      <c r="N8620" s="9">
        <v>46088.0</v>
      </c>
    </row>
    <row r="8621">
      <c r="A8621" s="5">
        <v>8620.0</v>
      </c>
      <c r="B8621" s="5" t="s">
        <v>9120</v>
      </c>
      <c r="C8621" s="5" t="s">
        <v>21</v>
      </c>
      <c r="K8621" s="5">
        <v>70.0</v>
      </c>
      <c r="N8621" s="9">
        <v>44656.0</v>
      </c>
    </row>
    <row r="8622">
      <c r="A8622" s="5">
        <v>8621.0</v>
      </c>
      <c r="B8622" s="5" t="s">
        <v>9121</v>
      </c>
      <c r="C8622" s="5" t="s">
        <v>21</v>
      </c>
      <c r="K8622" s="5">
        <v>3600.0</v>
      </c>
      <c r="N8622" s="9">
        <v>45249.0</v>
      </c>
    </row>
    <row r="8623">
      <c r="A8623" s="5">
        <v>8622.0</v>
      </c>
      <c r="B8623" s="5" t="s">
        <v>9122</v>
      </c>
      <c r="C8623" s="5" t="s">
        <v>21</v>
      </c>
      <c r="K8623" s="5">
        <v>700.0</v>
      </c>
      <c r="N8623" s="9">
        <v>44520.0</v>
      </c>
    </row>
    <row r="8624">
      <c r="A8624" s="5">
        <v>8623.0</v>
      </c>
      <c r="B8624" s="5" t="s">
        <v>9123</v>
      </c>
      <c r="C8624" s="5" t="s">
        <v>21</v>
      </c>
      <c r="K8624" s="5">
        <v>250.0</v>
      </c>
      <c r="N8624" s="9">
        <v>45053.0</v>
      </c>
    </row>
    <row r="8625">
      <c r="A8625" s="5">
        <v>8624.0</v>
      </c>
      <c r="B8625" s="5" t="s">
        <v>9124</v>
      </c>
      <c r="C8625" s="5" t="s">
        <v>21</v>
      </c>
      <c r="K8625" s="5">
        <v>250.0</v>
      </c>
      <c r="N8625" s="9">
        <v>45203.0</v>
      </c>
    </row>
    <row r="8626">
      <c r="A8626" s="5">
        <v>8625.0</v>
      </c>
      <c r="B8626" s="5" t="s">
        <v>282</v>
      </c>
      <c r="C8626" s="5" t="s">
        <v>21</v>
      </c>
      <c r="K8626" s="5">
        <v>200.0</v>
      </c>
      <c r="N8626" s="9">
        <v>45404.0</v>
      </c>
    </row>
    <row r="8627">
      <c r="A8627" s="5">
        <v>8626.0</v>
      </c>
      <c r="B8627" s="5" t="s">
        <v>9125</v>
      </c>
      <c r="C8627" s="5" t="s">
        <v>21</v>
      </c>
      <c r="K8627" s="5">
        <v>250.0</v>
      </c>
      <c r="N8627" s="9">
        <v>44900.0</v>
      </c>
    </row>
    <row r="8628">
      <c r="A8628" s="5">
        <v>8627.0</v>
      </c>
      <c r="B8628" s="5" t="s">
        <v>9126</v>
      </c>
      <c r="C8628" s="5" t="s">
        <v>21</v>
      </c>
      <c r="K8628" s="5">
        <v>150.0</v>
      </c>
      <c r="N8628" s="9">
        <v>44552.0</v>
      </c>
    </row>
    <row r="8629">
      <c r="A8629" s="5">
        <v>8628.0</v>
      </c>
      <c r="B8629" s="5" t="s">
        <v>9127</v>
      </c>
      <c r="C8629" s="5" t="s">
        <v>21</v>
      </c>
      <c r="K8629" s="5">
        <v>1000.0</v>
      </c>
      <c r="N8629" s="9">
        <v>44569.0</v>
      </c>
    </row>
    <row r="8630">
      <c r="A8630" s="5">
        <v>8629.0</v>
      </c>
      <c r="B8630" s="5" t="s">
        <v>285</v>
      </c>
      <c r="C8630" s="5" t="s">
        <v>21</v>
      </c>
      <c r="K8630" s="5">
        <v>30.0</v>
      </c>
      <c r="N8630" s="9">
        <v>42421.0</v>
      </c>
    </row>
    <row r="8631">
      <c r="A8631" s="5">
        <v>8630.0</v>
      </c>
      <c r="B8631" s="5" t="s">
        <v>9128</v>
      </c>
      <c r="C8631" s="5" t="s">
        <v>21</v>
      </c>
      <c r="K8631" s="5">
        <v>300.0</v>
      </c>
      <c r="N8631" s="9">
        <v>45142.0</v>
      </c>
    </row>
    <row r="8632">
      <c r="A8632" s="5">
        <v>8631.0</v>
      </c>
      <c r="B8632" s="5" t="s">
        <v>9129</v>
      </c>
      <c r="C8632" s="5" t="s">
        <v>21</v>
      </c>
      <c r="K8632" s="5">
        <v>150.0</v>
      </c>
      <c r="N8632" s="9">
        <v>45243.0</v>
      </c>
    </row>
    <row r="8633">
      <c r="A8633" s="5">
        <v>8632.0</v>
      </c>
      <c r="B8633" s="5" t="s">
        <v>9130</v>
      </c>
      <c r="C8633" s="5" t="s">
        <v>21</v>
      </c>
      <c r="K8633" s="5">
        <v>40.0</v>
      </c>
      <c r="N8633" s="9">
        <v>44790.0</v>
      </c>
    </row>
    <row r="8634">
      <c r="A8634" s="5">
        <v>8633.0</v>
      </c>
      <c r="B8634" s="5" t="s">
        <v>9131</v>
      </c>
      <c r="C8634" s="5" t="s">
        <v>21</v>
      </c>
      <c r="K8634" s="5">
        <v>20.0</v>
      </c>
      <c r="N8634" s="9">
        <v>42251.0</v>
      </c>
    </row>
    <row r="8635">
      <c r="A8635" s="5">
        <v>8634.0</v>
      </c>
      <c r="B8635" s="5" t="s">
        <v>9132</v>
      </c>
      <c r="C8635" s="5" t="s">
        <v>21</v>
      </c>
      <c r="K8635" s="5">
        <v>2200.0</v>
      </c>
      <c r="N8635" s="9">
        <v>44365.0</v>
      </c>
    </row>
    <row r="8636">
      <c r="A8636" s="5">
        <v>8635.0</v>
      </c>
      <c r="B8636" s="5" t="s">
        <v>288</v>
      </c>
      <c r="C8636" s="5" t="s">
        <v>21</v>
      </c>
      <c r="K8636" s="5">
        <v>200.0</v>
      </c>
      <c r="N8636" s="9">
        <v>45373.0</v>
      </c>
    </row>
    <row r="8637">
      <c r="A8637" s="5">
        <v>8636.0</v>
      </c>
      <c r="B8637" s="5" t="s">
        <v>9133</v>
      </c>
      <c r="C8637" s="5" t="s">
        <v>21</v>
      </c>
      <c r="K8637" s="5">
        <v>450.0</v>
      </c>
      <c r="N8637" s="9">
        <v>44480.0</v>
      </c>
    </row>
    <row r="8638">
      <c r="A8638" s="5">
        <v>8637.0</v>
      </c>
      <c r="B8638" s="5" t="s">
        <v>9134</v>
      </c>
      <c r="C8638" s="5" t="s">
        <v>21</v>
      </c>
      <c r="K8638" s="5">
        <v>3500.0</v>
      </c>
      <c r="N8638" s="9">
        <v>44060.0</v>
      </c>
    </row>
    <row r="8639">
      <c r="A8639" s="5">
        <v>8638.0</v>
      </c>
      <c r="B8639" s="5" t="s">
        <v>9135</v>
      </c>
      <c r="C8639" s="5" t="s">
        <v>21</v>
      </c>
      <c r="K8639" s="5">
        <v>350.0</v>
      </c>
      <c r="N8639" s="9">
        <v>45338.0</v>
      </c>
    </row>
    <row r="8640">
      <c r="A8640" s="5">
        <v>8639.0</v>
      </c>
      <c r="B8640" s="5" t="s">
        <v>9136</v>
      </c>
      <c r="C8640" s="5" t="s">
        <v>21</v>
      </c>
      <c r="K8640" s="5">
        <v>20.0</v>
      </c>
      <c r="N8640" s="9">
        <v>44740.0</v>
      </c>
    </row>
    <row r="8641">
      <c r="A8641" s="5">
        <v>8640.0</v>
      </c>
      <c r="B8641" s="5" t="s">
        <v>9137</v>
      </c>
      <c r="C8641" s="5" t="s">
        <v>21</v>
      </c>
      <c r="K8641" s="5">
        <v>450.0</v>
      </c>
      <c r="N8641" s="9">
        <v>44542.0</v>
      </c>
    </row>
    <row r="8642">
      <c r="A8642" s="5">
        <v>8641.0</v>
      </c>
      <c r="B8642" s="5" t="s">
        <v>9138</v>
      </c>
      <c r="C8642" s="5" t="s">
        <v>21</v>
      </c>
      <c r="K8642" s="5">
        <v>250.0</v>
      </c>
      <c r="N8642" s="9">
        <v>45201.0</v>
      </c>
    </row>
    <row r="8643">
      <c r="A8643" s="5">
        <v>8642.0</v>
      </c>
      <c r="B8643" s="5" t="s">
        <v>9139</v>
      </c>
      <c r="C8643" s="5" t="s">
        <v>21</v>
      </c>
      <c r="K8643" s="5">
        <v>4500.0</v>
      </c>
      <c r="N8643" s="9">
        <v>44310.0</v>
      </c>
    </row>
    <row r="8644">
      <c r="A8644" s="5">
        <v>8643.0</v>
      </c>
      <c r="B8644" s="5" t="s">
        <v>9140</v>
      </c>
      <c r="C8644" s="5" t="s">
        <v>21</v>
      </c>
      <c r="K8644" s="5">
        <v>90.0</v>
      </c>
      <c r="N8644" s="9">
        <v>44047.0</v>
      </c>
    </row>
    <row r="8645">
      <c r="A8645" s="5">
        <v>8644.0</v>
      </c>
      <c r="B8645" s="5" t="s">
        <v>9141</v>
      </c>
      <c r="C8645" s="5" t="s">
        <v>21</v>
      </c>
      <c r="K8645" s="5">
        <v>400.0</v>
      </c>
      <c r="N8645" s="9">
        <v>44609.0</v>
      </c>
    </row>
    <row r="8646">
      <c r="A8646" s="5">
        <v>8645.0</v>
      </c>
      <c r="B8646" s="5" t="s">
        <v>9142</v>
      </c>
      <c r="C8646" s="5" t="s">
        <v>21</v>
      </c>
      <c r="K8646" s="5">
        <v>700.0</v>
      </c>
      <c r="N8646" s="9">
        <v>44647.0</v>
      </c>
    </row>
    <row r="8647">
      <c r="A8647" s="5">
        <v>8646.0</v>
      </c>
      <c r="B8647" s="5" t="s">
        <v>9143</v>
      </c>
      <c r="C8647" s="5" t="s">
        <v>21</v>
      </c>
      <c r="K8647" s="5">
        <v>500.0</v>
      </c>
      <c r="N8647" s="9">
        <v>44547.0</v>
      </c>
    </row>
    <row r="8648">
      <c r="A8648" s="5">
        <v>8647.0</v>
      </c>
      <c r="B8648" s="5" t="s">
        <v>9144</v>
      </c>
      <c r="C8648" s="5" t="s">
        <v>21</v>
      </c>
      <c r="K8648" s="5">
        <v>2300.0</v>
      </c>
      <c r="N8648" s="9">
        <v>44143.0</v>
      </c>
    </row>
    <row r="8649">
      <c r="A8649" s="5">
        <v>8648.0</v>
      </c>
      <c r="B8649" s="5" t="s">
        <v>9145</v>
      </c>
      <c r="C8649" s="5" t="s">
        <v>21</v>
      </c>
      <c r="K8649" s="5">
        <v>400.0</v>
      </c>
      <c r="N8649" s="9">
        <v>44576.0</v>
      </c>
    </row>
    <row r="8650">
      <c r="A8650" s="5">
        <v>8649.0</v>
      </c>
      <c r="B8650" s="5" t="s">
        <v>9146</v>
      </c>
      <c r="C8650" s="5" t="s">
        <v>21</v>
      </c>
      <c r="K8650" s="5">
        <v>400.0</v>
      </c>
      <c r="N8650" s="9">
        <v>45107.0</v>
      </c>
    </row>
    <row r="8651">
      <c r="A8651" s="5">
        <v>8650.0</v>
      </c>
      <c r="B8651" s="5" t="s">
        <v>9147</v>
      </c>
      <c r="C8651" s="5" t="s">
        <v>21</v>
      </c>
      <c r="K8651" s="5">
        <v>40.0</v>
      </c>
      <c r="N8651" s="9">
        <v>44636.0</v>
      </c>
    </row>
    <row r="8652">
      <c r="A8652" s="5">
        <v>8651.0</v>
      </c>
      <c r="B8652" s="5" t="s">
        <v>9148</v>
      </c>
      <c r="C8652" s="5" t="s">
        <v>21</v>
      </c>
      <c r="K8652" s="5">
        <v>800.0</v>
      </c>
      <c r="N8652" s="9">
        <v>44883.0</v>
      </c>
    </row>
    <row r="8653">
      <c r="A8653" s="5">
        <v>8652.0</v>
      </c>
      <c r="B8653" s="5" t="s">
        <v>9149</v>
      </c>
      <c r="C8653" s="5" t="s">
        <v>21</v>
      </c>
      <c r="K8653" s="5">
        <v>150.0</v>
      </c>
      <c r="N8653" s="9">
        <v>46124.0</v>
      </c>
    </row>
    <row r="8654">
      <c r="A8654" s="5">
        <v>8653.0</v>
      </c>
      <c r="B8654" s="5" t="s">
        <v>9150</v>
      </c>
      <c r="C8654" s="5" t="s">
        <v>21</v>
      </c>
      <c r="K8654" s="5">
        <v>400.0</v>
      </c>
      <c r="N8654" s="9">
        <v>45519.0</v>
      </c>
    </row>
    <row r="8655">
      <c r="A8655" s="5">
        <v>8654.0</v>
      </c>
      <c r="B8655" s="5" t="s">
        <v>9151</v>
      </c>
      <c r="C8655" s="5" t="s">
        <v>21</v>
      </c>
      <c r="K8655" s="5">
        <v>300.0</v>
      </c>
      <c r="N8655" s="9">
        <v>44321.0</v>
      </c>
    </row>
    <row r="8656">
      <c r="A8656" s="5">
        <v>8655.0</v>
      </c>
      <c r="B8656" s="5" t="s">
        <v>9152</v>
      </c>
      <c r="C8656" s="5" t="s">
        <v>21</v>
      </c>
      <c r="K8656" s="5">
        <v>150.0</v>
      </c>
      <c r="N8656" s="9">
        <v>44125.0</v>
      </c>
    </row>
    <row r="8657">
      <c r="A8657" s="5">
        <v>8656.0</v>
      </c>
      <c r="B8657" s="5" t="s">
        <v>9153</v>
      </c>
      <c r="C8657" s="5" t="s">
        <v>21</v>
      </c>
      <c r="K8657" s="5">
        <v>1000.0</v>
      </c>
      <c r="N8657" s="9">
        <v>44666.0</v>
      </c>
    </row>
    <row r="8658">
      <c r="A8658" s="5">
        <v>8657.0</v>
      </c>
      <c r="B8658" s="5" t="s">
        <v>9154</v>
      </c>
      <c r="C8658" s="5" t="s">
        <v>21</v>
      </c>
      <c r="K8658" s="5">
        <v>1000.0</v>
      </c>
      <c r="N8658" s="9">
        <v>43918.0</v>
      </c>
    </row>
    <row r="8659">
      <c r="A8659" s="5">
        <v>8658.0</v>
      </c>
      <c r="B8659" s="5" t="s">
        <v>9155</v>
      </c>
      <c r="C8659" s="5" t="s">
        <v>21</v>
      </c>
      <c r="K8659" s="5">
        <v>600.0</v>
      </c>
      <c r="N8659" s="9">
        <v>44939.0</v>
      </c>
    </row>
    <row r="8660">
      <c r="A8660" s="5">
        <v>8659.0</v>
      </c>
      <c r="B8660" s="5" t="s">
        <v>9156</v>
      </c>
      <c r="C8660" s="5" t="s">
        <v>21</v>
      </c>
      <c r="K8660" s="5">
        <v>70.0</v>
      </c>
      <c r="N8660" s="9">
        <v>44380.0</v>
      </c>
    </row>
    <row r="8661">
      <c r="A8661" s="5">
        <v>8660.0</v>
      </c>
      <c r="B8661" s="5" t="s">
        <v>9157</v>
      </c>
      <c r="C8661" s="5" t="s">
        <v>21</v>
      </c>
      <c r="K8661" s="5">
        <v>500.0</v>
      </c>
      <c r="N8661" s="9">
        <v>44746.0</v>
      </c>
    </row>
    <row r="8662">
      <c r="A8662" s="5">
        <v>8661.0</v>
      </c>
      <c r="B8662" s="5" t="s">
        <v>9158</v>
      </c>
      <c r="C8662" s="5" t="s">
        <v>21</v>
      </c>
      <c r="K8662" s="5">
        <v>500.0</v>
      </c>
      <c r="N8662" s="9">
        <v>44578.0</v>
      </c>
    </row>
    <row r="8663">
      <c r="A8663" s="5">
        <v>8662.0</v>
      </c>
      <c r="B8663" s="5" t="s">
        <v>9159</v>
      </c>
      <c r="C8663" s="5" t="s">
        <v>21</v>
      </c>
      <c r="K8663" s="5">
        <v>600.0</v>
      </c>
      <c r="N8663" s="9">
        <v>45401.0</v>
      </c>
    </row>
    <row r="8664">
      <c r="A8664" s="5">
        <v>8663.0</v>
      </c>
      <c r="B8664" s="5" t="s">
        <v>9160</v>
      </c>
      <c r="C8664" s="5" t="s">
        <v>21</v>
      </c>
      <c r="K8664" s="5">
        <v>60.0</v>
      </c>
      <c r="N8664" s="9">
        <v>45042.0</v>
      </c>
    </row>
    <row r="8665">
      <c r="A8665" s="5">
        <v>8664.0</v>
      </c>
      <c r="B8665" s="5" t="s">
        <v>9161</v>
      </c>
      <c r="C8665" s="5" t="s">
        <v>21</v>
      </c>
      <c r="K8665" s="5">
        <v>900.0</v>
      </c>
      <c r="N8665" s="9">
        <v>44437.0</v>
      </c>
    </row>
    <row r="8666">
      <c r="A8666" s="5">
        <v>8665.0</v>
      </c>
      <c r="B8666" s="5" t="s">
        <v>9162</v>
      </c>
      <c r="C8666" s="5" t="s">
        <v>21</v>
      </c>
      <c r="K8666" s="5">
        <v>70.0</v>
      </c>
      <c r="N8666" s="9">
        <v>45184.0</v>
      </c>
    </row>
    <row r="8667">
      <c r="A8667" s="5">
        <v>8666.0</v>
      </c>
      <c r="B8667" s="5" t="s">
        <v>9163</v>
      </c>
      <c r="C8667" s="5" t="s">
        <v>21</v>
      </c>
      <c r="K8667" s="5">
        <v>200.0</v>
      </c>
      <c r="N8667" s="9">
        <v>44583.0</v>
      </c>
    </row>
    <row r="8668">
      <c r="A8668" s="5">
        <v>8667.0</v>
      </c>
      <c r="B8668" s="5" t="s">
        <v>9164</v>
      </c>
      <c r="C8668" s="5" t="s">
        <v>21</v>
      </c>
      <c r="K8668" s="5">
        <v>250.0</v>
      </c>
      <c r="N8668" s="9">
        <v>44580.0</v>
      </c>
    </row>
    <row r="8669">
      <c r="A8669" s="5">
        <v>8668.0</v>
      </c>
      <c r="B8669" s="5" t="s">
        <v>9165</v>
      </c>
      <c r="C8669" s="5" t="s">
        <v>21</v>
      </c>
      <c r="N8669" s="9">
        <v>45391.0</v>
      </c>
    </row>
    <row r="8670">
      <c r="A8670" s="5">
        <v>8669.0</v>
      </c>
      <c r="B8670" s="5" t="s">
        <v>9166</v>
      </c>
      <c r="C8670" s="5" t="s">
        <v>21</v>
      </c>
      <c r="K8670" s="5">
        <v>900.0</v>
      </c>
      <c r="N8670" s="9">
        <v>43942.0</v>
      </c>
    </row>
    <row r="8671">
      <c r="A8671" s="5">
        <v>8670.0</v>
      </c>
      <c r="B8671" s="5" t="s">
        <v>9167</v>
      </c>
      <c r="C8671" s="5" t="s">
        <v>21</v>
      </c>
      <c r="K8671" s="5">
        <v>20.0</v>
      </c>
      <c r="N8671" s="9">
        <v>44846.0</v>
      </c>
    </row>
    <row r="8672">
      <c r="A8672" s="5">
        <v>8671.0</v>
      </c>
      <c r="B8672" s="5" t="s">
        <v>9168</v>
      </c>
      <c r="C8672" s="5" t="s">
        <v>21</v>
      </c>
      <c r="K8672" s="5">
        <v>150.0</v>
      </c>
      <c r="N8672" s="9">
        <v>44622.0</v>
      </c>
    </row>
    <row r="8673">
      <c r="A8673" s="5">
        <v>8672.0</v>
      </c>
      <c r="B8673" s="5" t="s">
        <v>9169</v>
      </c>
      <c r="C8673" s="5" t="s">
        <v>21</v>
      </c>
      <c r="K8673" s="5">
        <v>1900.0</v>
      </c>
      <c r="N8673" s="9">
        <v>44168.0</v>
      </c>
    </row>
    <row r="8674">
      <c r="A8674" s="5">
        <v>8673.0</v>
      </c>
      <c r="B8674" s="5" t="s">
        <v>9170</v>
      </c>
      <c r="C8674" s="5" t="s">
        <v>21</v>
      </c>
      <c r="K8674" s="5">
        <v>90.0</v>
      </c>
      <c r="N8674" s="9">
        <v>44687.0</v>
      </c>
    </row>
    <row r="8675">
      <c r="A8675" s="5">
        <v>8674.0</v>
      </c>
      <c r="B8675" s="5" t="s">
        <v>9171</v>
      </c>
      <c r="C8675" s="5" t="s">
        <v>21</v>
      </c>
      <c r="K8675" s="5">
        <v>300.0</v>
      </c>
      <c r="N8675" s="9">
        <v>44425.0</v>
      </c>
    </row>
    <row r="8676">
      <c r="A8676" s="5">
        <v>8675.0</v>
      </c>
      <c r="B8676" s="5" t="s">
        <v>9172</v>
      </c>
      <c r="C8676" s="5" t="s">
        <v>21</v>
      </c>
      <c r="K8676" s="5">
        <v>30.0</v>
      </c>
      <c r="N8676" s="9">
        <v>45201.0</v>
      </c>
    </row>
    <row r="8677">
      <c r="A8677" s="5">
        <v>8676.0</v>
      </c>
      <c r="B8677" s="5" t="s">
        <v>9173</v>
      </c>
      <c r="C8677" s="5" t="s">
        <v>21</v>
      </c>
      <c r="K8677" s="5">
        <v>400.0</v>
      </c>
      <c r="N8677" s="9">
        <v>44530.0</v>
      </c>
    </row>
    <row r="8678">
      <c r="A8678" s="5">
        <v>8677.0</v>
      </c>
      <c r="B8678" s="5" t="s">
        <v>9174</v>
      </c>
      <c r="C8678" s="5" t="s">
        <v>21</v>
      </c>
      <c r="K8678" s="5">
        <v>1000.0</v>
      </c>
      <c r="N8678" s="9">
        <v>43860.0</v>
      </c>
    </row>
    <row r="8679">
      <c r="A8679" s="5">
        <v>8678.0</v>
      </c>
      <c r="B8679" s="5" t="s">
        <v>9175</v>
      </c>
      <c r="C8679" s="5" t="s">
        <v>21</v>
      </c>
      <c r="K8679" s="5">
        <v>2300.0</v>
      </c>
      <c r="N8679" s="9">
        <v>44063.0</v>
      </c>
    </row>
    <row r="8680">
      <c r="A8680" s="5">
        <v>8679.0</v>
      </c>
      <c r="B8680" s="5" t="s">
        <v>9176</v>
      </c>
      <c r="C8680" s="5" t="s">
        <v>21</v>
      </c>
      <c r="K8680" s="5">
        <v>900.0</v>
      </c>
      <c r="N8680" s="9">
        <v>45242.0</v>
      </c>
    </row>
    <row r="8681">
      <c r="A8681" s="5">
        <v>8680.0</v>
      </c>
      <c r="B8681" s="5" t="s">
        <v>9177</v>
      </c>
      <c r="C8681" s="5" t="s">
        <v>21</v>
      </c>
      <c r="K8681" s="5">
        <v>500.0</v>
      </c>
      <c r="N8681" s="9">
        <v>45151.0</v>
      </c>
    </row>
    <row r="8682">
      <c r="A8682" s="5">
        <v>8681.0</v>
      </c>
      <c r="B8682" s="5" t="s">
        <v>9178</v>
      </c>
      <c r="C8682" s="5" t="s">
        <v>21</v>
      </c>
      <c r="K8682" s="5">
        <v>250.0</v>
      </c>
      <c r="N8682" s="9">
        <v>45579.0</v>
      </c>
    </row>
    <row r="8683">
      <c r="A8683" s="5">
        <v>8682.0</v>
      </c>
      <c r="B8683" s="5" t="s">
        <v>9179</v>
      </c>
      <c r="C8683" s="5" t="s">
        <v>21</v>
      </c>
      <c r="K8683" s="5">
        <v>150.0</v>
      </c>
      <c r="N8683" s="9">
        <v>44074.0</v>
      </c>
    </row>
    <row r="8684">
      <c r="A8684" s="5">
        <v>8683.0</v>
      </c>
      <c r="B8684" s="5" t="s">
        <v>9180</v>
      </c>
      <c r="C8684" s="5" t="s">
        <v>21</v>
      </c>
      <c r="K8684" s="5">
        <v>80.0</v>
      </c>
      <c r="N8684" s="9">
        <v>44657.0</v>
      </c>
    </row>
    <row r="8685">
      <c r="A8685" s="5">
        <v>8684.0</v>
      </c>
      <c r="B8685" s="5" t="s">
        <v>9181</v>
      </c>
      <c r="C8685" s="5" t="s">
        <v>21</v>
      </c>
      <c r="K8685" s="5">
        <v>1200.0</v>
      </c>
      <c r="N8685" s="9">
        <v>45379.0</v>
      </c>
    </row>
    <row r="8686">
      <c r="A8686" s="5">
        <v>8685.0</v>
      </c>
      <c r="B8686" s="5" t="s">
        <v>9182</v>
      </c>
      <c r="C8686" s="5" t="s">
        <v>21</v>
      </c>
      <c r="K8686" s="5">
        <v>80.0</v>
      </c>
      <c r="N8686" s="9">
        <v>45584.0</v>
      </c>
    </row>
    <row r="8687">
      <c r="A8687" s="5">
        <v>8686.0</v>
      </c>
      <c r="B8687" s="5" t="s">
        <v>9183</v>
      </c>
      <c r="C8687" s="5" t="s">
        <v>21</v>
      </c>
      <c r="K8687" s="5">
        <v>90.0</v>
      </c>
      <c r="N8687" s="9">
        <v>44574.0</v>
      </c>
    </row>
    <row r="8688">
      <c r="A8688" s="5">
        <v>8687.0</v>
      </c>
      <c r="B8688" s="5" t="s">
        <v>9184</v>
      </c>
      <c r="C8688" s="5" t="s">
        <v>21</v>
      </c>
      <c r="K8688" s="5">
        <v>100.0</v>
      </c>
      <c r="N8688" s="9">
        <v>44564.0</v>
      </c>
    </row>
    <row r="8689">
      <c r="A8689" s="5">
        <v>8688.0</v>
      </c>
      <c r="B8689" s="5" t="s">
        <v>9185</v>
      </c>
      <c r="C8689" s="5" t="s">
        <v>21</v>
      </c>
      <c r="K8689" s="5">
        <v>300.0</v>
      </c>
      <c r="N8689" s="9">
        <v>45605.0</v>
      </c>
    </row>
    <row r="8690">
      <c r="A8690" s="5">
        <v>8689.0</v>
      </c>
      <c r="B8690" s="5" t="s">
        <v>9186</v>
      </c>
      <c r="C8690" s="5" t="s">
        <v>21</v>
      </c>
      <c r="K8690" s="5">
        <v>1200.0</v>
      </c>
      <c r="N8690" s="9">
        <v>43846.0</v>
      </c>
    </row>
    <row r="8691">
      <c r="A8691" s="5">
        <v>8690.0</v>
      </c>
      <c r="B8691" s="5" t="s">
        <v>9187</v>
      </c>
      <c r="C8691" s="5" t="s">
        <v>21</v>
      </c>
      <c r="K8691" s="5">
        <v>40.0</v>
      </c>
      <c r="N8691" s="9">
        <v>44530.0</v>
      </c>
    </row>
    <row r="8692">
      <c r="A8692" s="5">
        <v>8691.0</v>
      </c>
      <c r="B8692" s="5" t="s">
        <v>9188</v>
      </c>
      <c r="C8692" s="5" t="s">
        <v>21</v>
      </c>
      <c r="K8692" s="5">
        <v>300.0</v>
      </c>
      <c r="N8692" s="9">
        <v>44554.0</v>
      </c>
    </row>
    <row r="8693">
      <c r="A8693" s="5">
        <v>8692.0</v>
      </c>
      <c r="B8693" s="5" t="s">
        <v>9189</v>
      </c>
      <c r="C8693" s="5" t="s">
        <v>21</v>
      </c>
      <c r="K8693" s="5">
        <v>700.0</v>
      </c>
      <c r="N8693" s="9">
        <v>44566.0</v>
      </c>
    </row>
    <row r="8694">
      <c r="A8694" s="5">
        <v>8693.0</v>
      </c>
      <c r="B8694" s="5" t="s">
        <v>9190</v>
      </c>
      <c r="C8694" s="5" t="s">
        <v>21</v>
      </c>
      <c r="K8694" s="5">
        <v>900.0</v>
      </c>
      <c r="N8694" s="9">
        <v>44909.0</v>
      </c>
    </row>
    <row r="8695">
      <c r="A8695" s="5">
        <v>8694.0</v>
      </c>
      <c r="B8695" s="5" t="s">
        <v>9191</v>
      </c>
      <c r="C8695" s="5" t="s">
        <v>21</v>
      </c>
      <c r="K8695" s="5">
        <v>100.0</v>
      </c>
      <c r="N8695" s="9">
        <v>45156.0</v>
      </c>
    </row>
    <row r="8696">
      <c r="A8696" s="5">
        <v>8695.0</v>
      </c>
      <c r="B8696" s="5" t="s">
        <v>9192</v>
      </c>
      <c r="C8696" s="5" t="s">
        <v>21</v>
      </c>
      <c r="K8696" s="5">
        <v>2000.0</v>
      </c>
      <c r="N8696" s="9">
        <v>44233.0</v>
      </c>
    </row>
    <row r="8697">
      <c r="A8697" s="5">
        <v>8696.0</v>
      </c>
      <c r="B8697" s="5" t="s">
        <v>9193</v>
      </c>
      <c r="C8697" s="5" t="s">
        <v>21</v>
      </c>
      <c r="K8697" s="5">
        <v>1500.0</v>
      </c>
      <c r="N8697" s="9">
        <v>44608.0</v>
      </c>
    </row>
    <row r="8698">
      <c r="A8698" s="5">
        <v>8697.0</v>
      </c>
      <c r="B8698" s="5" t="s">
        <v>9194</v>
      </c>
      <c r="C8698" s="5" t="s">
        <v>21</v>
      </c>
      <c r="K8698" s="5">
        <v>700.0</v>
      </c>
      <c r="N8698" s="9">
        <v>43897.0</v>
      </c>
    </row>
    <row r="8699">
      <c r="A8699" s="5">
        <v>8698.0</v>
      </c>
      <c r="B8699" s="5" t="s">
        <v>9195</v>
      </c>
      <c r="C8699" s="5" t="s">
        <v>21</v>
      </c>
      <c r="K8699" s="5">
        <v>600.0</v>
      </c>
      <c r="N8699" s="9">
        <v>44207.0</v>
      </c>
    </row>
    <row r="8700">
      <c r="A8700" s="5">
        <v>8699.0</v>
      </c>
      <c r="B8700" s="5" t="s">
        <v>9196</v>
      </c>
      <c r="C8700" s="5" t="s">
        <v>21</v>
      </c>
      <c r="K8700" s="5">
        <v>2900.0</v>
      </c>
      <c r="N8700" s="9">
        <v>44398.0</v>
      </c>
    </row>
    <row r="8701">
      <c r="A8701" s="5">
        <v>8700.0</v>
      </c>
      <c r="B8701" s="5" t="s">
        <v>9197</v>
      </c>
      <c r="C8701" s="5" t="s">
        <v>21</v>
      </c>
      <c r="N8701" s="9">
        <v>44477.0</v>
      </c>
    </row>
    <row r="8702">
      <c r="A8702" s="5">
        <v>8701.0</v>
      </c>
      <c r="B8702" s="5" t="s">
        <v>9198</v>
      </c>
      <c r="C8702" s="5" t="s">
        <v>21</v>
      </c>
      <c r="K8702" s="5">
        <v>700.0</v>
      </c>
      <c r="N8702" s="9">
        <v>44868.0</v>
      </c>
    </row>
    <row r="8703">
      <c r="A8703" s="5">
        <v>8702.0</v>
      </c>
      <c r="B8703" s="5" t="s">
        <v>9199</v>
      </c>
      <c r="C8703" s="5" t="s">
        <v>21</v>
      </c>
      <c r="K8703" s="5">
        <v>150.0</v>
      </c>
      <c r="N8703" s="9">
        <v>44566.0</v>
      </c>
    </row>
    <row r="8704">
      <c r="A8704" s="5">
        <v>8703.0</v>
      </c>
      <c r="B8704" s="5" t="s">
        <v>9200</v>
      </c>
      <c r="C8704" s="5" t="s">
        <v>21</v>
      </c>
      <c r="K8704" s="5">
        <v>300.0</v>
      </c>
      <c r="N8704" s="9">
        <v>44248.0</v>
      </c>
    </row>
    <row r="8705">
      <c r="A8705" s="5">
        <v>8704.0</v>
      </c>
      <c r="B8705" s="5" t="s">
        <v>9201</v>
      </c>
      <c r="C8705" s="5" t="s">
        <v>21</v>
      </c>
      <c r="K8705" s="5">
        <v>2300.0</v>
      </c>
      <c r="N8705" s="9">
        <v>43868.0</v>
      </c>
    </row>
    <row r="8706">
      <c r="A8706" s="5">
        <v>8705.0</v>
      </c>
      <c r="B8706" s="5" t="s">
        <v>9202</v>
      </c>
      <c r="C8706" s="5" t="s">
        <v>21</v>
      </c>
      <c r="K8706" s="5">
        <v>600.0</v>
      </c>
      <c r="N8706" s="9">
        <v>44532.0</v>
      </c>
    </row>
    <row r="8707">
      <c r="A8707" s="5">
        <v>8706.0</v>
      </c>
      <c r="B8707" s="5" t="s">
        <v>9203</v>
      </c>
      <c r="C8707" s="5" t="s">
        <v>21</v>
      </c>
      <c r="K8707" s="5">
        <v>2800.0</v>
      </c>
      <c r="N8707" s="9">
        <v>44378.0</v>
      </c>
    </row>
    <row r="8708">
      <c r="A8708" s="5">
        <v>8707.0</v>
      </c>
      <c r="B8708" s="5" t="s">
        <v>9204</v>
      </c>
      <c r="C8708" s="5" t="s">
        <v>21</v>
      </c>
      <c r="K8708" s="5">
        <v>700.0</v>
      </c>
      <c r="N8708" s="9">
        <v>44447.0</v>
      </c>
    </row>
    <row r="8709">
      <c r="A8709" s="5">
        <v>8708.0</v>
      </c>
      <c r="B8709" s="5" t="s">
        <v>9205</v>
      </c>
      <c r="C8709" s="5" t="s">
        <v>21</v>
      </c>
      <c r="K8709" s="5">
        <v>1900.0</v>
      </c>
      <c r="N8709" s="9">
        <v>44515.0</v>
      </c>
    </row>
    <row r="8710">
      <c r="A8710" s="5">
        <v>8709.0</v>
      </c>
      <c r="B8710" s="5" t="s">
        <v>9206</v>
      </c>
      <c r="C8710" s="5" t="s">
        <v>21</v>
      </c>
      <c r="K8710" s="5">
        <v>350.0</v>
      </c>
      <c r="N8710" s="9">
        <v>44585.0</v>
      </c>
    </row>
    <row r="8711">
      <c r="A8711" s="5">
        <v>8710.0</v>
      </c>
      <c r="B8711" s="5" t="s">
        <v>9207</v>
      </c>
      <c r="C8711" s="5" t="s">
        <v>21</v>
      </c>
      <c r="K8711" s="5">
        <v>250.0</v>
      </c>
      <c r="N8711" s="9">
        <v>44221.0</v>
      </c>
    </row>
    <row r="8712">
      <c r="A8712" s="5">
        <v>8711.0</v>
      </c>
      <c r="B8712" s="5" t="s">
        <v>9208</v>
      </c>
      <c r="C8712" s="5" t="s">
        <v>21</v>
      </c>
      <c r="K8712" s="5">
        <v>700.0</v>
      </c>
      <c r="N8712" s="9">
        <v>44663.0</v>
      </c>
    </row>
    <row r="8713">
      <c r="A8713" s="5">
        <v>8712.0</v>
      </c>
      <c r="B8713" s="5" t="s">
        <v>9209</v>
      </c>
      <c r="C8713" s="5" t="s">
        <v>21</v>
      </c>
      <c r="K8713" s="5">
        <v>100.0</v>
      </c>
      <c r="N8713" s="9">
        <v>45252.0</v>
      </c>
    </row>
    <row r="8714">
      <c r="A8714" s="5">
        <v>8713.0</v>
      </c>
      <c r="B8714" s="5" t="s">
        <v>9210</v>
      </c>
      <c r="C8714" s="5" t="s">
        <v>21</v>
      </c>
      <c r="K8714" s="5">
        <v>20.0</v>
      </c>
      <c r="N8714" s="9">
        <v>44605.0</v>
      </c>
    </row>
    <row r="8715">
      <c r="A8715" s="5">
        <v>8714.0</v>
      </c>
      <c r="B8715" s="5" t="s">
        <v>9211</v>
      </c>
      <c r="C8715" s="5" t="s">
        <v>21</v>
      </c>
      <c r="K8715" s="5">
        <v>500.0</v>
      </c>
      <c r="N8715" s="9">
        <v>44543.0</v>
      </c>
    </row>
    <row r="8716">
      <c r="A8716" s="5">
        <v>8715.0</v>
      </c>
      <c r="B8716" s="5" t="s">
        <v>9212</v>
      </c>
      <c r="C8716" s="5" t="s">
        <v>21</v>
      </c>
      <c r="K8716" s="5">
        <v>700.0</v>
      </c>
      <c r="N8716" s="9">
        <v>45800.0</v>
      </c>
    </row>
    <row r="8717">
      <c r="A8717" s="5">
        <v>8716.0</v>
      </c>
      <c r="B8717" s="5" t="s">
        <v>9213</v>
      </c>
      <c r="C8717" s="5" t="s">
        <v>21</v>
      </c>
      <c r="K8717" s="5">
        <v>90.0</v>
      </c>
      <c r="N8717" s="9">
        <v>43886.0</v>
      </c>
    </row>
    <row r="8718">
      <c r="A8718" s="5">
        <v>8717.0</v>
      </c>
      <c r="B8718" s="5" t="s">
        <v>9214</v>
      </c>
      <c r="C8718" s="5" t="s">
        <v>21</v>
      </c>
      <c r="K8718" s="5">
        <v>1000.0</v>
      </c>
      <c r="N8718" s="9">
        <v>44535.0</v>
      </c>
    </row>
    <row r="8719">
      <c r="A8719" s="5">
        <v>8718.0</v>
      </c>
      <c r="B8719" s="5" t="s">
        <v>9215</v>
      </c>
      <c r="C8719" s="5" t="s">
        <v>21</v>
      </c>
      <c r="K8719" s="5">
        <v>1300.0</v>
      </c>
      <c r="N8719" s="9">
        <v>44580.0</v>
      </c>
    </row>
    <row r="8720">
      <c r="A8720" s="5">
        <v>8719.0</v>
      </c>
      <c r="B8720" s="5" t="s">
        <v>9216</v>
      </c>
      <c r="C8720" s="5" t="s">
        <v>21</v>
      </c>
      <c r="K8720" s="5">
        <v>2100.0</v>
      </c>
      <c r="N8720" s="9">
        <v>45578.0</v>
      </c>
    </row>
    <row r="8721">
      <c r="A8721" s="5">
        <v>8720.0</v>
      </c>
      <c r="B8721" s="5" t="s">
        <v>9217</v>
      </c>
      <c r="C8721" s="5" t="s">
        <v>21</v>
      </c>
      <c r="K8721" s="5">
        <v>100.0</v>
      </c>
      <c r="N8721" s="9">
        <v>44665.0</v>
      </c>
    </row>
    <row r="8722">
      <c r="A8722" s="5">
        <v>8721.0</v>
      </c>
      <c r="B8722" s="5" t="s">
        <v>9218</v>
      </c>
      <c r="C8722" s="5" t="s">
        <v>21</v>
      </c>
      <c r="K8722" s="5">
        <v>60.0</v>
      </c>
      <c r="N8722" s="9">
        <v>44781.0</v>
      </c>
    </row>
    <row r="8723">
      <c r="A8723" s="5">
        <v>8722.0</v>
      </c>
      <c r="B8723" s="5" t="s">
        <v>9219</v>
      </c>
      <c r="C8723" s="5" t="s">
        <v>21</v>
      </c>
      <c r="K8723" s="5">
        <v>400.0</v>
      </c>
      <c r="N8723" s="9">
        <v>43931.0</v>
      </c>
    </row>
    <row r="8724">
      <c r="A8724" s="5">
        <v>8723.0</v>
      </c>
      <c r="B8724" s="5" t="s">
        <v>9220</v>
      </c>
      <c r="C8724" s="5" t="s">
        <v>21</v>
      </c>
      <c r="K8724" s="5">
        <v>600.0</v>
      </c>
      <c r="N8724" s="9">
        <v>43860.0</v>
      </c>
    </row>
    <row r="8725">
      <c r="A8725" s="5">
        <v>8724.0</v>
      </c>
      <c r="B8725" s="5" t="s">
        <v>9221</v>
      </c>
      <c r="C8725" s="5" t="s">
        <v>21</v>
      </c>
      <c r="K8725" s="5">
        <v>350.0</v>
      </c>
      <c r="N8725" s="9">
        <v>45333.0</v>
      </c>
    </row>
    <row r="8726">
      <c r="A8726" s="5">
        <v>8725.0</v>
      </c>
      <c r="B8726" s="5" t="s">
        <v>9222</v>
      </c>
      <c r="C8726" s="5" t="s">
        <v>21</v>
      </c>
      <c r="K8726" s="5">
        <v>700.0</v>
      </c>
      <c r="N8726" s="9">
        <v>45078.0</v>
      </c>
    </row>
    <row r="8727">
      <c r="A8727" s="5">
        <v>8726.0</v>
      </c>
      <c r="B8727" s="5" t="s">
        <v>9223</v>
      </c>
      <c r="C8727" s="5" t="s">
        <v>21</v>
      </c>
      <c r="K8727" s="5">
        <v>2400.0</v>
      </c>
      <c r="N8727" s="9">
        <v>44459.0</v>
      </c>
    </row>
    <row r="8728">
      <c r="A8728" s="5">
        <v>8727.0</v>
      </c>
      <c r="B8728" s="5" t="s">
        <v>9224</v>
      </c>
      <c r="C8728" s="5" t="s">
        <v>21</v>
      </c>
      <c r="K8728" s="5">
        <v>10.0</v>
      </c>
      <c r="N8728" s="9">
        <v>44541.0</v>
      </c>
    </row>
    <row r="8729">
      <c r="A8729" s="5">
        <v>8728.0</v>
      </c>
      <c r="B8729" s="5" t="s">
        <v>9225</v>
      </c>
      <c r="C8729" s="5" t="s">
        <v>21</v>
      </c>
      <c r="K8729" s="5">
        <v>500.0</v>
      </c>
      <c r="N8729" s="9">
        <v>44990.0</v>
      </c>
    </row>
    <row r="8730">
      <c r="A8730" s="5">
        <v>8729.0</v>
      </c>
      <c r="B8730" s="5" t="s">
        <v>9226</v>
      </c>
      <c r="C8730" s="5" t="s">
        <v>21</v>
      </c>
      <c r="N8730" s="9">
        <v>44599.0</v>
      </c>
    </row>
    <row r="8731">
      <c r="A8731" s="5">
        <v>8730.0</v>
      </c>
      <c r="B8731" s="5" t="s">
        <v>9227</v>
      </c>
      <c r="C8731" s="5" t="s">
        <v>21</v>
      </c>
      <c r="K8731" s="5">
        <v>800.0</v>
      </c>
      <c r="N8731" s="9">
        <v>45006.0</v>
      </c>
    </row>
    <row r="8732">
      <c r="A8732" s="5">
        <v>8731.0</v>
      </c>
      <c r="B8732" s="5" t="s">
        <v>9228</v>
      </c>
      <c r="C8732" s="5" t="s">
        <v>21</v>
      </c>
      <c r="K8732" s="5">
        <v>900.0</v>
      </c>
      <c r="N8732" s="9">
        <v>43853.0</v>
      </c>
    </row>
    <row r="8733">
      <c r="A8733" s="5">
        <v>8732.0</v>
      </c>
      <c r="B8733" s="5" t="s">
        <v>9229</v>
      </c>
      <c r="C8733" s="5" t="s">
        <v>21</v>
      </c>
      <c r="N8733" s="9">
        <v>44524.0</v>
      </c>
    </row>
    <row r="8734">
      <c r="A8734" s="5">
        <v>8733.0</v>
      </c>
      <c r="B8734" s="5" t="s">
        <v>9230</v>
      </c>
      <c r="C8734" s="5" t="s">
        <v>21</v>
      </c>
      <c r="K8734" s="5">
        <v>200.0</v>
      </c>
      <c r="N8734" s="9">
        <v>44846.0</v>
      </c>
    </row>
    <row r="8735">
      <c r="A8735" s="5">
        <v>8734.0</v>
      </c>
      <c r="B8735" s="5" t="s">
        <v>9231</v>
      </c>
      <c r="C8735" s="5" t="s">
        <v>21</v>
      </c>
      <c r="K8735" s="5">
        <v>250.0</v>
      </c>
      <c r="N8735" s="9">
        <v>44748.0</v>
      </c>
    </row>
    <row r="8736">
      <c r="A8736" s="5">
        <v>8735.0</v>
      </c>
      <c r="B8736" s="5" t="s">
        <v>9232</v>
      </c>
      <c r="C8736" s="5" t="s">
        <v>21</v>
      </c>
      <c r="K8736" s="5">
        <v>10.0</v>
      </c>
      <c r="N8736" s="9">
        <v>44483.0</v>
      </c>
    </row>
    <row r="8737">
      <c r="A8737" s="5">
        <v>8736.0</v>
      </c>
      <c r="B8737" s="5" t="s">
        <v>9233</v>
      </c>
      <c r="C8737" s="5" t="s">
        <v>21</v>
      </c>
      <c r="K8737" s="5">
        <v>700.0</v>
      </c>
      <c r="N8737" s="9">
        <v>44654.0</v>
      </c>
    </row>
    <row r="8738">
      <c r="A8738" s="5">
        <v>8737.0</v>
      </c>
      <c r="B8738" s="5" t="s">
        <v>9234</v>
      </c>
      <c r="C8738" s="5" t="s">
        <v>21</v>
      </c>
      <c r="K8738" s="5">
        <v>600.0</v>
      </c>
      <c r="N8738" s="9">
        <v>44355.0</v>
      </c>
    </row>
    <row r="8739">
      <c r="A8739" s="5">
        <v>8738.0</v>
      </c>
      <c r="B8739" s="5" t="s">
        <v>9235</v>
      </c>
      <c r="C8739" s="5" t="s">
        <v>21</v>
      </c>
      <c r="K8739" s="5">
        <v>400.0</v>
      </c>
      <c r="N8739" s="9">
        <v>44529.0</v>
      </c>
    </row>
    <row r="8740">
      <c r="A8740" s="5">
        <v>8739.0</v>
      </c>
      <c r="B8740" s="5" t="s">
        <v>9236</v>
      </c>
      <c r="C8740" s="5" t="s">
        <v>21</v>
      </c>
      <c r="K8740" s="5">
        <v>100.0</v>
      </c>
      <c r="N8740" s="9">
        <v>44623.0</v>
      </c>
    </row>
    <row r="8741">
      <c r="A8741" s="5">
        <v>8740.0</v>
      </c>
      <c r="B8741" s="5" t="s">
        <v>9237</v>
      </c>
      <c r="C8741" s="5" t="s">
        <v>21</v>
      </c>
      <c r="K8741" s="5">
        <v>200.0</v>
      </c>
      <c r="N8741" s="9">
        <v>45372.0</v>
      </c>
    </row>
    <row r="8742">
      <c r="A8742" s="5">
        <v>8741.0</v>
      </c>
      <c r="B8742" s="5" t="s">
        <v>9238</v>
      </c>
      <c r="C8742" s="5" t="s">
        <v>21</v>
      </c>
      <c r="K8742" s="5">
        <v>60.0</v>
      </c>
      <c r="N8742" s="9">
        <v>44660.0</v>
      </c>
    </row>
    <row r="8743">
      <c r="A8743" s="5">
        <v>8742.0</v>
      </c>
      <c r="B8743" s="5" t="s">
        <v>9239</v>
      </c>
      <c r="C8743" s="5" t="s">
        <v>21</v>
      </c>
      <c r="K8743" s="5">
        <v>100.0</v>
      </c>
      <c r="N8743" s="9">
        <v>44894.0</v>
      </c>
    </row>
    <row r="8744">
      <c r="A8744" s="5">
        <v>8743.0</v>
      </c>
      <c r="B8744" s="5" t="s">
        <v>9240</v>
      </c>
      <c r="C8744" s="5" t="s">
        <v>21</v>
      </c>
      <c r="K8744" s="5">
        <v>150.0</v>
      </c>
      <c r="N8744" s="9">
        <v>44176.0</v>
      </c>
    </row>
    <row r="8745">
      <c r="A8745" s="5">
        <v>8744.0</v>
      </c>
      <c r="B8745" s="5" t="s">
        <v>9241</v>
      </c>
      <c r="C8745" s="5" t="s">
        <v>21</v>
      </c>
      <c r="N8745" s="9">
        <v>44726.0</v>
      </c>
    </row>
    <row r="8746">
      <c r="A8746" s="5">
        <v>8745.0</v>
      </c>
      <c r="B8746" s="5" t="s">
        <v>9242</v>
      </c>
      <c r="C8746" s="5" t="s">
        <v>21</v>
      </c>
      <c r="K8746" s="5">
        <v>10.0</v>
      </c>
      <c r="N8746" s="9">
        <v>44865.0</v>
      </c>
    </row>
    <row r="8747">
      <c r="A8747" s="5">
        <v>8746.0</v>
      </c>
      <c r="B8747" s="5" t="s">
        <v>9243</v>
      </c>
      <c r="C8747" s="5" t="s">
        <v>21</v>
      </c>
      <c r="K8747" s="5">
        <v>300.0</v>
      </c>
      <c r="N8747" s="9">
        <v>45081.0</v>
      </c>
    </row>
    <row r="8748">
      <c r="A8748" s="5">
        <v>8747.0</v>
      </c>
      <c r="B8748" s="5" t="s">
        <v>9244</v>
      </c>
      <c r="C8748" s="5" t="s">
        <v>21</v>
      </c>
      <c r="K8748" s="5">
        <v>200.0</v>
      </c>
      <c r="N8748" s="9">
        <v>44766.0</v>
      </c>
    </row>
    <row r="8749">
      <c r="A8749" s="5">
        <v>8748.0</v>
      </c>
      <c r="B8749" s="5" t="s">
        <v>9245</v>
      </c>
      <c r="C8749" s="5" t="s">
        <v>21</v>
      </c>
      <c r="K8749" s="5">
        <v>2000.0</v>
      </c>
      <c r="N8749" s="9">
        <v>44331.0</v>
      </c>
    </row>
    <row r="8750">
      <c r="A8750" s="5">
        <v>8749.0</v>
      </c>
      <c r="B8750" s="5" t="s">
        <v>9246</v>
      </c>
      <c r="C8750" s="5" t="s">
        <v>21</v>
      </c>
      <c r="K8750" s="5">
        <v>300.0</v>
      </c>
      <c r="N8750" s="9">
        <v>44567.0</v>
      </c>
    </row>
    <row r="8751">
      <c r="A8751" s="5">
        <v>8750.0</v>
      </c>
      <c r="B8751" s="5" t="s">
        <v>9247</v>
      </c>
      <c r="C8751" s="5" t="s">
        <v>21</v>
      </c>
      <c r="K8751" s="5">
        <v>150.0</v>
      </c>
      <c r="N8751" s="9">
        <v>44581.0</v>
      </c>
    </row>
    <row r="8752">
      <c r="A8752" s="5">
        <v>8751.0</v>
      </c>
      <c r="B8752" s="5" t="s">
        <v>9248</v>
      </c>
      <c r="C8752" s="5" t="s">
        <v>21</v>
      </c>
      <c r="K8752" s="5">
        <v>150.0</v>
      </c>
      <c r="N8752" s="9">
        <v>44776.0</v>
      </c>
    </row>
    <row r="8753">
      <c r="A8753" s="5">
        <v>8752.0</v>
      </c>
      <c r="B8753" s="5" t="s">
        <v>9249</v>
      </c>
      <c r="C8753" s="5" t="s">
        <v>21</v>
      </c>
      <c r="K8753" s="5">
        <v>80.0</v>
      </c>
      <c r="N8753" s="9">
        <v>44541.0</v>
      </c>
    </row>
    <row r="8754">
      <c r="A8754" s="5">
        <v>8753.0</v>
      </c>
      <c r="B8754" s="5" t="s">
        <v>9250</v>
      </c>
      <c r="C8754" s="5" t="s">
        <v>21</v>
      </c>
      <c r="K8754" s="5">
        <v>800.0</v>
      </c>
      <c r="N8754" s="9">
        <v>44215.0</v>
      </c>
    </row>
    <row r="8755">
      <c r="A8755" s="5">
        <v>8754.0</v>
      </c>
      <c r="B8755" s="5" t="s">
        <v>9251</v>
      </c>
      <c r="C8755" s="5" t="s">
        <v>21</v>
      </c>
      <c r="K8755" s="5">
        <v>100.0</v>
      </c>
      <c r="N8755" s="9">
        <v>44528.0</v>
      </c>
    </row>
    <row r="8756">
      <c r="A8756" s="5">
        <v>8755.0</v>
      </c>
      <c r="B8756" s="5" t="s">
        <v>9252</v>
      </c>
      <c r="C8756" s="5" t="s">
        <v>21</v>
      </c>
      <c r="K8756" s="5">
        <v>600.0</v>
      </c>
      <c r="N8756" s="9">
        <v>44577.0</v>
      </c>
    </row>
    <row r="8757">
      <c r="A8757" s="5">
        <v>8756.0</v>
      </c>
      <c r="B8757" s="5" t="s">
        <v>9253</v>
      </c>
      <c r="C8757" s="5" t="s">
        <v>21</v>
      </c>
      <c r="K8757" s="5">
        <v>200.0</v>
      </c>
      <c r="N8757" s="9">
        <v>45600.0</v>
      </c>
    </row>
    <row r="8758">
      <c r="A8758" s="5">
        <v>8757.0</v>
      </c>
      <c r="B8758" s="5" t="s">
        <v>9254</v>
      </c>
      <c r="C8758" s="5" t="s">
        <v>21</v>
      </c>
      <c r="K8758" s="5">
        <v>90.0</v>
      </c>
      <c r="N8758" s="9">
        <v>44196.0</v>
      </c>
    </row>
    <row r="8759">
      <c r="A8759" s="5">
        <v>8758.0</v>
      </c>
      <c r="B8759" s="5" t="s">
        <v>9255</v>
      </c>
      <c r="C8759" s="5" t="s">
        <v>21</v>
      </c>
      <c r="K8759" s="5">
        <v>200.0</v>
      </c>
      <c r="N8759" s="9">
        <v>45042.0</v>
      </c>
    </row>
    <row r="8760">
      <c r="A8760" s="5">
        <v>8759.0</v>
      </c>
      <c r="B8760" s="5" t="s">
        <v>9256</v>
      </c>
      <c r="C8760" s="5" t="s">
        <v>21</v>
      </c>
      <c r="N8760" s="9">
        <v>44529.0</v>
      </c>
    </row>
    <row r="8761">
      <c r="A8761" s="5">
        <v>8760.0</v>
      </c>
      <c r="B8761" s="5" t="s">
        <v>9257</v>
      </c>
      <c r="C8761" s="5" t="s">
        <v>21</v>
      </c>
      <c r="K8761" s="5">
        <v>600.0</v>
      </c>
      <c r="N8761" s="9">
        <v>44974.0</v>
      </c>
    </row>
    <row r="8762">
      <c r="A8762" s="5">
        <v>8761.0</v>
      </c>
      <c r="B8762" s="5" t="s">
        <v>9258</v>
      </c>
      <c r="C8762" s="5" t="s">
        <v>21</v>
      </c>
      <c r="K8762" s="5">
        <v>150.0</v>
      </c>
      <c r="N8762" s="9">
        <v>44523.0</v>
      </c>
    </row>
    <row r="8763">
      <c r="A8763" s="5">
        <v>8762.0</v>
      </c>
      <c r="B8763" s="5" t="s">
        <v>9259</v>
      </c>
      <c r="C8763" s="5" t="s">
        <v>21</v>
      </c>
      <c r="K8763" s="5">
        <v>600.0</v>
      </c>
      <c r="N8763" s="9">
        <v>45589.0</v>
      </c>
    </row>
    <row r="8764">
      <c r="A8764" s="5">
        <v>8763.0</v>
      </c>
      <c r="B8764" s="5" t="s">
        <v>9260</v>
      </c>
      <c r="C8764" s="5" t="s">
        <v>21</v>
      </c>
      <c r="K8764" s="5">
        <v>800.0</v>
      </c>
      <c r="N8764" s="9">
        <v>44567.0</v>
      </c>
    </row>
    <row r="8765">
      <c r="A8765" s="5">
        <v>8764.0</v>
      </c>
      <c r="B8765" s="5" t="s">
        <v>9261</v>
      </c>
      <c r="C8765" s="5" t="s">
        <v>21</v>
      </c>
      <c r="K8765" s="5">
        <v>450.0</v>
      </c>
      <c r="N8765" s="9">
        <v>45411.0</v>
      </c>
    </row>
    <row r="8766">
      <c r="A8766" s="5">
        <v>8765.0</v>
      </c>
      <c r="B8766" s="5" t="s">
        <v>9262</v>
      </c>
      <c r="C8766" s="5" t="s">
        <v>21</v>
      </c>
      <c r="K8766" s="5">
        <v>100.0</v>
      </c>
      <c r="N8766" s="9">
        <v>44598.0</v>
      </c>
    </row>
    <row r="8767">
      <c r="A8767" s="5">
        <v>8766.0</v>
      </c>
      <c r="B8767" s="5" t="s">
        <v>9263</v>
      </c>
      <c r="C8767" s="5" t="s">
        <v>21</v>
      </c>
      <c r="K8767" s="5">
        <v>60.0</v>
      </c>
      <c r="N8767" s="9">
        <v>44545.0</v>
      </c>
    </row>
    <row r="8768">
      <c r="A8768" s="5">
        <v>8767.0</v>
      </c>
      <c r="B8768" s="5" t="s">
        <v>9264</v>
      </c>
      <c r="C8768" s="5" t="s">
        <v>21</v>
      </c>
      <c r="K8768" s="5">
        <v>400.0</v>
      </c>
      <c r="N8768" s="9">
        <v>44538.0</v>
      </c>
    </row>
    <row r="8769">
      <c r="A8769" s="5">
        <v>8768.0</v>
      </c>
      <c r="B8769" s="5" t="s">
        <v>9265</v>
      </c>
      <c r="C8769" s="5" t="s">
        <v>21</v>
      </c>
      <c r="K8769" s="5">
        <v>200.0</v>
      </c>
      <c r="N8769" s="9">
        <v>44582.0</v>
      </c>
    </row>
    <row r="8770">
      <c r="A8770" s="5">
        <v>8769.0</v>
      </c>
      <c r="B8770" s="5" t="s">
        <v>9266</v>
      </c>
      <c r="C8770" s="5" t="s">
        <v>21</v>
      </c>
      <c r="K8770" s="5">
        <v>20.0</v>
      </c>
      <c r="N8770" s="9">
        <v>44488.0</v>
      </c>
    </row>
    <row r="8771">
      <c r="A8771" s="5">
        <v>8770.0</v>
      </c>
      <c r="B8771" s="5" t="s">
        <v>9267</v>
      </c>
      <c r="C8771" s="5" t="s">
        <v>21</v>
      </c>
      <c r="K8771" s="5">
        <v>450.0</v>
      </c>
      <c r="N8771" s="9">
        <v>44293.0</v>
      </c>
    </row>
    <row r="8772">
      <c r="A8772" s="5">
        <v>8771.0</v>
      </c>
      <c r="B8772" s="5" t="s">
        <v>9268</v>
      </c>
      <c r="C8772" s="5" t="s">
        <v>21</v>
      </c>
      <c r="K8772" s="5">
        <v>20.0</v>
      </c>
      <c r="N8772" s="9">
        <v>44940.0</v>
      </c>
    </row>
    <row r="8773">
      <c r="A8773" s="5">
        <v>8772.0</v>
      </c>
      <c r="B8773" s="5" t="s">
        <v>9269</v>
      </c>
      <c r="C8773" s="5" t="s">
        <v>21</v>
      </c>
      <c r="K8773" s="5">
        <v>250.0</v>
      </c>
      <c r="N8773" s="9">
        <v>45120.0</v>
      </c>
    </row>
    <row r="8774">
      <c r="A8774" s="5">
        <v>8773.0</v>
      </c>
      <c r="B8774" s="5" t="s">
        <v>9270</v>
      </c>
      <c r="C8774" s="5" t="s">
        <v>21</v>
      </c>
      <c r="K8774" s="5">
        <v>1600.0</v>
      </c>
      <c r="N8774" s="9">
        <v>43880.0</v>
      </c>
    </row>
    <row r="8775">
      <c r="A8775" s="5">
        <v>8774.0</v>
      </c>
      <c r="B8775" s="5" t="s">
        <v>9271</v>
      </c>
      <c r="C8775" s="5" t="s">
        <v>21</v>
      </c>
      <c r="K8775" s="5">
        <v>100.0</v>
      </c>
      <c r="N8775" s="9">
        <v>44525.0</v>
      </c>
    </row>
    <row r="8776">
      <c r="A8776" s="5">
        <v>8775.0</v>
      </c>
      <c r="B8776" s="5" t="s">
        <v>9272</v>
      </c>
      <c r="C8776" s="5" t="s">
        <v>21</v>
      </c>
      <c r="K8776" s="5">
        <v>40.0</v>
      </c>
      <c r="N8776" s="9">
        <v>45069.0</v>
      </c>
    </row>
    <row r="8777">
      <c r="A8777" s="5">
        <v>8776.0</v>
      </c>
      <c r="B8777" s="5" t="s">
        <v>9273</v>
      </c>
      <c r="C8777" s="5" t="s">
        <v>21</v>
      </c>
      <c r="K8777" s="5">
        <v>250.0</v>
      </c>
      <c r="N8777" s="9">
        <v>44403.0</v>
      </c>
    </row>
    <row r="8778">
      <c r="A8778" s="5">
        <v>8777.0</v>
      </c>
      <c r="B8778" s="5" t="s">
        <v>9274</v>
      </c>
      <c r="C8778" s="5" t="s">
        <v>21</v>
      </c>
      <c r="K8778" s="5">
        <v>150.0</v>
      </c>
      <c r="N8778" s="9">
        <v>44583.0</v>
      </c>
    </row>
    <row r="8779">
      <c r="A8779" s="5">
        <v>8778.0</v>
      </c>
      <c r="B8779" s="5" t="s">
        <v>9275</v>
      </c>
      <c r="C8779" s="5" t="s">
        <v>21</v>
      </c>
      <c r="K8779" s="5">
        <v>300.0</v>
      </c>
      <c r="N8779" s="9">
        <v>44444.0</v>
      </c>
    </row>
    <row r="8780">
      <c r="A8780" s="5">
        <v>8779.0</v>
      </c>
      <c r="B8780" s="5" t="s">
        <v>9276</v>
      </c>
      <c r="C8780" s="5" t="s">
        <v>21</v>
      </c>
      <c r="N8780" s="9">
        <v>45306.0</v>
      </c>
    </row>
    <row r="8781">
      <c r="A8781" s="5">
        <v>8780.0</v>
      </c>
      <c r="B8781" s="5" t="s">
        <v>9277</v>
      </c>
      <c r="C8781" s="5" t="s">
        <v>21</v>
      </c>
      <c r="N8781" s="9">
        <v>44515.0</v>
      </c>
    </row>
    <row r="8782">
      <c r="A8782" s="5">
        <v>8781.0</v>
      </c>
      <c r="B8782" s="5" t="s">
        <v>9278</v>
      </c>
      <c r="C8782" s="5" t="s">
        <v>21</v>
      </c>
      <c r="K8782" s="5">
        <v>300.0</v>
      </c>
      <c r="N8782" s="9">
        <v>44103.0</v>
      </c>
    </row>
    <row r="8783">
      <c r="A8783" s="5">
        <v>8782.0</v>
      </c>
      <c r="B8783" s="5" t="s">
        <v>9279</v>
      </c>
      <c r="C8783" s="5" t="s">
        <v>21</v>
      </c>
      <c r="K8783" s="5">
        <v>350.0</v>
      </c>
      <c r="N8783" s="9">
        <v>45359.0</v>
      </c>
    </row>
    <row r="8784">
      <c r="A8784" s="5">
        <v>8783.0</v>
      </c>
      <c r="B8784" s="5" t="s">
        <v>9280</v>
      </c>
      <c r="C8784" s="5" t="s">
        <v>21</v>
      </c>
      <c r="K8784" s="5">
        <v>500.0</v>
      </c>
      <c r="N8784" s="9">
        <v>44466.0</v>
      </c>
    </row>
    <row r="8785">
      <c r="A8785" s="5">
        <v>8784.0</v>
      </c>
      <c r="B8785" s="5" t="s">
        <v>9281</v>
      </c>
      <c r="C8785" s="5" t="s">
        <v>21</v>
      </c>
      <c r="K8785" s="5">
        <v>90.0</v>
      </c>
      <c r="N8785" s="9">
        <v>44708.0</v>
      </c>
    </row>
    <row r="8786">
      <c r="A8786" s="5">
        <v>8785.0</v>
      </c>
      <c r="B8786" s="5" t="s">
        <v>9282</v>
      </c>
      <c r="C8786" s="5" t="s">
        <v>21</v>
      </c>
      <c r="K8786" s="5">
        <v>300.0</v>
      </c>
      <c r="N8786" s="9">
        <v>45088.0</v>
      </c>
    </row>
    <row r="8787">
      <c r="A8787" s="5">
        <v>8786.0</v>
      </c>
      <c r="B8787" s="5" t="s">
        <v>9283</v>
      </c>
      <c r="C8787" s="5" t="s">
        <v>21</v>
      </c>
      <c r="K8787" s="5">
        <v>300.0</v>
      </c>
      <c r="N8787" s="9">
        <v>45675.0</v>
      </c>
    </row>
    <row r="8788">
      <c r="A8788" s="5">
        <v>8787.0</v>
      </c>
      <c r="B8788" s="5" t="s">
        <v>9284</v>
      </c>
      <c r="C8788" s="5" t="s">
        <v>21</v>
      </c>
      <c r="N8788" s="9">
        <v>44529.0</v>
      </c>
    </row>
    <row r="8789">
      <c r="A8789" s="5">
        <v>8788.0</v>
      </c>
      <c r="B8789" s="5" t="s">
        <v>9285</v>
      </c>
      <c r="C8789" s="5" t="s">
        <v>21</v>
      </c>
      <c r="K8789" s="5">
        <v>10.0</v>
      </c>
      <c r="N8789" s="9">
        <v>44443.0</v>
      </c>
    </row>
    <row r="8790">
      <c r="A8790" s="5">
        <v>8789.0</v>
      </c>
      <c r="B8790" s="5" t="s">
        <v>9286</v>
      </c>
      <c r="C8790" s="5" t="s">
        <v>21</v>
      </c>
      <c r="N8790" s="9">
        <v>44518.0</v>
      </c>
    </row>
    <row r="8791">
      <c r="A8791" s="5">
        <v>8790.0</v>
      </c>
      <c r="B8791" s="5" t="s">
        <v>9287</v>
      </c>
      <c r="C8791" s="5" t="s">
        <v>21</v>
      </c>
      <c r="K8791" s="5">
        <v>400.0</v>
      </c>
      <c r="N8791" s="9">
        <v>44517.0</v>
      </c>
    </row>
    <row r="8792">
      <c r="A8792" s="5">
        <v>8791.0</v>
      </c>
      <c r="B8792" s="5" t="s">
        <v>291</v>
      </c>
      <c r="C8792" s="5" t="s">
        <v>21</v>
      </c>
      <c r="K8792" s="5">
        <v>10.0</v>
      </c>
      <c r="N8792" s="9">
        <v>45444.0</v>
      </c>
    </row>
    <row r="8793">
      <c r="A8793" s="5">
        <v>8792.0</v>
      </c>
      <c r="B8793" s="5" t="s">
        <v>9288</v>
      </c>
      <c r="C8793" s="5" t="s">
        <v>21</v>
      </c>
      <c r="K8793" s="5">
        <v>150.0</v>
      </c>
      <c r="N8793" s="9">
        <v>44830.0</v>
      </c>
    </row>
    <row r="8794">
      <c r="A8794" s="5">
        <v>8793.0</v>
      </c>
      <c r="B8794" s="5" t="s">
        <v>9289</v>
      </c>
      <c r="C8794" s="5" t="s">
        <v>21</v>
      </c>
      <c r="K8794" s="5">
        <v>800.0</v>
      </c>
      <c r="N8794" s="9">
        <v>45565.0</v>
      </c>
    </row>
    <row r="8795">
      <c r="A8795" s="5">
        <v>8794.0</v>
      </c>
      <c r="B8795" s="5" t="s">
        <v>9290</v>
      </c>
      <c r="C8795" s="5" t="s">
        <v>21</v>
      </c>
      <c r="K8795" s="5">
        <v>250.0</v>
      </c>
      <c r="N8795" s="9">
        <v>45548.0</v>
      </c>
    </row>
    <row r="8796">
      <c r="A8796" s="5">
        <v>8795.0</v>
      </c>
      <c r="B8796" s="5" t="s">
        <v>9291</v>
      </c>
      <c r="C8796" s="5" t="s">
        <v>21</v>
      </c>
      <c r="K8796" s="5">
        <v>300.0</v>
      </c>
      <c r="N8796" s="9">
        <v>44601.0</v>
      </c>
    </row>
    <row r="8797">
      <c r="A8797" s="5">
        <v>8796.0</v>
      </c>
      <c r="B8797" s="5" t="s">
        <v>9292</v>
      </c>
      <c r="C8797" s="5" t="s">
        <v>21</v>
      </c>
      <c r="K8797" s="5">
        <v>1100.0</v>
      </c>
      <c r="N8797" s="9">
        <v>44418.0</v>
      </c>
    </row>
    <row r="8798">
      <c r="A8798" s="5">
        <v>8797.0</v>
      </c>
      <c r="B8798" s="5" t="s">
        <v>9293</v>
      </c>
      <c r="C8798" s="5" t="s">
        <v>21</v>
      </c>
      <c r="K8798" s="5">
        <v>250.0</v>
      </c>
      <c r="N8798" s="9">
        <v>44633.0</v>
      </c>
    </row>
    <row r="8799">
      <c r="A8799" s="5">
        <v>8798.0</v>
      </c>
      <c r="B8799" s="5" t="s">
        <v>9294</v>
      </c>
      <c r="C8799" s="5" t="s">
        <v>21</v>
      </c>
      <c r="K8799" s="5">
        <v>1600.0</v>
      </c>
      <c r="N8799" s="9">
        <v>45268.0</v>
      </c>
    </row>
    <row r="8800">
      <c r="A8800" s="5">
        <v>8799.0</v>
      </c>
      <c r="B8800" s="5" t="s">
        <v>9295</v>
      </c>
      <c r="C8800" s="5" t="s">
        <v>21</v>
      </c>
      <c r="K8800" s="5">
        <v>200.0</v>
      </c>
      <c r="N8800" s="9">
        <v>45056.0</v>
      </c>
    </row>
    <row r="8801">
      <c r="A8801" s="5">
        <v>8800.0</v>
      </c>
      <c r="B8801" s="5" t="s">
        <v>9296</v>
      </c>
      <c r="C8801" s="5" t="s">
        <v>21</v>
      </c>
      <c r="N8801" s="9">
        <v>44567.0</v>
      </c>
    </row>
    <row r="8802">
      <c r="A8802" s="5">
        <v>8801.0</v>
      </c>
      <c r="B8802" s="5" t="s">
        <v>9297</v>
      </c>
      <c r="C8802" s="5" t="s">
        <v>21</v>
      </c>
      <c r="K8802" s="5">
        <v>300.0</v>
      </c>
      <c r="N8802" s="9">
        <v>45156.0</v>
      </c>
    </row>
    <row r="8803">
      <c r="A8803" s="5">
        <v>8802.0</v>
      </c>
      <c r="B8803" s="5" t="s">
        <v>9298</v>
      </c>
      <c r="C8803" s="5" t="s">
        <v>21</v>
      </c>
      <c r="K8803" s="5">
        <v>150.0</v>
      </c>
      <c r="N8803" s="9">
        <v>45159.0</v>
      </c>
    </row>
    <row r="8804">
      <c r="A8804" s="5">
        <v>8803.0</v>
      </c>
      <c r="B8804" s="5" t="s">
        <v>9299</v>
      </c>
      <c r="C8804" s="5" t="s">
        <v>21</v>
      </c>
      <c r="K8804" s="5">
        <v>600.0</v>
      </c>
      <c r="N8804" s="9">
        <v>44418.0</v>
      </c>
    </row>
    <row r="8805">
      <c r="A8805" s="5">
        <v>8804.0</v>
      </c>
      <c r="B8805" s="5" t="s">
        <v>9300</v>
      </c>
      <c r="C8805" s="5" t="s">
        <v>21</v>
      </c>
      <c r="N8805" s="9">
        <v>44935.0</v>
      </c>
    </row>
    <row r="8806">
      <c r="A8806" s="5">
        <v>8805.0</v>
      </c>
      <c r="B8806" s="5" t="s">
        <v>9301</v>
      </c>
      <c r="C8806" s="5" t="s">
        <v>21</v>
      </c>
      <c r="K8806" s="5">
        <v>150.0</v>
      </c>
      <c r="N8806" s="9">
        <v>44537.0</v>
      </c>
    </row>
    <row r="8807">
      <c r="A8807" s="5">
        <v>8806.0</v>
      </c>
      <c r="B8807" s="5" t="s">
        <v>9302</v>
      </c>
      <c r="C8807" s="5" t="s">
        <v>21</v>
      </c>
      <c r="K8807" s="5">
        <v>40.0</v>
      </c>
      <c r="N8807" s="9">
        <v>44559.0</v>
      </c>
    </row>
    <row r="8808">
      <c r="A8808" s="5">
        <v>8807.0</v>
      </c>
      <c r="B8808" s="5" t="s">
        <v>9303</v>
      </c>
      <c r="C8808" s="5" t="s">
        <v>21</v>
      </c>
      <c r="K8808" s="5">
        <v>100.0</v>
      </c>
      <c r="N8808" s="9">
        <v>44532.0</v>
      </c>
    </row>
    <row r="8809">
      <c r="A8809" s="5">
        <v>8808.0</v>
      </c>
      <c r="B8809" s="5" t="s">
        <v>9304</v>
      </c>
      <c r="C8809" s="5" t="s">
        <v>21</v>
      </c>
      <c r="K8809" s="5">
        <v>150.0</v>
      </c>
      <c r="N8809" s="9">
        <v>43843.0</v>
      </c>
    </row>
    <row r="8810">
      <c r="A8810" s="5">
        <v>8809.0</v>
      </c>
      <c r="B8810" s="5" t="s">
        <v>9305</v>
      </c>
      <c r="C8810" s="5" t="s">
        <v>21</v>
      </c>
      <c r="K8810" s="5">
        <v>1300.0</v>
      </c>
      <c r="N8810" s="9">
        <v>44505.0</v>
      </c>
    </row>
    <row r="8811">
      <c r="A8811" s="5">
        <v>8810.0</v>
      </c>
      <c r="B8811" s="5" t="s">
        <v>9306</v>
      </c>
      <c r="C8811" s="5" t="s">
        <v>21</v>
      </c>
      <c r="K8811" s="5">
        <v>400.0</v>
      </c>
      <c r="N8811" s="9">
        <v>44638.0</v>
      </c>
    </row>
    <row r="8812">
      <c r="A8812" s="5">
        <v>8811.0</v>
      </c>
      <c r="B8812" s="5" t="s">
        <v>9307</v>
      </c>
      <c r="C8812" s="5" t="s">
        <v>21</v>
      </c>
      <c r="K8812" s="5">
        <v>800.0</v>
      </c>
      <c r="N8812" s="9">
        <v>44494.0</v>
      </c>
    </row>
    <row r="8813">
      <c r="A8813" s="5">
        <v>8812.0</v>
      </c>
      <c r="B8813" s="5" t="s">
        <v>9308</v>
      </c>
      <c r="C8813" s="5" t="s">
        <v>21</v>
      </c>
      <c r="K8813" s="5">
        <v>2200.0</v>
      </c>
      <c r="N8813" s="9">
        <v>43961.0</v>
      </c>
    </row>
    <row r="8814">
      <c r="A8814" s="5">
        <v>8813.0</v>
      </c>
      <c r="B8814" s="5" t="s">
        <v>9309</v>
      </c>
      <c r="C8814" s="5" t="s">
        <v>21</v>
      </c>
      <c r="K8814" s="5">
        <v>200.0</v>
      </c>
      <c r="N8814" s="9">
        <v>44723.0</v>
      </c>
    </row>
    <row r="8815">
      <c r="A8815" s="5">
        <v>8814.0</v>
      </c>
      <c r="B8815" s="5" t="s">
        <v>9310</v>
      </c>
      <c r="C8815" s="5" t="s">
        <v>21</v>
      </c>
      <c r="K8815" s="5">
        <v>800.0</v>
      </c>
      <c r="N8815" s="9">
        <v>45479.0</v>
      </c>
    </row>
    <row r="8816">
      <c r="A8816" s="5">
        <v>8815.0</v>
      </c>
      <c r="B8816" s="5" t="s">
        <v>9311</v>
      </c>
      <c r="C8816" s="5" t="s">
        <v>21</v>
      </c>
      <c r="K8816" s="5">
        <v>700.0</v>
      </c>
      <c r="N8816" s="9">
        <v>44598.0</v>
      </c>
    </row>
    <row r="8817">
      <c r="A8817" s="5">
        <v>8816.0</v>
      </c>
      <c r="B8817" s="5" t="s">
        <v>9312</v>
      </c>
      <c r="C8817" s="5" t="s">
        <v>21</v>
      </c>
      <c r="K8817" s="5">
        <v>90.0</v>
      </c>
      <c r="N8817" s="9">
        <v>44833.0</v>
      </c>
    </row>
    <row r="8818">
      <c r="A8818" s="5">
        <v>8817.0</v>
      </c>
      <c r="B8818" s="5" t="s">
        <v>312</v>
      </c>
      <c r="C8818" s="5" t="s">
        <v>21</v>
      </c>
      <c r="K8818" s="5">
        <v>900.0</v>
      </c>
      <c r="N8818" s="9">
        <v>44545.0</v>
      </c>
    </row>
    <row r="8819">
      <c r="A8819" s="5">
        <v>8818.0</v>
      </c>
      <c r="B8819" s="5" t="s">
        <v>9313</v>
      </c>
      <c r="C8819" s="5" t="s">
        <v>21</v>
      </c>
      <c r="K8819" s="5">
        <v>350.0</v>
      </c>
      <c r="N8819" s="9">
        <v>44349.0</v>
      </c>
    </row>
    <row r="8820">
      <c r="A8820" s="5">
        <v>8819.0</v>
      </c>
      <c r="B8820" s="5" t="s">
        <v>9314</v>
      </c>
      <c r="C8820" s="5" t="s">
        <v>21</v>
      </c>
      <c r="K8820" s="5">
        <v>900.0</v>
      </c>
      <c r="N8820" s="9">
        <v>44476.0</v>
      </c>
    </row>
    <row r="8821">
      <c r="A8821" s="5">
        <v>8820.0</v>
      </c>
      <c r="B8821" s="5" t="s">
        <v>9315</v>
      </c>
      <c r="C8821" s="5" t="s">
        <v>21</v>
      </c>
      <c r="K8821" s="5">
        <v>50.0</v>
      </c>
      <c r="N8821" s="9">
        <v>44305.0</v>
      </c>
    </row>
    <row r="8822">
      <c r="A8822" s="5">
        <v>8821.0</v>
      </c>
      <c r="B8822" s="5" t="s">
        <v>9316</v>
      </c>
      <c r="C8822" s="5" t="s">
        <v>21</v>
      </c>
      <c r="K8822" s="5">
        <v>700.0</v>
      </c>
      <c r="N8822" s="9">
        <v>43896.0</v>
      </c>
    </row>
    <row r="8823">
      <c r="A8823" s="5">
        <v>8822.0</v>
      </c>
      <c r="B8823" s="5" t="s">
        <v>9317</v>
      </c>
      <c r="C8823" s="5" t="s">
        <v>21</v>
      </c>
      <c r="K8823" s="5">
        <v>2500.0</v>
      </c>
      <c r="N8823" s="9">
        <v>45174.0</v>
      </c>
    </row>
    <row r="8824">
      <c r="A8824" s="5">
        <v>8823.0</v>
      </c>
      <c r="B8824" s="5" t="s">
        <v>9318</v>
      </c>
      <c r="C8824" s="5" t="s">
        <v>21</v>
      </c>
      <c r="K8824" s="5">
        <v>250.0</v>
      </c>
      <c r="N8824" s="9">
        <v>45182.0</v>
      </c>
    </row>
    <row r="8825">
      <c r="A8825" s="5">
        <v>8824.0</v>
      </c>
      <c r="B8825" s="5" t="s">
        <v>9319</v>
      </c>
      <c r="C8825" s="5" t="s">
        <v>21</v>
      </c>
      <c r="K8825" s="5">
        <v>500.0</v>
      </c>
      <c r="N8825" s="9">
        <v>44599.0</v>
      </c>
    </row>
    <row r="8826">
      <c r="A8826" s="5">
        <v>8825.0</v>
      </c>
      <c r="B8826" s="5" t="s">
        <v>9320</v>
      </c>
      <c r="C8826" s="5" t="s">
        <v>21</v>
      </c>
      <c r="K8826" s="5">
        <v>150.0</v>
      </c>
      <c r="N8826" s="9">
        <v>45152.0</v>
      </c>
    </row>
    <row r="8827">
      <c r="A8827" s="5">
        <v>8826.0</v>
      </c>
      <c r="B8827" s="5" t="s">
        <v>9321</v>
      </c>
      <c r="C8827" s="5" t="s">
        <v>21</v>
      </c>
      <c r="K8827" s="5">
        <v>2100.0</v>
      </c>
      <c r="N8827" s="9">
        <v>43865.0</v>
      </c>
    </row>
    <row r="8828">
      <c r="A8828" s="5">
        <v>8827.0</v>
      </c>
      <c r="B8828" s="5" t="s">
        <v>9322</v>
      </c>
      <c r="C8828" s="5" t="s">
        <v>21</v>
      </c>
      <c r="K8828" s="5">
        <v>200.0</v>
      </c>
      <c r="N8828" s="9">
        <v>44137.0</v>
      </c>
    </row>
    <row r="8829">
      <c r="A8829" s="5">
        <v>8828.0</v>
      </c>
      <c r="B8829" s="5" t="s">
        <v>9323</v>
      </c>
      <c r="C8829" s="5" t="s">
        <v>21</v>
      </c>
      <c r="K8829" s="5">
        <v>20.0</v>
      </c>
      <c r="N8829" s="9">
        <v>44073.0</v>
      </c>
    </row>
    <row r="8830">
      <c r="A8830" s="5">
        <v>8829.0</v>
      </c>
      <c r="B8830" s="5" t="s">
        <v>9324</v>
      </c>
      <c r="C8830" s="5" t="s">
        <v>21</v>
      </c>
      <c r="K8830" s="5">
        <v>350.0</v>
      </c>
      <c r="N8830" s="9">
        <v>44683.0</v>
      </c>
    </row>
    <row r="8831">
      <c r="A8831" s="5">
        <v>8830.0</v>
      </c>
      <c r="B8831" s="5" t="s">
        <v>9325</v>
      </c>
      <c r="C8831" s="5" t="s">
        <v>21</v>
      </c>
      <c r="K8831" s="5">
        <v>100.0</v>
      </c>
      <c r="N8831" s="9">
        <v>45155.0</v>
      </c>
    </row>
    <row r="8832">
      <c r="A8832" s="5">
        <v>8831.0</v>
      </c>
      <c r="B8832" s="5" t="s">
        <v>9326</v>
      </c>
      <c r="C8832" s="5" t="s">
        <v>21</v>
      </c>
      <c r="K8832" s="5">
        <v>300.0</v>
      </c>
      <c r="N8832" s="9">
        <v>44263.0</v>
      </c>
    </row>
    <row r="8833">
      <c r="A8833" s="5">
        <v>8832.0</v>
      </c>
      <c r="B8833" s="5" t="s">
        <v>9327</v>
      </c>
      <c r="C8833" s="5" t="s">
        <v>21</v>
      </c>
      <c r="K8833" s="5">
        <v>300.0</v>
      </c>
      <c r="N8833" s="9">
        <v>44521.0</v>
      </c>
    </row>
    <row r="8834">
      <c r="A8834" s="5">
        <v>8833.0</v>
      </c>
      <c r="B8834" s="5" t="s">
        <v>9328</v>
      </c>
      <c r="C8834" s="5" t="s">
        <v>21</v>
      </c>
      <c r="K8834" s="5">
        <v>100.0</v>
      </c>
      <c r="N8834" s="9">
        <v>45207.0</v>
      </c>
    </row>
    <row r="8835">
      <c r="A8835" s="5">
        <v>8834.0</v>
      </c>
      <c r="B8835" s="5" t="s">
        <v>9329</v>
      </c>
      <c r="C8835" s="5" t="s">
        <v>21</v>
      </c>
      <c r="N8835" s="9">
        <v>44392.0</v>
      </c>
    </row>
    <row r="8836">
      <c r="A8836" s="5">
        <v>8835.0</v>
      </c>
      <c r="B8836" s="5" t="s">
        <v>9330</v>
      </c>
      <c r="C8836" s="5" t="s">
        <v>21</v>
      </c>
      <c r="K8836" s="5">
        <v>200.0</v>
      </c>
      <c r="N8836" s="9">
        <v>44522.0</v>
      </c>
    </row>
    <row r="8837">
      <c r="A8837" s="5">
        <v>8836.0</v>
      </c>
      <c r="B8837" s="5" t="s">
        <v>9331</v>
      </c>
      <c r="C8837" s="5" t="s">
        <v>21</v>
      </c>
      <c r="K8837" s="5">
        <v>600.0</v>
      </c>
      <c r="N8837" s="9">
        <v>44298.0</v>
      </c>
    </row>
    <row r="8838">
      <c r="A8838" s="5">
        <v>8837.0</v>
      </c>
      <c r="B8838" s="5" t="s">
        <v>9332</v>
      </c>
      <c r="C8838" s="5" t="s">
        <v>21</v>
      </c>
      <c r="K8838" s="5">
        <v>200.0</v>
      </c>
      <c r="N8838" s="9">
        <v>44336.0</v>
      </c>
    </row>
    <row r="8839">
      <c r="A8839" s="5">
        <v>8838.0</v>
      </c>
      <c r="B8839" s="5" t="s">
        <v>9333</v>
      </c>
      <c r="C8839" s="5" t="s">
        <v>21</v>
      </c>
      <c r="K8839" s="5">
        <v>2800.0</v>
      </c>
      <c r="N8839" s="9">
        <v>44115.0</v>
      </c>
    </row>
    <row r="8840">
      <c r="A8840" s="5">
        <v>8839.0</v>
      </c>
      <c r="B8840" s="5" t="s">
        <v>9334</v>
      </c>
      <c r="C8840" s="5" t="s">
        <v>21</v>
      </c>
      <c r="K8840" s="5">
        <v>40.0</v>
      </c>
      <c r="N8840" s="9">
        <v>44491.0</v>
      </c>
    </row>
    <row r="8841">
      <c r="A8841" s="5">
        <v>8840.0</v>
      </c>
      <c r="B8841" s="5" t="s">
        <v>9335</v>
      </c>
      <c r="C8841" s="5" t="s">
        <v>21</v>
      </c>
      <c r="K8841" s="5">
        <v>250.0</v>
      </c>
      <c r="N8841" s="9">
        <v>45106.0</v>
      </c>
    </row>
    <row r="8842">
      <c r="A8842" s="5">
        <v>8841.0</v>
      </c>
      <c r="B8842" s="5" t="s">
        <v>9336</v>
      </c>
      <c r="C8842" s="5" t="s">
        <v>21</v>
      </c>
      <c r="K8842" s="5">
        <v>20.0</v>
      </c>
      <c r="N8842" s="9">
        <v>44901.0</v>
      </c>
    </row>
    <row r="8843">
      <c r="A8843" s="5">
        <v>8842.0</v>
      </c>
      <c r="B8843" s="5" t="s">
        <v>9337</v>
      </c>
      <c r="C8843" s="5" t="s">
        <v>21</v>
      </c>
      <c r="K8843" s="5">
        <v>500.0</v>
      </c>
      <c r="N8843" s="9">
        <v>44742.0</v>
      </c>
    </row>
    <row r="8844">
      <c r="A8844" s="5">
        <v>8843.0</v>
      </c>
      <c r="B8844" s="5" t="s">
        <v>9338</v>
      </c>
      <c r="C8844" s="5" t="s">
        <v>21</v>
      </c>
      <c r="K8844" s="5">
        <v>400.0</v>
      </c>
      <c r="N8844" s="9">
        <v>44136.0</v>
      </c>
    </row>
    <row r="8845">
      <c r="A8845" s="5">
        <v>8844.0</v>
      </c>
      <c r="B8845" s="5" t="s">
        <v>9339</v>
      </c>
      <c r="C8845" s="5" t="s">
        <v>21</v>
      </c>
      <c r="K8845" s="5">
        <v>100.0</v>
      </c>
      <c r="N8845" s="9">
        <v>44638.0</v>
      </c>
    </row>
    <row r="8846">
      <c r="A8846" s="5">
        <v>8845.0</v>
      </c>
      <c r="B8846" s="5" t="s">
        <v>9340</v>
      </c>
      <c r="C8846" s="5" t="s">
        <v>21</v>
      </c>
      <c r="K8846" s="5">
        <v>100.0</v>
      </c>
      <c r="N8846" s="9">
        <v>45060.0</v>
      </c>
    </row>
    <row r="8847">
      <c r="A8847" s="5">
        <v>8846.0</v>
      </c>
      <c r="B8847" s="5" t="s">
        <v>9341</v>
      </c>
      <c r="C8847" s="5" t="s">
        <v>21</v>
      </c>
      <c r="K8847" s="5">
        <v>150.0</v>
      </c>
      <c r="N8847" s="9">
        <v>44375.0</v>
      </c>
    </row>
    <row r="8848">
      <c r="A8848" s="5">
        <v>8847.0</v>
      </c>
      <c r="B8848" s="5" t="s">
        <v>9342</v>
      </c>
      <c r="C8848" s="5" t="s">
        <v>21</v>
      </c>
      <c r="K8848" s="5">
        <v>200.0</v>
      </c>
      <c r="N8848" s="9">
        <v>46125.0</v>
      </c>
    </row>
    <row r="8849">
      <c r="A8849" s="5">
        <v>8848.0</v>
      </c>
      <c r="B8849" s="5" t="s">
        <v>9343</v>
      </c>
      <c r="C8849" s="5" t="s">
        <v>21</v>
      </c>
      <c r="K8849" s="5">
        <v>700.0</v>
      </c>
      <c r="N8849" s="9">
        <v>45744.0</v>
      </c>
    </row>
    <row r="8850">
      <c r="A8850" s="5">
        <v>8849.0</v>
      </c>
      <c r="B8850" s="5" t="s">
        <v>9344</v>
      </c>
      <c r="C8850" s="5" t="s">
        <v>21</v>
      </c>
      <c r="K8850" s="5">
        <v>400.0</v>
      </c>
      <c r="N8850" s="9">
        <v>45418.0</v>
      </c>
    </row>
    <row r="8851">
      <c r="A8851" s="5">
        <v>8850.0</v>
      </c>
      <c r="B8851" s="5" t="s">
        <v>9345</v>
      </c>
      <c r="C8851" s="5" t="s">
        <v>21</v>
      </c>
      <c r="N8851" s="9">
        <v>44528.0</v>
      </c>
    </row>
    <row r="8852">
      <c r="A8852" s="5">
        <v>8851.0</v>
      </c>
      <c r="B8852" s="5" t="s">
        <v>9346</v>
      </c>
      <c r="C8852" s="5" t="s">
        <v>21</v>
      </c>
      <c r="K8852" s="5">
        <v>150.0</v>
      </c>
      <c r="N8852" s="9">
        <v>45173.0</v>
      </c>
    </row>
    <row r="8853">
      <c r="A8853" s="5">
        <v>8852.0</v>
      </c>
      <c r="B8853" s="5" t="s">
        <v>9347</v>
      </c>
      <c r="C8853" s="5" t="s">
        <v>21</v>
      </c>
      <c r="K8853" s="5">
        <v>60.0</v>
      </c>
      <c r="N8853" s="9">
        <v>44050.0</v>
      </c>
    </row>
    <row r="8854">
      <c r="A8854" s="5">
        <v>8853.0</v>
      </c>
      <c r="B8854" s="5" t="s">
        <v>9348</v>
      </c>
      <c r="C8854" s="5" t="s">
        <v>21</v>
      </c>
      <c r="N8854" s="9">
        <v>43945.0</v>
      </c>
    </row>
    <row r="8855">
      <c r="A8855" s="5">
        <v>8854.0</v>
      </c>
      <c r="B8855" s="5" t="s">
        <v>9349</v>
      </c>
      <c r="C8855" s="5" t="s">
        <v>21</v>
      </c>
      <c r="K8855" s="5">
        <v>80.0</v>
      </c>
      <c r="N8855" s="9">
        <v>45094.0</v>
      </c>
    </row>
    <row r="8856">
      <c r="A8856" s="5">
        <v>8855.0</v>
      </c>
      <c r="B8856" s="5" t="s">
        <v>9350</v>
      </c>
      <c r="C8856" s="5" t="s">
        <v>21</v>
      </c>
      <c r="K8856" s="5">
        <v>6200.0</v>
      </c>
      <c r="N8856" s="9">
        <v>43882.0</v>
      </c>
    </row>
    <row r="8857">
      <c r="A8857" s="5">
        <v>8856.0</v>
      </c>
      <c r="B8857" s="5" t="s">
        <v>9351</v>
      </c>
      <c r="C8857" s="5" t="s">
        <v>21</v>
      </c>
      <c r="K8857" s="5">
        <v>600.0</v>
      </c>
      <c r="N8857" s="9">
        <v>44234.0</v>
      </c>
    </row>
    <row r="8858">
      <c r="A8858" s="5">
        <v>8857.0</v>
      </c>
      <c r="B8858" s="5" t="s">
        <v>9352</v>
      </c>
      <c r="C8858" s="5" t="s">
        <v>21</v>
      </c>
      <c r="K8858" s="5">
        <v>500.0</v>
      </c>
      <c r="N8858" s="9">
        <v>44365.0</v>
      </c>
    </row>
    <row r="8859">
      <c r="A8859" s="5">
        <v>8858.0</v>
      </c>
      <c r="B8859" s="5" t="s">
        <v>9353</v>
      </c>
      <c r="C8859" s="5" t="s">
        <v>21</v>
      </c>
      <c r="K8859" s="5">
        <v>10.0</v>
      </c>
      <c r="N8859" s="9">
        <v>44930.0</v>
      </c>
    </row>
    <row r="8860">
      <c r="A8860" s="5">
        <v>8859.0</v>
      </c>
      <c r="B8860" s="5" t="s">
        <v>9354</v>
      </c>
      <c r="C8860" s="5" t="s">
        <v>21</v>
      </c>
      <c r="K8860" s="5">
        <v>350.0</v>
      </c>
      <c r="N8860" s="9">
        <v>44510.0</v>
      </c>
    </row>
    <row r="8861">
      <c r="A8861" s="5">
        <v>8860.0</v>
      </c>
      <c r="B8861" s="5" t="s">
        <v>9355</v>
      </c>
      <c r="C8861" s="5" t="s">
        <v>21</v>
      </c>
      <c r="K8861" s="5">
        <v>1100.0</v>
      </c>
      <c r="N8861" s="9">
        <v>44570.0</v>
      </c>
    </row>
    <row r="8862">
      <c r="A8862" s="5">
        <v>8861.0</v>
      </c>
      <c r="B8862" s="5" t="s">
        <v>9356</v>
      </c>
      <c r="C8862" s="5" t="s">
        <v>21</v>
      </c>
      <c r="K8862" s="5">
        <v>800.0</v>
      </c>
      <c r="N8862" s="9">
        <v>44742.0</v>
      </c>
    </row>
    <row r="8863">
      <c r="A8863" s="5">
        <v>8862.0</v>
      </c>
      <c r="B8863" s="5" t="s">
        <v>9357</v>
      </c>
      <c r="C8863" s="5" t="s">
        <v>21</v>
      </c>
      <c r="K8863" s="5">
        <v>250.0</v>
      </c>
      <c r="N8863" s="9">
        <v>44390.0</v>
      </c>
    </row>
    <row r="8864">
      <c r="A8864" s="5">
        <v>8863.0</v>
      </c>
      <c r="B8864" s="5" t="s">
        <v>9358</v>
      </c>
      <c r="C8864" s="5" t="s">
        <v>21</v>
      </c>
      <c r="K8864" s="5">
        <v>60.0</v>
      </c>
      <c r="N8864" s="9">
        <v>44640.0</v>
      </c>
    </row>
    <row r="8865">
      <c r="A8865" s="5">
        <v>8864.0</v>
      </c>
      <c r="B8865" s="5" t="s">
        <v>9359</v>
      </c>
      <c r="C8865" s="5" t="s">
        <v>21</v>
      </c>
      <c r="K8865" s="5">
        <v>2300.0</v>
      </c>
      <c r="N8865" s="9">
        <v>44056.0</v>
      </c>
    </row>
    <row r="8866">
      <c r="A8866" s="5">
        <v>8865.0</v>
      </c>
      <c r="B8866" s="5" t="s">
        <v>298</v>
      </c>
      <c r="C8866" s="5" t="s">
        <v>21</v>
      </c>
      <c r="N8866" s="9">
        <v>45036.0</v>
      </c>
    </row>
    <row r="8867">
      <c r="A8867" s="5">
        <v>8866.0</v>
      </c>
      <c r="B8867" s="5" t="s">
        <v>9360</v>
      </c>
      <c r="C8867" s="5" t="s">
        <v>21</v>
      </c>
      <c r="N8867" s="9">
        <v>44523.0</v>
      </c>
    </row>
    <row r="8868">
      <c r="A8868" s="5">
        <v>8867.0</v>
      </c>
      <c r="B8868" s="5" t="s">
        <v>9361</v>
      </c>
      <c r="C8868" s="5" t="s">
        <v>21</v>
      </c>
      <c r="K8868" s="5">
        <v>1500.0</v>
      </c>
      <c r="N8868" s="9">
        <v>44109.0</v>
      </c>
    </row>
    <row r="8869">
      <c r="A8869" s="5">
        <v>8868.0</v>
      </c>
      <c r="B8869" s="5" t="s">
        <v>9362</v>
      </c>
      <c r="C8869" s="5" t="s">
        <v>21</v>
      </c>
      <c r="K8869" s="5">
        <v>300.0</v>
      </c>
      <c r="N8869" s="9">
        <v>44026.0</v>
      </c>
    </row>
    <row r="8870">
      <c r="A8870" s="5">
        <v>8869.0</v>
      </c>
      <c r="B8870" s="5" t="s">
        <v>9363</v>
      </c>
      <c r="C8870" s="5" t="s">
        <v>21</v>
      </c>
      <c r="K8870" s="5">
        <v>600.0</v>
      </c>
      <c r="N8870" s="9">
        <v>43932.0</v>
      </c>
    </row>
    <row r="8871">
      <c r="A8871" s="5">
        <v>8870.0</v>
      </c>
      <c r="B8871" s="5" t="s">
        <v>9364</v>
      </c>
      <c r="C8871" s="5" t="s">
        <v>21</v>
      </c>
      <c r="K8871" s="5">
        <v>60.0</v>
      </c>
      <c r="N8871" s="9">
        <v>44539.0</v>
      </c>
    </row>
    <row r="8872">
      <c r="A8872" s="5">
        <v>8871.0</v>
      </c>
      <c r="B8872" s="5" t="s">
        <v>9365</v>
      </c>
      <c r="C8872" s="5" t="s">
        <v>21</v>
      </c>
      <c r="K8872" s="5">
        <v>200.0</v>
      </c>
      <c r="N8872" s="9">
        <v>45071.0</v>
      </c>
    </row>
    <row r="8873">
      <c r="A8873" s="5">
        <v>8872.0</v>
      </c>
      <c r="B8873" s="5" t="s">
        <v>9366</v>
      </c>
      <c r="C8873" s="5" t="s">
        <v>21</v>
      </c>
      <c r="K8873" s="5">
        <v>150.0</v>
      </c>
      <c r="N8873" s="9">
        <v>45020.0</v>
      </c>
    </row>
    <row r="8874">
      <c r="A8874" s="5">
        <v>8873.0</v>
      </c>
      <c r="B8874" s="5" t="s">
        <v>9367</v>
      </c>
      <c r="C8874" s="5" t="s">
        <v>21</v>
      </c>
      <c r="K8874" s="5">
        <v>1500.0</v>
      </c>
      <c r="N8874" s="9">
        <v>45565.0</v>
      </c>
    </row>
    <row r="8875">
      <c r="A8875" s="5">
        <v>8874.0</v>
      </c>
      <c r="B8875" s="5" t="s">
        <v>9368</v>
      </c>
      <c r="C8875" s="5" t="s">
        <v>21</v>
      </c>
      <c r="K8875" s="5">
        <v>9200.0</v>
      </c>
      <c r="N8875" s="9">
        <v>44267.0</v>
      </c>
    </row>
    <row r="8876">
      <c r="A8876" s="5">
        <v>8875.0</v>
      </c>
      <c r="B8876" s="5" t="s">
        <v>9369</v>
      </c>
      <c r="C8876" s="5" t="s">
        <v>21</v>
      </c>
      <c r="K8876" s="5">
        <v>250.0</v>
      </c>
      <c r="N8876" s="9">
        <v>45538.0</v>
      </c>
    </row>
    <row r="8877">
      <c r="A8877" s="5">
        <v>8876.0</v>
      </c>
      <c r="B8877" s="5" t="s">
        <v>9370</v>
      </c>
      <c r="C8877" s="5" t="s">
        <v>21</v>
      </c>
      <c r="K8877" s="5">
        <v>600.0</v>
      </c>
      <c r="N8877" s="9">
        <v>45556.0</v>
      </c>
    </row>
    <row r="8878">
      <c r="A8878" s="5">
        <v>8877.0</v>
      </c>
      <c r="B8878" s="5" t="s">
        <v>9371</v>
      </c>
      <c r="C8878" s="5" t="s">
        <v>21</v>
      </c>
      <c r="K8878" s="5">
        <v>200.0</v>
      </c>
      <c r="N8878" s="9">
        <v>45157.0</v>
      </c>
    </row>
    <row r="8879">
      <c r="A8879" s="5">
        <v>8878.0</v>
      </c>
      <c r="B8879" s="5" t="s">
        <v>9372</v>
      </c>
      <c r="C8879" s="5" t="s">
        <v>21</v>
      </c>
      <c r="K8879" s="5">
        <v>100.0</v>
      </c>
      <c r="N8879" s="9">
        <v>44544.0</v>
      </c>
    </row>
    <row r="8880">
      <c r="A8880" s="5">
        <v>8879.0</v>
      </c>
      <c r="B8880" s="5" t="s">
        <v>9373</v>
      </c>
      <c r="C8880" s="5" t="s">
        <v>21</v>
      </c>
      <c r="K8880" s="5">
        <v>150.0</v>
      </c>
      <c r="N8880" s="9">
        <v>44811.0</v>
      </c>
    </row>
    <row r="8881">
      <c r="A8881" s="5">
        <v>8880.0</v>
      </c>
      <c r="B8881" s="5" t="s">
        <v>9374</v>
      </c>
      <c r="C8881" s="5" t="s">
        <v>21</v>
      </c>
      <c r="K8881" s="5">
        <v>450.0</v>
      </c>
      <c r="N8881" s="9">
        <v>45602.0</v>
      </c>
    </row>
    <row r="8882">
      <c r="A8882" s="5">
        <v>8881.0</v>
      </c>
      <c r="B8882" s="5" t="s">
        <v>9375</v>
      </c>
      <c r="C8882" s="5" t="s">
        <v>21</v>
      </c>
      <c r="K8882" s="5">
        <v>500.0</v>
      </c>
      <c r="N8882" s="9">
        <v>45689.0</v>
      </c>
    </row>
    <row r="8883">
      <c r="A8883" s="5">
        <v>8882.0</v>
      </c>
      <c r="B8883" s="5" t="s">
        <v>9376</v>
      </c>
      <c r="C8883" s="5" t="s">
        <v>21</v>
      </c>
      <c r="K8883" s="5">
        <v>90.0</v>
      </c>
      <c r="N8883" s="9">
        <v>44518.0</v>
      </c>
    </row>
    <row r="8884">
      <c r="A8884" s="5">
        <v>8883.0</v>
      </c>
      <c r="B8884" s="5" t="s">
        <v>9377</v>
      </c>
      <c r="C8884" s="5" t="s">
        <v>21</v>
      </c>
      <c r="K8884" s="5">
        <v>90.0</v>
      </c>
      <c r="N8884" s="9">
        <v>44656.0</v>
      </c>
    </row>
    <row r="8885">
      <c r="A8885" s="5">
        <v>8884.0</v>
      </c>
      <c r="B8885" s="5" t="s">
        <v>9378</v>
      </c>
      <c r="C8885" s="5" t="s">
        <v>21</v>
      </c>
      <c r="K8885" s="5">
        <v>90.0</v>
      </c>
      <c r="N8885" s="9">
        <v>44727.0</v>
      </c>
    </row>
    <row r="8886">
      <c r="A8886" s="5">
        <v>8885.0</v>
      </c>
      <c r="B8886" s="5" t="s">
        <v>9379</v>
      </c>
      <c r="C8886" s="5" t="s">
        <v>21</v>
      </c>
      <c r="K8886" s="5">
        <v>150.0</v>
      </c>
      <c r="N8886" s="9">
        <v>44567.0</v>
      </c>
    </row>
    <row r="8887">
      <c r="A8887" s="5">
        <v>8886.0</v>
      </c>
      <c r="B8887" s="5" t="s">
        <v>9380</v>
      </c>
      <c r="C8887" s="5" t="s">
        <v>21</v>
      </c>
      <c r="K8887" s="5">
        <v>300.0</v>
      </c>
      <c r="N8887" s="9">
        <v>44610.0</v>
      </c>
    </row>
    <row r="8888">
      <c r="A8888" s="5">
        <v>8887.0</v>
      </c>
      <c r="B8888" s="5" t="s">
        <v>9381</v>
      </c>
      <c r="C8888" s="5" t="s">
        <v>21</v>
      </c>
      <c r="K8888" s="5">
        <v>250.0</v>
      </c>
      <c r="N8888" s="9">
        <v>45082.0</v>
      </c>
    </row>
    <row r="8889">
      <c r="A8889" s="5">
        <v>8888.0</v>
      </c>
      <c r="B8889" s="5" t="s">
        <v>9382</v>
      </c>
      <c r="C8889" s="5" t="s">
        <v>21</v>
      </c>
      <c r="K8889" s="5">
        <v>200.0</v>
      </c>
      <c r="N8889" s="9">
        <v>45312.0</v>
      </c>
    </row>
    <row r="8890">
      <c r="A8890" s="5">
        <v>8889.0</v>
      </c>
      <c r="B8890" s="5" t="s">
        <v>9383</v>
      </c>
      <c r="C8890" s="5" t="s">
        <v>21</v>
      </c>
      <c r="K8890" s="5">
        <v>600.0</v>
      </c>
      <c r="N8890" s="9">
        <v>44517.0</v>
      </c>
    </row>
    <row r="8891">
      <c r="A8891" s="5">
        <v>8890.0</v>
      </c>
      <c r="B8891" s="5" t="s">
        <v>9384</v>
      </c>
      <c r="C8891" s="5" t="s">
        <v>21</v>
      </c>
      <c r="K8891" s="5">
        <v>200.0</v>
      </c>
      <c r="N8891" s="9">
        <v>44190.0</v>
      </c>
    </row>
    <row r="8892">
      <c r="A8892" s="5">
        <v>8891.0</v>
      </c>
      <c r="B8892" s="5" t="s">
        <v>9385</v>
      </c>
      <c r="C8892" s="5" t="s">
        <v>21</v>
      </c>
      <c r="K8892" s="5">
        <v>200.0</v>
      </c>
      <c r="N8892" s="9">
        <v>44762.0</v>
      </c>
    </row>
    <row r="8893">
      <c r="A8893" s="5">
        <v>8892.0</v>
      </c>
      <c r="B8893" s="5" t="s">
        <v>9386</v>
      </c>
      <c r="C8893" s="5" t="s">
        <v>21</v>
      </c>
      <c r="K8893" s="5">
        <v>250.0</v>
      </c>
      <c r="N8893" s="9">
        <v>44649.0</v>
      </c>
    </row>
    <row r="8894">
      <c r="A8894" s="5">
        <v>8893.0</v>
      </c>
      <c r="B8894" s="5" t="s">
        <v>9387</v>
      </c>
      <c r="C8894" s="5" t="s">
        <v>21</v>
      </c>
      <c r="K8894" s="5">
        <v>200.0</v>
      </c>
      <c r="N8894" s="9">
        <v>45525.0</v>
      </c>
    </row>
    <row r="8895">
      <c r="A8895" s="5">
        <v>8894.0</v>
      </c>
      <c r="B8895" s="5" t="s">
        <v>9388</v>
      </c>
      <c r="C8895" s="5" t="s">
        <v>21</v>
      </c>
      <c r="K8895" s="5">
        <v>300.0</v>
      </c>
      <c r="N8895" s="9">
        <v>45463.0</v>
      </c>
    </row>
    <row r="8896">
      <c r="A8896" s="5">
        <v>8895.0</v>
      </c>
      <c r="B8896" s="5" t="s">
        <v>9389</v>
      </c>
      <c r="C8896" s="5" t="s">
        <v>21</v>
      </c>
      <c r="K8896" s="5">
        <v>100.0</v>
      </c>
      <c r="N8896" s="9">
        <v>44766.0</v>
      </c>
    </row>
    <row r="8897">
      <c r="A8897" s="5">
        <v>8896.0</v>
      </c>
      <c r="B8897" s="5" t="s">
        <v>9390</v>
      </c>
      <c r="C8897" s="5" t="s">
        <v>21</v>
      </c>
      <c r="K8897" s="5">
        <v>500.0</v>
      </c>
      <c r="N8897" s="9">
        <v>44622.0</v>
      </c>
    </row>
    <row r="8898">
      <c r="A8898" s="5">
        <v>8897.0</v>
      </c>
      <c r="B8898" s="5" t="s">
        <v>9391</v>
      </c>
      <c r="C8898" s="5" t="s">
        <v>21</v>
      </c>
      <c r="K8898" s="5">
        <v>1800.0</v>
      </c>
      <c r="N8898" s="9">
        <v>44222.0</v>
      </c>
    </row>
    <row r="8899">
      <c r="A8899" s="5">
        <v>8898.0</v>
      </c>
      <c r="B8899" s="5" t="s">
        <v>9392</v>
      </c>
      <c r="C8899" s="5" t="s">
        <v>21</v>
      </c>
      <c r="K8899" s="5">
        <v>90.0</v>
      </c>
      <c r="N8899" s="9">
        <v>44770.0</v>
      </c>
    </row>
    <row r="8900">
      <c r="A8900" s="5">
        <v>8899.0</v>
      </c>
      <c r="B8900" s="5" t="s">
        <v>9393</v>
      </c>
      <c r="C8900" s="5" t="s">
        <v>21</v>
      </c>
      <c r="N8900" s="9">
        <v>45089.0</v>
      </c>
    </row>
    <row r="8901">
      <c r="A8901" s="5">
        <v>8900.0</v>
      </c>
      <c r="B8901" s="5" t="s">
        <v>9394</v>
      </c>
      <c r="C8901" s="5" t="s">
        <v>21</v>
      </c>
      <c r="K8901" s="5">
        <v>20.0</v>
      </c>
      <c r="N8901" s="9">
        <v>44676.0</v>
      </c>
    </row>
    <row r="8902">
      <c r="A8902" s="5">
        <v>8901.0</v>
      </c>
      <c r="B8902" s="5" t="s">
        <v>9395</v>
      </c>
      <c r="C8902" s="5" t="s">
        <v>21</v>
      </c>
      <c r="K8902" s="5">
        <v>600.0</v>
      </c>
      <c r="N8902" s="9">
        <v>44975.0</v>
      </c>
    </row>
    <row r="8903">
      <c r="A8903" s="5">
        <v>8902.0</v>
      </c>
      <c r="B8903" s="5" t="s">
        <v>9396</v>
      </c>
      <c r="C8903" s="5" t="s">
        <v>21</v>
      </c>
      <c r="K8903" s="5">
        <v>200.0</v>
      </c>
      <c r="N8903" s="9">
        <v>44554.0</v>
      </c>
    </row>
    <row r="8904">
      <c r="A8904" s="5">
        <v>8903.0</v>
      </c>
      <c r="B8904" s="5" t="s">
        <v>9397</v>
      </c>
      <c r="C8904" s="5" t="s">
        <v>21</v>
      </c>
      <c r="K8904" s="5">
        <v>900.0</v>
      </c>
      <c r="N8904" s="9">
        <v>44524.0</v>
      </c>
    </row>
    <row r="8905">
      <c r="A8905" s="5">
        <v>8904.0</v>
      </c>
      <c r="B8905" s="5" t="s">
        <v>9398</v>
      </c>
      <c r="C8905" s="5" t="s">
        <v>21</v>
      </c>
      <c r="K8905" s="5">
        <v>1200.0</v>
      </c>
      <c r="N8905" s="9">
        <v>44746.0</v>
      </c>
    </row>
    <row r="8906">
      <c r="A8906" s="5">
        <v>8905.0</v>
      </c>
      <c r="B8906" s="5" t="s">
        <v>9399</v>
      </c>
      <c r="C8906" s="5" t="s">
        <v>21</v>
      </c>
      <c r="K8906" s="5">
        <v>70.0</v>
      </c>
      <c r="N8906" s="9">
        <v>44541.0</v>
      </c>
    </row>
    <row r="8907">
      <c r="A8907" s="5">
        <v>8906.0</v>
      </c>
      <c r="B8907" s="5" t="s">
        <v>9400</v>
      </c>
      <c r="C8907" s="5" t="s">
        <v>21</v>
      </c>
      <c r="K8907" s="5">
        <v>150.0</v>
      </c>
      <c r="N8907" s="9">
        <v>44567.0</v>
      </c>
    </row>
    <row r="8908">
      <c r="A8908" s="5">
        <v>8907.0</v>
      </c>
      <c r="B8908" s="5" t="s">
        <v>9401</v>
      </c>
      <c r="C8908" s="5" t="s">
        <v>21</v>
      </c>
      <c r="K8908" s="5">
        <v>150.0</v>
      </c>
      <c r="N8908" s="9">
        <v>43888.0</v>
      </c>
    </row>
    <row r="8909">
      <c r="A8909" s="5">
        <v>8908.0</v>
      </c>
      <c r="B8909" s="5" t="s">
        <v>9402</v>
      </c>
      <c r="C8909" s="5" t="s">
        <v>21</v>
      </c>
      <c r="K8909" s="5">
        <v>1400.0</v>
      </c>
      <c r="N8909" s="9">
        <v>44498.0</v>
      </c>
    </row>
    <row r="8910">
      <c r="A8910" s="5">
        <v>8909.0</v>
      </c>
      <c r="B8910" s="5" t="s">
        <v>9403</v>
      </c>
      <c r="C8910" s="5" t="s">
        <v>21</v>
      </c>
      <c r="K8910" s="5">
        <v>4000.0</v>
      </c>
      <c r="N8910" s="9">
        <v>44596.0</v>
      </c>
    </row>
    <row r="8911">
      <c r="A8911" s="5">
        <v>8910.0</v>
      </c>
      <c r="B8911" s="5" t="s">
        <v>9404</v>
      </c>
      <c r="C8911" s="5" t="s">
        <v>21</v>
      </c>
      <c r="K8911" s="5">
        <v>200.0</v>
      </c>
      <c r="N8911" s="9">
        <v>44750.0</v>
      </c>
    </row>
    <row r="8912">
      <c r="A8912" s="5">
        <v>8911.0</v>
      </c>
      <c r="B8912" s="5" t="s">
        <v>9405</v>
      </c>
      <c r="C8912" s="5" t="s">
        <v>21</v>
      </c>
      <c r="K8912" s="5">
        <v>200.0</v>
      </c>
      <c r="N8912" s="9">
        <v>44595.0</v>
      </c>
    </row>
    <row r="8913">
      <c r="A8913" s="5">
        <v>8912.0</v>
      </c>
      <c r="B8913" s="5" t="s">
        <v>9406</v>
      </c>
      <c r="C8913" s="5" t="s">
        <v>21</v>
      </c>
      <c r="K8913" s="5">
        <v>600.0</v>
      </c>
      <c r="N8913" s="9">
        <v>45083.0</v>
      </c>
    </row>
    <row r="8914">
      <c r="A8914" s="5">
        <v>8913.0</v>
      </c>
      <c r="B8914" s="5" t="s">
        <v>9407</v>
      </c>
      <c r="C8914" s="5" t="s">
        <v>21</v>
      </c>
      <c r="K8914" s="5">
        <v>500.0</v>
      </c>
      <c r="N8914" s="9">
        <v>44231.0</v>
      </c>
    </row>
    <row r="8915">
      <c r="A8915" s="5">
        <v>8914.0</v>
      </c>
      <c r="B8915" s="5" t="s">
        <v>9408</v>
      </c>
      <c r="C8915" s="5" t="s">
        <v>21</v>
      </c>
      <c r="K8915" s="5">
        <v>1900.0</v>
      </c>
      <c r="N8915" s="9">
        <v>43955.0</v>
      </c>
    </row>
    <row r="8916">
      <c r="A8916" s="5">
        <v>8915.0</v>
      </c>
      <c r="B8916" s="5" t="s">
        <v>9409</v>
      </c>
      <c r="C8916" s="5" t="s">
        <v>21</v>
      </c>
      <c r="K8916" s="5">
        <v>1600.0</v>
      </c>
      <c r="N8916" s="9">
        <v>44550.0</v>
      </c>
    </row>
    <row r="8917">
      <c r="A8917" s="5">
        <v>8916.0</v>
      </c>
      <c r="B8917" s="5" t="s">
        <v>9410</v>
      </c>
      <c r="C8917" s="5" t="s">
        <v>21</v>
      </c>
      <c r="N8917" s="9">
        <v>44544.0</v>
      </c>
    </row>
    <row r="8918">
      <c r="A8918" s="5">
        <v>8917.0</v>
      </c>
      <c r="B8918" s="5" t="s">
        <v>9411</v>
      </c>
      <c r="C8918" s="5" t="s">
        <v>21</v>
      </c>
      <c r="K8918" s="5">
        <v>350.0</v>
      </c>
      <c r="N8918" s="9">
        <v>44534.0</v>
      </c>
    </row>
    <row r="8919">
      <c r="A8919" s="5">
        <v>8918.0</v>
      </c>
      <c r="B8919" s="5" t="s">
        <v>9412</v>
      </c>
      <c r="C8919" s="5" t="s">
        <v>21</v>
      </c>
      <c r="K8919" s="5">
        <v>350.0</v>
      </c>
      <c r="N8919" s="9">
        <v>44520.0</v>
      </c>
    </row>
    <row r="8920">
      <c r="A8920" s="5">
        <v>8919.0</v>
      </c>
      <c r="B8920" s="5" t="s">
        <v>9413</v>
      </c>
      <c r="C8920" s="5" t="s">
        <v>21</v>
      </c>
      <c r="K8920" s="5">
        <v>350.0</v>
      </c>
      <c r="N8920" s="9">
        <v>44373.0</v>
      </c>
    </row>
    <row r="8921">
      <c r="A8921" s="5">
        <v>8920.0</v>
      </c>
      <c r="B8921" s="5" t="s">
        <v>9414</v>
      </c>
      <c r="C8921" s="5" t="s">
        <v>21</v>
      </c>
      <c r="K8921" s="5">
        <v>200.0</v>
      </c>
      <c r="N8921" s="9">
        <v>44238.0</v>
      </c>
    </row>
    <row r="8922">
      <c r="A8922" s="5">
        <v>8921.0</v>
      </c>
      <c r="B8922" s="5" t="s">
        <v>9415</v>
      </c>
      <c r="C8922" s="5" t="s">
        <v>21</v>
      </c>
      <c r="K8922" s="5">
        <v>300.0</v>
      </c>
      <c r="N8922" s="9">
        <v>44109.0</v>
      </c>
    </row>
    <row r="8923">
      <c r="A8923" s="5">
        <v>8922.0</v>
      </c>
      <c r="B8923" s="5" t="s">
        <v>9416</v>
      </c>
      <c r="C8923" s="5" t="s">
        <v>21</v>
      </c>
      <c r="K8923" s="5">
        <v>900.0</v>
      </c>
      <c r="N8923" s="9">
        <v>45375.0</v>
      </c>
    </row>
    <row r="8924">
      <c r="A8924" s="5">
        <v>8923.0</v>
      </c>
      <c r="B8924" s="5" t="s">
        <v>9417</v>
      </c>
      <c r="C8924" s="5" t="s">
        <v>21</v>
      </c>
      <c r="K8924" s="5">
        <v>600.0</v>
      </c>
      <c r="N8924" s="9">
        <v>44608.0</v>
      </c>
    </row>
    <row r="8925">
      <c r="A8925" s="5">
        <v>8924.0</v>
      </c>
      <c r="B8925" s="5" t="s">
        <v>9418</v>
      </c>
      <c r="C8925" s="5" t="s">
        <v>21</v>
      </c>
      <c r="K8925" s="5">
        <v>350.0</v>
      </c>
      <c r="N8925" s="9">
        <v>44058.0</v>
      </c>
    </row>
    <row r="8926">
      <c r="A8926" s="5">
        <v>8925.0</v>
      </c>
      <c r="B8926" s="5" t="s">
        <v>9419</v>
      </c>
      <c r="C8926" s="5" t="s">
        <v>21</v>
      </c>
      <c r="K8926" s="5">
        <v>450.0</v>
      </c>
      <c r="N8926" s="9">
        <v>44533.0</v>
      </c>
    </row>
    <row r="8927">
      <c r="A8927" s="5">
        <v>8926.0</v>
      </c>
      <c r="B8927" s="5" t="s">
        <v>9420</v>
      </c>
      <c r="C8927" s="5" t="s">
        <v>21</v>
      </c>
      <c r="K8927" s="5">
        <v>300.0</v>
      </c>
      <c r="N8927" s="9">
        <v>45472.0</v>
      </c>
    </row>
    <row r="8928">
      <c r="A8928" s="5">
        <v>8927.0</v>
      </c>
      <c r="B8928" s="5" t="s">
        <v>9421</v>
      </c>
      <c r="C8928" s="5" t="s">
        <v>21</v>
      </c>
      <c r="K8928" s="5">
        <v>600.0</v>
      </c>
      <c r="N8928" s="9">
        <v>44382.0</v>
      </c>
    </row>
    <row r="8929">
      <c r="A8929" s="5">
        <v>8928.0</v>
      </c>
      <c r="B8929" s="5" t="s">
        <v>9422</v>
      </c>
      <c r="C8929" s="5" t="s">
        <v>21</v>
      </c>
      <c r="K8929" s="5">
        <v>100.0</v>
      </c>
      <c r="N8929" s="9">
        <v>45911.0</v>
      </c>
    </row>
    <row r="8930">
      <c r="A8930" s="5">
        <v>8929.0</v>
      </c>
      <c r="B8930" s="5" t="s">
        <v>9423</v>
      </c>
      <c r="C8930" s="5" t="s">
        <v>21</v>
      </c>
      <c r="K8930" s="5">
        <v>20.0</v>
      </c>
      <c r="N8930" s="9">
        <v>44690.0</v>
      </c>
    </row>
    <row r="8931">
      <c r="A8931" s="5">
        <v>8930.0</v>
      </c>
      <c r="B8931" s="5" t="s">
        <v>9424</v>
      </c>
      <c r="C8931" s="5" t="s">
        <v>21</v>
      </c>
      <c r="K8931" s="5">
        <v>90.0</v>
      </c>
      <c r="N8931" s="9">
        <v>44316.0</v>
      </c>
    </row>
    <row r="8932">
      <c r="A8932" s="5">
        <v>8931.0</v>
      </c>
      <c r="B8932" s="5" t="s">
        <v>9425</v>
      </c>
      <c r="C8932" s="5" t="s">
        <v>21</v>
      </c>
      <c r="K8932" s="5">
        <v>1000.0</v>
      </c>
      <c r="N8932" s="9">
        <v>44830.0</v>
      </c>
    </row>
    <row r="8933">
      <c r="A8933" s="5">
        <v>8932.0</v>
      </c>
      <c r="B8933" s="5" t="s">
        <v>9426</v>
      </c>
      <c r="C8933" s="5" t="s">
        <v>21</v>
      </c>
      <c r="K8933" s="5">
        <v>1200.0</v>
      </c>
      <c r="N8933" s="9">
        <v>44598.0</v>
      </c>
    </row>
    <row r="8934">
      <c r="A8934" s="5">
        <v>8933.0</v>
      </c>
      <c r="B8934" s="5" t="s">
        <v>9427</v>
      </c>
      <c r="C8934" s="5" t="s">
        <v>21</v>
      </c>
      <c r="K8934" s="5">
        <v>250.0</v>
      </c>
      <c r="N8934" s="9">
        <v>44064.0</v>
      </c>
    </row>
    <row r="8935">
      <c r="A8935" s="5">
        <v>8934.0</v>
      </c>
      <c r="B8935" s="5" t="s">
        <v>9428</v>
      </c>
      <c r="C8935" s="5" t="s">
        <v>21</v>
      </c>
      <c r="K8935" s="5">
        <v>600.0</v>
      </c>
      <c r="N8935" s="9">
        <v>45064.0</v>
      </c>
    </row>
    <row r="8936">
      <c r="A8936" s="5">
        <v>8935.0</v>
      </c>
      <c r="B8936" s="5" t="s">
        <v>9429</v>
      </c>
      <c r="C8936" s="5" t="s">
        <v>21</v>
      </c>
      <c r="K8936" s="5">
        <v>1100.0</v>
      </c>
      <c r="N8936" s="9">
        <v>44592.0</v>
      </c>
    </row>
    <row r="8937">
      <c r="A8937" s="5">
        <v>8936.0</v>
      </c>
      <c r="B8937" s="5" t="s">
        <v>9430</v>
      </c>
      <c r="C8937" s="5" t="s">
        <v>21</v>
      </c>
      <c r="K8937" s="5">
        <v>8500.0</v>
      </c>
      <c r="N8937" s="9">
        <v>45074.0</v>
      </c>
    </row>
    <row r="8938">
      <c r="A8938" s="5">
        <v>8937.0</v>
      </c>
      <c r="B8938" s="5" t="s">
        <v>9431</v>
      </c>
      <c r="C8938" s="5" t="s">
        <v>21</v>
      </c>
      <c r="K8938" s="5">
        <v>600.0</v>
      </c>
      <c r="N8938" s="9">
        <v>45627.0</v>
      </c>
    </row>
    <row r="8939">
      <c r="A8939" s="5">
        <v>8938.0</v>
      </c>
      <c r="B8939" s="5" t="s">
        <v>9432</v>
      </c>
      <c r="C8939" s="5" t="s">
        <v>21</v>
      </c>
      <c r="K8939" s="5">
        <v>600.0</v>
      </c>
      <c r="N8939" s="9">
        <v>44787.0</v>
      </c>
    </row>
    <row r="8940">
      <c r="A8940" s="5">
        <v>8939.0</v>
      </c>
      <c r="B8940" s="5" t="s">
        <v>9433</v>
      </c>
      <c r="C8940" s="5" t="s">
        <v>21</v>
      </c>
      <c r="K8940" s="5">
        <v>900.0</v>
      </c>
      <c r="N8940" s="9">
        <v>45191.0</v>
      </c>
    </row>
    <row r="8941">
      <c r="A8941" s="5">
        <v>8940.0</v>
      </c>
      <c r="B8941" s="5" t="s">
        <v>9434</v>
      </c>
      <c r="C8941" s="5" t="s">
        <v>21</v>
      </c>
      <c r="K8941" s="5">
        <v>150.0</v>
      </c>
      <c r="N8941" s="9">
        <v>44559.0</v>
      </c>
    </row>
    <row r="8942">
      <c r="A8942" s="5">
        <v>8941.0</v>
      </c>
      <c r="B8942" s="5" t="s">
        <v>9435</v>
      </c>
      <c r="C8942" s="5" t="s">
        <v>21</v>
      </c>
      <c r="K8942" s="5">
        <v>150.0</v>
      </c>
      <c r="N8942" s="9">
        <v>44559.0</v>
      </c>
    </row>
    <row r="8943">
      <c r="A8943" s="5">
        <v>8942.0</v>
      </c>
      <c r="B8943" s="5" t="s">
        <v>9436</v>
      </c>
      <c r="C8943" s="5" t="s">
        <v>21</v>
      </c>
      <c r="K8943" s="5">
        <v>350.0</v>
      </c>
      <c r="N8943" s="9">
        <v>44562.0</v>
      </c>
    </row>
    <row r="8944">
      <c r="A8944" s="5">
        <v>8943.0</v>
      </c>
      <c r="B8944" s="5" t="s">
        <v>9437</v>
      </c>
      <c r="C8944" s="5" t="s">
        <v>21</v>
      </c>
      <c r="K8944" s="5">
        <v>2300.0</v>
      </c>
      <c r="N8944" s="9">
        <v>43842.0</v>
      </c>
    </row>
    <row r="8945">
      <c r="A8945" s="5">
        <v>8944.0</v>
      </c>
      <c r="B8945" s="5" t="s">
        <v>9438</v>
      </c>
      <c r="C8945" s="5" t="s">
        <v>21</v>
      </c>
      <c r="K8945" s="5">
        <v>40.0</v>
      </c>
      <c r="N8945" s="9">
        <v>44796.0</v>
      </c>
    </row>
    <row r="8946">
      <c r="A8946" s="5">
        <v>8945.0</v>
      </c>
      <c r="B8946" s="5" t="s">
        <v>9439</v>
      </c>
      <c r="C8946" s="5" t="s">
        <v>21</v>
      </c>
      <c r="K8946" s="5">
        <v>5400.0</v>
      </c>
      <c r="N8946" s="9">
        <v>43882.0</v>
      </c>
    </row>
    <row r="8947">
      <c r="A8947" s="5">
        <v>8946.0</v>
      </c>
      <c r="B8947" s="5" t="s">
        <v>9440</v>
      </c>
      <c r="C8947" s="5" t="s">
        <v>21</v>
      </c>
      <c r="K8947" s="5">
        <v>1000.0</v>
      </c>
      <c r="N8947" s="9">
        <v>44336.0</v>
      </c>
    </row>
    <row r="8948">
      <c r="A8948" s="5">
        <v>8947.0</v>
      </c>
      <c r="B8948" s="5" t="s">
        <v>9441</v>
      </c>
      <c r="C8948" s="5" t="s">
        <v>21</v>
      </c>
      <c r="K8948" s="5">
        <v>400.0</v>
      </c>
      <c r="N8948" s="9">
        <v>44522.0</v>
      </c>
    </row>
    <row r="8949">
      <c r="A8949" s="5">
        <v>8948.0</v>
      </c>
      <c r="B8949" s="5" t="s">
        <v>9442</v>
      </c>
      <c r="C8949" s="5" t="s">
        <v>21</v>
      </c>
      <c r="K8949" s="5">
        <v>500.0</v>
      </c>
      <c r="N8949" s="9">
        <v>45563.0</v>
      </c>
    </row>
    <row r="8950">
      <c r="A8950" s="5">
        <v>8949.0</v>
      </c>
      <c r="B8950" s="5" t="s">
        <v>9443</v>
      </c>
      <c r="C8950" s="5" t="s">
        <v>21</v>
      </c>
      <c r="K8950" s="5">
        <v>2000.0</v>
      </c>
      <c r="N8950" s="9">
        <v>45597.0</v>
      </c>
    </row>
    <row r="8951">
      <c r="A8951" s="5">
        <v>8950.0</v>
      </c>
      <c r="B8951" s="5" t="s">
        <v>9444</v>
      </c>
      <c r="C8951" s="5" t="s">
        <v>21</v>
      </c>
      <c r="K8951" s="5">
        <v>1500.0</v>
      </c>
      <c r="N8951" s="9">
        <v>44716.0</v>
      </c>
    </row>
    <row r="8952">
      <c r="A8952" s="5">
        <v>8951.0</v>
      </c>
      <c r="B8952" s="5" t="s">
        <v>9445</v>
      </c>
      <c r="C8952" s="5" t="s">
        <v>21</v>
      </c>
      <c r="K8952" s="5">
        <v>250.0</v>
      </c>
      <c r="N8952" s="9">
        <v>44579.0</v>
      </c>
    </row>
    <row r="8953">
      <c r="A8953" s="5">
        <v>8952.0</v>
      </c>
      <c r="B8953" s="5" t="s">
        <v>9446</v>
      </c>
      <c r="C8953" s="5" t="s">
        <v>21</v>
      </c>
      <c r="K8953" s="5">
        <v>10.0</v>
      </c>
      <c r="N8953" s="9">
        <v>44938.0</v>
      </c>
    </row>
    <row r="8954">
      <c r="A8954" s="5">
        <v>8953.0</v>
      </c>
      <c r="B8954" s="5" t="s">
        <v>9447</v>
      </c>
      <c r="C8954" s="5" t="s">
        <v>21</v>
      </c>
      <c r="K8954" s="5">
        <v>150.0</v>
      </c>
      <c r="N8954" s="9">
        <v>44557.0</v>
      </c>
    </row>
    <row r="8955">
      <c r="A8955" s="5">
        <v>8954.0</v>
      </c>
      <c r="B8955" s="5" t="s">
        <v>9448</v>
      </c>
      <c r="C8955" s="5" t="s">
        <v>21</v>
      </c>
      <c r="K8955" s="5">
        <v>70.0</v>
      </c>
      <c r="N8955" s="9">
        <v>44566.0</v>
      </c>
    </row>
    <row r="8956">
      <c r="A8956" s="5">
        <v>8955.0</v>
      </c>
      <c r="B8956" s="5" t="s">
        <v>9449</v>
      </c>
      <c r="C8956" s="5" t="s">
        <v>21</v>
      </c>
      <c r="K8956" s="5">
        <v>250.0</v>
      </c>
      <c r="N8956" s="9">
        <v>45613.0</v>
      </c>
    </row>
    <row r="8957">
      <c r="A8957" s="5">
        <v>8956.0</v>
      </c>
      <c r="B8957" s="5" t="s">
        <v>9450</v>
      </c>
      <c r="C8957" s="5" t="s">
        <v>21</v>
      </c>
      <c r="K8957" s="5">
        <v>1200.0</v>
      </c>
      <c r="N8957" s="9">
        <v>44482.0</v>
      </c>
    </row>
    <row r="8958">
      <c r="A8958" s="5">
        <v>8957.0</v>
      </c>
      <c r="B8958" s="5" t="s">
        <v>9451</v>
      </c>
      <c r="C8958" s="5" t="s">
        <v>21</v>
      </c>
      <c r="K8958" s="5">
        <v>250.0</v>
      </c>
      <c r="N8958" s="9">
        <v>44595.0</v>
      </c>
    </row>
    <row r="8959">
      <c r="A8959" s="5">
        <v>8958.0</v>
      </c>
      <c r="B8959" s="5" t="s">
        <v>9452</v>
      </c>
      <c r="C8959" s="5" t="s">
        <v>21</v>
      </c>
      <c r="K8959" s="5">
        <v>450.0</v>
      </c>
      <c r="N8959" s="9">
        <v>43901.0</v>
      </c>
    </row>
    <row r="8960">
      <c r="A8960" s="5">
        <v>8959.0</v>
      </c>
      <c r="B8960" s="5" t="s">
        <v>9453</v>
      </c>
      <c r="C8960" s="5" t="s">
        <v>21</v>
      </c>
      <c r="K8960" s="5">
        <v>150.0</v>
      </c>
      <c r="N8960" s="9">
        <v>44352.0</v>
      </c>
    </row>
    <row r="8961">
      <c r="A8961" s="5">
        <v>8960.0</v>
      </c>
      <c r="B8961" s="5" t="s">
        <v>9454</v>
      </c>
      <c r="C8961" s="5" t="s">
        <v>21</v>
      </c>
      <c r="K8961" s="5">
        <v>50.0</v>
      </c>
      <c r="N8961" s="9">
        <v>45040.0</v>
      </c>
    </row>
    <row r="8962">
      <c r="A8962" s="5">
        <v>8961.0</v>
      </c>
      <c r="B8962" s="5" t="s">
        <v>9455</v>
      </c>
      <c r="C8962" s="5" t="s">
        <v>21</v>
      </c>
      <c r="K8962" s="5">
        <v>200.0</v>
      </c>
      <c r="N8962" s="9">
        <v>44772.0</v>
      </c>
    </row>
    <row r="8963">
      <c r="A8963" s="5">
        <v>8962.0</v>
      </c>
      <c r="B8963" s="5" t="s">
        <v>9456</v>
      </c>
      <c r="C8963" s="5" t="s">
        <v>21</v>
      </c>
      <c r="K8963" s="5">
        <v>1000.0</v>
      </c>
      <c r="N8963" s="9">
        <v>44554.0</v>
      </c>
    </row>
    <row r="8964">
      <c r="A8964" s="5">
        <v>8963.0</v>
      </c>
      <c r="B8964" s="5" t="s">
        <v>9457</v>
      </c>
      <c r="C8964" s="5" t="s">
        <v>21</v>
      </c>
      <c r="K8964" s="5">
        <v>2600.0</v>
      </c>
      <c r="N8964" s="9">
        <v>44042.0</v>
      </c>
    </row>
    <row r="8965">
      <c r="A8965" s="5">
        <v>8964.0</v>
      </c>
      <c r="B8965" s="5" t="s">
        <v>9458</v>
      </c>
      <c r="C8965" s="5" t="s">
        <v>21</v>
      </c>
      <c r="K8965" s="5">
        <v>700.0</v>
      </c>
      <c r="N8965" s="9">
        <v>44877.0</v>
      </c>
    </row>
    <row r="8966">
      <c r="A8966" s="5">
        <v>8965.0</v>
      </c>
      <c r="B8966" s="5" t="s">
        <v>9459</v>
      </c>
      <c r="C8966" s="5" t="s">
        <v>21</v>
      </c>
      <c r="K8966" s="5">
        <v>250.0</v>
      </c>
      <c r="N8966" s="9">
        <v>44702.0</v>
      </c>
    </row>
    <row r="8967">
      <c r="A8967" s="5">
        <v>8966.0</v>
      </c>
      <c r="B8967" s="5" t="s">
        <v>9460</v>
      </c>
      <c r="C8967" s="5" t="s">
        <v>21</v>
      </c>
      <c r="K8967" s="5">
        <v>10.0</v>
      </c>
      <c r="N8967" s="9">
        <v>45229.0</v>
      </c>
    </row>
    <row r="8968">
      <c r="A8968" s="5">
        <v>8967.0</v>
      </c>
      <c r="B8968" s="5" t="s">
        <v>9461</v>
      </c>
      <c r="C8968" s="5" t="s">
        <v>21</v>
      </c>
      <c r="K8968" s="5">
        <v>200.0</v>
      </c>
      <c r="N8968" s="9">
        <v>44530.0</v>
      </c>
    </row>
    <row r="8969">
      <c r="A8969" s="5">
        <v>8968.0</v>
      </c>
      <c r="B8969" s="5" t="s">
        <v>9462</v>
      </c>
      <c r="C8969" s="5" t="s">
        <v>21</v>
      </c>
      <c r="K8969" s="5">
        <v>500.0</v>
      </c>
      <c r="N8969" s="9">
        <v>44754.0</v>
      </c>
    </row>
    <row r="8970">
      <c r="A8970" s="5">
        <v>8969.0</v>
      </c>
      <c r="B8970" s="5" t="s">
        <v>9463</v>
      </c>
      <c r="C8970" s="5" t="s">
        <v>21</v>
      </c>
      <c r="N8970" s="9">
        <v>44528.0</v>
      </c>
    </row>
    <row r="8971">
      <c r="A8971" s="5">
        <v>8970.0</v>
      </c>
      <c r="B8971" s="5" t="s">
        <v>9464</v>
      </c>
      <c r="C8971" s="5" t="s">
        <v>21</v>
      </c>
      <c r="K8971" s="5">
        <v>400.0</v>
      </c>
      <c r="N8971" s="9">
        <v>44854.0</v>
      </c>
    </row>
    <row r="8972">
      <c r="A8972" s="5">
        <v>8971.0</v>
      </c>
      <c r="B8972" s="5" t="s">
        <v>9465</v>
      </c>
      <c r="C8972" s="5" t="s">
        <v>21</v>
      </c>
      <c r="K8972" s="5">
        <v>90.0</v>
      </c>
      <c r="N8972" s="9">
        <v>43919.0</v>
      </c>
    </row>
    <row r="8973">
      <c r="A8973" s="5">
        <v>8972.0</v>
      </c>
      <c r="B8973" s="5" t="s">
        <v>9466</v>
      </c>
      <c r="C8973" s="5" t="s">
        <v>21</v>
      </c>
      <c r="K8973" s="5">
        <v>1300.0</v>
      </c>
      <c r="N8973" s="9">
        <v>44537.0</v>
      </c>
    </row>
    <row r="8974">
      <c r="A8974" s="5">
        <v>8973.0</v>
      </c>
      <c r="B8974" s="5" t="s">
        <v>9467</v>
      </c>
      <c r="C8974" s="5" t="s">
        <v>21</v>
      </c>
      <c r="K8974" s="5">
        <v>9500.0</v>
      </c>
      <c r="N8974" s="9">
        <v>43874.0</v>
      </c>
    </row>
    <row r="8975">
      <c r="A8975" s="5">
        <v>8974.0</v>
      </c>
      <c r="B8975" s="5" t="s">
        <v>9468</v>
      </c>
      <c r="C8975" s="5" t="s">
        <v>21</v>
      </c>
      <c r="K8975" s="5">
        <v>900.0</v>
      </c>
      <c r="N8975" s="9">
        <v>44572.0</v>
      </c>
    </row>
    <row r="8976">
      <c r="A8976" s="5">
        <v>8975.0</v>
      </c>
      <c r="B8976" s="5" t="s">
        <v>9469</v>
      </c>
      <c r="C8976" s="5" t="s">
        <v>21</v>
      </c>
      <c r="K8976" s="5">
        <v>800.0</v>
      </c>
      <c r="N8976" s="9">
        <v>42580.0</v>
      </c>
    </row>
    <row r="8977">
      <c r="A8977" s="5">
        <v>8976.0</v>
      </c>
      <c r="B8977" s="5" t="s">
        <v>9470</v>
      </c>
      <c r="C8977" s="5" t="s">
        <v>21</v>
      </c>
      <c r="K8977" s="5">
        <v>1000.0</v>
      </c>
      <c r="N8977" s="9">
        <v>44670.0</v>
      </c>
    </row>
    <row r="8978">
      <c r="A8978" s="5">
        <v>8977.0</v>
      </c>
      <c r="B8978" s="5" t="s">
        <v>9471</v>
      </c>
      <c r="C8978" s="5" t="s">
        <v>21</v>
      </c>
      <c r="K8978" s="5">
        <v>70.0</v>
      </c>
      <c r="N8978" s="9">
        <v>44574.0</v>
      </c>
    </row>
    <row r="8979">
      <c r="A8979" s="5">
        <v>8978.0</v>
      </c>
      <c r="B8979" s="5" t="s">
        <v>9472</v>
      </c>
      <c r="C8979" s="5" t="s">
        <v>21</v>
      </c>
      <c r="K8979" s="5">
        <v>70.0</v>
      </c>
      <c r="N8979" s="9">
        <v>44558.0</v>
      </c>
    </row>
    <row r="8980">
      <c r="A8980" s="5">
        <v>8979.0</v>
      </c>
      <c r="B8980" s="5" t="s">
        <v>9473</v>
      </c>
      <c r="C8980" s="5" t="s">
        <v>21</v>
      </c>
      <c r="K8980" s="5">
        <v>600.0</v>
      </c>
      <c r="N8980" s="9">
        <v>44625.0</v>
      </c>
    </row>
    <row r="8981">
      <c r="A8981" s="5">
        <v>8980.0</v>
      </c>
      <c r="B8981" s="5" t="s">
        <v>9474</v>
      </c>
      <c r="C8981" s="5" t="s">
        <v>21</v>
      </c>
      <c r="K8981" s="5">
        <v>30.0</v>
      </c>
      <c r="N8981" s="9">
        <v>43890.0</v>
      </c>
    </row>
    <row r="8982">
      <c r="A8982" s="5">
        <v>8981.0</v>
      </c>
      <c r="B8982" s="5" t="s">
        <v>9475</v>
      </c>
      <c r="C8982" s="5" t="s">
        <v>21</v>
      </c>
      <c r="K8982" s="5">
        <v>600.0</v>
      </c>
      <c r="N8982" s="9">
        <v>44531.0</v>
      </c>
    </row>
    <row r="8983">
      <c r="A8983" s="5">
        <v>8982.0</v>
      </c>
      <c r="B8983" s="5" t="s">
        <v>9476</v>
      </c>
      <c r="C8983" s="5" t="s">
        <v>21</v>
      </c>
      <c r="K8983" s="5">
        <v>30.0</v>
      </c>
      <c r="N8983" s="9">
        <v>44829.0</v>
      </c>
    </row>
    <row r="8984">
      <c r="A8984" s="5">
        <v>8983.0</v>
      </c>
      <c r="B8984" s="5" t="s">
        <v>9477</v>
      </c>
      <c r="C8984" s="5" t="s">
        <v>21</v>
      </c>
      <c r="K8984" s="5">
        <v>200.0</v>
      </c>
      <c r="N8984" s="9">
        <v>45664.0</v>
      </c>
    </row>
    <row r="8985">
      <c r="A8985" s="5">
        <v>8984.0</v>
      </c>
      <c r="B8985" s="5" t="s">
        <v>9478</v>
      </c>
      <c r="C8985" s="5" t="s">
        <v>21</v>
      </c>
      <c r="K8985" s="5">
        <v>10.0</v>
      </c>
      <c r="N8985" s="9">
        <v>44990.0</v>
      </c>
    </row>
    <row r="8986">
      <c r="A8986" s="5">
        <v>8985.0</v>
      </c>
      <c r="B8986" s="5" t="s">
        <v>9479</v>
      </c>
      <c r="C8986" s="5" t="s">
        <v>21</v>
      </c>
      <c r="K8986" s="5">
        <v>20.0</v>
      </c>
      <c r="N8986" s="9">
        <v>44593.0</v>
      </c>
    </row>
    <row r="8987">
      <c r="A8987" s="5">
        <v>8986.0</v>
      </c>
      <c r="B8987" s="5" t="s">
        <v>9480</v>
      </c>
      <c r="C8987" s="5" t="s">
        <v>21</v>
      </c>
      <c r="K8987" s="5">
        <v>200.0</v>
      </c>
      <c r="N8987" s="9">
        <v>46124.0</v>
      </c>
    </row>
    <row r="8988">
      <c r="A8988" s="5">
        <v>8987.0</v>
      </c>
      <c r="B8988" s="5" t="s">
        <v>9481</v>
      </c>
      <c r="C8988" s="5" t="s">
        <v>21</v>
      </c>
      <c r="K8988" s="5">
        <v>100.0</v>
      </c>
      <c r="N8988" s="9">
        <v>44402.0</v>
      </c>
    </row>
    <row r="8989">
      <c r="A8989" s="5">
        <v>8988.0</v>
      </c>
      <c r="B8989" s="5" t="s">
        <v>9482</v>
      </c>
      <c r="C8989" s="5" t="s">
        <v>21</v>
      </c>
      <c r="K8989" s="5">
        <v>70.0</v>
      </c>
      <c r="N8989" s="9">
        <v>44653.0</v>
      </c>
    </row>
    <row r="8990">
      <c r="A8990" s="5">
        <v>8989.0</v>
      </c>
      <c r="B8990" s="5" t="s">
        <v>9483</v>
      </c>
      <c r="C8990" s="5" t="s">
        <v>21</v>
      </c>
      <c r="K8990" s="5">
        <v>1000.0</v>
      </c>
      <c r="N8990" s="9">
        <v>44121.0</v>
      </c>
    </row>
    <row r="8991">
      <c r="A8991" s="5">
        <v>8990.0</v>
      </c>
      <c r="B8991" s="5" t="s">
        <v>9484</v>
      </c>
      <c r="C8991" s="5" t="s">
        <v>21</v>
      </c>
      <c r="K8991" s="5">
        <v>30.0</v>
      </c>
      <c r="N8991" s="9">
        <v>45565.0</v>
      </c>
    </row>
    <row r="8992">
      <c r="A8992" s="5">
        <v>8991.0</v>
      </c>
      <c r="B8992" s="5" t="s">
        <v>9485</v>
      </c>
      <c r="C8992" s="5" t="s">
        <v>21</v>
      </c>
      <c r="K8992" s="5">
        <v>40.0</v>
      </c>
      <c r="N8992" s="9">
        <v>44527.0</v>
      </c>
    </row>
    <row r="8993">
      <c r="A8993" s="5">
        <v>8992.0</v>
      </c>
      <c r="B8993" s="5" t="s">
        <v>9486</v>
      </c>
      <c r="C8993" s="5" t="s">
        <v>21</v>
      </c>
      <c r="K8993" s="5">
        <v>700.0</v>
      </c>
      <c r="N8993" s="9">
        <v>44171.0</v>
      </c>
    </row>
    <row r="8994">
      <c r="A8994" s="5">
        <v>8993.0</v>
      </c>
      <c r="B8994" s="5" t="s">
        <v>9487</v>
      </c>
      <c r="C8994" s="5" t="s">
        <v>21</v>
      </c>
      <c r="K8994" s="5">
        <v>100.0</v>
      </c>
      <c r="N8994" s="9">
        <v>44119.0</v>
      </c>
    </row>
    <row r="8995">
      <c r="A8995" s="5">
        <v>8994.0</v>
      </c>
      <c r="B8995" s="5" t="s">
        <v>9488</v>
      </c>
      <c r="C8995" s="5" t="s">
        <v>21</v>
      </c>
      <c r="K8995" s="5">
        <v>1300.0</v>
      </c>
      <c r="N8995" s="9">
        <v>44580.0</v>
      </c>
    </row>
    <row r="8996">
      <c r="A8996" s="5">
        <v>8995.0</v>
      </c>
      <c r="B8996" s="5" t="s">
        <v>9489</v>
      </c>
      <c r="C8996" s="5" t="s">
        <v>21</v>
      </c>
      <c r="K8996" s="5">
        <v>200.0</v>
      </c>
      <c r="N8996" s="9">
        <v>44375.0</v>
      </c>
    </row>
    <row r="8997">
      <c r="A8997" s="5">
        <v>8996.0</v>
      </c>
      <c r="B8997" s="5" t="s">
        <v>9490</v>
      </c>
      <c r="C8997" s="5" t="s">
        <v>21</v>
      </c>
      <c r="K8997" s="5">
        <v>400.0</v>
      </c>
      <c r="N8997" s="9">
        <v>45140.0</v>
      </c>
    </row>
    <row r="8998">
      <c r="A8998" s="5">
        <v>8997.0</v>
      </c>
      <c r="B8998" s="5" t="s">
        <v>9491</v>
      </c>
      <c r="C8998" s="5" t="s">
        <v>21</v>
      </c>
      <c r="K8998" s="5">
        <v>60.0</v>
      </c>
      <c r="N8998" s="9">
        <v>44564.0</v>
      </c>
    </row>
    <row r="8999">
      <c r="A8999" s="5">
        <v>8998.0</v>
      </c>
      <c r="B8999" s="5" t="s">
        <v>9492</v>
      </c>
      <c r="C8999" s="5" t="s">
        <v>21</v>
      </c>
      <c r="K8999" s="5">
        <v>900.0</v>
      </c>
      <c r="N8999" s="9">
        <v>44609.0</v>
      </c>
    </row>
    <row r="9000">
      <c r="A9000" s="5">
        <v>8999.0</v>
      </c>
      <c r="B9000" s="5" t="s">
        <v>9493</v>
      </c>
      <c r="C9000" s="5" t="s">
        <v>21</v>
      </c>
      <c r="N9000" s="9">
        <v>44651.0</v>
      </c>
    </row>
    <row r="9001">
      <c r="A9001" s="5">
        <v>9000.0</v>
      </c>
      <c r="B9001" s="5" t="s">
        <v>9494</v>
      </c>
      <c r="C9001" s="5" t="s">
        <v>21</v>
      </c>
      <c r="K9001" s="5">
        <v>100.0</v>
      </c>
      <c r="N9001" s="9">
        <v>44855.0</v>
      </c>
    </row>
    <row r="9002">
      <c r="A9002" s="5">
        <v>9001.0</v>
      </c>
      <c r="B9002" s="5" t="s">
        <v>9495</v>
      </c>
      <c r="C9002" s="5" t="s">
        <v>21</v>
      </c>
      <c r="K9002" s="5">
        <v>200.0</v>
      </c>
      <c r="N9002" s="9">
        <v>44543.0</v>
      </c>
    </row>
    <row r="9003">
      <c r="A9003" s="5">
        <v>9002.0</v>
      </c>
      <c r="B9003" s="5" t="s">
        <v>9496</v>
      </c>
      <c r="C9003" s="5" t="s">
        <v>21</v>
      </c>
      <c r="K9003" s="5">
        <v>150.0</v>
      </c>
      <c r="N9003" s="9">
        <v>44656.0</v>
      </c>
    </row>
    <row r="9004">
      <c r="A9004" s="5">
        <v>9003.0</v>
      </c>
      <c r="B9004" s="5" t="s">
        <v>9497</v>
      </c>
      <c r="C9004" s="5" t="s">
        <v>21</v>
      </c>
      <c r="K9004" s="5">
        <v>1000.0</v>
      </c>
      <c r="N9004" s="9">
        <v>45634.0</v>
      </c>
    </row>
    <row r="9005">
      <c r="A9005" s="5">
        <v>9004.0</v>
      </c>
      <c r="B9005" s="5" t="s">
        <v>9498</v>
      </c>
      <c r="C9005" s="5" t="s">
        <v>21</v>
      </c>
      <c r="K9005" s="5">
        <v>100.0</v>
      </c>
      <c r="N9005" s="9">
        <v>45293.0</v>
      </c>
    </row>
    <row r="9006">
      <c r="A9006" s="5">
        <v>9005.0</v>
      </c>
      <c r="B9006" s="5" t="s">
        <v>9499</v>
      </c>
      <c r="C9006" s="5" t="s">
        <v>21</v>
      </c>
      <c r="K9006" s="5">
        <v>1600.0</v>
      </c>
      <c r="N9006" s="9">
        <v>44656.0</v>
      </c>
    </row>
    <row r="9007">
      <c r="A9007" s="5">
        <v>9006.0</v>
      </c>
      <c r="B9007" s="5" t="s">
        <v>9500</v>
      </c>
      <c r="C9007" s="5" t="s">
        <v>21</v>
      </c>
      <c r="K9007" s="5">
        <v>200.0</v>
      </c>
      <c r="N9007" s="9">
        <v>44541.0</v>
      </c>
    </row>
    <row r="9008">
      <c r="A9008" s="5">
        <v>9007.0</v>
      </c>
      <c r="B9008" s="5" t="s">
        <v>9501</v>
      </c>
      <c r="C9008" s="5" t="s">
        <v>21</v>
      </c>
      <c r="K9008" s="5">
        <v>40.0</v>
      </c>
      <c r="N9008" s="9">
        <v>45846.0</v>
      </c>
    </row>
    <row r="9009">
      <c r="A9009" s="5">
        <v>9008.0</v>
      </c>
      <c r="B9009" s="5" t="s">
        <v>9502</v>
      </c>
      <c r="C9009" s="5" t="s">
        <v>21</v>
      </c>
      <c r="K9009" s="5">
        <v>500.0</v>
      </c>
      <c r="N9009" s="9">
        <v>44455.0</v>
      </c>
    </row>
    <row r="9010">
      <c r="A9010" s="5">
        <v>9009.0</v>
      </c>
      <c r="B9010" s="5" t="s">
        <v>9503</v>
      </c>
      <c r="C9010" s="5" t="s">
        <v>21</v>
      </c>
      <c r="K9010" s="5">
        <v>500.0</v>
      </c>
      <c r="N9010" s="9">
        <v>44273.0</v>
      </c>
    </row>
    <row r="9011">
      <c r="A9011" s="5">
        <v>9010.0</v>
      </c>
      <c r="B9011" s="5" t="s">
        <v>9504</v>
      </c>
      <c r="C9011" s="5" t="s">
        <v>21</v>
      </c>
      <c r="K9011" s="5">
        <v>100.0</v>
      </c>
      <c r="N9011" s="9">
        <v>44389.0</v>
      </c>
    </row>
    <row r="9012">
      <c r="A9012" s="5">
        <v>9011.0</v>
      </c>
      <c r="B9012" s="5" t="s">
        <v>9505</v>
      </c>
      <c r="C9012" s="5" t="s">
        <v>21</v>
      </c>
      <c r="K9012" s="5">
        <v>80.0</v>
      </c>
      <c r="N9012" s="9">
        <v>44412.0</v>
      </c>
    </row>
    <row r="9013">
      <c r="A9013" s="5">
        <v>9012.0</v>
      </c>
      <c r="B9013" s="5" t="s">
        <v>9506</v>
      </c>
      <c r="C9013" s="5" t="s">
        <v>21</v>
      </c>
      <c r="K9013" s="5">
        <v>10.0</v>
      </c>
      <c r="N9013" s="9">
        <v>45668.0</v>
      </c>
    </row>
    <row r="9014">
      <c r="A9014" s="5">
        <v>9013.0</v>
      </c>
      <c r="B9014" s="5" t="s">
        <v>9507</v>
      </c>
      <c r="C9014" s="5" t="s">
        <v>21</v>
      </c>
      <c r="K9014" s="5">
        <v>10.0</v>
      </c>
      <c r="N9014" s="9">
        <v>45319.0</v>
      </c>
    </row>
    <row r="9015">
      <c r="A9015" s="5">
        <v>9014.0</v>
      </c>
      <c r="B9015" s="5" t="s">
        <v>9508</v>
      </c>
      <c r="C9015" s="5" t="s">
        <v>21</v>
      </c>
      <c r="K9015" s="5">
        <v>250.0</v>
      </c>
      <c r="N9015" s="9">
        <v>44512.0</v>
      </c>
    </row>
    <row r="9016">
      <c r="A9016" s="5">
        <v>9015.0</v>
      </c>
      <c r="B9016" s="5" t="s">
        <v>9509</v>
      </c>
      <c r="C9016" s="5" t="s">
        <v>21</v>
      </c>
      <c r="K9016" s="5">
        <v>200.0</v>
      </c>
      <c r="N9016" s="9">
        <v>45167.0</v>
      </c>
    </row>
    <row r="9017">
      <c r="A9017" s="5">
        <v>9016.0</v>
      </c>
      <c r="B9017" s="5" t="s">
        <v>9510</v>
      </c>
      <c r="C9017" s="5" t="s">
        <v>21</v>
      </c>
      <c r="K9017" s="5">
        <v>150.0</v>
      </c>
      <c r="N9017" s="9">
        <v>44575.0</v>
      </c>
    </row>
    <row r="9018">
      <c r="A9018" s="5">
        <v>9017.0</v>
      </c>
      <c r="B9018" s="5" t="s">
        <v>9511</v>
      </c>
      <c r="C9018" s="5" t="s">
        <v>21</v>
      </c>
      <c r="N9018" s="9">
        <v>44603.0</v>
      </c>
    </row>
    <row r="9019">
      <c r="A9019" s="5">
        <v>9018.0</v>
      </c>
      <c r="B9019" s="5" t="s">
        <v>9512</v>
      </c>
      <c r="C9019" s="5" t="s">
        <v>21</v>
      </c>
      <c r="K9019" s="5">
        <v>300.0</v>
      </c>
      <c r="N9019" s="9">
        <v>45067.0</v>
      </c>
    </row>
    <row r="9020">
      <c r="A9020" s="5">
        <v>9019.0</v>
      </c>
      <c r="B9020" s="5" t="s">
        <v>9513</v>
      </c>
      <c r="C9020" s="5" t="s">
        <v>21</v>
      </c>
      <c r="K9020" s="5">
        <v>600.0</v>
      </c>
      <c r="N9020" s="9">
        <v>44542.0</v>
      </c>
    </row>
    <row r="9021">
      <c r="A9021" s="5">
        <v>9020.0</v>
      </c>
      <c r="B9021" s="5" t="s">
        <v>9514</v>
      </c>
      <c r="C9021" s="5" t="s">
        <v>21</v>
      </c>
      <c r="K9021" s="5">
        <v>150.0</v>
      </c>
      <c r="N9021" s="9">
        <v>44628.0</v>
      </c>
    </row>
    <row r="9022">
      <c r="A9022" s="5">
        <v>9021.0</v>
      </c>
      <c r="B9022" s="5" t="s">
        <v>9515</v>
      </c>
      <c r="C9022" s="5" t="s">
        <v>21</v>
      </c>
      <c r="K9022" s="5">
        <v>400.0</v>
      </c>
      <c r="N9022" s="9">
        <v>45294.0</v>
      </c>
    </row>
    <row r="9023">
      <c r="A9023" s="5">
        <v>9022.0</v>
      </c>
      <c r="B9023" s="5" t="s">
        <v>9516</v>
      </c>
      <c r="C9023" s="5" t="s">
        <v>21</v>
      </c>
      <c r="K9023" s="5">
        <v>100.0</v>
      </c>
      <c r="N9023" s="9">
        <v>44566.0</v>
      </c>
    </row>
    <row r="9024">
      <c r="A9024" s="5">
        <v>9023.0</v>
      </c>
      <c r="B9024" s="5" t="s">
        <v>9517</v>
      </c>
      <c r="C9024" s="5" t="s">
        <v>21</v>
      </c>
      <c r="K9024" s="5">
        <v>100.0</v>
      </c>
      <c r="N9024" s="9">
        <v>45505.0</v>
      </c>
    </row>
    <row r="9025">
      <c r="A9025" s="5">
        <v>9024.0</v>
      </c>
      <c r="B9025" s="5" t="s">
        <v>9518</v>
      </c>
      <c r="C9025" s="5" t="s">
        <v>21</v>
      </c>
      <c r="K9025" s="5">
        <v>200.0</v>
      </c>
      <c r="N9025" s="9">
        <v>44218.0</v>
      </c>
    </row>
    <row r="9026">
      <c r="A9026" s="5">
        <v>9025.0</v>
      </c>
      <c r="B9026" s="5" t="s">
        <v>9519</v>
      </c>
      <c r="C9026" s="5" t="s">
        <v>21</v>
      </c>
      <c r="K9026" s="5">
        <v>200.0</v>
      </c>
      <c r="N9026" s="9">
        <v>43864.0</v>
      </c>
    </row>
    <row r="9027">
      <c r="A9027" s="5">
        <v>9026.0</v>
      </c>
      <c r="B9027" s="5" t="s">
        <v>9520</v>
      </c>
      <c r="C9027" s="5" t="s">
        <v>21</v>
      </c>
      <c r="K9027" s="5">
        <v>1200.0</v>
      </c>
      <c r="N9027" s="9">
        <v>44659.0</v>
      </c>
    </row>
    <row r="9028">
      <c r="A9028" s="5">
        <v>9027.0</v>
      </c>
      <c r="B9028" s="5" t="s">
        <v>9521</v>
      </c>
      <c r="C9028" s="5" t="s">
        <v>21</v>
      </c>
      <c r="K9028" s="5">
        <v>1600.0</v>
      </c>
      <c r="N9028" s="9">
        <v>43864.0</v>
      </c>
    </row>
    <row r="9029">
      <c r="A9029" s="5">
        <v>9028.0</v>
      </c>
      <c r="B9029" s="5" t="s">
        <v>9522</v>
      </c>
      <c r="C9029" s="5" t="s">
        <v>21</v>
      </c>
      <c r="K9029" s="5">
        <v>200.0</v>
      </c>
      <c r="N9029" s="9">
        <v>44562.0</v>
      </c>
    </row>
    <row r="9030">
      <c r="A9030" s="5">
        <v>9029.0</v>
      </c>
      <c r="B9030" s="5" t="s">
        <v>9523</v>
      </c>
      <c r="C9030" s="5" t="s">
        <v>21</v>
      </c>
      <c r="K9030" s="5">
        <v>1400.0</v>
      </c>
      <c r="N9030" s="9">
        <v>44863.0</v>
      </c>
    </row>
    <row r="9031">
      <c r="A9031" s="5">
        <v>9030.0</v>
      </c>
      <c r="B9031" s="5" t="s">
        <v>9524</v>
      </c>
      <c r="C9031" s="5" t="s">
        <v>21</v>
      </c>
      <c r="K9031" s="5">
        <v>30.0</v>
      </c>
      <c r="N9031" s="9">
        <v>44572.0</v>
      </c>
    </row>
    <row r="9032">
      <c r="A9032" s="5">
        <v>9031.0</v>
      </c>
      <c r="B9032" s="5" t="s">
        <v>9525</v>
      </c>
      <c r="C9032" s="5" t="s">
        <v>21</v>
      </c>
      <c r="K9032" s="5">
        <v>450.0</v>
      </c>
      <c r="N9032" s="9">
        <v>44198.0</v>
      </c>
    </row>
    <row r="9033">
      <c r="A9033" s="5">
        <v>9032.0</v>
      </c>
      <c r="B9033" s="5" t="s">
        <v>9526</v>
      </c>
      <c r="C9033" s="5" t="s">
        <v>21</v>
      </c>
      <c r="K9033" s="5">
        <v>20.0</v>
      </c>
      <c r="N9033" s="9">
        <v>44581.0</v>
      </c>
    </row>
    <row r="9034">
      <c r="A9034" s="5">
        <v>9033.0</v>
      </c>
      <c r="B9034" s="5" t="s">
        <v>9527</v>
      </c>
      <c r="C9034" s="5" t="s">
        <v>21</v>
      </c>
      <c r="K9034" s="5">
        <v>600.0</v>
      </c>
      <c r="N9034" s="9">
        <v>44615.0</v>
      </c>
    </row>
    <row r="9035">
      <c r="A9035" s="5">
        <v>9034.0</v>
      </c>
      <c r="B9035" s="5" t="s">
        <v>9528</v>
      </c>
      <c r="C9035" s="5" t="s">
        <v>21</v>
      </c>
      <c r="K9035" s="5">
        <v>150.0</v>
      </c>
      <c r="N9035" s="9">
        <v>44506.0</v>
      </c>
    </row>
    <row r="9036">
      <c r="A9036" s="5">
        <v>9035.0</v>
      </c>
      <c r="B9036" s="5" t="s">
        <v>9529</v>
      </c>
      <c r="C9036" s="5" t="s">
        <v>21</v>
      </c>
      <c r="K9036" s="5">
        <v>1100.0</v>
      </c>
      <c r="N9036" s="9">
        <v>44100.0</v>
      </c>
    </row>
    <row r="9037">
      <c r="A9037" s="5">
        <v>9036.0</v>
      </c>
      <c r="B9037" s="5" t="s">
        <v>9530</v>
      </c>
      <c r="C9037" s="5" t="s">
        <v>21</v>
      </c>
      <c r="N9037" s="9">
        <v>43888.0</v>
      </c>
    </row>
    <row r="9038">
      <c r="A9038" s="5">
        <v>9037.0</v>
      </c>
      <c r="B9038" s="5" t="s">
        <v>9531</v>
      </c>
      <c r="C9038" s="5" t="s">
        <v>21</v>
      </c>
      <c r="N9038" s="9">
        <v>44600.0</v>
      </c>
    </row>
    <row r="9039">
      <c r="A9039" s="5">
        <v>9038.0</v>
      </c>
      <c r="B9039" s="5" t="s">
        <v>9532</v>
      </c>
      <c r="C9039" s="5" t="s">
        <v>21</v>
      </c>
      <c r="K9039" s="5">
        <v>300.0</v>
      </c>
      <c r="N9039" s="9">
        <v>43899.0</v>
      </c>
    </row>
    <row r="9040">
      <c r="A9040" s="5">
        <v>9039.0</v>
      </c>
      <c r="B9040" s="5" t="s">
        <v>9533</v>
      </c>
      <c r="C9040" s="5" t="s">
        <v>21</v>
      </c>
      <c r="K9040" s="5">
        <v>800.0</v>
      </c>
      <c r="N9040" s="9">
        <v>44791.0</v>
      </c>
    </row>
    <row r="9041">
      <c r="A9041" s="5">
        <v>9040.0</v>
      </c>
      <c r="B9041" s="5" t="s">
        <v>9534</v>
      </c>
      <c r="C9041" s="5" t="s">
        <v>21</v>
      </c>
      <c r="N9041" s="9">
        <v>44523.0</v>
      </c>
    </row>
    <row r="9042">
      <c r="A9042" s="5">
        <v>9041.0</v>
      </c>
      <c r="B9042" s="5" t="s">
        <v>9535</v>
      </c>
      <c r="C9042" s="5" t="s">
        <v>21</v>
      </c>
      <c r="K9042" s="5">
        <v>70.0</v>
      </c>
      <c r="N9042" s="9">
        <v>44848.0</v>
      </c>
    </row>
    <row r="9043">
      <c r="A9043" s="5">
        <v>9042.0</v>
      </c>
      <c r="B9043" s="5" t="s">
        <v>9536</v>
      </c>
      <c r="C9043" s="5" t="s">
        <v>21</v>
      </c>
      <c r="K9043" s="5">
        <v>90.0</v>
      </c>
      <c r="N9043" s="9">
        <v>44762.0</v>
      </c>
    </row>
    <row r="9044">
      <c r="A9044" s="5">
        <v>9043.0</v>
      </c>
      <c r="B9044" s="5" t="s">
        <v>9537</v>
      </c>
      <c r="C9044" s="5" t="s">
        <v>21</v>
      </c>
      <c r="K9044" s="5">
        <v>200.0</v>
      </c>
      <c r="N9044" s="9">
        <v>44579.0</v>
      </c>
    </row>
    <row r="9045">
      <c r="A9045" s="5">
        <v>9044.0</v>
      </c>
      <c r="B9045" s="5" t="s">
        <v>9538</v>
      </c>
      <c r="C9045" s="5" t="s">
        <v>21</v>
      </c>
      <c r="K9045" s="5">
        <v>90.0</v>
      </c>
      <c r="N9045" s="9">
        <v>44543.0</v>
      </c>
    </row>
    <row r="9046">
      <c r="A9046" s="5">
        <v>9045.0</v>
      </c>
      <c r="B9046" s="5" t="s">
        <v>9539</v>
      </c>
      <c r="C9046" s="5" t="s">
        <v>21</v>
      </c>
      <c r="K9046" s="5">
        <v>300.0</v>
      </c>
      <c r="N9046" s="9">
        <v>44520.0</v>
      </c>
    </row>
    <row r="9047">
      <c r="A9047" s="5">
        <v>9046.0</v>
      </c>
      <c r="B9047" s="5" t="s">
        <v>9540</v>
      </c>
      <c r="C9047" s="5" t="s">
        <v>21</v>
      </c>
      <c r="K9047" s="5">
        <v>400.0</v>
      </c>
      <c r="N9047" s="9">
        <v>44828.0</v>
      </c>
    </row>
    <row r="9048">
      <c r="A9048" s="5">
        <v>9047.0</v>
      </c>
      <c r="B9048" s="5" t="s">
        <v>9541</v>
      </c>
      <c r="C9048" s="5" t="s">
        <v>21</v>
      </c>
      <c r="N9048" s="9">
        <v>44683.0</v>
      </c>
    </row>
    <row r="9049">
      <c r="A9049" s="5">
        <v>9048.0</v>
      </c>
      <c r="B9049" s="5" t="s">
        <v>9542</v>
      </c>
      <c r="C9049" s="5" t="s">
        <v>21</v>
      </c>
      <c r="K9049" s="5">
        <v>200.0</v>
      </c>
      <c r="N9049" s="9">
        <v>44827.0</v>
      </c>
    </row>
    <row r="9050">
      <c r="A9050" s="5">
        <v>9049.0</v>
      </c>
      <c r="B9050" s="5" t="s">
        <v>9543</v>
      </c>
      <c r="C9050" s="5" t="s">
        <v>21</v>
      </c>
      <c r="K9050" s="5">
        <v>1700.0</v>
      </c>
      <c r="N9050" s="9">
        <v>45774.0</v>
      </c>
    </row>
    <row r="9051">
      <c r="A9051" s="5">
        <v>9050.0</v>
      </c>
      <c r="B9051" s="5" t="s">
        <v>9544</v>
      </c>
      <c r="C9051" s="5" t="s">
        <v>21</v>
      </c>
      <c r="K9051" s="5">
        <v>90.0</v>
      </c>
      <c r="N9051" s="9">
        <v>44589.0</v>
      </c>
    </row>
    <row r="9052">
      <c r="A9052" s="5">
        <v>9051.0</v>
      </c>
      <c r="B9052" s="5" t="s">
        <v>9545</v>
      </c>
      <c r="C9052" s="5" t="s">
        <v>21</v>
      </c>
      <c r="K9052" s="5">
        <v>150.0</v>
      </c>
      <c r="N9052" s="9">
        <v>44531.0</v>
      </c>
    </row>
    <row r="9053">
      <c r="A9053" s="5">
        <v>9052.0</v>
      </c>
      <c r="B9053" s="5" t="s">
        <v>9546</v>
      </c>
      <c r="C9053" s="5" t="s">
        <v>21</v>
      </c>
      <c r="K9053" s="5">
        <v>40.0</v>
      </c>
      <c r="N9053" s="9">
        <v>45357.0</v>
      </c>
    </row>
    <row r="9054">
      <c r="A9054" s="5">
        <v>9053.0</v>
      </c>
      <c r="B9054" s="5" t="s">
        <v>9547</v>
      </c>
      <c r="C9054" s="5" t="s">
        <v>21</v>
      </c>
      <c r="K9054" s="5">
        <v>500.0</v>
      </c>
      <c r="N9054" s="9">
        <v>44010.0</v>
      </c>
    </row>
    <row r="9055">
      <c r="A9055" s="5">
        <v>9054.0</v>
      </c>
      <c r="B9055" s="5" t="s">
        <v>9548</v>
      </c>
      <c r="C9055" s="5" t="s">
        <v>21</v>
      </c>
      <c r="K9055" s="5">
        <v>1000.0</v>
      </c>
      <c r="N9055" s="9">
        <v>44367.0</v>
      </c>
    </row>
    <row r="9056">
      <c r="A9056" s="5">
        <v>9055.0</v>
      </c>
      <c r="B9056" s="5" t="s">
        <v>9549</v>
      </c>
      <c r="C9056" s="5" t="s">
        <v>21</v>
      </c>
      <c r="K9056" s="5">
        <v>200.0</v>
      </c>
      <c r="N9056" s="9">
        <v>44336.0</v>
      </c>
    </row>
    <row r="9057">
      <c r="A9057" s="5">
        <v>9056.0</v>
      </c>
      <c r="B9057" s="5" t="s">
        <v>9550</v>
      </c>
      <c r="C9057" s="5" t="s">
        <v>21</v>
      </c>
      <c r="K9057" s="5">
        <v>700.0</v>
      </c>
      <c r="N9057" s="9">
        <v>45123.0</v>
      </c>
    </row>
    <row r="9058">
      <c r="A9058" s="5">
        <v>9057.0</v>
      </c>
      <c r="B9058" s="5" t="s">
        <v>9551</v>
      </c>
      <c r="C9058" s="5" t="s">
        <v>21</v>
      </c>
      <c r="K9058" s="5">
        <v>2300.0</v>
      </c>
      <c r="N9058" s="9">
        <v>44100.0</v>
      </c>
    </row>
    <row r="9059">
      <c r="A9059" s="5">
        <v>9058.0</v>
      </c>
      <c r="B9059" s="5" t="s">
        <v>9552</v>
      </c>
      <c r="C9059" s="5" t="s">
        <v>21</v>
      </c>
      <c r="K9059" s="5">
        <v>150.0</v>
      </c>
      <c r="N9059" s="9">
        <v>44276.0</v>
      </c>
    </row>
    <row r="9060">
      <c r="A9060" s="5">
        <v>9059.0</v>
      </c>
      <c r="B9060" s="5" t="s">
        <v>9553</v>
      </c>
      <c r="C9060" s="5" t="s">
        <v>21</v>
      </c>
      <c r="K9060" s="5">
        <v>400.0</v>
      </c>
      <c r="N9060" s="9">
        <v>44537.0</v>
      </c>
    </row>
    <row r="9061">
      <c r="A9061" s="5">
        <v>9060.0</v>
      </c>
      <c r="B9061" s="5" t="s">
        <v>9554</v>
      </c>
      <c r="C9061" s="5" t="s">
        <v>21</v>
      </c>
      <c r="K9061" s="5">
        <v>1400.0</v>
      </c>
      <c r="N9061" s="9">
        <v>44420.0</v>
      </c>
    </row>
    <row r="9062">
      <c r="A9062" s="5">
        <v>9061.0</v>
      </c>
      <c r="B9062" s="5" t="s">
        <v>9555</v>
      </c>
      <c r="C9062" s="5" t="s">
        <v>21</v>
      </c>
      <c r="K9062" s="5">
        <v>500.0</v>
      </c>
      <c r="N9062" s="9">
        <v>44703.0</v>
      </c>
    </row>
    <row r="9063">
      <c r="A9063" s="5">
        <v>9062.0</v>
      </c>
      <c r="B9063" s="5" t="s">
        <v>301</v>
      </c>
      <c r="C9063" s="5" t="s">
        <v>21</v>
      </c>
      <c r="K9063" s="5">
        <v>200.0</v>
      </c>
      <c r="N9063" s="9">
        <v>43981.0</v>
      </c>
    </row>
    <row r="9064">
      <c r="A9064" s="5">
        <v>9063.0</v>
      </c>
      <c r="B9064" s="5" t="s">
        <v>9556</v>
      </c>
      <c r="C9064" s="5" t="s">
        <v>21</v>
      </c>
      <c r="K9064" s="5">
        <v>450.0</v>
      </c>
      <c r="N9064" s="9">
        <v>44720.0</v>
      </c>
    </row>
    <row r="9065">
      <c r="A9065" s="5">
        <v>9064.0</v>
      </c>
      <c r="B9065" s="5" t="s">
        <v>9557</v>
      </c>
      <c r="C9065" s="5" t="s">
        <v>21</v>
      </c>
      <c r="K9065" s="5">
        <v>10.0</v>
      </c>
      <c r="N9065" s="9">
        <v>44268.0</v>
      </c>
    </row>
    <row r="9066">
      <c r="A9066" s="5">
        <v>9065.0</v>
      </c>
      <c r="B9066" s="5" t="s">
        <v>9558</v>
      </c>
      <c r="C9066" s="5" t="s">
        <v>21</v>
      </c>
      <c r="K9066" s="5">
        <v>40.0</v>
      </c>
      <c r="N9066" s="9">
        <v>44553.0</v>
      </c>
    </row>
    <row r="9067">
      <c r="A9067" s="5">
        <v>9066.0</v>
      </c>
      <c r="B9067" s="5" t="s">
        <v>9559</v>
      </c>
      <c r="C9067" s="5" t="s">
        <v>21</v>
      </c>
      <c r="K9067" s="5">
        <v>450.0</v>
      </c>
      <c r="N9067" s="9">
        <v>45615.0</v>
      </c>
    </row>
    <row r="9068">
      <c r="A9068" s="5">
        <v>9067.0</v>
      </c>
      <c r="B9068" s="5" t="s">
        <v>9560</v>
      </c>
      <c r="C9068" s="5" t="s">
        <v>21</v>
      </c>
      <c r="K9068" s="5">
        <v>700.0</v>
      </c>
      <c r="N9068" s="9">
        <v>44472.0</v>
      </c>
    </row>
    <row r="9069">
      <c r="A9069" s="5">
        <v>9068.0</v>
      </c>
      <c r="B9069" s="5" t="s">
        <v>9561</v>
      </c>
      <c r="C9069" s="5" t="s">
        <v>21</v>
      </c>
      <c r="K9069" s="5">
        <v>300.0</v>
      </c>
      <c r="N9069" s="9">
        <v>44541.0</v>
      </c>
    </row>
    <row r="9070">
      <c r="A9070" s="5">
        <v>9069.0</v>
      </c>
      <c r="B9070" s="5" t="s">
        <v>9562</v>
      </c>
      <c r="C9070" s="5" t="s">
        <v>21</v>
      </c>
      <c r="K9070" s="5">
        <v>200.0</v>
      </c>
      <c r="N9070" s="9">
        <v>44509.0</v>
      </c>
    </row>
    <row r="9071">
      <c r="A9071" s="5">
        <v>9070.0</v>
      </c>
      <c r="B9071" s="5" t="s">
        <v>9563</v>
      </c>
      <c r="C9071" s="5" t="s">
        <v>21</v>
      </c>
      <c r="N9071" s="9">
        <v>45324.0</v>
      </c>
    </row>
    <row r="9072">
      <c r="A9072" s="5">
        <v>9071.0</v>
      </c>
      <c r="B9072" s="5" t="s">
        <v>9564</v>
      </c>
      <c r="C9072" s="5" t="s">
        <v>21</v>
      </c>
      <c r="K9072" s="5">
        <v>1800.0</v>
      </c>
      <c r="N9072" s="9">
        <v>44062.0</v>
      </c>
    </row>
    <row r="9073">
      <c r="A9073" s="5">
        <v>9072.0</v>
      </c>
      <c r="B9073" s="5" t="s">
        <v>9565</v>
      </c>
      <c r="C9073" s="5" t="s">
        <v>21</v>
      </c>
      <c r="K9073" s="5">
        <v>300.0</v>
      </c>
      <c r="N9073" s="9">
        <v>45108.0</v>
      </c>
    </row>
    <row r="9074">
      <c r="A9074" s="5">
        <v>9073.0</v>
      </c>
      <c r="B9074" s="5" t="s">
        <v>9566</v>
      </c>
      <c r="C9074" s="5" t="s">
        <v>21</v>
      </c>
      <c r="K9074" s="5">
        <v>400.0</v>
      </c>
      <c r="N9074" s="9">
        <v>45095.0</v>
      </c>
    </row>
    <row r="9075">
      <c r="A9075" s="5">
        <v>9074.0</v>
      </c>
      <c r="B9075" s="5" t="s">
        <v>320</v>
      </c>
      <c r="C9075" s="5" t="s">
        <v>21</v>
      </c>
      <c r="K9075" s="5">
        <v>40.0</v>
      </c>
      <c r="N9075" s="9">
        <v>44943.0</v>
      </c>
    </row>
    <row r="9076">
      <c r="A9076" s="5">
        <v>9075.0</v>
      </c>
      <c r="B9076" s="5" t="s">
        <v>9567</v>
      </c>
      <c r="C9076" s="5" t="s">
        <v>21</v>
      </c>
      <c r="K9076" s="5">
        <v>700.0</v>
      </c>
      <c r="N9076" s="9">
        <v>44669.0</v>
      </c>
    </row>
    <row r="9077">
      <c r="A9077" s="5">
        <v>9076.0</v>
      </c>
      <c r="B9077" s="5" t="s">
        <v>9568</v>
      </c>
      <c r="C9077" s="5" t="s">
        <v>21</v>
      </c>
      <c r="K9077" s="5">
        <v>350.0</v>
      </c>
      <c r="N9077" s="9">
        <v>44605.0</v>
      </c>
    </row>
    <row r="9078">
      <c r="A9078" s="5">
        <v>9077.0</v>
      </c>
      <c r="B9078" s="5" t="s">
        <v>9569</v>
      </c>
      <c r="C9078" s="5" t="s">
        <v>21</v>
      </c>
      <c r="K9078" s="5">
        <v>800.0</v>
      </c>
      <c r="N9078" s="9">
        <v>44249.0</v>
      </c>
    </row>
    <row r="9079">
      <c r="A9079" s="5">
        <v>9078.0</v>
      </c>
      <c r="B9079" s="5" t="s">
        <v>9570</v>
      </c>
      <c r="C9079" s="5" t="s">
        <v>21</v>
      </c>
      <c r="D9079" s="5">
        <v>67.0</v>
      </c>
      <c r="H9079" s="5" t="s">
        <v>47</v>
      </c>
      <c r="I9079" s="8">
        <v>46152.294756944444</v>
      </c>
      <c r="K9079" s="5">
        <v>30.0</v>
      </c>
      <c r="L9079" s="5">
        <v>150.0</v>
      </c>
      <c r="M9079" s="5">
        <v>350.0</v>
      </c>
      <c r="N9079" s="9">
        <v>44075.0</v>
      </c>
      <c r="O9079" s="5" t="s">
        <v>893</v>
      </c>
      <c r="P9079" s="5" t="s">
        <v>26</v>
      </c>
      <c r="S9079" s="5" t="s">
        <v>40</v>
      </c>
    </row>
    <row r="9080">
      <c r="A9080" s="5">
        <v>9079.0</v>
      </c>
      <c r="B9080" s="5" t="s">
        <v>9571</v>
      </c>
      <c r="C9080" s="5" t="s">
        <v>21</v>
      </c>
      <c r="K9080" s="5">
        <v>4400.0</v>
      </c>
      <c r="N9080" s="9">
        <v>43896.0</v>
      </c>
    </row>
    <row r="9081">
      <c r="A9081" s="5">
        <v>9080.0</v>
      </c>
      <c r="B9081" s="5" t="s">
        <v>9572</v>
      </c>
      <c r="C9081" s="5" t="s">
        <v>21</v>
      </c>
      <c r="K9081" s="5">
        <v>2200.0</v>
      </c>
      <c r="N9081" s="9">
        <v>44981.0</v>
      </c>
    </row>
    <row r="9082">
      <c r="A9082" s="5">
        <v>9081.0</v>
      </c>
      <c r="B9082" s="5" t="s">
        <v>9573</v>
      </c>
      <c r="C9082" s="5" t="s">
        <v>21</v>
      </c>
      <c r="K9082" s="5">
        <v>300.0</v>
      </c>
      <c r="N9082" s="9">
        <v>44857.0</v>
      </c>
    </row>
    <row r="9083">
      <c r="A9083" s="5">
        <v>9082.0</v>
      </c>
      <c r="B9083" s="5" t="s">
        <v>9574</v>
      </c>
      <c r="C9083" s="5" t="s">
        <v>21</v>
      </c>
      <c r="K9083" s="5">
        <v>250.0</v>
      </c>
      <c r="N9083" s="9">
        <v>44545.0</v>
      </c>
    </row>
    <row r="9084">
      <c r="A9084" s="5">
        <v>9083.0</v>
      </c>
      <c r="B9084" s="5" t="s">
        <v>9575</v>
      </c>
      <c r="C9084" s="5" t="s">
        <v>21</v>
      </c>
      <c r="K9084" s="5">
        <v>250.0</v>
      </c>
      <c r="N9084" s="9">
        <v>44352.0</v>
      </c>
    </row>
    <row r="9085">
      <c r="A9085" s="5">
        <v>9084.0</v>
      </c>
      <c r="B9085" s="5" t="s">
        <v>9576</v>
      </c>
      <c r="C9085" s="5" t="s">
        <v>21</v>
      </c>
      <c r="N9085" s="9">
        <v>44529.0</v>
      </c>
    </row>
    <row r="9086">
      <c r="A9086" s="5">
        <v>9085.0</v>
      </c>
      <c r="B9086" s="5" t="s">
        <v>9577</v>
      </c>
      <c r="C9086" s="5" t="s">
        <v>21</v>
      </c>
      <c r="K9086" s="5">
        <v>100.0</v>
      </c>
      <c r="N9086" s="9">
        <v>44603.0</v>
      </c>
    </row>
    <row r="9087">
      <c r="A9087" s="5">
        <v>9086.0</v>
      </c>
      <c r="B9087" s="5" t="s">
        <v>9578</v>
      </c>
      <c r="C9087" s="5" t="s">
        <v>21</v>
      </c>
      <c r="K9087" s="5">
        <v>90.0</v>
      </c>
      <c r="N9087" s="9">
        <v>44061.0</v>
      </c>
    </row>
    <row r="9088">
      <c r="A9088" s="5">
        <v>9087.0</v>
      </c>
      <c r="B9088" s="5" t="s">
        <v>9579</v>
      </c>
      <c r="C9088" s="5" t="s">
        <v>21</v>
      </c>
      <c r="K9088" s="5">
        <v>150.0</v>
      </c>
      <c r="N9088" s="9">
        <v>44564.0</v>
      </c>
    </row>
    <row r="9089">
      <c r="A9089" s="5">
        <v>9088.0</v>
      </c>
      <c r="B9089" s="5" t="s">
        <v>9580</v>
      </c>
      <c r="C9089" s="5" t="s">
        <v>21</v>
      </c>
      <c r="K9089" s="5">
        <v>350.0</v>
      </c>
      <c r="N9089" s="9">
        <v>44641.0</v>
      </c>
    </row>
    <row r="9090">
      <c r="A9090" s="5">
        <v>9089.0</v>
      </c>
      <c r="B9090" s="5" t="s">
        <v>9581</v>
      </c>
      <c r="C9090" s="5" t="s">
        <v>21</v>
      </c>
      <c r="K9090" s="5">
        <v>600.0</v>
      </c>
      <c r="N9090" s="9">
        <v>44564.0</v>
      </c>
    </row>
    <row r="9091">
      <c r="A9091" s="5">
        <v>9090.0</v>
      </c>
      <c r="B9091" s="5" t="s">
        <v>9582</v>
      </c>
      <c r="C9091" s="5" t="s">
        <v>21</v>
      </c>
      <c r="K9091" s="5">
        <v>150.0</v>
      </c>
      <c r="N9091" s="9">
        <v>44559.0</v>
      </c>
    </row>
    <row r="9092">
      <c r="A9092" s="5">
        <v>9091.0</v>
      </c>
      <c r="B9092" s="5" t="s">
        <v>9583</v>
      </c>
      <c r="C9092" s="5" t="s">
        <v>21</v>
      </c>
      <c r="K9092" s="5">
        <v>300.0</v>
      </c>
      <c r="N9092" s="9">
        <v>45486.0</v>
      </c>
    </row>
    <row r="9093">
      <c r="A9093" s="5">
        <v>9092.0</v>
      </c>
      <c r="B9093" s="5" t="s">
        <v>9584</v>
      </c>
      <c r="C9093" s="5" t="s">
        <v>21</v>
      </c>
      <c r="K9093" s="5">
        <v>250.0</v>
      </c>
      <c r="N9093" s="9">
        <v>44547.0</v>
      </c>
    </row>
    <row r="9094">
      <c r="A9094" s="5">
        <v>9093.0</v>
      </c>
      <c r="B9094" s="5" t="s">
        <v>9585</v>
      </c>
      <c r="C9094" s="5" t="s">
        <v>21</v>
      </c>
      <c r="K9094" s="5">
        <v>70.0</v>
      </c>
      <c r="N9094" s="9">
        <v>44859.0</v>
      </c>
    </row>
    <row r="9095">
      <c r="A9095" s="5">
        <v>9094.0</v>
      </c>
      <c r="B9095" s="5" t="s">
        <v>9586</v>
      </c>
      <c r="C9095" s="5" t="s">
        <v>21</v>
      </c>
      <c r="K9095" s="5">
        <v>1000.0</v>
      </c>
      <c r="N9095" s="9">
        <v>44478.0</v>
      </c>
    </row>
    <row r="9096">
      <c r="A9096" s="5">
        <v>9095.0</v>
      </c>
      <c r="B9096" s="5" t="s">
        <v>9587</v>
      </c>
      <c r="C9096" s="5" t="s">
        <v>21</v>
      </c>
      <c r="K9096" s="5">
        <v>800.0</v>
      </c>
      <c r="N9096" s="9">
        <v>44391.0</v>
      </c>
    </row>
    <row r="9097">
      <c r="A9097" s="5">
        <v>9096.0</v>
      </c>
      <c r="B9097" s="5" t="s">
        <v>9588</v>
      </c>
      <c r="C9097" s="5" t="s">
        <v>21</v>
      </c>
      <c r="K9097" s="5">
        <v>350.0</v>
      </c>
      <c r="N9097" s="9">
        <v>44864.0</v>
      </c>
    </row>
    <row r="9098">
      <c r="A9098" s="5">
        <v>9097.0</v>
      </c>
      <c r="B9098" s="5" t="s">
        <v>9589</v>
      </c>
      <c r="C9098" s="5" t="s">
        <v>21</v>
      </c>
      <c r="K9098" s="5">
        <v>40.0</v>
      </c>
      <c r="N9098" s="9">
        <v>44622.0</v>
      </c>
    </row>
    <row r="9099">
      <c r="A9099" s="5">
        <v>9098.0</v>
      </c>
      <c r="B9099" s="5" t="s">
        <v>9590</v>
      </c>
      <c r="C9099" s="5" t="s">
        <v>21</v>
      </c>
      <c r="K9099" s="5">
        <v>200.0</v>
      </c>
      <c r="N9099" s="9">
        <v>45243.0</v>
      </c>
    </row>
    <row r="9100">
      <c r="A9100" s="5">
        <v>9099.0</v>
      </c>
      <c r="B9100" s="5" t="s">
        <v>9591</v>
      </c>
      <c r="C9100" s="5" t="s">
        <v>21</v>
      </c>
      <c r="K9100" s="5">
        <v>300.0</v>
      </c>
      <c r="N9100" s="9">
        <v>45475.0</v>
      </c>
    </row>
    <row r="9101">
      <c r="A9101" s="5">
        <v>9100.0</v>
      </c>
      <c r="B9101" s="5" t="s">
        <v>9592</v>
      </c>
      <c r="C9101" s="5" t="s">
        <v>21</v>
      </c>
      <c r="N9101" s="9">
        <v>43903.0</v>
      </c>
    </row>
    <row r="9102">
      <c r="A9102" s="5">
        <v>9101.0</v>
      </c>
      <c r="B9102" s="5" t="s">
        <v>9593</v>
      </c>
      <c r="C9102" s="5" t="s">
        <v>21</v>
      </c>
      <c r="K9102" s="5">
        <v>200.0</v>
      </c>
      <c r="N9102" s="9">
        <v>42249.0</v>
      </c>
    </row>
    <row r="9103">
      <c r="A9103" s="5">
        <v>9102.0</v>
      </c>
      <c r="B9103" s="5" t="s">
        <v>9594</v>
      </c>
      <c r="C9103" s="5" t="s">
        <v>21</v>
      </c>
      <c r="K9103" s="5">
        <v>100.0</v>
      </c>
      <c r="N9103" s="9">
        <v>44704.0</v>
      </c>
    </row>
    <row r="9104">
      <c r="A9104" s="5">
        <v>9103.0</v>
      </c>
      <c r="B9104" s="5" t="s">
        <v>9595</v>
      </c>
      <c r="C9104" s="5" t="s">
        <v>21</v>
      </c>
      <c r="K9104" s="5">
        <v>400.0</v>
      </c>
      <c r="N9104" s="9">
        <v>44583.0</v>
      </c>
    </row>
    <row r="9105">
      <c r="A9105" s="5">
        <v>9104.0</v>
      </c>
      <c r="B9105" s="5" t="s">
        <v>9596</v>
      </c>
      <c r="C9105" s="5" t="s">
        <v>21</v>
      </c>
      <c r="K9105" s="5">
        <v>50.0</v>
      </c>
      <c r="N9105" s="9">
        <v>44461.0</v>
      </c>
    </row>
    <row r="9106">
      <c r="A9106" s="5">
        <v>9105.0</v>
      </c>
      <c r="B9106" s="5" t="s">
        <v>9597</v>
      </c>
      <c r="C9106" s="5" t="s">
        <v>21</v>
      </c>
      <c r="K9106" s="5">
        <v>1500.0</v>
      </c>
      <c r="N9106" s="9">
        <v>44532.0</v>
      </c>
    </row>
    <row r="9107">
      <c r="A9107" s="5">
        <v>9106.0</v>
      </c>
      <c r="B9107" s="5" t="s">
        <v>9598</v>
      </c>
      <c r="C9107" s="5" t="s">
        <v>21</v>
      </c>
      <c r="K9107" s="5">
        <v>150.0</v>
      </c>
      <c r="N9107" s="9">
        <v>44703.0</v>
      </c>
    </row>
    <row r="9108">
      <c r="A9108" s="5">
        <v>9107.0</v>
      </c>
      <c r="B9108" s="5" t="s">
        <v>9599</v>
      </c>
      <c r="C9108" s="5" t="s">
        <v>21</v>
      </c>
      <c r="K9108" s="5">
        <v>150.0</v>
      </c>
      <c r="N9108" s="9">
        <v>44775.0</v>
      </c>
    </row>
    <row r="9109">
      <c r="A9109" s="5">
        <v>9108.0</v>
      </c>
      <c r="B9109" s="5" t="s">
        <v>9600</v>
      </c>
      <c r="C9109" s="5" t="s">
        <v>21</v>
      </c>
      <c r="K9109" s="5">
        <v>500.0</v>
      </c>
      <c r="N9109" s="9">
        <v>44172.0</v>
      </c>
    </row>
    <row r="9110">
      <c r="A9110" s="5">
        <v>9109.0</v>
      </c>
      <c r="B9110" s="5" t="s">
        <v>304</v>
      </c>
      <c r="C9110" s="5" t="s">
        <v>21</v>
      </c>
      <c r="K9110" s="5">
        <v>10.0</v>
      </c>
      <c r="N9110" s="9">
        <v>43865.0</v>
      </c>
    </row>
    <row r="9111">
      <c r="A9111" s="5">
        <v>9110.0</v>
      </c>
      <c r="B9111" s="5" t="s">
        <v>9601</v>
      </c>
      <c r="C9111" s="5" t="s">
        <v>21</v>
      </c>
      <c r="K9111" s="5">
        <v>800.0</v>
      </c>
      <c r="N9111" s="9">
        <v>44595.0</v>
      </c>
    </row>
    <row r="9112">
      <c r="A9112" s="5">
        <v>9111.0</v>
      </c>
      <c r="B9112" s="5" t="s">
        <v>9602</v>
      </c>
      <c r="C9112" s="5" t="s">
        <v>21</v>
      </c>
      <c r="K9112" s="5">
        <v>40.0</v>
      </c>
      <c r="N9112" s="9">
        <v>44066.0</v>
      </c>
    </row>
    <row r="9113">
      <c r="A9113" s="5">
        <v>9112.0</v>
      </c>
      <c r="B9113" s="5" t="s">
        <v>9603</v>
      </c>
      <c r="C9113" s="5" t="s">
        <v>21</v>
      </c>
      <c r="K9113" s="5">
        <v>100.0</v>
      </c>
      <c r="N9113" s="9">
        <v>44535.0</v>
      </c>
    </row>
    <row r="9114">
      <c r="A9114" s="5">
        <v>9113.0</v>
      </c>
      <c r="B9114" s="5" t="s">
        <v>9604</v>
      </c>
      <c r="C9114" s="5" t="s">
        <v>21</v>
      </c>
      <c r="K9114" s="5">
        <v>450.0</v>
      </c>
      <c r="N9114" s="9">
        <v>45083.0</v>
      </c>
    </row>
    <row r="9115">
      <c r="A9115" s="5">
        <v>9114.0</v>
      </c>
      <c r="B9115" s="5" t="s">
        <v>9605</v>
      </c>
      <c r="C9115" s="5" t="s">
        <v>21</v>
      </c>
      <c r="K9115" s="5">
        <v>100.0</v>
      </c>
      <c r="N9115" s="9">
        <v>44541.0</v>
      </c>
    </row>
    <row r="9116">
      <c r="A9116" s="5">
        <v>9115.0</v>
      </c>
      <c r="B9116" s="5" t="s">
        <v>9606</v>
      </c>
      <c r="C9116" s="5" t="s">
        <v>21</v>
      </c>
      <c r="K9116" s="5">
        <v>2400.0</v>
      </c>
      <c r="N9116" s="9">
        <v>44186.0</v>
      </c>
    </row>
    <row r="9117">
      <c r="A9117" s="5">
        <v>9116.0</v>
      </c>
      <c r="B9117" s="5" t="s">
        <v>9607</v>
      </c>
      <c r="C9117" s="5" t="s">
        <v>21</v>
      </c>
      <c r="K9117" s="5">
        <v>300.0</v>
      </c>
      <c r="N9117" s="9">
        <v>44686.0</v>
      </c>
    </row>
    <row r="9118">
      <c r="A9118" s="5">
        <v>9117.0</v>
      </c>
      <c r="B9118" s="5" t="s">
        <v>9608</v>
      </c>
      <c r="C9118" s="5" t="s">
        <v>21</v>
      </c>
      <c r="K9118" s="5">
        <v>40.0</v>
      </c>
      <c r="N9118" s="9">
        <v>45083.0</v>
      </c>
    </row>
    <row r="9119">
      <c r="A9119" s="5">
        <v>9118.0</v>
      </c>
      <c r="B9119" s="5" t="s">
        <v>9609</v>
      </c>
      <c r="C9119" s="5" t="s">
        <v>21</v>
      </c>
      <c r="K9119" s="5">
        <v>150.0</v>
      </c>
      <c r="N9119" s="9">
        <v>45437.0</v>
      </c>
    </row>
    <row r="9120">
      <c r="A9120" s="5">
        <v>9119.0</v>
      </c>
      <c r="B9120" s="5" t="s">
        <v>9610</v>
      </c>
      <c r="C9120" s="5" t="s">
        <v>21</v>
      </c>
      <c r="K9120" s="5">
        <v>70.0</v>
      </c>
      <c r="N9120" s="9">
        <v>44240.0</v>
      </c>
    </row>
    <row r="9121">
      <c r="A9121" s="5">
        <v>9120.0</v>
      </c>
      <c r="B9121" s="5" t="s">
        <v>9611</v>
      </c>
      <c r="C9121" s="5" t="s">
        <v>21</v>
      </c>
      <c r="K9121" s="5">
        <v>450.0</v>
      </c>
      <c r="N9121" s="9">
        <v>45521.0</v>
      </c>
    </row>
    <row r="9122">
      <c r="A9122" s="5">
        <v>9121.0</v>
      </c>
      <c r="B9122" s="5" t="s">
        <v>9612</v>
      </c>
      <c r="C9122" s="5" t="s">
        <v>21</v>
      </c>
      <c r="K9122" s="5">
        <v>100.0</v>
      </c>
      <c r="N9122" s="9">
        <v>44816.0</v>
      </c>
    </row>
    <row r="9123">
      <c r="A9123" s="5">
        <v>9122.0</v>
      </c>
      <c r="B9123" s="5" t="s">
        <v>9613</v>
      </c>
      <c r="C9123" s="5" t="s">
        <v>21</v>
      </c>
      <c r="K9123" s="5">
        <v>2900.0</v>
      </c>
      <c r="N9123" s="9">
        <v>44521.0</v>
      </c>
    </row>
    <row r="9124">
      <c r="A9124" s="5">
        <v>9123.0</v>
      </c>
      <c r="B9124" s="5" t="s">
        <v>9614</v>
      </c>
      <c r="C9124" s="5" t="s">
        <v>21</v>
      </c>
      <c r="K9124" s="5">
        <v>400.0</v>
      </c>
      <c r="N9124" s="9">
        <v>44578.0</v>
      </c>
    </row>
    <row r="9125">
      <c r="A9125" s="5">
        <v>9124.0</v>
      </c>
      <c r="B9125" s="5" t="s">
        <v>9615</v>
      </c>
      <c r="C9125" s="5" t="s">
        <v>21</v>
      </c>
      <c r="K9125" s="5">
        <v>350.0</v>
      </c>
      <c r="N9125" s="9">
        <v>44527.0</v>
      </c>
    </row>
    <row r="9126">
      <c r="A9126" s="5">
        <v>9125.0</v>
      </c>
      <c r="B9126" s="5" t="s">
        <v>9616</v>
      </c>
      <c r="C9126" s="5" t="s">
        <v>21</v>
      </c>
      <c r="K9126" s="5">
        <v>700.0</v>
      </c>
      <c r="N9126" s="9">
        <v>44371.0</v>
      </c>
    </row>
    <row r="9127">
      <c r="A9127" s="5">
        <v>9126.0</v>
      </c>
      <c r="B9127" s="5" t="s">
        <v>9617</v>
      </c>
      <c r="C9127" s="5" t="s">
        <v>21</v>
      </c>
      <c r="K9127" s="5">
        <v>50.0</v>
      </c>
      <c r="N9127" s="9">
        <v>44573.0</v>
      </c>
    </row>
    <row r="9128">
      <c r="A9128" s="5">
        <v>9127.0</v>
      </c>
      <c r="B9128" s="5" t="s">
        <v>9618</v>
      </c>
      <c r="C9128" s="5" t="s">
        <v>21</v>
      </c>
      <c r="K9128" s="5">
        <v>800.0</v>
      </c>
      <c r="N9128" s="9">
        <v>44119.0</v>
      </c>
    </row>
    <row r="9129">
      <c r="A9129" s="5">
        <v>9128.0</v>
      </c>
      <c r="B9129" s="5" t="s">
        <v>9619</v>
      </c>
      <c r="C9129" s="5" t="s">
        <v>21</v>
      </c>
      <c r="K9129" s="5">
        <v>400.0</v>
      </c>
      <c r="N9129" s="9">
        <v>45448.0</v>
      </c>
    </row>
    <row r="9130">
      <c r="A9130" s="5">
        <v>9129.0</v>
      </c>
      <c r="B9130" s="5" t="s">
        <v>9620</v>
      </c>
      <c r="C9130" s="5" t="s">
        <v>21</v>
      </c>
      <c r="K9130" s="5">
        <v>800.0</v>
      </c>
      <c r="N9130" s="9">
        <v>44507.0</v>
      </c>
    </row>
    <row r="9131">
      <c r="A9131" s="5">
        <v>9130.0</v>
      </c>
      <c r="B9131" s="5" t="s">
        <v>9621</v>
      </c>
      <c r="C9131" s="5" t="s">
        <v>21</v>
      </c>
      <c r="K9131" s="5">
        <v>90.0</v>
      </c>
      <c r="N9131" s="9">
        <v>45059.0</v>
      </c>
    </row>
    <row r="9132">
      <c r="A9132" s="5">
        <v>9131.0</v>
      </c>
      <c r="B9132" s="5" t="s">
        <v>9622</v>
      </c>
      <c r="C9132" s="5" t="s">
        <v>21</v>
      </c>
      <c r="K9132" s="5">
        <v>200.0</v>
      </c>
      <c r="N9132" s="9">
        <v>44428.0</v>
      </c>
    </row>
    <row r="9133">
      <c r="A9133" s="5">
        <v>9132.0</v>
      </c>
      <c r="B9133" s="5" t="s">
        <v>9623</v>
      </c>
      <c r="C9133" s="5" t="s">
        <v>21</v>
      </c>
      <c r="K9133" s="5">
        <v>2900.0</v>
      </c>
      <c r="N9133" s="9">
        <v>44006.0</v>
      </c>
    </row>
    <row r="9134">
      <c r="A9134" s="5">
        <v>9133.0</v>
      </c>
      <c r="B9134" s="5" t="s">
        <v>9624</v>
      </c>
      <c r="C9134" s="5" t="s">
        <v>21</v>
      </c>
      <c r="N9134" s="9">
        <v>44554.0</v>
      </c>
    </row>
    <row r="9135">
      <c r="A9135" s="5">
        <v>9134.0</v>
      </c>
      <c r="B9135" s="5" t="s">
        <v>9625</v>
      </c>
      <c r="C9135" s="5" t="s">
        <v>21</v>
      </c>
      <c r="K9135" s="5">
        <v>1400.0</v>
      </c>
      <c r="N9135" s="9">
        <v>44564.0</v>
      </c>
    </row>
    <row r="9136">
      <c r="A9136" s="5">
        <v>9135.0</v>
      </c>
      <c r="B9136" s="5" t="s">
        <v>9626</v>
      </c>
      <c r="C9136" s="5" t="s">
        <v>21</v>
      </c>
      <c r="K9136" s="5">
        <v>100.0</v>
      </c>
      <c r="N9136" s="9">
        <v>44676.0</v>
      </c>
    </row>
    <row r="9137">
      <c r="A9137" s="5">
        <v>9136.0</v>
      </c>
      <c r="B9137" s="5" t="s">
        <v>9627</v>
      </c>
      <c r="C9137" s="5" t="s">
        <v>21</v>
      </c>
      <c r="K9137" s="5">
        <v>5800.0</v>
      </c>
      <c r="N9137" s="9">
        <v>44452.0</v>
      </c>
    </row>
    <row r="9138">
      <c r="A9138" s="5">
        <v>9137.0</v>
      </c>
      <c r="B9138" s="5" t="s">
        <v>9628</v>
      </c>
      <c r="C9138" s="5" t="s">
        <v>21</v>
      </c>
      <c r="K9138" s="5">
        <v>1300.0</v>
      </c>
      <c r="N9138" s="9">
        <v>44330.0</v>
      </c>
    </row>
    <row r="9139">
      <c r="A9139" s="5">
        <v>9138.0</v>
      </c>
      <c r="B9139" s="5" t="s">
        <v>9629</v>
      </c>
      <c r="C9139" s="5" t="s">
        <v>21</v>
      </c>
      <c r="K9139" s="5">
        <v>250.0</v>
      </c>
      <c r="N9139" s="9">
        <v>44096.0</v>
      </c>
    </row>
    <row r="9140">
      <c r="A9140" s="5">
        <v>9139.0</v>
      </c>
      <c r="B9140" s="5" t="s">
        <v>9630</v>
      </c>
      <c r="C9140" s="5" t="s">
        <v>21</v>
      </c>
      <c r="K9140" s="5">
        <v>600.0</v>
      </c>
      <c r="N9140" s="9">
        <v>44582.0</v>
      </c>
    </row>
    <row r="9141">
      <c r="A9141" s="5">
        <v>9140.0</v>
      </c>
      <c r="B9141" s="5" t="s">
        <v>9631</v>
      </c>
      <c r="C9141" s="5" t="s">
        <v>21</v>
      </c>
      <c r="K9141" s="5">
        <v>200.0</v>
      </c>
      <c r="N9141" s="9">
        <v>44778.0</v>
      </c>
    </row>
    <row r="9142">
      <c r="A9142" s="5">
        <v>9141.0</v>
      </c>
      <c r="B9142" s="5" t="s">
        <v>9632</v>
      </c>
      <c r="C9142" s="5" t="s">
        <v>21</v>
      </c>
      <c r="K9142" s="5">
        <v>3000.0</v>
      </c>
      <c r="N9142" s="9">
        <v>44585.0</v>
      </c>
    </row>
    <row r="9143">
      <c r="A9143" s="5">
        <v>9142.0</v>
      </c>
      <c r="B9143" s="5" t="s">
        <v>9633</v>
      </c>
      <c r="C9143" s="5" t="s">
        <v>21</v>
      </c>
      <c r="K9143" s="5">
        <v>1000.0</v>
      </c>
      <c r="N9143" s="9">
        <v>45133.0</v>
      </c>
    </row>
    <row r="9144">
      <c r="A9144" s="5">
        <v>9143.0</v>
      </c>
      <c r="B9144" s="5" t="s">
        <v>9634</v>
      </c>
      <c r="C9144" s="5" t="s">
        <v>21</v>
      </c>
      <c r="K9144" s="5">
        <v>200.0</v>
      </c>
      <c r="N9144" s="9">
        <v>44411.0</v>
      </c>
    </row>
    <row r="9145">
      <c r="A9145" s="5">
        <v>9144.0</v>
      </c>
      <c r="B9145" s="5" t="s">
        <v>9635</v>
      </c>
      <c r="C9145" s="5" t="s">
        <v>21</v>
      </c>
      <c r="K9145" s="5">
        <v>150.0</v>
      </c>
      <c r="N9145" s="9">
        <v>44767.0</v>
      </c>
    </row>
    <row r="9146">
      <c r="A9146" s="5">
        <v>9145.0</v>
      </c>
      <c r="B9146" s="5" t="s">
        <v>9636</v>
      </c>
      <c r="C9146" s="5" t="s">
        <v>21</v>
      </c>
      <c r="K9146" s="5">
        <v>200.0</v>
      </c>
      <c r="N9146" s="9">
        <v>45414.0</v>
      </c>
    </row>
    <row r="9147">
      <c r="A9147" s="5">
        <v>9146.0</v>
      </c>
      <c r="B9147" s="5" t="s">
        <v>9637</v>
      </c>
      <c r="C9147" s="5" t="s">
        <v>21</v>
      </c>
      <c r="K9147" s="5">
        <v>900.0</v>
      </c>
      <c r="N9147" s="9">
        <v>44021.0</v>
      </c>
    </row>
    <row r="9148">
      <c r="A9148" s="5">
        <v>9147.0</v>
      </c>
      <c r="B9148" s="5" t="s">
        <v>9638</v>
      </c>
      <c r="C9148" s="5" t="s">
        <v>21</v>
      </c>
      <c r="K9148" s="5">
        <v>500.0</v>
      </c>
      <c r="N9148" s="9">
        <v>44667.0</v>
      </c>
    </row>
    <row r="9149">
      <c r="A9149" s="5">
        <v>9148.0</v>
      </c>
      <c r="B9149" s="5" t="s">
        <v>9639</v>
      </c>
      <c r="C9149" s="5" t="s">
        <v>21</v>
      </c>
      <c r="K9149" s="5">
        <v>100.0</v>
      </c>
      <c r="N9149" s="9">
        <v>44532.0</v>
      </c>
    </row>
    <row r="9150">
      <c r="A9150" s="5">
        <v>9149.0</v>
      </c>
      <c r="B9150" s="5" t="s">
        <v>9640</v>
      </c>
      <c r="C9150" s="5" t="s">
        <v>21</v>
      </c>
      <c r="N9150" s="9">
        <v>46025.0</v>
      </c>
    </row>
    <row r="9151">
      <c r="A9151" s="5">
        <v>9150.0</v>
      </c>
      <c r="B9151" s="5" t="s">
        <v>9641</v>
      </c>
      <c r="C9151" s="5" t="s">
        <v>21</v>
      </c>
      <c r="N9151" s="9">
        <v>44518.0</v>
      </c>
    </row>
    <row r="9152">
      <c r="A9152" s="5">
        <v>9151.0</v>
      </c>
      <c r="B9152" s="5" t="s">
        <v>9642</v>
      </c>
      <c r="C9152" s="5" t="s">
        <v>21</v>
      </c>
      <c r="K9152" s="5">
        <v>300.0</v>
      </c>
      <c r="N9152" s="9">
        <v>45323.0</v>
      </c>
    </row>
    <row r="9153">
      <c r="A9153" s="5">
        <v>9152.0</v>
      </c>
      <c r="B9153" s="5" t="s">
        <v>9643</v>
      </c>
      <c r="C9153" s="5" t="s">
        <v>21</v>
      </c>
      <c r="K9153" s="5">
        <v>800.0</v>
      </c>
      <c r="N9153" s="9">
        <v>44152.0</v>
      </c>
    </row>
    <row r="9154">
      <c r="A9154" s="5">
        <v>9153.0</v>
      </c>
      <c r="B9154" s="5" t="s">
        <v>9644</v>
      </c>
      <c r="C9154" s="5" t="s">
        <v>21</v>
      </c>
      <c r="K9154" s="5">
        <v>150.0</v>
      </c>
      <c r="N9154" s="9">
        <v>45311.0</v>
      </c>
    </row>
    <row r="9155">
      <c r="A9155" s="5">
        <v>9154.0</v>
      </c>
      <c r="B9155" s="5" t="s">
        <v>9645</v>
      </c>
      <c r="C9155" s="5" t="s">
        <v>21</v>
      </c>
      <c r="N9155" s="9">
        <v>44559.0</v>
      </c>
    </row>
    <row r="9156">
      <c r="A9156" s="5">
        <v>9155.0</v>
      </c>
      <c r="B9156" s="5" t="s">
        <v>9646</v>
      </c>
      <c r="C9156" s="5" t="s">
        <v>21</v>
      </c>
      <c r="N9156" s="9">
        <v>44519.0</v>
      </c>
    </row>
    <row r="9157">
      <c r="A9157" s="5">
        <v>9156.0</v>
      </c>
      <c r="B9157" s="5" t="s">
        <v>9647</v>
      </c>
      <c r="C9157" s="5" t="s">
        <v>21</v>
      </c>
      <c r="N9157" s="9">
        <v>44731.0</v>
      </c>
    </row>
    <row r="9158">
      <c r="A9158" s="5">
        <v>9157.0</v>
      </c>
      <c r="B9158" s="5" t="s">
        <v>9648</v>
      </c>
      <c r="C9158" s="5" t="s">
        <v>21</v>
      </c>
      <c r="K9158" s="5">
        <v>600.0</v>
      </c>
      <c r="N9158" s="9">
        <v>45153.0</v>
      </c>
    </row>
    <row r="9159">
      <c r="A9159" s="5">
        <v>9158.0</v>
      </c>
      <c r="B9159" s="5" t="s">
        <v>9649</v>
      </c>
      <c r="C9159" s="5" t="s">
        <v>21</v>
      </c>
      <c r="K9159" s="5">
        <v>90.0</v>
      </c>
      <c r="N9159" s="9">
        <v>45100.0</v>
      </c>
    </row>
    <row r="9160">
      <c r="A9160" s="5">
        <v>9159.0</v>
      </c>
      <c r="B9160" s="5" t="s">
        <v>9650</v>
      </c>
      <c r="C9160" s="5" t="s">
        <v>21</v>
      </c>
      <c r="K9160" s="5">
        <v>50.0</v>
      </c>
      <c r="N9160" s="9">
        <v>44662.0</v>
      </c>
    </row>
    <row r="9161">
      <c r="A9161" s="5">
        <v>9160.0</v>
      </c>
      <c r="B9161" s="5" t="s">
        <v>9651</v>
      </c>
      <c r="C9161" s="5" t="s">
        <v>21</v>
      </c>
      <c r="K9161" s="5">
        <v>300.0</v>
      </c>
      <c r="N9161" s="9">
        <v>43862.0</v>
      </c>
    </row>
    <row r="9162">
      <c r="A9162" s="5">
        <v>9161.0</v>
      </c>
      <c r="B9162" s="5" t="s">
        <v>9652</v>
      </c>
      <c r="C9162" s="5" t="s">
        <v>21</v>
      </c>
      <c r="K9162" s="5">
        <v>1000.0</v>
      </c>
      <c r="N9162" s="9">
        <v>43986.0</v>
      </c>
    </row>
    <row r="9163">
      <c r="A9163" s="5">
        <v>9162.0</v>
      </c>
      <c r="B9163" s="5" t="s">
        <v>9653</v>
      </c>
      <c r="C9163" s="5" t="s">
        <v>21</v>
      </c>
      <c r="K9163" s="5">
        <v>162000.0</v>
      </c>
      <c r="N9163" s="9">
        <v>45632.0</v>
      </c>
    </row>
    <row r="9164">
      <c r="A9164" s="5">
        <v>9163.0</v>
      </c>
      <c r="B9164" s="5" t="s">
        <v>9654</v>
      </c>
      <c r="C9164" s="5" t="s">
        <v>21</v>
      </c>
      <c r="K9164" s="5">
        <v>250.0</v>
      </c>
      <c r="N9164" s="9">
        <v>44585.0</v>
      </c>
    </row>
    <row r="9165">
      <c r="A9165" s="5">
        <v>9164.0</v>
      </c>
      <c r="B9165" s="5" t="s">
        <v>9655</v>
      </c>
      <c r="C9165" s="5" t="s">
        <v>21</v>
      </c>
      <c r="K9165" s="5">
        <v>3100.0</v>
      </c>
      <c r="N9165" s="9">
        <v>44449.0</v>
      </c>
    </row>
    <row r="9166">
      <c r="A9166" s="5">
        <v>9165.0</v>
      </c>
      <c r="B9166" s="5" t="s">
        <v>9656</v>
      </c>
      <c r="C9166" s="5" t="s">
        <v>21</v>
      </c>
      <c r="K9166" s="5">
        <v>80.0</v>
      </c>
      <c r="N9166" s="9">
        <v>44630.0</v>
      </c>
    </row>
    <row r="9167">
      <c r="A9167" s="5">
        <v>9166.0</v>
      </c>
      <c r="B9167" s="5" t="s">
        <v>9657</v>
      </c>
      <c r="C9167" s="5" t="s">
        <v>21</v>
      </c>
      <c r="K9167" s="5">
        <v>20.0</v>
      </c>
      <c r="N9167" s="9">
        <v>44647.0</v>
      </c>
    </row>
    <row r="9168">
      <c r="A9168" s="5">
        <v>9167.0</v>
      </c>
      <c r="B9168" s="5" t="s">
        <v>9658</v>
      </c>
      <c r="C9168" s="5" t="s">
        <v>21</v>
      </c>
      <c r="K9168" s="5">
        <v>100.0</v>
      </c>
      <c r="N9168" s="9">
        <v>45130.0</v>
      </c>
    </row>
    <row r="9169">
      <c r="A9169" s="5">
        <v>9168.0</v>
      </c>
      <c r="B9169" s="5" t="s">
        <v>9659</v>
      </c>
      <c r="C9169" s="5" t="s">
        <v>21</v>
      </c>
      <c r="K9169" s="5">
        <v>700.0</v>
      </c>
      <c r="N9169" s="9">
        <v>44323.0</v>
      </c>
    </row>
    <row r="9170">
      <c r="A9170" s="5">
        <v>9169.0</v>
      </c>
      <c r="B9170" s="5" t="s">
        <v>9660</v>
      </c>
      <c r="C9170" s="5" t="s">
        <v>21</v>
      </c>
      <c r="N9170" s="9">
        <v>44692.0</v>
      </c>
    </row>
    <row r="9171">
      <c r="A9171" s="5">
        <v>9170.0</v>
      </c>
      <c r="B9171" s="5" t="s">
        <v>9661</v>
      </c>
      <c r="C9171" s="5" t="s">
        <v>21</v>
      </c>
      <c r="K9171" s="5">
        <v>50.0</v>
      </c>
      <c r="N9171" s="9">
        <v>44736.0</v>
      </c>
    </row>
    <row r="9172">
      <c r="A9172" s="5">
        <v>9171.0</v>
      </c>
      <c r="B9172" s="5" t="s">
        <v>9662</v>
      </c>
      <c r="C9172" s="5" t="s">
        <v>21</v>
      </c>
      <c r="K9172" s="5">
        <v>1200.0</v>
      </c>
      <c r="N9172" s="9">
        <v>43893.0</v>
      </c>
    </row>
    <row r="9173">
      <c r="A9173" s="5">
        <v>9172.0</v>
      </c>
      <c r="B9173" s="5" t="s">
        <v>308</v>
      </c>
      <c r="C9173" s="5" t="s">
        <v>21</v>
      </c>
      <c r="K9173" s="5">
        <v>10.0</v>
      </c>
      <c r="N9173" s="9">
        <v>44518.0</v>
      </c>
    </row>
    <row r="9174">
      <c r="A9174" s="5">
        <v>9173.0</v>
      </c>
      <c r="B9174" s="5" t="s">
        <v>9663</v>
      </c>
      <c r="C9174" s="5" t="s">
        <v>21</v>
      </c>
      <c r="N9174" s="9">
        <v>44519.0</v>
      </c>
    </row>
    <row r="9175">
      <c r="A9175" s="5">
        <v>9174.0</v>
      </c>
      <c r="B9175" s="5" t="s">
        <v>9664</v>
      </c>
      <c r="C9175" s="5" t="s">
        <v>21</v>
      </c>
      <c r="K9175" s="5">
        <v>80.0</v>
      </c>
      <c r="N9175" s="9">
        <v>44722.0</v>
      </c>
    </row>
    <row r="9176">
      <c r="A9176" s="5">
        <v>9175.0</v>
      </c>
      <c r="B9176" s="5" t="s">
        <v>9665</v>
      </c>
      <c r="C9176" s="5" t="s">
        <v>21</v>
      </c>
      <c r="K9176" s="5">
        <v>200.0</v>
      </c>
      <c r="N9176" s="9">
        <v>45515.0</v>
      </c>
    </row>
    <row r="9177">
      <c r="A9177" s="5">
        <v>9176.0</v>
      </c>
      <c r="B9177" s="5" t="s">
        <v>9666</v>
      </c>
      <c r="C9177" s="5" t="s">
        <v>21</v>
      </c>
      <c r="K9177" s="5">
        <v>200.0</v>
      </c>
      <c r="N9177" s="9">
        <v>44717.0</v>
      </c>
    </row>
    <row r="9178">
      <c r="A9178" s="5">
        <v>9177.0</v>
      </c>
      <c r="B9178" s="5" t="s">
        <v>9667</v>
      </c>
      <c r="C9178" s="5" t="s">
        <v>21</v>
      </c>
      <c r="K9178" s="5">
        <v>50.0</v>
      </c>
      <c r="N9178" s="9">
        <v>44902.0</v>
      </c>
    </row>
    <row r="9179">
      <c r="A9179" s="5">
        <v>9178.0</v>
      </c>
      <c r="B9179" s="5" t="s">
        <v>9668</v>
      </c>
      <c r="C9179" s="5" t="s">
        <v>21</v>
      </c>
      <c r="N9179" s="9">
        <v>45054.0</v>
      </c>
    </row>
    <row r="9180">
      <c r="A9180" s="5">
        <v>9179.0</v>
      </c>
      <c r="B9180" s="5" t="s">
        <v>9669</v>
      </c>
      <c r="C9180" s="5" t="s">
        <v>21</v>
      </c>
      <c r="K9180" s="5">
        <v>1500.0</v>
      </c>
      <c r="N9180" s="9">
        <v>44062.0</v>
      </c>
    </row>
    <row r="9181">
      <c r="A9181" s="5">
        <v>9180.0</v>
      </c>
      <c r="B9181" s="5" t="s">
        <v>9670</v>
      </c>
      <c r="C9181" s="5" t="s">
        <v>21</v>
      </c>
      <c r="K9181" s="5">
        <v>500.0</v>
      </c>
      <c r="N9181" s="9">
        <v>44152.0</v>
      </c>
    </row>
    <row r="9182">
      <c r="A9182" s="5">
        <v>9181.0</v>
      </c>
      <c r="B9182" s="5" t="s">
        <v>9671</v>
      </c>
      <c r="C9182" s="5" t="s">
        <v>21</v>
      </c>
      <c r="K9182" s="5">
        <v>1900.0</v>
      </c>
      <c r="N9182" s="9">
        <v>44048.0</v>
      </c>
    </row>
    <row r="9183">
      <c r="A9183" s="5">
        <v>9182.0</v>
      </c>
      <c r="B9183" s="5" t="s">
        <v>9672</v>
      </c>
      <c r="C9183" s="5" t="s">
        <v>21</v>
      </c>
      <c r="K9183" s="5">
        <v>10.0</v>
      </c>
      <c r="N9183" s="9">
        <v>44298.0</v>
      </c>
    </row>
    <row r="9184">
      <c r="A9184" s="5">
        <v>9183.0</v>
      </c>
      <c r="B9184" s="5" t="s">
        <v>9673</v>
      </c>
      <c r="C9184" s="5" t="s">
        <v>21</v>
      </c>
      <c r="K9184" s="5">
        <v>300.0</v>
      </c>
      <c r="N9184" s="9">
        <v>45284.0</v>
      </c>
    </row>
    <row r="9185">
      <c r="A9185" s="5">
        <v>9184.0</v>
      </c>
      <c r="B9185" s="5" t="s">
        <v>9674</v>
      </c>
      <c r="C9185" s="5" t="s">
        <v>21</v>
      </c>
      <c r="K9185" s="5">
        <v>1200.0</v>
      </c>
      <c r="N9185" s="9">
        <v>45542.0</v>
      </c>
    </row>
    <row r="9186">
      <c r="A9186" s="5">
        <v>9185.0</v>
      </c>
      <c r="B9186" s="5" t="s">
        <v>9675</v>
      </c>
      <c r="C9186" s="5" t="s">
        <v>21</v>
      </c>
      <c r="K9186" s="5">
        <v>350.0</v>
      </c>
      <c r="N9186" s="9">
        <v>45569.0</v>
      </c>
    </row>
    <row r="9187">
      <c r="A9187" s="5">
        <v>9186.0</v>
      </c>
      <c r="B9187" s="5" t="s">
        <v>9676</v>
      </c>
      <c r="C9187" s="5" t="s">
        <v>21</v>
      </c>
      <c r="K9187" s="5">
        <v>200.0</v>
      </c>
      <c r="N9187" s="9">
        <v>44601.0</v>
      </c>
    </row>
    <row r="9188">
      <c r="A9188" s="5">
        <v>9187.0</v>
      </c>
      <c r="B9188" s="5" t="s">
        <v>9677</v>
      </c>
      <c r="C9188" s="5" t="s">
        <v>21</v>
      </c>
      <c r="K9188" s="5">
        <v>700.0</v>
      </c>
      <c r="N9188" s="9">
        <v>44386.0</v>
      </c>
    </row>
    <row r="9189">
      <c r="A9189" s="5">
        <v>9188.0</v>
      </c>
      <c r="B9189" s="5" t="s">
        <v>9678</v>
      </c>
      <c r="C9189" s="5" t="s">
        <v>21</v>
      </c>
      <c r="K9189" s="5">
        <v>700.0</v>
      </c>
      <c r="N9189" s="9">
        <v>44804.0</v>
      </c>
    </row>
    <row r="9190">
      <c r="A9190" s="5">
        <v>9189.0</v>
      </c>
      <c r="B9190" s="5" t="s">
        <v>9679</v>
      </c>
      <c r="C9190" s="5" t="s">
        <v>21</v>
      </c>
      <c r="K9190" s="5">
        <v>1000.0</v>
      </c>
      <c r="N9190" s="9">
        <v>44612.0</v>
      </c>
    </row>
    <row r="9191">
      <c r="A9191" s="5">
        <v>9190.0</v>
      </c>
      <c r="B9191" s="5" t="s">
        <v>9680</v>
      </c>
      <c r="C9191" s="5" t="s">
        <v>21</v>
      </c>
      <c r="K9191" s="5">
        <v>1200.0</v>
      </c>
      <c r="N9191" s="9">
        <v>45646.0</v>
      </c>
    </row>
    <row r="9192">
      <c r="A9192" s="5">
        <v>9191.0</v>
      </c>
      <c r="B9192" s="5" t="s">
        <v>9681</v>
      </c>
      <c r="C9192" s="5" t="s">
        <v>21</v>
      </c>
      <c r="K9192" s="5">
        <v>2200.0</v>
      </c>
      <c r="N9192" s="9">
        <v>43988.0</v>
      </c>
    </row>
    <row r="9193">
      <c r="A9193" s="5">
        <v>9192.0</v>
      </c>
      <c r="B9193" s="5" t="s">
        <v>9682</v>
      </c>
      <c r="C9193" s="5" t="s">
        <v>21</v>
      </c>
      <c r="K9193" s="5">
        <v>30.0</v>
      </c>
      <c r="N9193" s="9">
        <v>45032.0</v>
      </c>
    </row>
    <row r="9194">
      <c r="A9194" s="5">
        <v>9193.0</v>
      </c>
      <c r="B9194" s="5" t="s">
        <v>9683</v>
      </c>
      <c r="C9194" s="5" t="s">
        <v>21</v>
      </c>
      <c r="K9194" s="5">
        <v>150.0</v>
      </c>
      <c r="N9194" s="9">
        <v>44968.0</v>
      </c>
    </row>
    <row r="9195">
      <c r="A9195" s="5">
        <v>9194.0</v>
      </c>
      <c r="B9195" s="5" t="s">
        <v>9684</v>
      </c>
      <c r="C9195" s="5" t="s">
        <v>21</v>
      </c>
      <c r="K9195" s="5">
        <v>2600.0</v>
      </c>
      <c r="N9195" s="9">
        <v>45802.0</v>
      </c>
    </row>
    <row r="9196">
      <c r="A9196" s="5">
        <v>9195.0</v>
      </c>
      <c r="B9196" s="5" t="s">
        <v>9685</v>
      </c>
      <c r="C9196" s="5" t="s">
        <v>21</v>
      </c>
      <c r="K9196" s="5">
        <v>150.0</v>
      </c>
      <c r="N9196" s="9">
        <v>44052.0</v>
      </c>
    </row>
    <row r="9197">
      <c r="A9197" s="5">
        <v>9196.0</v>
      </c>
      <c r="B9197" s="5" t="s">
        <v>9686</v>
      </c>
      <c r="C9197" s="5" t="s">
        <v>21</v>
      </c>
      <c r="K9197" s="5">
        <v>200.0</v>
      </c>
      <c r="N9197" s="9">
        <v>44599.0</v>
      </c>
    </row>
    <row r="9198">
      <c r="A9198" s="5">
        <v>9197.0</v>
      </c>
      <c r="B9198" s="5" t="s">
        <v>9687</v>
      </c>
      <c r="C9198" s="5" t="s">
        <v>21</v>
      </c>
      <c r="K9198" s="5">
        <v>150.0</v>
      </c>
      <c r="N9198" s="9">
        <v>44555.0</v>
      </c>
    </row>
    <row r="9199">
      <c r="A9199" s="5">
        <v>9198.0</v>
      </c>
      <c r="B9199" s="5" t="s">
        <v>9688</v>
      </c>
      <c r="C9199" s="5" t="s">
        <v>21</v>
      </c>
      <c r="K9199" s="5">
        <v>600.0</v>
      </c>
      <c r="N9199" s="9">
        <v>43014.0</v>
      </c>
    </row>
    <row r="9200">
      <c r="A9200" s="5">
        <v>9199.0</v>
      </c>
      <c r="B9200" s="5" t="s">
        <v>9689</v>
      </c>
      <c r="C9200" s="5" t="s">
        <v>21</v>
      </c>
      <c r="K9200" s="5">
        <v>600.0</v>
      </c>
      <c r="N9200" s="9">
        <v>44549.0</v>
      </c>
    </row>
    <row r="9201">
      <c r="A9201" s="5">
        <v>9200.0</v>
      </c>
      <c r="B9201" s="5" t="s">
        <v>9690</v>
      </c>
      <c r="C9201" s="5" t="s">
        <v>21</v>
      </c>
      <c r="K9201" s="5">
        <v>200.0</v>
      </c>
      <c r="N9201" s="9">
        <v>44597.0</v>
      </c>
    </row>
    <row r="9202">
      <c r="A9202" s="5">
        <v>9201.0</v>
      </c>
      <c r="B9202" s="5" t="s">
        <v>9691</v>
      </c>
      <c r="C9202" s="5" t="s">
        <v>21</v>
      </c>
      <c r="N9202" s="9">
        <v>44575.0</v>
      </c>
    </row>
    <row r="9203">
      <c r="A9203" s="5">
        <v>9202.0</v>
      </c>
      <c r="B9203" s="5" t="s">
        <v>9692</v>
      </c>
      <c r="C9203" s="5" t="s">
        <v>21</v>
      </c>
      <c r="K9203" s="5">
        <v>250.0</v>
      </c>
      <c r="N9203" s="9">
        <v>45586.0</v>
      </c>
    </row>
    <row r="9204">
      <c r="A9204" s="5">
        <v>9203.0</v>
      </c>
      <c r="B9204" s="5" t="s">
        <v>9693</v>
      </c>
      <c r="C9204" s="5" t="s">
        <v>21</v>
      </c>
      <c r="K9204" s="5">
        <v>800.0</v>
      </c>
      <c r="N9204" s="9">
        <v>44818.0</v>
      </c>
    </row>
    <row r="9205">
      <c r="A9205" s="5">
        <v>9204.0</v>
      </c>
      <c r="B9205" s="5" t="s">
        <v>9694</v>
      </c>
      <c r="C9205" s="5" t="s">
        <v>21</v>
      </c>
      <c r="K9205" s="5">
        <v>1100.0</v>
      </c>
      <c r="N9205" s="9">
        <v>43886.0</v>
      </c>
    </row>
    <row r="9206">
      <c r="A9206" s="5">
        <v>9205.0</v>
      </c>
      <c r="B9206" s="5" t="s">
        <v>311</v>
      </c>
      <c r="C9206" s="5" t="s">
        <v>21</v>
      </c>
      <c r="K9206" s="5">
        <v>60.0</v>
      </c>
      <c r="N9206" s="9">
        <v>43941.0</v>
      </c>
    </row>
    <row r="9207">
      <c r="A9207" s="5">
        <v>9206.0</v>
      </c>
      <c r="B9207" s="5" t="s">
        <v>9695</v>
      </c>
      <c r="C9207" s="5" t="s">
        <v>21</v>
      </c>
      <c r="K9207" s="5">
        <v>250.0</v>
      </c>
      <c r="N9207" s="9">
        <v>45119.0</v>
      </c>
    </row>
    <row r="9208">
      <c r="A9208" s="5">
        <v>9207.0</v>
      </c>
      <c r="B9208" s="5" t="s">
        <v>9696</v>
      </c>
      <c r="C9208" s="5" t="s">
        <v>21</v>
      </c>
      <c r="K9208" s="5">
        <v>150.0</v>
      </c>
      <c r="N9208" s="9">
        <v>44676.0</v>
      </c>
    </row>
    <row r="9209">
      <c r="A9209" s="5">
        <v>9208.0</v>
      </c>
      <c r="B9209" s="5" t="s">
        <v>9697</v>
      </c>
      <c r="C9209" s="5" t="s">
        <v>21</v>
      </c>
      <c r="K9209" s="5">
        <v>2000.0</v>
      </c>
      <c r="N9209" s="9">
        <v>44277.0</v>
      </c>
    </row>
    <row r="9210">
      <c r="A9210" s="5">
        <v>9209.0</v>
      </c>
      <c r="B9210" s="5" t="s">
        <v>9698</v>
      </c>
      <c r="C9210" s="5" t="s">
        <v>21</v>
      </c>
      <c r="K9210" s="5">
        <v>150.0</v>
      </c>
      <c r="N9210" s="9">
        <v>45167.0</v>
      </c>
    </row>
    <row r="9211">
      <c r="A9211" s="5">
        <v>9210.0</v>
      </c>
      <c r="B9211" s="5" t="s">
        <v>9699</v>
      </c>
      <c r="C9211" s="5" t="s">
        <v>21</v>
      </c>
      <c r="K9211" s="5">
        <v>70.0</v>
      </c>
      <c r="N9211" s="9">
        <v>44762.0</v>
      </c>
    </row>
    <row r="9212">
      <c r="A9212" s="5">
        <v>9211.0</v>
      </c>
      <c r="B9212" s="5" t="s">
        <v>9700</v>
      </c>
      <c r="C9212" s="5" t="s">
        <v>21</v>
      </c>
      <c r="K9212" s="5">
        <v>450.0</v>
      </c>
      <c r="N9212" s="9">
        <v>44283.0</v>
      </c>
    </row>
    <row r="9213">
      <c r="A9213" s="5">
        <v>9212.0</v>
      </c>
      <c r="B9213" s="5" t="s">
        <v>9701</v>
      </c>
      <c r="C9213" s="5" t="s">
        <v>21</v>
      </c>
      <c r="K9213" s="5">
        <v>800.0</v>
      </c>
      <c r="N9213" s="9">
        <v>44595.0</v>
      </c>
    </row>
    <row r="9214">
      <c r="A9214" s="5">
        <v>9213.0</v>
      </c>
      <c r="B9214" s="5" t="s">
        <v>9702</v>
      </c>
      <c r="C9214" s="5" t="s">
        <v>21</v>
      </c>
      <c r="K9214" s="5">
        <v>100.0</v>
      </c>
      <c r="N9214" s="9">
        <v>44287.0</v>
      </c>
    </row>
    <row r="9215">
      <c r="A9215" s="5">
        <v>9214.0</v>
      </c>
      <c r="B9215" s="5" t="s">
        <v>9703</v>
      </c>
      <c r="C9215" s="5" t="s">
        <v>21</v>
      </c>
      <c r="K9215" s="5">
        <v>250.0</v>
      </c>
      <c r="N9215" s="9">
        <v>44636.0</v>
      </c>
    </row>
    <row r="9216">
      <c r="A9216" s="5">
        <v>9215.0</v>
      </c>
      <c r="B9216" s="5" t="s">
        <v>9704</v>
      </c>
      <c r="C9216" s="5" t="s">
        <v>21</v>
      </c>
      <c r="K9216" s="5">
        <v>20.0</v>
      </c>
      <c r="N9216" s="9">
        <v>45402.0</v>
      </c>
    </row>
    <row r="9217">
      <c r="A9217" s="5">
        <v>9216.0</v>
      </c>
      <c r="B9217" s="5" t="s">
        <v>9705</v>
      </c>
      <c r="C9217" s="5" t="s">
        <v>21</v>
      </c>
      <c r="K9217" s="5">
        <v>150.0</v>
      </c>
      <c r="N9217" s="9">
        <v>45213.0</v>
      </c>
    </row>
    <row r="9218">
      <c r="A9218" s="5">
        <v>9217.0</v>
      </c>
      <c r="B9218" s="5" t="s">
        <v>9706</v>
      </c>
      <c r="C9218" s="5" t="s">
        <v>21</v>
      </c>
      <c r="K9218" s="5">
        <v>350.0</v>
      </c>
      <c r="N9218" s="9">
        <v>44567.0</v>
      </c>
    </row>
    <row r="9219">
      <c r="A9219" s="5">
        <v>9218.0</v>
      </c>
      <c r="B9219" s="5" t="s">
        <v>9707</v>
      </c>
      <c r="C9219" s="5" t="s">
        <v>21</v>
      </c>
      <c r="K9219" s="5">
        <v>500.0</v>
      </c>
      <c r="N9219" s="9">
        <v>44361.0</v>
      </c>
    </row>
    <row r="9220">
      <c r="A9220" s="5">
        <v>9219.0</v>
      </c>
      <c r="B9220" s="5" t="s">
        <v>9708</v>
      </c>
      <c r="C9220" s="5" t="s">
        <v>21</v>
      </c>
      <c r="K9220" s="5">
        <v>1000.0</v>
      </c>
      <c r="N9220" s="9">
        <v>44546.0</v>
      </c>
    </row>
    <row r="9221">
      <c r="A9221" s="5">
        <v>9220.0</v>
      </c>
      <c r="B9221" s="5" t="s">
        <v>9709</v>
      </c>
      <c r="C9221" s="5" t="s">
        <v>21</v>
      </c>
      <c r="K9221" s="5">
        <v>50.0</v>
      </c>
      <c r="N9221" s="9">
        <v>44570.0</v>
      </c>
    </row>
    <row r="9222">
      <c r="A9222" s="5">
        <v>9221.0</v>
      </c>
      <c r="B9222" s="5" t="s">
        <v>9710</v>
      </c>
      <c r="C9222" s="5" t="s">
        <v>21</v>
      </c>
      <c r="K9222" s="5">
        <v>450.0</v>
      </c>
      <c r="N9222" s="9">
        <v>44535.0</v>
      </c>
    </row>
    <row r="9223">
      <c r="A9223" s="5">
        <v>9222.0</v>
      </c>
      <c r="B9223" s="5" t="s">
        <v>9711</v>
      </c>
      <c r="C9223" s="5" t="s">
        <v>21</v>
      </c>
      <c r="K9223" s="5">
        <v>700.0</v>
      </c>
      <c r="N9223" s="9">
        <v>44177.0</v>
      </c>
    </row>
    <row r="9224">
      <c r="A9224" s="5">
        <v>9223.0</v>
      </c>
      <c r="B9224" s="5" t="s">
        <v>9712</v>
      </c>
      <c r="C9224" s="5" t="s">
        <v>21</v>
      </c>
      <c r="K9224" s="5">
        <v>150.0</v>
      </c>
      <c r="N9224" s="9">
        <v>45501.0</v>
      </c>
    </row>
    <row r="9225">
      <c r="A9225" s="5">
        <v>9224.0</v>
      </c>
      <c r="B9225" s="5" t="s">
        <v>9713</v>
      </c>
      <c r="C9225" s="5" t="s">
        <v>21</v>
      </c>
      <c r="K9225" s="5">
        <v>6900.0</v>
      </c>
      <c r="N9225" s="9">
        <v>42895.0</v>
      </c>
    </row>
    <row r="9226">
      <c r="A9226" s="5">
        <v>9225.0</v>
      </c>
      <c r="B9226" s="5" t="s">
        <v>9714</v>
      </c>
      <c r="C9226" s="5" t="s">
        <v>21</v>
      </c>
      <c r="K9226" s="5">
        <v>300.0</v>
      </c>
      <c r="N9226" s="9">
        <v>44068.0</v>
      </c>
    </row>
    <row r="9227">
      <c r="A9227" s="5">
        <v>9226.0</v>
      </c>
      <c r="B9227" s="5" t="s">
        <v>9715</v>
      </c>
      <c r="C9227" s="5" t="s">
        <v>21</v>
      </c>
      <c r="K9227" s="5">
        <v>150.0</v>
      </c>
      <c r="N9227" s="9">
        <v>44595.0</v>
      </c>
    </row>
    <row r="9228">
      <c r="A9228" s="5">
        <v>9227.0</v>
      </c>
      <c r="B9228" s="5" t="s">
        <v>9716</v>
      </c>
      <c r="C9228" s="5" t="s">
        <v>21</v>
      </c>
      <c r="K9228" s="5">
        <v>40.0</v>
      </c>
      <c r="N9228" s="9">
        <v>45255.0</v>
      </c>
    </row>
    <row r="9229">
      <c r="A9229" s="5">
        <v>9228.0</v>
      </c>
      <c r="B9229" s="5" t="s">
        <v>9717</v>
      </c>
      <c r="C9229" s="5" t="s">
        <v>21</v>
      </c>
      <c r="K9229" s="5">
        <v>10.0</v>
      </c>
      <c r="N9229" s="9">
        <v>44346.0</v>
      </c>
    </row>
    <row r="9230">
      <c r="A9230" s="5">
        <v>9229.0</v>
      </c>
      <c r="B9230" s="5" t="s">
        <v>9718</v>
      </c>
      <c r="C9230" s="5" t="s">
        <v>21</v>
      </c>
      <c r="K9230" s="5">
        <v>20.0</v>
      </c>
      <c r="N9230" s="9">
        <v>44662.0</v>
      </c>
    </row>
    <row r="9231">
      <c r="A9231" s="5">
        <v>9230.0</v>
      </c>
      <c r="B9231" s="5" t="s">
        <v>9719</v>
      </c>
      <c r="C9231" s="5" t="s">
        <v>21</v>
      </c>
      <c r="K9231" s="5">
        <v>50.0</v>
      </c>
      <c r="N9231" s="9">
        <v>44047.0</v>
      </c>
    </row>
    <row r="9232">
      <c r="A9232" s="5">
        <v>9231.0</v>
      </c>
      <c r="B9232" s="5" t="s">
        <v>9720</v>
      </c>
      <c r="C9232" s="5" t="s">
        <v>21</v>
      </c>
      <c r="N9232" s="9">
        <v>45474.0</v>
      </c>
    </row>
    <row r="9233">
      <c r="A9233" s="5">
        <v>9232.0</v>
      </c>
      <c r="B9233" s="5" t="s">
        <v>9721</v>
      </c>
      <c r="C9233" s="5" t="s">
        <v>21</v>
      </c>
      <c r="K9233" s="5">
        <v>3500.0</v>
      </c>
      <c r="N9233" s="9">
        <v>45013.0</v>
      </c>
    </row>
    <row r="9234">
      <c r="A9234" s="5">
        <v>9233.0</v>
      </c>
      <c r="B9234" s="5" t="s">
        <v>9722</v>
      </c>
      <c r="C9234" s="5" t="s">
        <v>21</v>
      </c>
      <c r="K9234" s="5">
        <v>450.0</v>
      </c>
      <c r="N9234" s="9">
        <v>45295.0</v>
      </c>
    </row>
    <row r="9235">
      <c r="A9235" s="5">
        <v>9234.0</v>
      </c>
      <c r="B9235" s="5" t="s">
        <v>9723</v>
      </c>
      <c r="C9235" s="5" t="s">
        <v>21</v>
      </c>
      <c r="K9235" s="5">
        <v>500.0</v>
      </c>
      <c r="N9235" s="9">
        <v>44382.0</v>
      </c>
    </row>
    <row r="9236">
      <c r="A9236" s="5">
        <v>9235.0</v>
      </c>
      <c r="B9236" s="5" t="s">
        <v>9724</v>
      </c>
      <c r="C9236" s="5" t="s">
        <v>21</v>
      </c>
      <c r="K9236" s="5">
        <v>40.0</v>
      </c>
      <c r="N9236" s="9">
        <v>44572.0</v>
      </c>
    </row>
    <row r="9237">
      <c r="A9237" s="5">
        <v>9236.0</v>
      </c>
      <c r="B9237" s="5" t="s">
        <v>9725</v>
      </c>
      <c r="C9237" s="5" t="s">
        <v>21</v>
      </c>
      <c r="K9237" s="5">
        <v>350.0</v>
      </c>
      <c r="N9237" s="9">
        <v>44597.0</v>
      </c>
    </row>
    <row r="9238">
      <c r="A9238" s="5">
        <v>9237.0</v>
      </c>
      <c r="B9238" s="5" t="s">
        <v>9726</v>
      </c>
      <c r="C9238" s="5" t="s">
        <v>21</v>
      </c>
      <c r="K9238" s="5">
        <v>400.0</v>
      </c>
      <c r="N9238" s="9">
        <v>44682.0</v>
      </c>
    </row>
    <row r="9239">
      <c r="A9239" s="5">
        <v>9238.0</v>
      </c>
      <c r="B9239" s="5" t="s">
        <v>9727</v>
      </c>
      <c r="C9239" s="5" t="s">
        <v>21</v>
      </c>
      <c r="K9239" s="5">
        <v>70.0</v>
      </c>
      <c r="N9239" s="9">
        <v>45628.0</v>
      </c>
    </row>
    <row r="9240">
      <c r="A9240" s="5">
        <v>9239.0</v>
      </c>
      <c r="B9240" s="5" t="s">
        <v>9728</v>
      </c>
      <c r="C9240" s="5" t="s">
        <v>21</v>
      </c>
      <c r="K9240" s="5">
        <v>200.0</v>
      </c>
      <c r="N9240" s="9">
        <v>44597.0</v>
      </c>
    </row>
    <row r="9241">
      <c r="A9241" s="5">
        <v>9240.0</v>
      </c>
      <c r="B9241" s="5" t="s">
        <v>9729</v>
      </c>
      <c r="C9241" s="5" t="s">
        <v>21</v>
      </c>
      <c r="K9241" s="5">
        <v>200.0</v>
      </c>
      <c r="N9241" s="9">
        <v>44350.0</v>
      </c>
    </row>
    <row r="9242">
      <c r="A9242" s="5">
        <v>9241.0</v>
      </c>
      <c r="B9242" s="5" t="s">
        <v>9730</v>
      </c>
      <c r="C9242" s="5" t="s">
        <v>21</v>
      </c>
      <c r="K9242" s="5">
        <v>350.0</v>
      </c>
      <c r="N9242" s="9">
        <v>45750.0</v>
      </c>
    </row>
    <row r="9243">
      <c r="A9243" s="5">
        <v>9242.0</v>
      </c>
      <c r="B9243" s="5" t="s">
        <v>9731</v>
      </c>
      <c r="C9243" s="5" t="s">
        <v>21</v>
      </c>
      <c r="K9243" s="5">
        <v>150.0</v>
      </c>
      <c r="N9243" s="9">
        <v>44212.0</v>
      </c>
    </row>
    <row r="9244">
      <c r="A9244" s="5">
        <v>9243.0</v>
      </c>
      <c r="B9244" s="5" t="s">
        <v>9732</v>
      </c>
      <c r="C9244" s="5" t="s">
        <v>21</v>
      </c>
      <c r="K9244" s="5">
        <v>300.0</v>
      </c>
      <c r="N9244" s="9">
        <v>43843.0</v>
      </c>
    </row>
    <row r="9245">
      <c r="A9245" s="5">
        <v>9244.0</v>
      </c>
      <c r="B9245" s="5" t="s">
        <v>9733</v>
      </c>
      <c r="C9245" s="5" t="s">
        <v>21</v>
      </c>
      <c r="K9245" s="5">
        <v>900.0</v>
      </c>
      <c r="N9245" s="9">
        <v>45014.0</v>
      </c>
    </row>
    <row r="9246">
      <c r="A9246" s="5">
        <v>9245.0</v>
      </c>
      <c r="B9246" s="5" t="s">
        <v>9734</v>
      </c>
      <c r="C9246" s="5" t="s">
        <v>21</v>
      </c>
      <c r="K9246" s="5">
        <v>1000.0</v>
      </c>
      <c r="N9246" s="9">
        <v>43879.0</v>
      </c>
    </row>
    <row r="9247">
      <c r="A9247" s="5">
        <v>9246.0</v>
      </c>
      <c r="B9247" s="5" t="s">
        <v>9735</v>
      </c>
      <c r="C9247" s="5" t="s">
        <v>21</v>
      </c>
      <c r="K9247" s="5">
        <v>2000.0</v>
      </c>
      <c r="N9247" s="9">
        <v>46089.0</v>
      </c>
    </row>
    <row r="9248">
      <c r="A9248" s="5">
        <v>9247.0</v>
      </c>
      <c r="B9248" s="5" t="s">
        <v>9736</v>
      </c>
      <c r="C9248" s="5" t="s">
        <v>21</v>
      </c>
      <c r="K9248" s="5">
        <v>2300.0</v>
      </c>
      <c r="N9248" s="9">
        <v>43910.0</v>
      </c>
    </row>
    <row r="9249">
      <c r="A9249" s="5">
        <v>9248.0</v>
      </c>
      <c r="B9249" s="5" t="s">
        <v>9737</v>
      </c>
      <c r="C9249" s="5" t="s">
        <v>21</v>
      </c>
      <c r="K9249" s="5">
        <v>100.0</v>
      </c>
      <c r="N9249" s="9">
        <v>44883.0</v>
      </c>
    </row>
    <row r="9250">
      <c r="A9250" s="5">
        <v>9249.0</v>
      </c>
      <c r="B9250" s="5" t="s">
        <v>9738</v>
      </c>
      <c r="C9250" s="5" t="s">
        <v>21</v>
      </c>
      <c r="K9250" s="5">
        <v>350.0</v>
      </c>
      <c r="N9250" s="9">
        <v>44390.0</v>
      </c>
    </row>
    <row r="9251">
      <c r="A9251" s="5">
        <v>9250.0</v>
      </c>
      <c r="B9251" s="5" t="s">
        <v>9739</v>
      </c>
      <c r="C9251" s="5" t="s">
        <v>21</v>
      </c>
      <c r="K9251" s="5">
        <v>2900.0</v>
      </c>
      <c r="N9251" s="9">
        <v>44007.0</v>
      </c>
    </row>
    <row r="9252">
      <c r="A9252" s="5">
        <v>9251.0</v>
      </c>
      <c r="B9252" s="5" t="s">
        <v>9740</v>
      </c>
      <c r="C9252" s="5" t="s">
        <v>21</v>
      </c>
      <c r="K9252" s="5">
        <v>600.0</v>
      </c>
      <c r="N9252" s="9">
        <v>44633.0</v>
      </c>
    </row>
    <row r="9253">
      <c r="A9253" s="5">
        <v>9252.0</v>
      </c>
      <c r="B9253" s="5" t="s">
        <v>9741</v>
      </c>
      <c r="C9253" s="5" t="s">
        <v>21</v>
      </c>
      <c r="K9253" s="5">
        <v>90.0</v>
      </c>
      <c r="N9253" s="9">
        <v>43908.0</v>
      </c>
    </row>
    <row r="9254">
      <c r="A9254" s="5">
        <v>9253.0</v>
      </c>
      <c r="B9254" s="5" t="s">
        <v>9742</v>
      </c>
      <c r="C9254" s="5" t="s">
        <v>21</v>
      </c>
      <c r="K9254" s="5">
        <v>250.0</v>
      </c>
      <c r="N9254" s="9">
        <v>44767.0</v>
      </c>
    </row>
    <row r="9255">
      <c r="A9255" s="5">
        <v>9254.0</v>
      </c>
      <c r="B9255" s="5" t="s">
        <v>9743</v>
      </c>
      <c r="C9255" s="5" t="s">
        <v>21</v>
      </c>
      <c r="K9255" s="5">
        <v>100.0</v>
      </c>
      <c r="N9255" s="9">
        <v>43891.0</v>
      </c>
    </row>
    <row r="9256">
      <c r="A9256" s="5">
        <v>9255.0</v>
      </c>
      <c r="B9256" s="5" t="s">
        <v>9744</v>
      </c>
      <c r="C9256" s="5" t="s">
        <v>21</v>
      </c>
      <c r="K9256" s="5">
        <v>450.0</v>
      </c>
      <c r="N9256" s="9">
        <v>44178.0</v>
      </c>
    </row>
    <row r="9257">
      <c r="A9257" s="5">
        <v>9256.0</v>
      </c>
      <c r="B9257" s="5" t="s">
        <v>9745</v>
      </c>
      <c r="C9257" s="5" t="s">
        <v>21</v>
      </c>
      <c r="K9257" s="5">
        <v>1300.0</v>
      </c>
      <c r="N9257" s="9">
        <v>44545.0</v>
      </c>
    </row>
    <row r="9258">
      <c r="A9258" s="5">
        <v>9257.0</v>
      </c>
      <c r="B9258" s="5" t="s">
        <v>9746</v>
      </c>
      <c r="C9258" s="5" t="s">
        <v>21</v>
      </c>
      <c r="K9258" s="5">
        <v>200.0</v>
      </c>
      <c r="N9258" s="9">
        <v>44570.0</v>
      </c>
    </row>
    <row r="9259">
      <c r="A9259" s="5">
        <v>9258.0</v>
      </c>
      <c r="B9259" s="5" t="s">
        <v>9747</v>
      </c>
      <c r="C9259" s="5" t="s">
        <v>21</v>
      </c>
      <c r="K9259" s="5">
        <v>50.0</v>
      </c>
      <c r="N9259" s="9">
        <v>44577.0</v>
      </c>
    </row>
    <row r="9260">
      <c r="A9260" s="5">
        <v>9259.0</v>
      </c>
      <c r="B9260" s="5" t="s">
        <v>9748</v>
      </c>
      <c r="C9260" s="5" t="s">
        <v>21</v>
      </c>
      <c r="K9260" s="5">
        <v>150.0</v>
      </c>
      <c r="N9260" s="9">
        <v>44264.0</v>
      </c>
    </row>
    <row r="9261">
      <c r="A9261" s="5">
        <v>9260.0</v>
      </c>
      <c r="B9261" s="5" t="s">
        <v>9749</v>
      </c>
      <c r="C9261" s="5" t="s">
        <v>21</v>
      </c>
      <c r="K9261" s="5">
        <v>150.0</v>
      </c>
      <c r="N9261" s="9">
        <v>44371.0</v>
      </c>
    </row>
    <row r="9262">
      <c r="A9262" s="5">
        <v>9261.0</v>
      </c>
      <c r="B9262" s="5" t="s">
        <v>9750</v>
      </c>
      <c r="C9262" s="5" t="s">
        <v>21</v>
      </c>
      <c r="K9262" s="5">
        <v>800.0</v>
      </c>
      <c r="N9262" s="9">
        <v>44178.0</v>
      </c>
    </row>
    <row r="9263">
      <c r="A9263" s="5">
        <v>9262.0</v>
      </c>
      <c r="B9263" s="5" t="s">
        <v>9751</v>
      </c>
      <c r="C9263" s="5" t="s">
        <v>21</v>
      </c>
      <c r="K9263" s="5">
        <v>400.0</v>
      </c>
      <c r="N9263" s="9">
        <v>44557.0</v>
      </c>
    </row>
    <row r="9264">
      <c r="A9264" s="5">
        <v>9263.0</v>
      </c>
      <c r="B9264" s="5" t="s">
        <v>9752</v>
      </c>
      <c r="C9264" s="5" t="s">
        <v>21</v>
      </c>
      <c r="K9264" s="5">
        <v>150.0</v>
      </c>
      <c r="N9264" s="9">
        <v>44527.0</v>
      </c>
    </row>
    <row r="9265">
      <c r="A9265" s="5">
        <v>9264.0</v>
      </c>
      <c r="B9265" s="5" t="s">
        <v>9753</v>
      </c>
      <c r="C9265" s="5" t="s">
        <v>21</v>
      </c>
      <c r="K9265" s="5">
        <v>1000.0</v>
      </c>
      <c r="N9265" s="9">
        <v>44372.0</v>
      </c>
    </row>
    <row r="9266">
      <c r="A9266" s="5">
        <v>9265.0</v>
      </c>
      <c r="B9266" s="5" t="s">
        <v>9754</v>
      </c>
      <c r="C9266" s="5" t="s">
        <v>21</v>
      </c>
      <c r="K9266" s="5">
        <v>80.0</v>
      </c>
      <c r="N9266" s="9">
        <v>44541.0</v>
      </c>
    </row>
    <row r="9267">
      <c r="A9267" s="5">
        <v>9266.0</v>
      </c>
      <c r="B9267" s="5" t="s">
        <v>9755</v>
      </c>
      <c r="C9267" s="5" t="s">
        <v>21</v>
      </c>
      <c r="K9267" s="5">
        <v>20.0</v>
      </c>
      <c r="N9267" s="9">
        <v>45846.0</v>
      </c>
    </row>
    <row r="9268">
      <c r="A9268" s="5">
        <v>9267.0</v>
      </c>
      <c r="B9268" s="5" t="s">
        <v>9756</v>
      </c>
      <c r="C9268" s="5" t="s">
        <v>21</v>
      </c>
      <c r="K9268" s="5">
        <v>1400.0</v>
      </c>
      <c r="N9268" s="9">
        <v>45615.0</v>
      </c>
    </row>
    <row r="9269">
      <c r="A9269" s="5">
        <v>9268.0</v>
      </c>
      <c r="B9269" s="5" t="s">
        <v>9757</v>
      </c>
      <c r="C9269" s="5" t="s">
        <v>21</v>
      </c>
      <c r="K9269" s="5">
        <v>150.0</v>
      </c>
      <c r="N9269" s="9">
        <v>44956.0</v>
      </c>
    </row>
    <row r="9270">
      <c r="A9270" s="5">
        <v>9269.0</v>
      </c>
      <c r="B9270" s="5" t="s">
        <v>9758</v>
      </c>
      <c r="C9270" s="5" t="s">
        <v>21</v>
      </c>
      <c r="K9270" s="5">
        <v>3900.0</v>
      </c>
      <c r="N9270" s="9">
        <v>44230.0</v>
      </c>
    </row>
    <row r="9271">
      <c r="A9271" s="5">
        <v>9270.0</v>
      </c>
      <c r="B9271" s="5" t="s">
        <v>9759</v>
      </c>
      <c r="C9271" s="5" t="s">
        <v>21</v>
      </c>
      <c r="K9271" s="5">
        <v>150.0</v>
      </c>
      <c r="N9271" s="9">
        <v>45356.0</v>
      </c>
    </row>
    <row r="9272">
      <c r="A9272" s="5">
        <v>9271.0</v>
      </c>
      <c r="B9272" s="5" t="s">
        <v>9760</v>
      </c>
      <c r="C9272" s="5" t="s">
        <v>21</v>
      </c>
      <c r="K9272" s="5">
        <v>10.0</v>
      </c>
      <c r="N9272" s="9">
        <v>44554.0</v>
      </c>
    </row>
    <row r="9273">
      <c r="A9273" s="5">
        <v>9272.0</v>
      </c>
      <c r="B9273" s="5" t="s">
        <v>9761</v>
      </c>
      <c r="C9273" s="5" t="s">
        <v>21</v>
      </c>
      <c r="K9273" s="5">
        <v>100.0</v>
      </c>
      <c r="N9273" s="9">
        <v>44598.0</v>
      </c>
    </row>
    <row r="9274">
      <c r="A9274" s="5">
        <v>9273.0</v>
      </c>
      <c r="B9274" s="5" t="s">
        <v>9762</v>
      </c>
      <c r="C9274" s="5" t="s">
        <v>21</v>
      </c>
      <c r="K9274" s="5">
        <v>350.0</v>
      </c>
      <c r="N9274" s="9">
        <v>44617.0</v>
      </c>
    </row>
    <row r="9275">
      <c r="A9275" s="5">
        <v>9274.0</v>
      </c>
      <c r="B9275" s="5" t="s">
        <v>9763</v>
      </c>
      <c r="C9275" s="5" t="s">
        <v>21</v>
      </c>
      <c r="K9275" s="5">
        <v>1100.0</v>
      </c>
      <c r="N9275" s="9">
        <v>44536.0</v>
      </c>
    </row>
    <row r="9276">
      <c r="A9276" s="5">
        <v>9275.0</v>
      </c>
      <c r="B9276" s="5" t="s">
        <v>9764</v>
      </c>
      <c r="C9276" s="5" t="s">
        <v>21</v>
      </c>
      <c r="K9276" s="5">
        <v>200.0</v>
      </c>
      <c r="N9276" s="9">
        <v>44617.0</v>
      </c>
    </row>
    <row r="9277">
      <c r="A9277" s="5">
        <v>9276.0</v>
      </c>
      <c r="B9277" s="5" t="s">
        <v>9765</v>
      </c>
      <c r="C9277" s="5" t="s">
        <v>21</v>
      </c>
      <c r="K9277" s="5">
        <v>80.0</v>
      </c>
      <c r="N9277" s="9">
        <v>44522.0</v>
      </c>
    </row>
    <row r="9278">
      <c r="A9278" s="5">
        <v>9277.0</v>
      </c>
      <c r="B9278" s="5" t="s">
        <v>9766</v>
      </c>
      <c r="C9278" s="5" t="s">
        <v>21</v>
      </c>
      <c r="K9278" s="5">
        <v>50.0</v>
      </c>
      <c r="N9278" s="9">
        <v>45301.0</v>
      </c>
    </row>
    <row r="9279">
      <c r="A9279" s="5">
        <v>9278.0</v>
      </c>
      <c r="B9279" s="5" t="s">
        <v>9767</v>
      </c>
      <c r="C9279" s="5" t="s">
        <v>21</v>
      </c>
      <c r="K9279" s="5">
        <v>30.0</v>
      </c>
      <c r="N9279" s="9">
        <v>44965.0</v>
      </c>
    </row>
    <row r="9280">
      <c r="A9280" s="5">
        <v>9279.0</v>
      </c>
      <c r="B9280" s="5" t="s">
        <v>9768</v>
      </c>
      <c r="C9280" s="5" t="s">
        <v>21</v>
      </c>
      <c r="K9280" s="5">
        <v>250.0</v>
      </c>
      <c r="N9280" s="9">
        <v>44651.0</v>
      </c>
    </row>
    <row r="9281">
      <c r="A9281" s="5">
        <v>9280.0</v>
      </c>
      <c r="B9281" s="5" t="s">
        <v>9769</v>
      </c>
      <c r="C9281" s="5" t="s">
        <v>21</v>
      </c>
      <c r="K9281" s="5">
        <v>3200.0</v>
      </c>
      <c r="N9281" s="9">
        <v>45622.0</v>
      </c>
    </row>
    <row r="9282">
      <c r="A9282" s="5">
        <v>9281.0</v>
      </c>
      <c r="B9282" s="5" t="s">
        <v>9770</v>
      </c>
      <c r="C9282" s="5" t="s">
        <v>21</v>
      </c>
      <c r="K9282" s="5">
        <v>43000.0</v>
      </c>
      <c r="N9282" s="9">
        <v>46129.0</v>
      </c>
    </row>
    <row r="9283">
      <c r="A9283" s="5">
        <v>9282.0</v>
      </c>
      <c r="B9283" s="5" t="s">
        <v>323</v>
      </c>
      <c r="C9283" s="5" t="s">
        <v>21</v>
      </c>
      <c r="K9283" s="5">
        <v>900.0</v>
      </c>
      <c r="N9283" s="9">
        <v>44304.0</v>
      </c>
    </row>
    <row r="9284">
      <c r="A9284" s="5">
        <v>9283.0</v>
      </c>
      <c r="B9284" s="5" t="s">
        <v>9771</v>
      </c>
      <c r="C9284" s="5" t="s">
        <v>21</v>
      </c>
      <c r="K9284" s="5">
        <v>40.0</v>
      </c>
      <c r="N9284" s="9">
        <v>44522.0</v>
      </c>
    </row>
    <row r="9285">
      <c r="A9285" s="5">
        <v>9284.0</v>
      </c>
      <c r="B9285" s="5" t="s">
        <v>9772</v>
      </c>
      <c r="C9285" s="5" t="s">
        <v>21</v>
      </c>
      <c r="K9285" s="5">
        <v>200.0</v>
      </c>
      <c r="N9285" s="9">
        <v>44587.0</v>
      </c>
    </row>
    <row r="9286">
      <c r="A9286" s="5">
        <v>9285.0</v>
      </c>
      <c r="B9286" s="5" t="s">
        <v>9773</v>
      </c>
      <c r="C9286" s="5" t="s">
        <v>21</v>
      </c>
      <c r="K9286" s="5">
        <v>800.0</v>
      </c>
      <c r="N9286" s="9">
        <v>45089.0</v>
      </c>
    </row>
    <row r="9287">
      <c r="A9287" s="5">
        <v>9286.0</v>
      </c>
      <c r="B9287" s="5" t="s">
        <v>9774</v>
      </c>
      <c r="C9287" s="5" t="s">
        <v>21</v>
      </c>
      <c r="K9287" s="5">
        <v>350.0</v>
      </c>
      <c r="N9287" s="9">
        <v>44559.0</v>
      </c>
    </row>
    <row r="9288">
      <c r="A9288" s="5">
        <v>9287.0</v>
      </c>
      <c r="B9288" s="5" t="s">
        <v>9775</v>
      </c>
      <c r="C9288" s="5" t="s">
        <v>21</v>
      </c>
      <c r="K9288" s="5">
        <v>300.0</v>
      </c>
      <c r="N9288" s="9">
        <v>44573.0</v>
      </c>
    </row>
    <row r="9289">
      <c r="A9289" s="5">
        <v>9288.0</v>
      </c>
      <c r="B9289" s="5" t="s">
        <v>9776</v>
      </c>
      <c r="C9289" s="5" t="s">
        <v>21</v>
      </c>
      <c r="K9289" s="5">
        <v>450.0</v>
      </c>
      <c r="N9289" s="9">
        <v>44694.0</v>
      </c>
    </row>
    <row r="9290">
      <c r="A9290" s="5">
        <v>9289.0</v>
      </c>
      <c r="B9290" s="5" t="s">
        <v>9777</v>
      </c>
      <c r="C9290" s="5" t="s">
        <v>21</v>
      </c>
      <c r="K9290" s="5">
        <v>900.0</v>
      </c>
      <c r="N9290" s="9">
        <v>45368.0</v>
      </c>
    </row>
    <row r="9291">
      <c r="A9291" s="5">
        <v>9290.0</v>
      </c>
      <c r="B9291" s="5" t="s">
        <v>9778</v>
      </c>
      <c r="C9291" s="5" t="s">
        <v>21</v>
      </c>
      <c r="K9291" s="5">
        <v>20.0</v>
      </c>
      <c r="N9291" s="9">
        <v>45151.0</v>
      </c>
    </row>
    <row r="9292">
      <c r="A9292" s="5">
        <v>9291.0</v>
      </c>
      <c r="B9292" s="5" t="s">
        <v>9779</v>
      </c>
      <c r="C9292" s="5" t="s">
        <v>21</v>
      </c>
      <c r="K9292" s="5">
        <v>200.0</v>
      </c>
      <c r="N9292" s="9">
        <v>44936.0</v>
      </c>
    </row>
    <row r="9293">
      <c r="A9293" s="5">
        <v>9292.0</v>
      </c>
      <c r="B9293" s="5" t="s">
        <v>9780</v>
      </c>
      <c r="C9293" s="5" t="s">
        <v>21</v>
      </c>
      <c r="K9293" s="5">
        <v>200.0</v>
      </c>
      <c r="N9293" s="9">
        <v>44506.0</v>
      </c>
    </row>
    <row r="9294">
      <c r="A9294" s="5">
        <v>9293.0</v>
      </c>
      <c r="B9294" s="5" t="s">
        <v>9781</v>
      </c>
      <c r="C9294" s="5" t="s">
        <v>21</v>
      </c>
      <c r="K9294" s="5">
        <v>600.0</v>
      </c>
      <c r="N9294" s="9">
        <v>45031.0</v>
      </c>
    </row>
    <row r="9295">
      <c r="A9295" s="5">
        <v>9294.0</v>
      </c>
      <c r="B9295" s="5" t="s">
        <v>9782</v>
      </c>
      <c r="C9295" s="5" t="s">
        <v>21</v>
      </c>
      <c r="K9295" s="5">
        <v>200.0</v>
      </c>
      <c r="N9295" s="9">
        <v>43863.0</v>
      </c>
    </row>
    <row r="9296">
      <c r="A9296" s="5">
        <v>9295.0</v>
      </c>
      <c r="B9296" s="5" t="s">
        <v>9783</v>
      </c>
      <c r="C9296" s="5" t="s">
        <v>21</v>
      </c>
      <c r="K9296" s="5">
        <v>700.0</v>
      </c>
      <c r="N9296" s="9">
        <v>44538.0</v>
      </c>
    </row>
    <row r="9297">
      <c r="A9297" s="5">
        <v>9296.0</v>
      </c>
      <c r="B9297" s="5" t="s">
        <v>9784</v>
      </c>
      <c r="C9297" s="5" t="s">
        <v>21</v>
      </c>
      <c r="K9297" s="5">
        <v>450.0</v>
      </c>
      <c r="N9297" s="9">
        <v>43847.0</v>
      </c>
    </row>
    <row r="9298">
      <c r="A9298" s="5">
        <v>9297.0</v>
      </c>
      <c r="B9298" s="5" t="s">
        <v>9785</v>
      </c>
      <c r="C9298" s="5" t="s">
        <v>21</v>
      </c>
      <c r="K9298" s="5">
        <v>400.0</v>
      </c>
      <c r="N9298" s="9">
        <v>44591.0</v>
      </c>
    </row>
    <row r="9299">
      <c r="A9299" s="5">
        <v>9298.0</v>
      </c>
      <c r="B9299" s="5" t="s">
        <v>9786</v>
      </c>
      <c r="C9299" s="5" t="s">
        <v>21</v>
      </c>
      <c r="K9299" s="5">
        <v>500.0</v>
      </c>
      <c r="N9299" s="9">
        <v>44691.0</v>
      </c>
    </row>
    <row r="9300">
      <c r="A9300" s="5">
        <v>9299.0</v>
      </c>
      <c r="B9300" s="5" t="s">
        <v>9787</v>
      </c>
      <c r="C9300" s="5" t="s">
        <v>21</v>
      </c>
      <c r="K9300" s="5">
        <v>250.0</v>
      </c>
      <c r="N9300" s="9">
        <v>44826.0</v>
      </c>
    </row>
    <row r="9301">
      <c r="A9301" s="5">
        <v>9300.0</v>
      </c>
      <c r="B9301" s="5" t="s">
        <v>9788</v>
      </c>
      <c r="C9301" s="5" t="s">
        <v>21</v>
      </c>
      <c r="K9301" s="5">
        <v>400.0</v>
      </c>
      <c r="N9301" s="9">
        <v>44314.0</v>
      </c>
    </row>
    <row r="9302">
      <c r="A9302" s="5">
        <v>9301.0</v>
      </c>
      <c r="B9302" s="5" t="s">
        <v>9789</v>
      </c>
      <c r="C9302" s="5" t="s">
        <v>21</v>
      </c>
      <c r="K9302" s="5">
        <v>1100.0</v>
      </c>
      <c r="N9302" s="9">
        <v>44516.0</v>
      </c>
    </row>
    <row r="9303">
      <c r="A9303" s="5">
        <v>9302.0</v>
      </c>
      <c r="B9303" s="5" t="s">
        <v>9790</v>
      </c>
      <c r="C9303" s="5" t="s">
        <v>21</v>
      </c>
      <c r="K9303" s="5">
        <v>800.0</v>
      </c>
      <c r="N9303" s="9">
        <v>44572.0</v>
      </c>
    </row>
    <row r="9304">
      <c r="A9304" s="5">
        <v>9303.0</v>
      </c>
      <c r="B9304" s="5" t="s">
        <v>9791</v>
      </c>
      <c r="C9304" s="5" t="s">
        <v>21</v>
      </c>
      <c r="K9304" s="5">
        <v>1100.0</v>
      </c>
      <c r="N9304" s="9">
        <v>44106.0</v>
      </c>
    </row>
    <row r="9305">
      <c r="A9305" s="5">
        <v>9304.0</v>
      </c>
      <c r="B9305" s="5" t="s">
        <v>9792</v>
      </c>
      <c r="C9305" s="5" t="s">
        <v>21</v>
      </c>
      <c r="K9305" s="5">
        <v>200.0</v>
      </c>
      <c r="N9305" s="9">
        <v>44904.0</v>
      </c>
    </row>
    <row r="9306">
      <c r="A9306" s="5">
        <v>9305.0</v>
      </c>
      <c r="B9306" s="5" t="s">
        <v>9793</v>
      </c>
      <c r="C9306" s="5" t="s">
        <v>21</v>
      </c>
      <c r="K9306" s="5">
        <v>100.0</v>
      </c>
      <c r="N9306" s="9">
        <v>44609.0</v>
      </c>
    </row>
    <row r="9307">
      <c r="A9307" s="5">
        <v>9306.0</v>
      </c>
      <c r="B9307" s="5" t="s">
        <v>9794</v>
      </c>
      <c r="C9307" s="5" t="s">
        <v>21</v>
      </c>
      <c r="K9307" s="5">
        <v>80.0</v>
      </c>
      <c r="N9307" s="9">
        <v>44371.0</v>
      </c>
    </row>
    <row r="9308">
      <c r="A9308" s="5">
        <v>9307.0</v>
      </c>
      <c r="B9308" s="5" t="s">
        <v>9795</v>
      </c>
      <c r="C9308" s="5" t="s">
        <v>21</v>
      </c>
      <c r="K9308" s="5">
        <v>100.0</v>
      </c>
      <c r="N9308" s="9">
        <v>44048.0</v>
      </c>
    </row>
    <row r="9309">
      <c r="A9309" s="5">
        <v>9308.0</v>
      </c>
      <c r="B9309" s="5" t="s">
        <v>9796</v>
      </c>
      <c r="C9309" s="5" t="s">
        <v>21</v>
      </c>
      <c r="K9309" s="5">
        <v>10.0</v>
      </c>
      <c r="N9309" s="9">
        <v>44552.0</v>
      </c>
    </row>
    <row r="9310">
      <c r="A9310" s="5">
        <v>9309.0</v>
      </c>
      <c r="B9310" s="5" t="s">
        <v>9797</v>
      </c>
      <c r="C9310" s="5" t="s">
        <v>21</v>
      </c>
      <c r="K9310" s="5">
        <v>80.0</v>
      </c>
      <c r="N9310" s="9">
        <v>44298.0</v>
      </c>
    </row>
    <row r="9311">
      <c r="A9311" s="5">
        <v>9310.0</v>
      </c>
      <c r="B9311" s="5" t="s">
        <v>9798</v>
      </c>
      <c r="C9311" s="5" t="s">
        <v>21</v>
      </c>
      <c r="K9311" s="5">
        <v>400.0</v>
      </c>
      <c r="N9311" s="9">
        <v>44006.0</v>
      </c>
    </row>
    <row r="9312">
      <c r="A9312" s="5">
        <v>9311.0</v>
      </c>
      <c r="B9312" s="5" t="s">
        <v>9799</v>
      </c>
      <c r="C9312" s="5" t="s">
        <v>21</v>
      </c>
      <c r="K9312" s="5">
        <v>800.0</v>
      </c>
      <c r="N9312" s="9">
        <v>44529.0</v>
      </c>
    </row>
    <row r="9313">
      <c r="A9313" s="5">
        <v>9312.0</v>
      </c>
      <c r="B9313" s="5" t="s">
        <v>9800</v>
      </c>
      <c r="C9313" s="5" t="s">
        <v>21</v>
      </c>
      <c r="K9313" s="5">
        <v>150.0</v>
      </c>
      <c r="N9313" s="9">
        <v>45544.0</v>
      </c>
    </row>
    <row r="9314">
      <c r="A9314" s="5">
        <v>9313.0</v>
      </c>
      <c r="B9314" s="5" t="s">
        <v>9801</v>
      </c>
      <c r="C9314" s="5" t="s">
        <v>21</v>
      </c>
      <c r="K9314" s="5">
        <v>90.0</v>
      </c>
      <c r="N9314" s="9">
        <v>45253.0</v>
      </c>
    </row>
    <row r="9315">
      <c r="A9315" s="5">
        <v>9314.0</v>
      </c>
      <c r="B9315" s="5" t="s">
        <v>9802</v>
      </c>
      <c r="C9315" s="5" t="s">
        <v>21</v>
      </c>
      <c r="K9315" s="5">
        <v>500.0</v>
      </c>
      <c r="N9315" s="9">
        <v>44600.0</v>
      </c>
    </row>
    <row r="9316">
      <c r="A9316" s="5">
        <v>9315.0</v>
      </c>
      <c r="B9316" s="5" t="s">
        <v>9803</v>
      </c>
      <c r="C9316" s="5" t="s">
        <v>21</v>
      </c>
      <c r="K9316" s="5">
        <v>150.0</v>
      </c>
      <c r="N9316" s="9">
        <v>44432.0</v>
      </c>
    </row>
    <row r="9317">
      <c r="A9317" s="5">
        <v>9316.0</v>
      </c>
      <c r="B9317" s="5" t="s">
        <v>9804</v>
      </c>
      <c r="C9317" s="5" t="s">
        <v>21</v>
      </c>
      <c r="K9317" s="5">
        <v>800.0</v>
      </c>
      <c r="N9317" s="9">
        <v>44769.0</v>
      </c>
    </row>
    <row r="9318">
      <c r="A9318" s="5">
        <v>9317.0</v>
      </c>
      <c r="B9318" s="5" t="s">
        <v>9805</v>
      </c>
      <c r="C9318" s="5" t="s">
        <v>21</v>
      </c>
      <c r="K9318" s="5">
        <v>400.0</v>
      </c>
      <c r="N9318" s="9">
        <v>44768.0</v>
      </c>
    </row>
    <row r="9319">
      <c r="A9319" s="5">
        <v>9318.0</v>
      </c>
      <c r="B9319" s="5" t="s">
        <v>9806</v>
      </c>
      <c r="C9319" s="5" t="s">
        <v>21</v>
      </c>
      <c r="K9319" s="5">
        <v>450.0</v>
      </c>
      <c r="N9319" s="9">
        <v>44486.0</v>
      </c>
    </row>
    <row r="9320">
      <c r="A9320" s="5">
        <v>9319.0</v>
      </c>
      <c r="B9320" s="5" t="s">
        <v>9807</v>
      </c>
      <c r="C9320" s="5" t="s">
        <v>21</v>
      </c>
      <c r="K9320" s="5">
        <v>600.0</v>
      </c>
      <c r="N9320" s="9">
        <v>44310.0</v>
      </c>
    </row>
    <row r="9321">
      <c r="A9321" s="5">
        <v>9320.0</v>
      </c>
      <c r="B9321" s="5" t="s">
        <v>9808</v>
      </c>
      <c r="C9321" s="5" t="s">
        <v>21</v>
      </c>
      <c r="K9321" s="5">
        <v>150.0</v>
      </c>
      <c r="N9321" s="9">
        <v>44665.0</v>
      </c>
    </row>
    <row r="9322">
      <c r="A9322" s="5">
        <v>9321.0</v>
      </c>
      <c r="B9322" s="5" t="s">
        <v>9809</v>
      </c>
      <c r="C9322" s="5" t="s">
        <v>21</v>
      </c>
      <c r="N9322" s="9">
        <v>44909.0</v>
      </c>
    </row>
    <row r="9323">
      <c r="A9323" s="5">
        <v>9322.0</v>
      </c>
      <c r="B9323" s="5" t="s">
        <v>9810</v>
      </c>
      <c r="C9323" s="5" t="s">
        <v>21</v>
      </c>
      <c r="K9323" s="5">
        <v>250.0</v>
      </c>
      <c r="N9323" s="9">
        <v>44490.0</v>
      </c>
    </row>
    <row r="9324">
      <c r="A9324" s="5">
        <v>9323.0</v>
      </c>
      <c r="B9324" s="5" t="s">
        <v>9811</v>
      </c>
      <c r="C9324" s="5" t="s">
        <v>21</v>
      </c>
      <c r="K9324" s="5">
        <v>250.0</v>
      </c>
      <c r="N9324" s="9">
        <v>44962.0</v>
      </c>
    </row>
    <row r="9325">
      <c r="A9325" s="5">
        <v>9324.0</v>
      </c>
      <c r="B9325" s="5" t="s">
        <v>9812</v>
      </c>
      <c r="C9325" s="5" t="s">
        <v>21</v>
      </c>
      <c r="K9325" s="5">
        <v>1200.0</v>
      </c>
      <c r="N9325" s="9">
        <v>44285.0</v>
      </c>
    </row>
    <row r="9326">
      <c r="A9326" s="5">
        <v>9325.0</v>
      </c>
      <c r="B9326" s="5" t="s">
        <v>9813</v>
      </c>
      <c r="C9326" s="5" t="s">
        <v>21</v>
      </c>
      <c r="K9326" s="5">
        <v>600.0</v>
      </c>
      <c r="N9326" s="9">
        <v>44417.0</v>
      </c>
    </row>
    <row r="9327">
      <c r="A9327" s="5">
        <v>9326.0</v>
      </c>
      <c r="B9327" s="5" t="s">
        <v>9814</v>
      </c>
      <c r="C9327" s="5" t="s">
        <v>21</v>
      </c>
      <c r="K9327" s="5">
        <v>400.0</v>
      </c>
      <c r="N9327" s="9">
        <v>45137.0</v>
      </c>
    </row>
    <row r="9328">
      <c r="A9328" s="5">
        <v>9327.0</v>
      </c>
      <c r="B9328" s="5" t="s">
        <v>9815</v>
      </c>
      <c r="C9328" s="5" t="s">
        <v>21</v>
      </c>
      <c r="K9328" s="5">
        <v>350.0</v>
      </c>
      <c r="N9328" s="9">
        <v>44809.0</v>
      </c>
    </row>
    <row r="9329">
      <c r="A9329" s="5">
        <v>9328.0</v>
      </c>
      <c r="B9329" s="5" t="s">
        <v>9816</v>
      </c>
      <c r="C9329" s="5" t="s">
        <v>21</v>
      </c>
      <c r="K9329" s="5">
        <v>450.0</v>
      </c>
      <c r="N9329" s="9">
        <v>44657.0</v>
      </c>
    </row>
    <row r="9330">
      <c r="A9330" s="5">
        <v>9329.0</v>
      </c>
      <c r="B9330" s="5" t="s">
        <v>9817</v>
      </c>
      <c r="C9330" s="5" t="s">
        <v>21</v>
      </c>
      <c r="K9330" s="5">
        <v>350.0</v>
      </c>
      <c r="N9330" s="9">
        <v>43907.0</v>
      </c>
    </row>
    <row r="9331">
      <c r="A9331" s="5">
        <v>9330.0</v>
      </c>
      <c r="B9331" s="5" t="s">
        <v>9818</v>
      </c>
      <c r="C9331" s="5" t="s">
        <v>21</v>
      </c>
      <c r="K9331" s="5">
        <v>600.0</v>
      </c>
      <c r="N9331" s="9">
        <v>44592.0</v>
      </c>
    </row>
    <row r="9332">
      <c r="A9332" s="5">
        <v>9331.0</v>
      </c>
      <c r="B9332" s="5" t="s">
        <v>9819</v>
      </c>
      <c r="C9332" s="5" t="s">
        <v>21</v>
      </c>
      <c r="K9332" s="5">
        <v>10.0</v>
      </c>
      <c r="N9332" s="9">
        <v>45172.0</v>
      </c>
    </row>
    <row r="9333">
      <c r="A9333" s="5">
        <v>9332.0</v>
      </c>
      <c r="B9333" s="5" t="s">
        <v>9820</v>
      </c>
      <c r="C9333" s="5" t="s">
        <v>21</v>
      </c>
      <c r="N9333" s="9">
        <v>44554.0</v>
      </c>
    </row>
    <row r="9334">
      <c r="A9334" s="5">
        <v>9333.0</v>
      </c>
      <c r="B9334" s="5" t="s">
        <v>9821</v>
      </c>
      <c r="C9334" s="5" t="s">
        <v>21</v>
      </c>
      <c r="K9334" s="5">
        <v>1000.0</v>
      </c>
      <c r="N9334" s="9">
        <v>44250.0</v>
      </c>
    </row>
    <row r="9335">
      <c r="A9335" s="5">
        <v>9334.0</v>
      </c>
      <c r="B9335" s="5" t="s">
        <v>9822</v>
      </c>
      <c r="C9335" s="5" t="s">
        <v>21</v>
      </c>
      <c r="K9335" s="5">
        <v>250.0</v>
      </c>
      <c r="N9335" s="9">
        <v>44861.0</v>
      </c>
    </row>
    <row r="9336">
      <c r="A9336" s="5">
        <v>9335.0</v>
      </c>
      <c r="B9336" s="5" t="s">
        <v>314</v>
      </c>
      <c r="C9336" s="5" t="s">
        <v>21</v>
      </c>
      <c r="K9336" s="5">
        <v>50.0</v>
      </c>
      <c r="N9336" s="9">
        <v>43864.0</v>
      </c>
    </row>
    <row r="9337">
      <c r="A9337" s="5">
        <v>9336.0</v>
      </c>
      <c r="B9337" s="5" t="s">
        <v>9823</v>
      </c>
      <c r="C9337" s="5" t="s">
        <v>21</v>
      </c>
      <c r="N9337" s="9">
        <v>43993.0</v>
      </c>
    </row>
    <row r="9338">
      <c r="A9338" s="5">
        <v>9337.0</v>
      </c>
      <c r="B9338" s="5" t="s">
        <v>9824</v>
      </c>
      <c r="C9338" s="5" t="s">
        <v>21</v>
      </c>
      <c r="K9338" s="5">
        <v>1000.0</v>
      </c>
      <c r="N9338" s="9">
        <v>44342.0</v>
      </c>
    </row>
    <row r="9339">
      <c r="A9339" s="5">
        <v>9338.0</v>
      </c>
      <c r="B9339" s="5" t="s">
        <v>9825</v>
      </c>
      <c r="C9339" s="5" t="s">
        <v>21</v>
      </c>
      <c r="K9339" s="5">
        <v>80.0</v>
      </c>
      <c r="N9339" s="9">
        <v>44518.0</v>
      </c>
    </row>
    <row r="9340">
      <c r="A9340" s="5">
        <v>9339.0</v>
      </c>
      <c r="B9340" s="5" t="s">
        <v>9826</v>
      </c>
      <c r="C9340" s="5" t="s">
        <v>21</v>
      </c>
      <c r="K9340" s="5">
        <v>1700.0</v>
      </c>
      <c r="N9340" s="9">
        <v>45675.0</v>
      </c>
    </row>
    <row r="9341">
      <c r="A9341" s="5">
        <v>9340.0</v>
      </c>
      <c r="B9341" s="5" t="s">
        <v>9827</v>
      </c>
      <c r="C9341" s="5" t="s">
        <v>21</v>
      </c>
      <c r="K9341" s="5">
        <v>100.0</v>
      </c>
      <c r="N9341" s="9">
        <v>44095.0</v>
      </c>
    </row>
    <row r="9342">
      <c r="A9342" s="5">
        <v>9341.0</v>
      </c>
      <c r="B9342" s="5" t="s">
        <v>9828</v>
      </c>
      <c r="C9342" s="5" t="s">
        <v>21</v>
      </c>
      <c r="K9342" s="5">
        <v>2300.0</v>
      </c>
      <c r="N9342" s="9">
        <v>44300.0</v>
      </c>
    </row>
    <row r="9343">
      <c r="A9343" s="5">
        <v>9342.0</v>
      </c>
      <c r="B9343" s="5" t="s">
        <v>9829</v>
      </c>
      <c r="C9343" s="5" t="s">
        <v>21</v>
      </c>
      <c r="K9343" s="5">
        <v>1500.0</v>
      </c>
      <c r="N9343" s="9">
        <v>45411.0</v>
      </c>
    </row>
    <row r="9344">
      <c r="A9344" s="5">
        <v>9343.0</v>
      </c>
      <c r="B9344" s="5" t="s">
        <v>9830</v>
      </c>
      <c r="C9344" s="5" t="s">
        <v>21</v>
      </c>
      <c r="K9344" s="5">
        <v>70.0</v>
      </c>
      <c r="N9344" s="9">
        <v>45846.0</v>
      </c>
    </row>
    <row r="9345">
      <c r="A9345" s="5">
        <v>9344.0</v>
      </c>
      <c r="B9345" s="5" t="s">
        <v>9831</v>
      </c>
      <c r="C9345" s="5" t="s">
        <v>21</v>
      </c>
      <c r="K9345" s="5">
        <v>700.0</v>
      </c>
      <c r="N9345" s="9">
        <v>44555.0</v>
      </c>
    </row>
    <row r="9346">
      <c r="A9346" s="5">
        <v>9345.0</v>
      </c>
      <c r="B9346" s="5" t="s">
        <v>9832</v>
      </c>
      <c r="C9346" s="5" t="s">
        <v>21</v>
      </c>
      <c r="K9346" s="5">
        <v>2800.0</v>
      </c>
      <c r="N9346" s="9">
        <v>44505.0</v>
      </c>
    </row>
    <row r="9347">
      <c r="A9347" s="5">
        <v>9346.0</v>
      </c>
      <c r="B9347" s="5" t="s">
        <v>9833</v>
      </c>
      <c r="C9347" s="5" t="s">
        <v>21</v>
      </c>
      <c r="K9347" s="5">
        <v>20.0</v>
      </c>
      <c r="N9347" s="9">
        <v>44557.0</v>
      </c>
    </row>
    <row r="9348">
      <c r="A9348" s="5">
        <v>9347.0</v>
      </c>
      <c r="B9348" s="5" t="s">
        <v>9834</v>
      </c>
      <c r="C9348" s="5" t="s">
        <v>21</v>
      </c>
      <c r="K9348" s="5">
        <v>1400.0</v>
      </c>
      <c r="N9348" s="9">
        <v>44564.0</v>
      </c>
    </row>
    <row r="9349">
      <c r="A9349" s="5">
        <v>9348.0</v>
      </c>
      <c r="B9349" s="5" t="s">
        <v>9835</v>
      </c>
      <c r="C9349" s="5" t="s">
        <v>21</v>
      </c>
      <c r="K9349" s="5">
        <v>300.0</v>
      </c>
      <c r="N9349" s="9">
        <v>44147.0</v>
      </c>
    </row>
    <row r="9350">
      <c r="A9350" s="5">
        <v>9349.0</v>
      </c>
      <c r="B9350" s="5" t="s">
        <v>9836</v>
      </c>
      <c r="C9350" s="5" t="s">
        <v>21</v>
      </c>
      <c r="K9350" s="5">
        <v>50.0</v>
      </c>
      <c r="N9350" s="9">
        <v>44379.0</v>
      </c>
    </row>
    <row r="9351">
      <c r="A9351" s="5">
        <v>9350.0</v>
      </c>
      <c r="B9351" s="5" t="s">
        <v>9837</v>
      </c>
      <c r="C9351" s="5" t="s">
        <v>21</v>
      </c>
      <c r="K9351" s="5">
        <v>250.0</v>
      </c>
      <c r="N9351" s="9">
        <v>44589.0</v>
      </c>
    </row>
    <row r="9352">
      <c r="A9352" s="5">
        <v>9351.0</v>
      </c>
      <c r="B9352" s="5" t="s">
        <v>9838</v>
      </c>
      <c r="C9352" s="5" t="s">
        <v>21</v>
      </c>
      <c r="N9352" s="9">
        <v>44518.0</v>
      </c>
    </row>
    <row r="9353">
      <c r="A9353" s="5">
        <v>9352.0</v>
      </c>
      <c r="B9353" s="5" t="s">
        <v>9839</v>
      </c>
      <c r="C9353" s="5" t="s">
        <v>21</v>
      </c>
      <c r="K9353" s="5">
        <v>40.0</v>
      </c>
      <c r="N9353" s="9">
        <v>44587.0</v>
      </c>
    </row>
    <row r="9354">
      <c r="A9354" s="5">
        <v>9353.0</v>
      </c>
      <c r="B9354" s="5" t="s">
        <v>9840</v>
      </c>
      <c r="C9354" s="5" t="s">
        <v>21</v>
      </c>
      <c r="K9354" s="5">
        <v>100.0</v>
      </c>
      <c r="N9354" s="9">
        <v>45185.0</v>
      </c>
    </row>
    <row r="9355">
      <c r="A9355" s="5">
        <v>9354.0</v>
      </c>
      <c r="B9355" s="5" t="s">
        <v>9841</v>
      </c>
      <c r="C9355" s="5" t="s">
        <v>21</v>
      </c>
      <c r="K9355" s="5">
        <v>14000.0</v>
      </c>
      <c r="N9355" s="9">
        <v>42318.0</v>
      </c>
    </row>
    <row r="9356">
      <c r="A9356" s="5">
        <v>9355.0</v>
      </c>
      <c r="B9356" s="5" t="s">
        <v>9842</v>
      </c>
      <c r="C9356" s="5" t="s">
        <v>21</v>
      </c>
      <c r="K9356" s="5">
        <v>1700.0</v>
      </c>
      <c r="N9356" s="9">
        <v>44598.0</v>
      </c>
    </row>
    <row r="9357">
      <c r="A9357" s="5">
        <v>9356.0</v>
      </c>
      <c r="B9357" s="5" t="s">
        <v>9843</v>
      </c>
      <c r="C9357" s="5" t="s">
        <v>21</v>
      </c>
      <c r="K9357" s="5">
        <v>200.0</v>
      </c>
      <c r="N9357" s="9">
        <v>44047.0</v>
      </c>
    </row>
    <row r="9358">
      <c r="A9358" s="5">
        <v>9357.0</v>
      </c>
      <c r="B9358" s="5" t="s">
        <v>9844</v>
      </c>
      <c r="C9358" s="5" t="s">
        <v>21</v>
      </c>
      <c r="K9358" s="5">
        <v>5800.0</v>
      </c>
      <c r="N9358" s="9">
        <v>44061.0</v>
      </c>
    </row>
    <row r="9359">
      <c r="A9359" s="5">
        <v>9358.0</v>
      </c>
      <c r="B9359" s="5" t="s">
        <v>9845</v>
      </c>
      <c r="C9359" s="5" t="s">
        <v>21</v>
      </c>
      <c r="K9359" s="5">
        <v>1000.0</v>
      </c>
      <c r="N9359" s="9">
        <v>44072.0</v>
      </c>
    </row>
    <row r="9360">
      <c r="A9360" s="5">
        <v>9359.0</v>
      </c>
      <c r="B9360" s="5" t="s">
        <v>9846</v>
      </c>
      <c r="C9360" s="5" t="s">
        <v>21</v>
      </c>
      <c r="K9360" s="5">
        <v>300.0</v>
      </c>
      <c r="N9360" s="9">
        <v>44655.0</v>
      </c>
    </row>
    <row r="9361">
      <c r="A9361" s="5">
        <v>9360.0</v>
      </c>
      <c r="B9361" s="5" t="s">
        <v>9847</v>
      </c>
      <c r="C9361" s="5" t="s">
        <v>21</v>
      </c>
      <c r="K9361" s="5">
        <v>250.0</v>
      </c>
      <c r="N9361" s="9">
        <v>44377.0</v>
      </c>
    </row>
    <row r="9362">
      <c r="A9362" s="5">
        <v>9361.0</v>
      </c>
      <c r="B9362" s="5" t="s">
        <v>9848</v>
      </c>
      <c r="C9362" s="5" t="s">
        <v>21</v>
      </c>
      <c r="K9362" s="5">
        <v>300.0</v>
      </c>
      <c r="N9362" s="9">
        <v>44939.0</v>
      </c>
    </row>
    <row r="9363">
      <c r="A9363" s="5">
        <v>9362.0</v>
      </c>
      <c r="B9363" s="5" t="s">
        <v>9849</v>
      </c>
      <c r="C9363" s="5" t="s">
        <v>21</v>
      </c>
      <c r="K9363" s="5">
        <v>700.0</v>
      </c>
      <c r="N9363" s="9">
        <v>44425.0</v>
      </c>
    </row>
    <row r="9364">
      <c r="A9364" s="5">
        <v>9363.0</v>
      </c>
      <c r="B9364" s="5" t="s">
        <v>9850</v>
      </c>
      <c r="C9364" s="5" t="s">
        <v>21</v>
      </c>
      <c r="K9364" s="5">
        <v>200.0</v>
      </c>
      <c r="N9364" s="9">
        <v>44579.0</v>
      </c>
    </row>
    <row r="9365">
      <c r="A9365" s="5">
        <v>9364.0</v>
      </c>
      <c r="B9365" s="5" t="s">
        <v>9851</v>
      </c>
      <c r="C9365" s="5" t="s">
        <v>21</v>
      </c>
      <c r="K9365" s="5">
        <v>400.0</v>
      </c>
      <c r="N9365" s="9">
        <v>44263.0</v>
      </c>
    </row>
    <row r="9366">
      <c r="A9366" s="5">
        <v>9365.0</v>
      </c>
      <c r="B9366" s="5" t="s">
        <v>9852</v>
      </c>
      <c r="C9366" s="5" t="s">
        <v>21</v>
      </c>
      <c r="K9366" s="5">
        <v>50.0</v>
      </c>
      <c r="N9366" s="9">
        <v>45092.0</v>
      </c>
    </row>
    <row r="9367">
      <c r="A9367" s="5">
        <v>9366.0</v>
      </c>
      <c r="B9367" s="5" t="s">
        <v>9853</v>
      </c>
      <c r="C9367" s="5" t="s">
        <v>21</v>
      </c>
      <c r="K9367" s="5">
        <v>150.0</v>
      </c>
      <c r="N9367" s="9">
        <v>45093.0</v>
      </c>
    </row>
    <row r="9368">
      <c r="A9368" s="5">
        <v>9367.0</v>
      </c>
      <c r="B9368" s="5" t="s">
        <v>9854</v>
      </c>
      <c r="C9368" s="5" t="s">
        <v>21</v>
      </c>
      <c r="K9368" s="5">
        <v>250.0</v>
      </c>
      <c r="N9368" s="9">
        <v>43853.0</v>
      </c>
    </row>
    <row r="9369">
      <c r="A9369" s="5">
        <v>9368.0</v>
      </c>
      <c r="B9369" s="5" t="s">
        <v>9855</v>
      </c>
      <c r="C9369" s="5" t="s">
        <v>21</v>
      </c>
      <c r="K9369" s="5">
        <v>1200.0</v>
      </c>
      <c r="N9369" s="9">
        <v>44465.0</v>
      </c>
    </row>
    <row r="9370">
      <c r="A9370" s="5">
        <v>9369.0</v>
      </c>
      <c r="B9370" s="5" t="s">
        <v>9856</v>
      </c>
      <c r="C9370" s="5" t="s">
        <v>21</v>
      </c>
      <c r="K9370" s="5">
        <v>350.0</v>
      </c>
      <c r="N9370" s="9">
        <v>44614.0</v>
      </c>
    </row>
    <row r="9371">
      <c r="A9371" s="5">
        <v>9370.0</v>
      </c>
      <c r="B9371" s="5" t="s">
        <v>9857</v>
      </c>
      <c r="C9371" s="5" t="s">
        <v>21</v>
      </c>
      <c r="K9371" s="5">
        <v>250.0</v>
      </c>
      <c r="N9371" s="9">
        <v>44791.0</v>
      </c>
    </row>
    <row r="9372">
      <c r="A9372" s="5">
        <v>9371.0</v>
      </c>
      <c r="B9372" s="5" t="s">
        <v>9858</v>
      </c>
      <c r="C9372" s="5" t="s">
        <v>21</v>
      </c>
      <c r="K9372" s="5">
        <v>350.0</v>
      </c>
      <c r="N9372" s="9">
        <v>44875.0</v>
      </c>
    </row>
    <row r="9373">
      <c r="A9373" s="5">
        <v>9372.0</v>
      </c>
      <c r="B9373" s="5" t="s">
        <v>9859</v>
      </c>
      <c r="C9373" s="5" t="s">
        <v>21</v>
      </c>
      <c r="K9373" s="5">
        <v>350.0</v>
      </c>
      <c r="N9373" s="9">
        <v>44725.0</v>
      </c>
    </row>
    <row r="9374">
      <c r="A9374" s="5">
        <v>9373.0</v>
      </c>
      <c r="B9374" s="5" t="s">
        <v>9860</v>
      </c>
      <c r="C9374" s="5" t="s">
        <v>21</v>
      </c>
      <c r="K9374" s="5">
        <v>80.0</v>
      </c>
      <c r="N9374" s="9">
        <v>44594.0</v>
      </c>
    </row>
    <row r="9375">
      <c r="A9375" s="5">
        <v>9374.0</v>
      </c>
      <c r="B9375" s="5" t="s">
        <v>9861</v>
      </c>
      <c r="C9375" s="5" t="s">
        <v>21</v>
      </c>
      <c r="K9375" s="5">
        <v>400.0</v>
      </c>
      <c r="N9375" s="9">
        <v>44281.0</v>
      </c>
    </row>
    <row r="9376">
      <c r="A9376" s="5">
        <v>9375.0</v>
      </c>
      <c r="B9376" s="5" t="s">
        <v>9862</v>
      </c>
      <c r="C9376" s="5" t="s">
        <v>21</v>
      </c>
      <c r="K9376" s="5">
        <v>1300.0</v>
      </c>
      <c r="N9376" s="9">
        <v>44583.0</v>
      </c>
    </row>
    <row r="9377">
      <c r="A9377" s="5">
        <v>9376.0</v>
      </c>
      <c r="B9377" s="5" t="s">
        <v>9863</v>
      </c>
      <c r="C9377" s="5" t="s">
        <v>21</v>
      </c>
      <c r="K9377" s="5">
        <v>800.0</v>
      </c>
      <c r="N9377" s="9">
        <v>45027.0</v>
      </c>
    </row>
    <row r="9378">
      <c r="A9378" s="5">
        <v>9377.0</v>
      </c>
      <c r="B9378" s="5" t="s">
        <v>9864</v>
      </c>
      <c r="C9378" s="5" t="s">
        <v>21</v>
      </c>
      <c r="K9378" s="5">
        <v>1200.0</v>
      </c>
      <c r="N9378" s="9">
        <v>45719.0</v>
      </c>
    </row>
    <row r="9379">
      <c r="A9379" s="5">
        <v>9378.0</v>
      </c>
      <c r="B9379" s="5" t="s">
        <v>9865</v>
      </c>
      <c r="C9379" s="5" t="s">
        <v>21</v>
      </c>
      <c r="K9379" s="5">
        <v>1400.0</v>
      </c>
      <c r="N9379" s="9">
        <v>44599.0</v>
      </c>
    </row>
    <row r="9380">
      <c r="A9380" s="5">
        <v>9379.0</v>
      </c>
      <c r="B9380" s="5" t="s">
        <v>9866</v>
      </c>
      <c r="C9380" s="5" t="s">
        <v>21</v>
      </c>
      <c r="K9380" s="5">
        <v>1600.0</v>
      </c>
      <c r="N9380" s="9">
        <v>44009.0</v>
      </c>
    </row>
    <row r="9381">
      <c r="A9381" s="5">
        <v>9380.0</v>
      </c>
      <c r="B9381" s="5" t="s">
        <v>326</v>
      </c>
      <c r="C9381" s="5" t="s">
        <v>21</v>
      </c>
      <c r="K9381" s="5">
        <v>150.0</v>
      </c>
      <c r="N9381" s="9">
        <v>44905.0</v>
      </c>
    </row>
    <row r="9382">
      <c r="A9382" s="5">
        <v>9381.0</v>
      </c>
      <c r="B9382" s="5" t="s">
        <v>9867</v>
      </c>
      <c r="C9382" s="5" t="s">
        <v>21</v>
      </c>
      <c r="K9382" s="5">
        <v>24000.0</v>
      </c>
      <c r="N9382" s="9">
        <v>46111.0</v>
      </c>
    </row>
    <row r="9383">
      <c r="A9383" s="5">
        <v>9382.0</v>
      </c>
      <c r="B9383" s="5" t="s">
        <v>9868</v>
      </c>
      <c r="C9383" s="5" t="s">
        <v>21</v>
      </c>
      <c r="K9383" s="5">
        <v>100.0</v>
      </c>
      <c r="N9383" s="9">
        <v>43981.0</v>
      </c>
    </row>
    <row r="9384">
      <c r="A9384" s="5">
        <v>9383.0</v>
      </c>
      <c r="B9384" s="5" t="s">
        <v>9869</v>
      </c>
      <c r="C9384" s="5" t="s">
        <v>21</v>
      </c>
      <c r="K9384" s="5">
        <v>700.0</v>
      </c>
      <c r="N9384" s="9">
        <v>44557.0</v>
      </c>
    </row>
    <row r="9385">
      <c r="A9385" s="5">
        <v>9384.0</v>
      </c>
      <c r="B9385" s="5" t="s">
        <v>9870</v>
      </c>
      <c r="C9385" s="5" t="s">
        <v>21</v>
      </c>
      <c r="K9385" s="5">
        <v>800.0</v>
      </c>
      <c r="N9385" s="9">
        <v>44533.0</v>
      </c>
    </row>
    <row r="9386">
      <c r="A9386" s="5">
        <v>9385.0</v>
      </c>
      <c r="B9386" s="5" t="s">
        <v>9871</v>
      </c>
      <c r="C9386" s="5" t="s">
        <v>21</v>
      </c>
      <c r="K9386" s="5">
        <v>90.0</v>
      </c>
      <c r="N9386" s="9">
        <v>46130.0</v>
      </c>
    </row>
    <row r="9387">
      <c r="A9387" s="5">
        <v>9386.0</v>
      </c>
      <c r="B9387" s="5" t="s">
        <v>9872</v>
      </c>
      <c r="C9387" s="5" t="s">
        <v>21</v>
      </c>
      <c r="K9387" s="5">
        <v>1000.0</v>
      </c>
      <c r="N9387" s="9">
        <v>44827.0</v>
      </c>
    </row>
    <row r="9388">
      <c r="A9388" s="5">
        <v>9387.0</v>
      </c>
      <c r="B9388" s="5" t="s">
        <v>9873</v>
      </c>
      <c r="C9388" s="5" t="s">
        <v>21</v>
      </c>
      <c r="K9388" s="5">
        <v>400.0</v>
      </c>
      <c r="N9388" s="9">
        <v>44681.0</v>
      </c>
    </row>
    <row r="9389">
      <c r="A9389" s="5">
        <v>9388.0</v>
      </c>
      <c r="B9389" s="5" t="s">
        <v>9874</v>
      </c>
      <c r="C9389" s="5" t="s">
        <v>21</v>
      </c>
      <c r="K9389" s="5">
        <v>500.0</v>
      </c>
      <c r="N9389" s="9">
        <v>44606.0</v>
      </c>
    </row>
    <row r="9390">
      <c r="A9390" s="5">
        <v>9389.0</v>
      </c>
      <c r="B9390" s="5" t="s">
        <v>9875</v>
      </c>
      <c r="C9390" s="5" t="s">
        <v>21</v>
      </c>
      <c r="K9390" s="5">
        <v>80.0</v>
      </c>
      <c r="N9390" s="9">
        <v>44063.0</v>
      </c>
    </row>
    <row r="9391">
      <c r="A9391" s="5">
        <v>9390.0</v>
      </c>
      <c r="B9391" s="5" t="s">
        <v>9876</v>
      </c>
      <c r="C9391" s="5" t="s">
        <v>21</v>
      </c>
      <c r="K9391" s="5">
        <v>150.0</v>
      </c>
      <c r="N9391" s="9">
        <v>44850.0</v>
      </c>
    </row>
    <row r="9392">
      <c r="A9392" s="5">
        <v>9391.0</v>
      </c>
      <c r="B9392" s="5" t="s">
        <v>9877</v>
      </c>
      <c r="C9392" s="5" t="s">
        <v>21</v>
      </c>
      <c r="K9392" s="5">
        <v>900.0</v>
      </c>
      <c r="N9392" s="9">
        <v>44667.0</v>
      </c>
    </row>
    <row r="9393">
      <c r="A9393" s="5">
        <v>9392.0</v>
      </c>
      <c r="B9393" s="5" t="s">
        <v>9878</v>
      </c>
      <c r="C9393" s="5" t="s">
        <v>21</v>
      </c>
      <c r="K9393" s="5">
        <v>250.0</v>
      </c>
      <c r="N9393" s="9">
        <v>44650.0</v>
      </c>
    </row>
    <row r="9394">
      <c r="A9394" s="5">
        <v>9393.0</v>
      </c>
      <c r="B9394" s="5" t="s">
        <v>9879</v>
      </c>
      <c r="C9394" s="5" t="s">
        <v>21</v>
      </c>
      <c r="K9394" s="5">
        <v>140000.0</v>
      </c>
      <c r="N9394" s="9">
        <v>46088.0</v>
      </c>
    </row>
    <row r="9395">
      <c r="A9395" s="5">
        <v>9394.0</v>
      </c>
      <c r="B9395" s="5" t="s">
        <v>9880</v>
      </c>
      <c r="C9395" s="5" t="s">
        <v>21</v>
      </c>
      <c r="K9395" s="5">
        <v>4700.0</v>
      </c>
      <c r="N9395" s="9">
        <v>44529.0</v>
      </c>
    </row>
    <row r="9396">
      <c r="A9396" s="5">
        <v>9395.0</v>
      </c>
      <c r="B9396" s="5" t="s">
        <v>9881</v>
      </c>
      <c r="C9396" s="5" t="s">
        <v>21</v>
      </c>
      <c r="K9396" s="5">
        <v>6000.0</v>
      </c>
      <c r="N9396" s="9">
        <v>44605.0</v>
      </c>
    </row>
    <row r="9397">
      <c r="A9397" s="5">
        <v>9396.0</v>
      </c>
      <c r="B9397" s="5" t="s">
        <v>9882</v>
      </c>
      <c r="C9397" s="5" t="s">
        <v>21</v>
      </c>
      <c r="K9397" s="5">
        <v>400.0</v>
      </c>
      <c r="N9397" s="9">
        <v>45581.0</v>
      </c>
    </row>
    <row r="9398">
      <c r="A9398" s="5">
        <v>9397.0</v>
      </c>
      <c r="B9398" s="5" t="s">
        <v>9883</v>
      </c>
      <c r="C9398" s="5" t="s">
        <v>21</v>
      </c>
      <c r="K9398" s="5">
        <v>300.0</v>
      </c>
      <c r="N9398" s="9">
        <v>45783.0</v>
      </c>
    </row>
    <row r="9399">
      <c r="A9399" s="5">
        <v>9398.0</v>
      </c>
      <c r="B9399" s="5" t="s">
        <v>9884</v>
      </c>
      <c r="C9399" s="5" t="s">
        <v>21</v>
      </c>
      <c r="N9399" s="9">
        <v>44535.0</v>
      </c>
    </row>
    <row r="9400">
      <c r="A9400" s="5">
        <v>9399.0</v>
      </c>
      <c r="B9400" s="5" t="s">
        <v>9885</v>
      </c>
      <c r="C9400" s="5" t="s">
        <v>21</v>
      </c>
      <c r="K9400" s="5">
        <v>70.0</v>
      </c>
      <c r="N9400" s="9">
        <v>44980.0</v>
      </c>
    </row>
    <row r="9401">
      <c r="A9401" s="5">
        <v>9400.0</v>
      </c>
      <c r="B9401" s="5" t="s">
        <v>9886</v>
      </c>
      <c r="C9401" s="5" t="s">
        <v>21</v>
      </c>
      <c r="K9401" s="5">
        <v>500.0</v>
      </c>
      <c r="N9401" s="9">
        <v>43867.0</v>
      </c>
    </row>
    <row r="9402">
      <c r="A9402" s="5">
        <v>9401.0</v>
      </c>
      <c r="B9402" s="5" t="s">
        <v>9887</v>
      </c>
      <c r="C9402" s="5" t="s">
        <v>21</v>
      </c>
      <c r="K9402" s="5">
        <v>80.0</v>
      </c>
      <c r="N9402" s="9">
        <v>45084.0</v>
      </c>
    </row>
    <row r="9403">
      <c r="A9403" s="5">
        <v>9402.0</v>
      </c>
      <c r="B9403" s="5" t="s">
        <v>9888</v>
      </c>
      <c r="C9403" s="5" t="s">
        <v>21</v>
      </c>
      <c r="K9403" s="5">
        <v>350.0</v>
      </c>
      <c r="N9403" s="9">
        <v>44452.0</v>
      </c>
    </row>
    <row r="9404">
      <c r="A9404" s="5">
        <v>9403.0</v>
      </c>
      <c r="B9404" s="5" t="s">
        <v>9889</v>
      </c>
      <c r="C9404" s="5" t="s">
        <v>21</v>
      </c>
      <c r="K9404" s="5">
        <v>100.0</v>
      </c>
      <c r="N9404" s="9">
        <v>44969.0</v>
      </c>
    </row>
    <row r="9405">
      <c r="A9405" s="5">
        <v>9404.0</v>
      </c>
      <c r="B9405" s="5" t="s">
        <v>9890</v>
      </c>
      <c r="C9405" s="5" t="s">
        <v>21</v>
      </c>
      <c r="K9405" s="5">
        <v>80.0</v>
      </c>
      <c r="N9405" s="9">
        <v>45774.0</v>
      </c>
    </row>
    <row r="9406">
      <c r="A9406" s="5">
        <v>9405.0</v>
      </c>
      <c r="B9406" s="5" t="s">
        <v>9891</v>
      </c>
      <c r="C9406" s="5" t="s">
        <v>21</v>
      </c>
      <c r="K9406" s="5">
        <v>500.0</v>
      </c>
      <c r="N9406" s="9">
        <v>44568.0</v>
      </c>
    </row>
    <row r="9407">
      <c r="A9407" s="5">
        <v>9406.0</v>
      </c>
      <c r="B9407" s="5" t="s">
        <v>9892</v>
      </c>
      <c r="C9407" s="5" t="s">
        <v>21</v>
      </c>
      <c r="K9407" s="5">
        <v>3600.0</v>
      </c>
      <c r="N9407" s="9">
        <v>44310.0</v>
      </c>
    </row>
    <row r="9408">
      <c r="A9408" s="5">
        <v>9407.0</v>
      </c>
      <c r="B9408" s="5" t="s">
        <v>9893</v>
      </c>
      <c r="C9408" s="5" t="s">
        <v>21</v>
      </c>
      <c r="K9408" s="5">
        <v>200.0</v>
      </c>
      <c r="N9408" s="9">
        <v>43952.0</v>
      </c>
    </row>
    <row r="9409">
      <c r="A9409" s="5">
        <v>9408.0</v>
      </c>
      <c r="B9409" s="5" t="s">
        <v>9894</v>
      </c>
      <c r="C9409" s="5" t="s">
        <v>21</v>
      </c>
      <c r="N9409" s="9">
        <v>44592.0</v>
      </c>
    </row>
    <row r="9410">
      <c r="A9410" s="5">
        <v>9409.0</v>
      </c>
      <c r="B9410" s="5" t="s">
        <v>9895</v>
      </c>
      <c r="C9410" s="5" t="s">
        <v>21</v>
      </c>
      <c r="K9410" s="5">
        <v>600.0</v>
      </c>
      <c r="N9410" s="9">
        <v>43895.0</v>
      </c>
    </row>
    <row r="9411">
      <c r="A9411" s="5">
        <v>9410.0</v>
      </c>
      <c r="B9411" s="5" t="s">
        <v>9896</v>
      </c>
      <c r="C9411" s="5" t="s">
        <v>21</v>
      </c>
      <c r="K9411" s="5">
        <v>40.0</v>
      </c>
      <c r="N9411" s="9">
        <v>45350.0</v>
      </c>
    </row>
    <row r="9412">
      <c r="A9412" s="5">
        <v>9411.0</v>
      </c>
      <c r="B9412" s="5" t="s">
        <v>9897</v>
      </c>
      <c r="C9412" s="5" t="s">
        <v>21</v>
      </c>
      <c r="K9412" s="5">
        <v>250.0</v>
      </c>
      <c r="N9412" s="9">
        <v>44550.0</v>
      </c>
    </row>
    <row r="9413">
      <c r="A9413" s="5">
        <v>9412.0</v>
      </c>
      <c r="B9413" s="5" t="s">
        <v>9898</v>
      </c>
      <c r="C9413" s="5" t="s">
        <v>21</v>
      </c>
      <c r="K9413" s="5">
        <v>450.0</v>
      </c>
      <c r="N9413" s="9">
        <v>45744.0</v>
      </c>
    </row>
    <row r="9414">
      <c r="A9414" s="5">
        <v>9413.0</v>
      </c>
      <c r="B9414" s="5" t="s">
        <v>9899</v>
      </c>
      <c r="C9414" s="5" t="s">
        <v>21</v>
      </c>
      <c r="K9414" s="5">
        <v>450.0</v>
      </c>
      <c r="N9414" s="9">
        <v>43990.0</v>
      </c>
    </row>
    <row r="9415">
      <c r="A9415" s="5">
        <v>9414.0</v>
      </c>
      <c r="B9415" s="5" t="s">
        <v>9900</v>
      </c>
      <c r="C9415" s="5" t="s">
        <v>21</v>
      </c>
      <c r="K9415" s="5">
        <v>70.0</v>
      </c>
      <c r="N9415" s="9">
        <v>44546.0</v>
      </c>
    </row>
    <row r="9416">
      <c r="A9416" s="5">
        <v>9415.0</v>
      </c>
      <c r="B9416" s="5" t="s">
        <v>9901</v>
      </c>
      <c r="C9416" s="5" t="s">
        <v>21</v>
      </c>
      <c r="K9416" s="5">
        <v>20000.0</v>
      </c>
      <c r="N9416" s="9">
        <v>45813.0</v>
      </c>
    </row>
    <row r="9417">
      <c r="A9417" s="5">
        <v>9416.0</v>
      </c>
      <c r="B9417" s="5" t="s">
        <v>9902</v>
      </c>
      <c r="C9417" s="5" t="s">
        <v>21</v>
      </c>
      <c r="K9417" s="5">
        <v>70.0</v>
      </c>
      <c r="N9417" s="9">
        <v>45053.0</v>
      </c>
    </row>
    <row r="9418">
      <c r="A9418" s="5">
        <v>9417.0</v>
      </c>
      <c r="B9418" s="5" t="s">
        <v>9903</v>
      </c>
      <c r="C9418" s="5" t="s">
        <v>21</v>
      </c>
      <c r="K9418" s="5">
        <v>20.0</v>
      </c>
      <c r="N9418" s="9">
        <v>45333.0</v>
      </c>
    </row>
    <row r="9419">
      <c r="A9419" s="5">
        <v>9418.0</v>
      </c>
      <c r="B9419" s="5" t="s">
        <v>9904</v>
      </c>
      <c r="C9419" s="5" t="s">
        <v>21</v>
      </c>
      <c r="K9419" s="5">
        <v>250.0</v>
      </c>
      <c r="N9419" s="9">
        <v>45355.0</v>
      </c>
    </row>
    <row r="9420">
      <c r="A9420" s="5">
        <v>9419.0</v>
      </c>
      <c r="B9420" s="5" t="s">
        <v>9905</v>
      </c>
      <c r="C9420" s="5" t="s">
        <v>21</v>
      </c>
      <c r="K9420" s="5">
        <v>300.0</v>
      </c>
      <c r="N9420" s="9">
        <v>45234.0</v>
      </c>
    </row>
    <row r="9421">
      <c r="A9421" s="5">
        <v>9420.0</v>
      </c>
      <c r="B9421" s="5" t="s">
        <v>9906</v>
      </c>
      <c r="C9421" s="5" t="s">
        <v>21</v>
      </c>
      <c r="K9421" s="5">
        <v>350.0</v>
      </c>
      <c r="N9421" s="9">
        <v>45245.0</v>
      </c>
    </row>
    <row r="9422">
      <c r="A9422" s="5">
        <v>9421.0</v>
      </c>
      <c r="B9422" s="5" t="s">
        <v>9907</v>
      </c>
      <c r="C9422" s="5" t="s">
        <v>21</v>
      </c>
      <c r="N9422" s="9">
        <v>44582.0</v>
      </c>
    </row>
    <row r="9423">
      <c r="A9423" s="5">
        <v>9422.0</v>
      </c>
      <c r="B9423" s="5" t="s">
        <v>9908</v>
      </c>
      <c r="C9423" s="5" t="s">
        <v>21</v>
      </c>
      <c r="K9423" s="5">
        <v>800.0</v>
      </c>
      <c r="N9423" s="9">
        <v>44569.0</v>
      </c>
    </row>
    <row r="9424">
      <c r="A9424" s="5">
        <v>9423.0</v>
      </c>
      <c r="B9424" s="5" t="s">
        <v>9909</v>
      </c>
      <c r="C9424" s="5" t="s">
        <v>21</v>
      </c>
      <c r="K9424" s="5">
        <v>6000.0</v>
      </c>
      <c r="N9424" s="9">
        <v>45105.0</v>
      </c>
    </row>
    <row r="9425">
      <c r="A9425" s="5">
        <v>9424.0</v>
      </c>
      <c r="B9425" s="5" t="s">
        <v>9910</v>
      </c>
      <c r="C9425" s="5" t="s">
        <v>21</v>
      </c>
      <c r="K9425" s="5">
        <v>1700.0</v>
      </c>
      <c r="N9425" s="9">
        <v>43921.0</v>
      </c>
    </row>
    <row r="9426">
      <c r="A9426" s="5">
        <v>9425.0</v>
      </c>
      <c r="B9426" s="5" t="s">
        <v>9911</v>
      </c>
      <c r="C9426" s="5" t="s">
        <v>21</v>
      </c>
      <c r="K9426" s="5">
        <v>250.0</v>
      </c>
      <c r="N9426" s="9">
        <v>44542.0</v>
      </c>
    </row>
    <row r="9427">
      <c r="A9427" s="5">
        <v>9426.0</v>
      </c>
      <c r="B9427" s="5" t="s">
        <v>9912</v>
      </c>
      <c r="C9427" s="5" t="s">
        <v>21</v>
      </c>
      <c r="K9427" s="5">
        <v>1000.0</v>
      </c>
      <c r="N9427" s="9">
        <v>44553.0</v>
      </c>
    </row>
    <row r="9428">
      <c r="A9428" s="5">
        <v>9427.0</v>
      </c>
      <c r="B9428" s="5" t="s">
        <v>329</v>
      </c>
      <c r="C9428" s="5" t="s">
        <v>21</v>
      </c>
      <c r="K9428" s="5">
        <v>250.0</v>
      </c>
      <c r="N9428" s="9">
        <v>45319.0</v>
      </c>
    </row>
    <row r="9429">
      <c r="A9429" s="5">
        <v>9428.0</v>
      </c>
      <c r="B9429" s="5" t="s">
        <v>9913</v>
      </c>
      <c r="C9429" s="5" t="s">
        <v>21</v>
      </c>
      <c r="K9429" s="5">
        <v>100.0</v>
      </c>
      <c r="N9429" s="9">
        <v>43934.0</v>
      </c>
    </row>
    <row r="9430">
      <c r="A9430" s="5">
        <v>9429.0</v>
      </c>
      <c r="B9430" s="5" t="s">
        <v>9914</v>
      </c>
      <c r="C9430" s="5" t="s">
        <v>21</v>
      </c>
      <c r="K9430" s="5">
        <v>50.0</v>
      </c>
      <c r="N9430" s="9">
        <v>44614.0</v>
      </c>
    </row>
    <row r="9431">
      <c r="A9431" s="5">
        <v>9430.0</v>
      </c>
      <c r="B9431" s="5" t="s">
        <v>9915</v>
      </c>
      <c r="C9431" s="5" t="s">
        <v>21</v>
      </c>
      <c r="K9431" s="5">
        <v>50.0</v>
      </c>
      <c r="N9431" s="9">
        <v>44571.0</v>
      </c>
    </row>
    <row r="9432">
      <c r="A9432" s="5">
        <v>9431.0</v>
      </c>
      <c r="B9432" s="5" t="s">
        <v>9916</v>
      </c>
      <c r="C9432" s="5" t="s">
        <v>21</v>
      </c>
      <c r="K9432" s="5">
        <v>100.0</v>
      </c>
      <c r="N9432" s="9">
        <v>44535.0</v>
      </c>
    </row>
    <row r="9433">
      <c r="A9433" s="5">
        <v>9432.0</v>
      </c>
      <c r="B9433" s="5" t="s">
        <v>9917</v>
      </c>
      <c r="C9433" s="5" t="s">
        <v>21</v>
      </c>
      <c r="K9433" s="5">
        <v>1000.0</v>
      </c>
      <c r="N9433" s="9">
        <v>45681.0</v>
      </c>
    </row>
    <row r="9434">
      <c r="A9434" s="5">
        <v>9433.0</v>
      </c>
      <c r="B9434" s="5" t="s">
        <v>9918</v>
      </c>
      <c r="C9434" s="5" t="s">
        <v>21</v>
      </c>
      <c r="K9434" s="5">
        <v>350.0</v>
      </c>
      <c r="N9434" s="9">
        <v>44738.0</v>
      </c>
    </row>
    <row r="9435">
      <c r="A9435" s="5">
        <v>9434.0</v>
      </c>
      <c r="B9435" s="5" t="s">
        <v>9919</v>
      </c>
      <c r="C9435" s="5" t="s">
        <v>21</v>
      </c>
      <c r="K9435" s="5">
        <v>1900.0</v>
      </c>
      <c r="N9435" s="9">
        <v>43856.0</v>
      </c>
    </row>
    <row r="9436">
      <c r="A9436" s="5">
        <v>9435.0</v>
      </c>
      <c r="B9436" s="5" t="s">
        <v>9920</v>
      </c>
      <c r="C9436" s="5" t="s">
        <v>21</v>
      </c>
      <c r="N9436" s="9">
        <v>44594.0</v>
      </c>
    </row>
    <row r="9437">
      <c r="A9437" s="5">
        <v>9436.0</v>
      </c>
      <c r="B9437" s="5" t="s">
        <v>9921</v>
      </c>
      <c r="C9437" s="5" t="s">
        <v>21</v>
      </c>
      <c r="K9437" s="5">
        <v>10.0</v>
      </c>
      <c r="N9437" s="9">
        <v>43909.0</v>
      </c>
    </row>
    <row r="9438">
      <c r="A9438" s="5">
        <v>9437.0</v>
      </c>
      <c r="B9438" s="5" t="s">
        <v>9922</v>
      </c>
      <c r="C9438" s="5" t="s">
        <v>21</v>
      </c>
      <c r="K9438" s="5">
        <v>1300.0</v>
      </c>
      <c r="N9438" s="9">
        <v>44797.0</v>
      </c>
    </row>
    <row r="9439">
      <c r="A9439" s="5">
        <v>9438.0</v>
      </c>
      <c r="B9439" s="5" t="s">
        <v>9923</v>
      </c>
      <c r="C9439" s="5" t="s">
        <v>21</v>
      </c>
      <c r="N9439" s="9">
        <v>44628.0</v>
      </c>
    </row>
    <row r="9440">
      <c r="A9440" s="5">
        <v>9439.0</v>
      </c>
      <c r="B9440" s="5" t="s">
        <v>9924</v>
      </c>
      <c r="C9440" s="5" t="s">
        <v>21</v>
      </c>
      <c r="K9440" s="5">
        <v>200.0</v>
      </c>
      <c r="N9440" s="9">
        <v>45188.0</v>
      </c>
    </row>
    <row r="9441">
      <c r="A9441" s="5">
        <v>9440.0</v>
      </c>
      <c r="B9441" s="5" t="s">
        <v>9925</v>
      </c>
      <c r="C9441" s="5" t="s">
        <v>21</v>
      </c>
      <c r="K9441" s="5">
        <v>2900.0</v>
      </c>
      <c r="N9441" s="9">
        <v>44314.0</v>
      </c>
    </row>
    <row r="9442">
      <c r="A9442" s="5">
        <v>9441.0</v>
      </c>
      <c r="B9442" s="5" t="s">
        <v>9926</v>
      </c>
      <c r="C9442" s="5" t="s">
        <v>21</v>
      </c>
      <c r="K9442" s="5">
        <v>800.0</v>
      </c>
      <c r="N9442" s="9">
        <v>44228.0</v>
      </c>
    </row>
    <row r="9443">
      <c r="A9443" s="5">
        <v>9442.0</v>
      </c>
      <c r="B9443" s="5" t="s">
        <v>9927</v>
      </c>
      <c r="C9443" s="5" t="s">
        <v>21</v>
      </c>
      <c r="N9443" s="9">
        <v>44567.0</v>
      </c>
    </row>
    <row r="9444">
      <c r="A9444" s="5">
        <v>9443.0</v>
      </c>
      <c r="B9444" s="5" t="s">
        <v>9928</v>
      </c>
      <c r="C9444" s="5" t="s">
        <v>21</v>
      </c>
      <c r="N9444" s="9">
        <v>44519.0</v>
      </c>
    </row>
    <row r="9445">
      <c r="A9445" s="5">
        <v>9444.0</v>
      </c>
      <c r="B9445" s="5" t="s">
        <v>9929</v>
      </c>
      <c r="C9445" s="5" t="s">
        <v>21</v>
      </c>
      <c r="K9445" s="5">
        <v>600.0</v>
      </c>
      <c r="N9445" s="9">
        <v>43867.0</v>
      </c>
    </row>
    <row r="9446">
      <c r="A9446" s="5">
        <v>9445.0</v>
      </c>
      <c r="B9446" s="5" t="s">
        <v>9930</v>
      </c>
      <c r="C9446" s="5" t="s">
        <v>21</v>
      </c>
      <c r="K9446" s="5">
        <v>4900.0</v>
      </c>
      <c r="N9446" s="9">
        <v>43912.0</v>
      </c>
    </row>
    <row r="9447">
      <c r="A9447" s="5">
        <v>9446.0</v>
      </c>
      <c r="B9447" s="5" t="s">
        <v>9931</v>
      </c>
      <c r="C9447" s="5" t="s">
        <v>21</v>
      </c>
      <c r="K9447" s="5">
        <v>2300.0</v>
      </c>
      <c r="N9447" s="9">
        <v>44666.0</v>
      </c>
    </row>
    <row r="9448">
      <c r="A9448" s="5">
        <v>9447.0</v>
      </c>
      <c r="B9448" s="5" t="s">
        <v>9932</v>
      </c>
      <c r="C9448" s="5" t="s">
        <v>21</v>
      </c>
      <c r="K9448" s="5">
        <v>800.0</v>
      </c>
      <c r="N9448" s="9">
        <v>44846.0</v>
      </c>
    </row>
    <row r="9449">
      <c r="A9449" s="5">
        <v>9448.0</v>
      </c>
      <c r="B9449" s="5" t="s">
        <v>9933</v>
      </c>
      <c r="C9449" s="5" t="s">
        <v>21</v>
      </c>
      <c r="K9449" s="5">
        <v>1900.0</v>
      </c>
      <c r="N9449" s="9">
        <v>44090.0</v>
      </c>
    </row>
    <row r="9450">
      <c r="A9450" s="5">
        <v>9449.0</v>
      </c>
      <c r="B9450" s="5" t="s">
        <v>9934</v>
      </c>
      <c r="C9450" s="5" t="s">
        <v>21</v>
      </c>
      <c r="K9450" s="5">
        <v>250.0</v>
      </c>
      <c r="N9450" s="9">
        <v>45369.0</v>
      </c>
    </row>
    <row r="9451">
      <c r="A9451" s="5">
        <v>9450.0</v>
      </c>
      <c r="B9451" s="5" t="s">
        <v>9935</v>
      </c>
      <c r="C9451" s="5" t="s">
        <v>21</v>
      </c>
      <c r="K9451" s="5">
        <v>150.0</v>
      </c>
      <c r="N9451" s="9">
        <v>45104.0</v>
      </c>
    </row>
    <row r="9452">
      <c r="A9452" s="5">
        <v>9451.0</v>
      </c>
      <c r="B9452" s="5" t="s">
        <v>9936</v>
      </c>
      <c r="C9452" s="5" t="s">
        <v>21</v>
      </c>
      <c r="K9452" s="5">
        <v>200.0</v>
      </c>
      <c r="N9452" s="9">
        <v>44145.0</v>
      </c>
    </row>
    <row r="9453">
      <c r="A9453" s="5">
        <v>9452.0</v>
      </c>
      <c r="B9453" s="5" t="s">
        <v>9937</v>
      </c>
      <c r="C9453" s="5" t="s">
        <v>21</v>
      </c>
      <c r="K9453" s="5">
        <v>50.0</v>
      </c>
      <c r="N9453" s="9">
        <v>44250.0</v>
      </c>
    </row>
    <row r="9454">
      <c r="A9454" s="5">
        <v>9453.0</v>
      </c>
      <c r="B9454" s="5" t="s">
        <v>9938</v>
      </c>
      <c r="C9454" s="5" t="s">
        <v>21</v>
      </c>
      <c r="K9454" s="5">
        <v>4100.0</v>
      </c>
      <c r="N9454" s="9">
        <v>44323.0</v>
      </c>
    </row>
    <row r="9455">
      <c r="A9455" s="5">
        <v>9454.0</v>
      </c>
      <c r="B9455" s="5" t="s">
        <v>9939</v>
      </c>
      <c r="C9455" s="5" t="s">
        <v>21</v>
      </c>
      <c r="K9455" s="5">
        <v>400.0</v>
      </c>
      <c r="N9455" s="9">
        <v>44547.0</v>
      </c>
    </row>
    <row r="9456">
      <c r="A9456" s="5">
        <v>9455.0</v>
      </c>
      <c r="B9456" s="5" t="s">
        <v>9940</v>
      </c>
      <c r="C9456" s="5" t="s">
        <v>21</v>
      </c>
      <c r="K9456" s="5">
        <v>30.0</v>
      </c>
      <c r="N9456" s="9">
        <v>44671.0</v>
      </c>
    </row>
    <row r="9457">
      <c r="A9457" s="5">
        <v>9456.0</v>
      </c>
      <c r="B9457" s="5" t="s">
        <v>9941</v>
      </c>
      <c r="C9457" s="5" t="s">
        <v>21</v>
      </c>
      <c r="K9457" s="5">
        <v>400.0</v>
      </c>
      <c r="N9457" s="9">
        <v>44817.0</v>
      </c>
    </row>
    <row r="9458">
      <c r="A9458" s="5">
        <v>9457.0</v>
      </c>
      <c r="B9458" s="5" t="s">
        <v>9942</v>
      </c>
      <c r="C9458" s="5" t="s">
        <v>21</v>
      </c>
      <c r="K9458" s="5">
        <v>30.0</v>
      </c>
      <c r="N9458" s="9">
        <v>44115.0</v>
      </c>
    </row>
    <row r="9459">
      <c r="A9459" s="5">
        <v>9458.0</v>
      </c>
      <c r="B9459" s="5" t="s">
        <v>9943</v>
      </c>
      <c r="C9459" s="5" t="s">
        <v>21</v>
      </c>
      <c r="K9459" s="5">
        <v>1000.0</v>
      </c>
      <c r="N9459" s="9">
        <v>44282.0</v>
      </c>
    </row>
    <row r="9460">
      <c r="A9460" s="5">
        <v>9459.0</v>
      </c>
      <c r="B9460" s="5" t="s">
        <v>9944</v>
      </c>
      <c r="C9460" s="5" t="s">
        <v>21</v>
      </c>
      <c r="K9460" s="5">
        <v>70.0</v>
      </c>
      <c r="N9460" s="9">
        <v>45148.0</v>
      </c>
    </row>
    <row r="9461">
      <c r="A9461" s="5">
        <v>9460.0</v>
      </c>
      <c r="B9461" s="5" t="s">
        <v>9945</v>
      </c>
      <c r="C9461" s="5" t="s">
        <v>21</v>
      </c>
      <c r="K9461" s="5">
        <v>150.0</v>
      </c>
      <c r="N9461" s="9">
        <v>45250.0</v>
      </c>
    </row>
    <row r="9462">
      <c r="A9462" s="5">
        <v>9461.0</v>
      </c>
      <c r="B9462" s="5" t="s">
        <v>9946</v>
      </c>
      <c r="C9462" s="5" t="s">
        <v>21</v>
      </c>
      <c r="K9462" s="5">
        <v>400.0</v>
      </c>
      <c r="N9462" s="9">
        <v>44554.0</v>
      </c>
    </row>
    <row r="9463">
      <c r="A9463" s="5">
        <v>9462.0</v>
      </c>
      <c r="B9463" s="5" t="s">
        <v>9947</v>
      </c>
      <c r="C9463" s="5" t="s">
        <v>21</v>
      </c>
      <c r="K9463" s="5">
        <v>800.0</v>
      </c>
      <c r="N9463" s="9">
        <v>44515.0</v>
      </c>
    </row>
    <row r="9464">
      <c r="A9464" s="5">
        <v>9463.0</v>
      </c>
      <c r="B9464" s="5" t="s">
        <v>9948</v>
      </c>
      <c r="C9464" s="5" t="s">
        <v>21</v>
      </c>
      <c r="K9464" s="5">
        <v>40000.0</v>
      </c>
      <c r="N9464" s="9">
        <v>44887.0</v>
      </c>
    </row>
    <row r="9465">
      <c r="A9465" s="5">
        <v>9464.0</v>
      </c>
      <c r="B9465" s="5" t="s">
        <v>9949</v>
      </c>
      <c r="C9465" s="5" t="s">
        <v>21</v>
      </c>
      <c r="K9465" s="5">
        <v>400.0</v>
      </c>
      <c r="N9465" s="9">
        <v>44536.0</v>
      </c>
    </row>
    <row r="9466">
      <c r="A9466" s="5">
        <v>9465.0</v>
      </c>
      <c r="B9466" s="5" t="s">
        <v>9950</v>
      </c>
      <c r="C9466" s="5" t="s">
        <v>21</v>
      </c>
      <c r="K9466" s="5">
        <v>4300.0</v>
      </c>
      <c r="N9466" s="9">
        <v>44241.0</v>
      </c>
    </row>
    <row r="9467">
      <c r="A9467" s="5">
        <v>9466.0</v>
      </c>
      <c r="B9467" s="5" t="s">
        <v>9951</v>
      </c>
      <c r="C9467" s="5" t="s">
        <v>21</v>
      </c>
      <c r="K9467" s="5">
        <v>1100.0</v>
      </c>
      <c r="N9467" s="9">
        <v>44582.0</v>
      </c>
    </row>
    <row r="9468">
      <c r="A9468" s="5">
        <v>9467.0</v>
      </c>
      <c r="B9468" s="5" t="s">
        <v>9952</v>
      </c>
      <c r="C9468" s="5" t="s">
        <v>21</v>
      </c>
      <c r="K9468" s="5">
        <v>300.0</v>
      </c>
      <c r="N9468" s="9">
        <v>44366.0</v>
      </c>
    </row>
    <row r="9469">
      <c r="A9469" s="5">
        <v>9468.0</v>
      </c>
      <c r="B9469" s="5" t="s">
        <v>9953</v>
      </c>
      <c r="C9469" s="5" t="s">
        <v>21</v>
      </c>
      <c r="K9469" s="5">
        <v>900.0</v>
      </c>
      <c r="N9469" s="9">
        <v>43843.0</v>
      </c>
    </row>
    <row r="9470">
      <c r="A9470" s="5">
        <v>9469.0</v>
      </c>
      <c r="B9470" s="5" t="s">
        <v>9954</v>
      </c>
      <c r="C9470" s="5" t="s">
        <v>21</v>
      </c>
      <c r="K9470" s="5">
        <v>60.0</v>
      </c>
      <c r="N9470" s="9">
        <v>44567.0</v>
      </c>
    </row>
    <row r="9471">
      <c r="A9471" s="5">
        <v>9470.0</v>
      </c>
      <c r="B9471" s="5" t="s">
        <v>332</v>
      </c>
      <c r="C9471" s="5" t="s">
        <v>21</v>
      </c>
      <c r="K9471" s="5">
        <v>10000.0</v>
      </c>
      <c r="N9471" s="9">
        <v>43881.0</v>
      </c>
    </row>
    <row r="9472">
      <c r="A9472" s="5">
        <v>9471.0</v>
      </c>
      <c r="B9472" s="5" t="s">
        <v>9955</v>
      </c>
      <c r="C9472" s="5" t="s">
        <v>21</v>
      </c>
      <c r="K9472" s="5">
        <v>1000.0</v>
      </c>
      <c r="N9472" s="9">
        <v>43839.0</v>
      </c>
    </row>
    <row r="9473">
      <c r="A9473" s="5">
        <v>9472.0</v>
      </c>
      <c r="B9473" s="5" t="s">
        <v>9956</v>
      </c>
      <c r="C9473" s="5" t="s">
        <v>21</v>
      </c>
      <c r="K9473" s="5">
        <v>400.0</v>
      </c>
      <c r="N9473" s="9">
        <v>44542.0</v>
      </c>
    </row>
    <row r="9474">
      <c r="A9474" s="5">
        <v>9473.0</v>
      </c>
      <c r="B9474" s="5" t="s">
        <v>9957</v>
      </c>
      <c r="C9474" s="5" t="s">
        <v>21</v>
      </c>
      <c r="K9474" s="5">
        <v>200.0</v>
      </c>
      <c r="N9474" s="9">
        <v>45186.0</v>
      </c>
    </row>
    <row r="9475">
      <c r="A9475" s="5">
        <v>9474.0</v>
      </c>
      <c r="B9475" s="5" t="s">
        <v>9958</v>
      </c>
      <c r="C9475" s="5" t="s">
        <v>21</v>
      </c>
      <c r="K9475" s="5">
        <v>20.0</v>
      </c>
      <c r="N9475" s="9">
        <v>44701.0</v>
      </c>
    </row>
    <row r="9476">
      <c r="A9476" s="5">
        <v>9475.0</v>
      </c>
      <c r="B9476" s="5" t="s">
        <v>9959</v>
      </c>
      <c r="C9476" s="5" t="s">
        <v>21</v>
      </c>
      <c r="K9476" s="5">
        <v>150.0</v>
      </c>
      <c r="N9476" s="9">
        <v>45182.0</v>
      </c>
    </row>
    <row r="9477">
      <c r="A9477" s="5">
        <v>9476.0</v>
      </c>
      <c r="B9477" s="5" t="s">
        <v>9960</v>
      </c>
      <c r="C9477" s="5" t="s">
        <v>21</v>
      </c>
      <c r="K9477" s="5">
        <v>600.0</v>
      </c>
      <c r="N9477" s="9">
        <v>43870.0</v>
      </c>
    </row>
    <row r="9478">
      <c r="A9478" s="5">
        <v>9477.0</v>
      </c>
      <c r="B9478" s="5" t="s">
        <v>9961</v>
      </c>
      <c r="C9478" s="5" t="s">
        <v>21</v>
      </c>
      <c r="K9478" s="5">
        <v>200.0</v>
      </c>
      <c r="N9478" s="9">
        <v>44523.0</v>
      </c>
    </row>
    <row r="9479">
      <c r="A9479" s="5">
        <v>9478.0</v>
      </c>
      <c r="B9479" s="5" t="s">
        <v>9962</v>
      </c>
      <c r="C9479" s="5" t="s">
        <v>21</v>
      </c>
      <c r="K9479" s="5">
        <v>10.0</v>
      </c>
      <c r="N9479" s="9">
        <v>44608.0</v>
      </c>
    </row>
    <row r="9480">
      <c r="A9480" s="5">
        <v>9479.0</v>
      </c>
      <c r="B9480" s="5" t="s">
        <v>9963</v>
      </c>
      <c r="C9480" s="5" t="s">
        <v>21</v>
      </c>
      <c r="K9480" s="5">
        <v>200.0</v>
      </c>
      <c r="N9480" s="9">
        <v>44281.0</v>
      </c>
    </row>
    <row r="9481">
      <c r="A9481" s="5">
        <v>9480.0</v>
      </c>
      <c r="B9481" s="5" t="s">
        <v>9964</v>
      </c>
      <c r="C9481" s="5" t="s">
        <v>21</v>
      </c>
      <c r="K9481" s="5">
        <v>150.0</v>
      </c>
      <c r="N9481" s="9">
        <v>44007.0</v>
      </c>
    </row>
    <row r="9482">
      <c r="A9482" s="5">
        <v>9481.0</v>
      </c>
      <c r="B9482" s="5" t="s">
        <v>9965</v>
      </c>
      <c r="C9482" s="5" t="s">
        <v>21</v>
      </c>
      <c r="K9482" s="5">
        <v>450.0</v>
      </c>
      <c r="N9482" s="9">
        <v>44356.0</v>
      </c>
    </row>
    <row r="9483">
      <c r="A9483" s="5">
        <v>9482.0</v>
      </c>
      <c r="B9483" s="5" t="s">
        <v>9966</v>
      </c>
      <c r="C9483" s="5" t="s">
        <v>21</v>
      </c>
      <c r="K9483" s="5">
        <v>400.0</v>
      </c>
      <c r="N9483" s="9">
        <v>44686.0</v>
      </c>
    </row>
    <row r="9484">
      <c r="A9484" s="5">
        <v>9483.0</v>
      </c>
      <c r="B9484" s="5" t="s">
        <v>9967</v>
      </c>
      <c r="C9484" s="5" t="s">
        <v>21</v>
      </c>
      <c r="K9484" s="5">
        <v>350.0</v>
      </c>
      <c r="N9484" s="9">
        <v>44617.0</v>
      </c>
    </row>
    <row r="9485">
      <c r="A9485" s="5">
        <v>9484.0</v>
      </c>
      <c r="B9485" s="5" t="s">
        <v>9968</v>
      </c>
      <c r="C9485" s="5" t="s">
        <v>21</v>
      </c>
      <c r="K9485" s="5">
        <v>200.0</v>
      </c>
      <c r="N9485" s="9">
        <v>44346.0</v>
      </c>
    </row>
    <row r="9486">
      <c r="A9486" s="5">
        <v>9485.0</v>
      </c>
      <c r="B9486" s="5" t="s">
        <v>9969</v>
      </c>
      <c r="C9486" s="5" t="s">
        <v>21</v>
      </c>
      <c r="K9486" s="5">
        <v>450.0</v>
      </c>
      <c r="N9486" s="9">
        <v>43929.0</v>
      </c>
    </row>
    <row r="9487">
      <c r="A9487" s="5">
        <v>9486.0</v>
      </c>
      <c r="B9487" s="5" t="s">
        <v>9970</v>
      </c>
      <c r="C9487" s="5" t="s">
        <v>21</v>
      </c>
      <c r="K9487" s="5">
        <v>4300.0</v>
      </c>
      <c r="N9487" s="9">
        <v>43889.0</v>
      </c>
    </row>
    <row r="9488">
      <c r="A9488" s="5">
        <v>9487.0</v>
      </c>
      <c r="B9488" s="5" t="s">
        <v>9971</v>
      </c>
      <c r="C9488" s="5" t="s">
        <v>21</v>
      </c>
      <c r="K9488" s="5">
        <v>250.0</v>
      </c>
      <c r="N9488" s="9">
        <v>44097.0</v>
      </c>
    </row>
    <row r="9489">
      <c r="A9489" s="5">
        <v>9488.0</v>
      </c>
      <c r="B9489" s="5" t="s">
        <v>9972</v>
      </c>
      <c r="C9489" s="5" t="s">
        <v>21</v>
      </c>
      <c r="K9489" s="5">
        <v>80.0</v>
      </c>
      <c r="N9489" s="9">
        <v>44679.0</v>
      </c>
    </row>
    <row r="9490">
      <c r="A9490" s="5">
        <v>9489.0</v>
      </c>
      <c r="B9490" s="5" t="s">
        <v>9973</v>
      </c>
      <c r="C9490" s="5" t="s">
        <v>21</v>
      </c>
      <c r="N9490" s="9">
        <v>43850.0</v>
      </c>
    </row>
    <row r="9491">
      <c r="A9491" s="5">
        <v>9490.0</v>
      </c>
      <c r="B9491" s="5" t="s">
        <v>9974</v>
      </c>
      <c r="C9491" s="5" t="s">
        <v>21</v>
      </c>
      <c r="K9491" s="5">
        <v>600.0</v>
      </c>
      <c r="N9491" s="9">
        <v>43876.0</v>
      </c>
    </row>
    <row r="9492">
      <c r="A9492" s="5">
        <v>9491.0</v>
      </c>
      <c r="B9492" s="5" t="s">
        <v>9975</v>
      </c>
      <c r="C9492" s="5" t="s">
        <v>21</v>
      </c>
      <c r="K9492" s="5">
        <v>400.0</v>
      </c>
      <c r="N9492" s="9">
        <v>44668.0</v>
      </c>
    </row>
    <row r="9493">
      <c r="A9493" s="5">
        <v>9492.0</v>
      </c>
      <c r="B9493" s="5" t="s">
        <v>9976</v>
      </c>
      <c r="C9493" s="5" t="s">
        <v>21</v>
      </c>
      <c r="K9493" s="5">
        <v>400.0</v>
      </c>
      <c r="N9493" s="9">
        <v>44543.0</v>
      </c>
    </row>
    <row r="9494">
      <c r="A9494" s="5">
        <v>9493.0</v>
      </c>
      <c r="B9494" s="5" t="s">
        <v>9977</v>
      </c>
      <c r="C9494" s="5" t="s">
        <v>21</v>
      </c>
      <c r="K9494" s="5">
        <v>700.0</v>
      </c>
      <c r="N9494" s="9">
        <v>44131.0</v>
      </c>
    </row>
    <row r="9495">
      <c r="A9495" s="5">
        <v>9494.0</v>
      </c>
      <c r="B9495" s="5" t="s">
        <v>9978</v>
      </c>
      <c r="C9495" s="5" t="s">
        <v>21</v>
      </c>
      <c r="K9495" s="5">
        <v>3600.0</v>
      </c>
      <c r="N9495" s="9">
        <v>43845.0</v>
      </c>
    </row>
    <row r="9496">
      <c r="A9496" s="5">
        <v>9495.0</v>
      </c>
      <c r="B9496" s="5" t="s">
        <v>9979</v>
      </c>
      <c r="C9496" s="5" t="s">
        <v>21</v>
      </c>
      <c r="K9496" s="5">
        <v>1200.0</v>
      </c>
      <c r="N9496" s="9">
        <v>44591.0</v>
      </c>
    </row>
    <row r="9497">
      <c r="A9497" s="5">
        <v>9496.0</v>
      </c>
      <c r="B9497" s="5" t="s">
        <v>9980</v>
      </c>
      <c r="C9497" s="5" t="s">
        <v>21</v>
      </c>
      <c r="K9497" s="5">
        <v>30.0</v>
      </c>
      <c r="N9497" s="9">
        <v>44462.0</v>
      </c>
    </row>
    <row r="9498">
      <c r="A9498" s="5">
        <v>9497.0</v>
      </c>
      <c r="B9498" s="5" t="s">
        <v>9981</v>
      </c>
      <c r="C9498" s="5" t="s">
        <v>21</v>
      </c>
      <c r="K9498" s="5">
        <v>60.0</v>
      </c>
      <c r="N9498" s="9">
        <v>44498.0</v>
      </c>
    </row>
    <row r="9499">
      <c r="A9499" s="5">
        <v>9498.0</v>
      </c>
      <c r="B9499" s="5" t="s">
        <v>9982</v>
      </c>
      <c r="C9499" s="5" t="s">
        <v>21</v>
      </c>
      <c r="K9499" s="5">
        <v>2700.0</v>
      </c>
      <c r="N9499" s="9">
        <v>44440.0</v>
      </c>
    </row>
    <row r="9500">
      <c r="A9500" s="5">
        <v>9499.0</v>
      </c>
      <c r="B9500" s="5" t="s">
        <v>9983</v>
      </c>
      <c r="C9500" s="5" t="s">
        <v>21</v>
      </c>
      <c r="K9500" s="5">
        <v>250.0</v>
      </c>
      <c r="N9500" s="9">
        <v>44733.0</v>
      </c>
    </row>
    <row r="9501">
      <c r="A9501" s="5">
        <v>9500.0</v>
      </c>
      <c r="B9501" s="5" t="s">
        <v>9984</v>
      </c>
      <c r="C9501" s="5" t="s">
        <v>21</v>
      </c>
      <c r="K9501" s="5">
        <v>200.0</v>
      </c>
      <c r="N9501" s="9">
        <v>45444.0</v>
      </c>
    </row>
    <row r="9502">
      <c r="A9502" s="5">
        <v>9501.0</v>
      </c>
      <c r="B9502" s="5" t="s">
        <v>9985</v>
      </c>
      <c r="C9502" s="5" t="s">
        <v>21</v>
      </c>
      <c r="K9502" s="5">
        <v>60.0</v>
      </c>
      <c r="N9502" s="9">
        <v>45080.0</v>
      </c>
    </row>
    <row r="9503">
      <c r="A9503" s="5">
        <v>9502.0</v>
      </c>
      <c r="B9503" s="5" t="s">
        <v>318</v>
      </c>
      <c r="C9503" s="5" t="s">
        <v>21</v>
      </c>
      <c r="K9503" s="5">
        <v>20.0</v>
      </c>
      <c r="N9503" s="9">
        <v>43846.0</v>
      </c>
    </row>
    <row r="9504">
      <c r="A9504" s="5">
        <v>9503.0</v>
      </c>
      <c r="B9504" s="5" t="s">
        <v>9986</v>
      </c>
      <c r="C9504" s="5" t="s">
        <v>21</v>
      </c>
      <c r="K9504" s="5">
        <v>300.0</v>
      </c>
      <c r="N9504" s="9">
        <v>44579.0</v>
      </c>
    </row>
    <row r="9505">
      <c r="A9505" s="5">
        <v>9504.0</v>
      </c>
      <c r="B9505" s="5" t="s">
        <v>9987</v>
      </c>
      <c r="C9505" s="5" t="s">
        <v>21</v>
      </c>
      <c r="K9505" s="5">
        <v>90.0</v>
      </c>
      <c r="N9505" s="9">
        <v>44030.0</v>
      </c>
    </row>
    <row r="9506">
      <c r="A9506" s="5">
        <v>9505.0</v>
      </c>
      <c r="B9506" s="5" t="s">
        <v>9988</v>
      </c>
      <c r="C9506" s="5" t="s">
        <v>21</v>
      </c>
      <c r="K9506" s="5">
        <v>200.0</v>
      </c>
      <c r="N9506" s="9">
        <v>45579.0</v>
      </c>
    </row>
    <row r="9507">
      <c r="A9507" s="5">
        <v>9506.0</v>
      </c>
      <c r="B9507" s="5" t="s">
        <v>9989</v>
      </c>
      <c r="C9507" s="5" t="s">
        <v>21</v>
      </c>
      <c r="K9507" s="5">
        <v>400.0</v>
      </c>
      <c r="N9507" s="9">
        <v>44529.0</v>
      </c>
    </row>
    <row r="9508">
      <c r="A9508" s="5">
        <v>9507.0</v>
      </c>
      <c r="B9508" s="5" t="s">
        <v>9990</v>
      </c>
      <c r="C9508" s="5" t="s">
        <v>21</v>
      </c>
      <c r="K9508" s="5">
        <v>2400.0</v>
      </c>
      <c r="N9508" s="9">
        <v>44540.0</v>
      </c>
    </row>
    <row r="9509">
      <c r="A9509" s="5">
        <v>9508.0</v>
      </c>
      <c r="B9509" s="5" t="s">
        <v>9991</v>
      </c>
      <c r="C9509" s="5" t="s">
        <v>21</v>
      </c>
      <c r="K9509" s="5">
        <v>1000.0</v>
      </c>
      <c r="N9509" s="9">
        <v>44003.0</v>
      </c>
    </row>
    <row r="9510">
      <c r="A9510" s="5">
        <v>9509.0</v>
      </c>
      <c r="B9510" s="5" t="s">
        <v>9992</v>
      </c>
      <c r="C9510" s="5" t="s">
        <v>21</v>
      </c>
      <c r="K9510" s="5">
        <v>300.0</v>
      </c>
      <c r="N9510" s="9">
        <v>45416.0</v>
      </c>
    </row>
    <row r="9511">
      <c r="A9511" s="5">
        <v>9510.0</v>
      </c>
      <c r="B9511" s="5" t="s">
        <v>9993</v>
      </c>
      <c r="C9511" s="5" t="s">
        <v>21</v>
      </c>
      <c r="K9511" s="5">
        <v>50.0</v>
      </c>
      <c r="N9511" s="9">
        <v>44454.0</v>
      </c>
    </row>
    <row r="9512">
      <c r="A9512" s="5">
        <v>9511.0</v>
      </c>
      <c r="B9512" s="5" t="s">
        <v>9994</v>
      </c>
      <c r="C9512" s="5" t="s">
        <v>21</v>
      </c>
      <c r="K9512" s="5">
        <v>300.0</v>
      </c>
      <c r="N9512" s="9">
        <v>44533.0</v>
      </c>
    </row>
    <row r="9513">
      <c r="A9513" s="5">
        <v>9512.0</v>
      </c>
      <c r="B9513" s="5" t="s">
        <v>9995</v>
      </c>
      <c r="C9513" s="5" t="s">
        <v>21</v>
      </c>
      <c r="K9513" s="5">
        <v>150.0</v>
      </c>
      <c r="N9513" s="9">
        <v>44565.0</v>
      </c>
    </row>
    <row r="9514">
      <c r="A9514" s="5">
        <v>9513.0</v>
      </c>
      <c r="B9514" s="5" t="s">
        <v>9996</v>
      </c>
      <c r="C9514" s="5" t="s">
        <v>21</v>
      </c>
      <c r="K9514" s="5">
        <v>500.0</v>
      </c>
      <c r="N9514" s="9">
        <v>44474.0</v>
      </c>
    </row>
    <row r="9515">
      <c r="A9515" s="5">
        <v>9514.0</v>
      </c>
      <c r="B9515" s="5" t="s">
        <v>9997</v>
      </c>
      <c r="C9515" s="5" t="s">
        <v>21</v>
      </c>
      <c r="K9515" s="5">
        <v>250.0</v>
      </c>
      <c r="N9515" s="9">
        <v>44553.0</v>
      </c>
    </row>
    <row r="9516">
      <c r="A9516" s="5">
        <v>9515.0</v>
      </c>
      <c r="B9516" s="5" t="s">
        <v>9998</v>
      </c>
      <c r="C9516" s="5" t="s">
        <v>21</v>
      </c>
      <c r="K9516" s="5">
        <v>500.0</v>
      </c>
      <c r="N9516" s="9">
        <v>45139.0</v>
      </c>
    </row>
    <row r="9517">
      <c r="A9517" s="5">
        <v>9516.0</v>
      </c>
      <c r="B9517" s="5" t="s">
        <v>9999</v>
      </c>
      <c r="C9517" s="5" t="s">
        <v>21</v>
      </c>
      <c r="K9517" s="5">
        <v>20.0</v>
      </c>
      <c r="N9517" s="9">
        <v>44544.0</v>
      </c>
    </row>
    <row r="9518">
      <c r="A9518" s="5">
        <v>9517.0</v>
      </c>
      <c r="B9518" s="5" t="s">
        <v>10000</v>
      </c>
      <c r="C9518" s="5" t="s">
        <v>21</v>
      </c>
      <c r="K9518" s="5">
        <v>800.0</v>
      </c>
      <c r="N9518" s="9">
        <v>44572.0</v>
      </c>
    </row>
    <row r="9519">
      <c r="A9519" s="5">
        <v>9518.0</v>
      </c>
      <c r="B9519" s="5" t="s">
        <v>10001</v>
      </c>
      <c r="C9519" s="5" t="s">
        <v>21</v>
      </c>
      <c r="K9519" s="5">
        <v>800.0</v>
      </c>
      <c r="N9519" s="9">
        <v>44534.0</v>
      </c>
    </row>
    <row r="9520">
      <c r="A9520" s="5">
        <v>9519.0</v>
      </c>
      <c r="B9520" s="5" t="s">
        <v>10002</v>
      </c>
      <c r="C9520" s="5" t="s">
        <v>21</v>
      </c>
      <c r="K9520" s="5">
        <v>500.0</v>
      </c>
      <c r="N9520" s="9">
        <v>44939.0</v>
      </c>
    </row>
    <row r="9521">
      <c r="A9521" s="5">
        <v>9520.0</v>
      </c>
      <c r="B9521" s="5" t="s">
        <v>10003</v>
      </c>
      <c r="C9521" s="5" t="s">
        <v>21</v>
      </c>
      <c r="K9521" s="5">
        <v>200.0</v>
      </c>
      <c r="N9521" s="9">
        <v>44519.0</v>
      </c>
    </row>
    <row r="9522">
      <c r="A9522" s="5">
        <v>9521.0</v>
      </c>
      <c r="B9522" s="5" t="s">
        <v>10004</v>
      </c>
      <c r="C9522" s="5" t="s">
        <v>21</v>
      </c>
      <c r="K9522" s="5">
        <v>250.0</v>
      </c>
      <c r="N9522" s="9">
        <v>45306.0</v>
      </c>
    </row>
    <row r="9523">
      <c r="A9523" s="5">
        <v>9522.0</v>
      </c>
      <c r="B9523" s="5" t="s">
        <v>10005</v>
      </c>
      <c r="C9523" s="5" t="s">
        <v>21</v>
      </c>
      <c r="K9523" s="5">
        <v>150.0</v>
      </c>
      <c r="N9523" s="9">
        <v>44547.0</v>
      </c>
    </row>
    <row r="9524">
      <c r="A9524" s="5">
        <v>9523.0</v>
      </c>
      <c r="B9524" s="5" t="s">
        <v>10006</v>
      </c>
      <c r="C9524" s="5" t="s">
        <v>21</v>
      </c>
      <c r="K9524" s="5">
        <v>10.0</v>
      </c>
      <c r="N9524" s="9">
        <v>44535.0</v>
      </c>
    </row>
    <row r="9525">
      <c r="A9525" s="5">
        <v>9524.0</v>
      </c>
      <c r="B9525" s="5" t="s">
        <v>10007</v>
      </c>
      <c r="C9525" s="5" t="s">
        <v>21</v>
      </c>
      <c r="K9525" s="5">
        <v>1000.0</v>
      </c>
      <c r="N9525" s="9">
        <v>44351.0</v>
      </c>
    </row>
    <row r="9526">
      <c r="A9526" s="5">
        <v>9525.0</v>
      </c>
      <c r="B9526" s="5" t="s">
        <v>10008</v>
      </c>
      <c r="C9526" s="5" t="s">
        <v>21</v>
      </c>
      <c r="K9526" s="5">
        <v>13000.0</v>
      </c>
      <c r="N9526" s="9">
        <v>45581.0</v>
      </c>
    </row>
    <row r="9527">
      <c r="A9527" s="5">
        <v>9526.0</v>
      </c>
      <c r="B9527" s="5" t="s">
        <v>10009</v>
      </c>
      <c r="C9527" s="5" t="s">
        <v>21</v>
      </c>
      <c r="K9527" s="5">
        <v>200.0</v>
      </c>
      <c r="N9527" s="9">
        <v>45500.0</v>
      </c>
    </row>
    <row r="9528">
      <c r="A9528" s="5">
        <v>9527.0</v>
      </c>
      <c r="B9528" s="5" t="s">
        <v>10010</v>
      </c>
      <c r="C9528" s="5" t="s">
        <v>21</v>
      </c>
      <c r="K9528" s="5">
        <v>50.0</v>
      </c>
      <c r="N9528" s="9">
        <v>44661.0</v>
      </c>
    </row>
    <row r="9529">
      <c r="A9529" s="5">
        <v>9528.0</v>
      </c>
      <c r="B9529" s="5" t="s">
        <v>10011</v>
      </c>
      <c r="C9529" s="5" t="s">
        <v>21</v>
      </c>
      <c r="K9529" s="5">
        <v>1000.0</v>
      </c>
      <c r="N9529" s="9">
        <v>44611.0</v>
      </c>
    </row>
    <row r="9530">
      <c r="A9530" s="5">
        <v>9529.0</v>
      </c>
      <c r="B9530" s="5" t="s">
        <v>10012</v>
      </c>
      <c r="C9530" s="5" t="s">
        <v>21</v>
      </c>
      <c r="K9530" s="5">
        <v>500.0</v>
      </c>
      <c r="N9530" s="9">
        <v>44190.0</v>
      </c>
    </row>
    <row r="9531">
      <c r="A9531" s="5">
        <v>9530.0</v>
      </c>
      <c r="B9531" s="5" t="s">
        <v>10013</v>
      </c>
      <c r="C9531" s="5" t="s">
        <v>21</v>
      </c>
      <c r="K9531" s="5">
        <v>400.0</v>
      </c>
      <c r="N9531" s="9">
        <v>44383.0</v>
      </c>
    </row>
    <row r="9532">
      <c r="A9532" s="5">
        <v>9531.0</v>
      </c>
      <c r="B9532" s="5" t="s">
        <v>10014</v>
      </c>
      <c r="C9532" s="5" t="s">
        <v>21</v>
      </c>
      <c r="K9532" s="5">
        <v>600.0</v>
      </c>
      <c r="N9532" s="9">
        <v>44721.0</v>
      </c>
    </row>
    <row r="9533">
      <c r="A9533" s="5">
        <v>9532.0</v>
      </c>
      <c r="B9533" s="5" t="s">
        <v>10015</v>
      </c>
      <c r="C9533" s="5" t="s">
        <v>21</v>
      </c>
      <c r="K9533" s="5">
        <v>8600.0</v>
      </c>
      <c r="N9533" s="9">
        <v>43840.0</v>
      </c>
    </row>
    <row r="9534">
      <c r="A9534" s="5">
        <v>9533.0</v>
      </c>
      <c r="B9534" s="5" t="s">
        <v>10016</v>
      </c>
      <c r="C9534" s="5" t="s">
        <v>21</v>
      </c>
      <c r="K9534" s="5">
        <v>500.0</v>
      </c>
      <c r="N9534" s="9">
        <v>44537.0</v>
      </c>
    </row>
    <row r="9535">
      <c r="A9535" s="5">
        <v>9534.0</v>
      </c>
      <c r="B9535" s="5" t="s">
        <v>10017</v>
      </c>
      <c r="C9535" s="5" t="s">
        <v>21</v>
      </c>
      <c r="K9535" s="5">
        <v>3300.0</v>
      </c>
      <c r="N9535" s="9">
        <v>43855.0</v>
      </c>
    </row>
    <row r="9536">
      <c r="A9536" s="5">
        <v>9535.0</v>
      </c>
      <c r="B9536" s="5" t="s">
        <v>10018</v>
      </c>
      <c r="C9536" s="5" t="s">
        <v>21</v>
      </c>
      <c r="K9536" s="5">
        <v>700.0</v>
      </c>
      <c r="N9536" s="9">
        <v>44263.0</v>
      </c>
    </row>
    <row r="9537">
      <c r="A9537" s="5">
        <v>9536.0</v>
      </c>
      <c r="B9537" s="5" t="s">
        <v>10019</v>
      </c>
      <c r="C9537" s="5" t="s">
        <v>21</v>
      </c>
      <c r="K9537" s="5">
        <v>400.0</v>
      </c>
      <c r="N9537" s="9">
        <v>44877.0</v>
      </c>
    </row>
    <row r="9538">
      <c r="A9538" s="5">
        <v>9537.0</v>
      </c>
      <c r="B9538" s="5" t="s">
        <v>10020</v>
      </c>
      <c r="C9538" s="5" t="s">
        <v>21</v>
      </c>
      <c r="K9538" s="5">
        <v>300.0</v>
      </c>
      <c r="N9538" s="9">
        <v>44470.0</v>
      </c>
    </row>
    <row r="9539">
      <c r="A9539" s="5">
        <v>9538.0</v>
      </c>
      <c r="B9539" s="5" t="s">
        <v>10021</v>
      </c>
      <c r="C9539" s="5" t="s">
        <v>21</v>
      </c>
      <c r="K9539" s="5">
        <v>600.0</v>
      </c>
      <c r="N9539" s="9">
        <v>44562.0</v>
      </c>
    </row>
    <row r="9540">
      <c r="A9540" s="5">
        <v>9539.0</v>
      </c>
      <c r="B9540" s="5" t="s">
        <v>10022</v>
      </c>
      <c r="C9540" s="5" t="s">
        <v>21</v>
      </c>
      <c r="K9540" s="5">
        <v>100.0</v>
      </c>
      <c r="N9540" s="9">
        <v>45301.0</v>
      </c>
    </row>
    <row r="9541">
      <c r="A9541" s="5">
        <v>9540.0</v>
      </c>
      <c r="B9541" s="5" t="s">
        <v>10023</v>
      </c>
      <c r="C9541" s="5" t="s">
        <v>21</v>
      </c>
      <c r="K9541" s="5">
        <v>800.0</v>
      </c>
      <c r="N9541" s="9">
        <v>44077.0</v>
      </c>
    </row>
    <row r="9542">
      <c r="A9542" s="5">
        <v>9541.0</v>
      </c>
      <c r="B9542" s="5" t="s">
        <v>10024</v>
      </c>
      <c r="C9542" s="5" t="s">
        <v>21</v>
      </c>
      <c r="K9542" s="5">
        <v>600.0</v>
      </c>
      <c r="N9542" s="9">
        <v>44375.0</v>
      </c>
    </row>
    <row r="9543">
      <c r="A9543" s="5">
        <v>9542.0</v>
      </c>
      <c r="B9543" s="5" t="s">
        <v>10025</v>
      </c>
      <c r="C9543" s="5" t="s">
        <v>21</v>
      </c>
      <c r="K9543" s="5">
        <v>30.0</v>
      </c>
      <c r="N9543" s="9">
        <v>44705.0</v>
      </c>
    </row>
    <row r="9544">
      <c r="A9544" s="5">
        <v>9543.0</v>
      </c>
      <c r="B9544" s="5" t="s">
        <v>10026</v>
      </c>
      <c r="C9544" s="5" t="s">
        <v>21</v>
      </c>
      <c r="K9544" s="5">
        <v>1400.0</v>
      </c>
      <c r="N9544" s="9">
        <v>44744.0</v>
      </c>
    </row>
    <row r="9545">
      <c r="A9545" s="5">
        <v>9544.0</v>
      </c>
      <c r="B9545" s="5" t="s">
        <v>10027</v>
      </c>
      <c r="C9545" s="5" t="s">
        <v>21</v>
      </c>
      <c r="N9545" s="9">
        <v>44524.0</v>
      </c>
    </row>
    <row r="9546">
      <c r="A9546" s="5">
        <v>9545.0</v>
      </c>
      <c r="B9546" s="5" t="s">
        <v>10028</v>
      </c>
      <c r="C9546" s="5" t="s">
        <v>21</v>
      </c>
      <c r="K9546" s="5">
        <v>350.0</v>
      </c>
      <c r="N9546" s="9">
        <v>44682.0</v>
      </c>
    </row>
    <row r="9547">
      <c r="A9547" s="5">
        <v>9546.0</v>
      </c>
      <c r="B9547" s="5" t="s">
        <v>10029</v>
      </c>
      <c r="C9547" s="5" t="s">
        <v>21</v>
      </c>
      <c r="K9547" s="5">
        <v>90.0</v>
      </c>
      <c r="N9547" s="9">
        <v>45458.0</v>
      </c>
    </row>
    <row r="9548">
      <c r="A9548" s="5">
        <v>9547.0</v>
      </c>
      <c r="B9548" s="5" t="s">
        <v>10030</v>
      </c>
      <c r="C9548" s="5" t="s">
        <v>21</v>
      </c>
      <c r="K9548" s="5">
        <v>1300.0</v>
      </c>
      <c r="N9548" s="9">
        <v>43989.0</v>
      </c>
    </row>
    <row r="9549">
      <c r="A9549" s="5">
        <v>9548.0</v>
      </c>
      <c r="B9549" s="5" t="s">
        <v>10031</v>
      </c>
      <c r="C9549" s="5" t="s">
        <v>21</v>
      </c>
      <c r="K9549" s="5">
        <v>200.0</v>
      </c>
      <c r="N9549" s="9">
        <v>44613.0</v>
      </c>
    </row>
    <row r="9550">
      <c r="A9550" s="5">
        <v>9549.0</v>
      </c>
      <c r="B9550" s="5" t="s">
        <v>10032</v>
      </c>
      <c r="C9550" s="5" t="s">
        <v>21</v>
      </c>
      <c r="K9550" s="5">
        <v>150.0</v>
      </c>
      <c r="N9550" s="9">
        <v>44356.0</v>
      </c>
    </row>
    <row r="9551">
      <c r="A9551" s="5">
        <v>9550.0</v>
      </c>
      <c r="B9551" s="5" t="s">
        <v>10033</v>
      </c>
      <c r="C9551" s="5" t="s">
        <v>21</v>
      </c>
      <c r="K9551" s="5">
        <v>900.0</v>
      </c>
      <c r="N9551" s="9">
        <v>44093.0</v>
      </c>
    </row>
    <row r="9552">
      <c r="A9552" s="5">
        <v>9551.0</v>
      </c>
      <c r="B9552" s="5" t="s">
        <v>10034</v>
      </c>
      <c r="C9552" s="5" t="s">
        <v>21</v>
      </c>
      <c r="K9552" s="5">
        <v>250.0</v>
      </c>
      <c r="N9552" s="9">
        <v>45296.0</v>
      </c>
    </row>
    <row r="9553">
      <c r="A9553" s="5">
        <v>9552.0</v>
      </c>
      <c r="B9553" s="5" t="s">
        <v>10035</v>
      </c>
      <c r="C9553" s="5" t="s">
        <v>21</v>
      </c>
      <c r="K9553" s="5">
        <v>200.0</v>
      </c>
      <c r="N9553" s="9">
        <v>44975.0</v>
      </c>
    </row>
    <row r="9554">
      <c r="A9554" s="5">
        <v>9553.0</v>
      </c>
      <c r="B9554" s="5" t="s">
        <v>10036</v>
      </c>
      <c r="C9554" s="5" t="s">
        <v>21</v>
      </c>
      <c r="K9554" s="5">
        <v>250.0</v>
      </c>
      <c r="N9554" s="9">
        <v>45670.0</v>
      </c>
    </row>
    <row r="9555">
      <c r="A9555" s="5">
        <v>9554.0</v>
      </c>
      <c r="B9555" s="5" t="s">
        <v>10037</v>
      </c>
      <c r="C9555" s="5" t="s">
        <v>21</v>
      </c>
      <c r="K9555" s="5">
        <v>30.0</v>
      </c>
      <c r="N9555" s="9">
        <v>44829.0</v>
      </c>
    </row>
    <row r="9556">
      <c r="A9556" s="5">
        <v>9555.0</v>
      </c>
      <c r="B9556" s="5" t="s">
        <v>10038</v>
      </c>
      <c r="C9556" s="5" t="s">
        <v>21</v>
      </c>
      <c r="K9556" s="5">
        <v>1800.0</v>
      </c>
      <c r="N9556" s="9">
        <v>43926.0</v>
      </c>
    </row>
    <row r="9557">
      <c r="A9557" s="5">
        <v>9556.0</v>
      </c>
      <c r="B9557" s="5" t="s">
        <v>10039</v>
      </c>
      <c r="C9557" s="5" t="s">
        <v>21</v>
      </c>
      <c r="K9557" s="5">
        <v>20.0</v>
      </c>
      <c r="N9557" s="9">
        <v>45082.0</v>
      </c>
    </row>
    <row r="9558">
      <c r="A9558" s="5">
        <v>9557.0</v>
      </c>
      <c r="B9558" s="5" t="s">
        <v>10040</v>
      </c>
      <c r="C9558" s="5" t="s">
        <v>21</v>
      </c>
      <c r="K9558" s="5">
        <v>3500.0</v>
      </c>
      <c r="N9558" s="9">
        <v>45516.0</v>
      </c>
    </row>
    <row r="9559">
      <c r="A9559" s="5">
        <v>9558.0</v>
      </c>
      <c r="B9559" s="5" t="s">
        <v>10041</v>
      </c>
      <c r="C9559" s="5" t="s">
        <v>21</v>
      </c>
      <c r="K9559" s="5">
        <v>150.0</v>
      </c>
      <c r="N9559" s="9">
        <v>43914.0</v>
      </c>
    </row>
    <row r="9560">
      <c r="A9560" s="5">
        <v>9559.0</v>
      </c>
      <c r="B9560" s="5" t="s">
        <v>10042</v>
      </c>
      <c r="C9560" s="5" t="s">
        <v>21</v>
      </c>
      <c r="K9560" s="5">
        <v>250.0</v>
      </c>
      <c r="N9560" s="9">
        <v>44847.0</v>
      </c>
    </row>
    <row r="9561">
      <c r="A9561" s="5">
        <v>9560.0</v>
      </c>
      <c r="B9561" s="5" t="s">
        <v>10043</v>
      </c>
      <c r="C9561" s="5" t="s">
        <v>21</v>
      </c>
      <c r="K9561" s="5">
        <v>90.0</v>
      </c>
      <c r="N9561" s="9">
        <v>44837.0</v>
      </c>
    </row>
    <row r="9562">
      <c r="A9562" s="5">
        <v>9561.0</v>
      </c>
      <c r="B9562" s="5" t="s">
        <v>10044</v>
      </c>
      <c r="C9562" s="5" t="s">
        <v>21</v>
      </c>
      <c r="K9562" s="5">
        <v>400.0</v>
      </c>
      <c r="N9562" s="9">
        <v>44550.0</v>
      </c>
    </row>
    <row r="9563">
      <c r="A9563" s="5">
        <v>9562.0</v>
      </c>
      <c r="B9563" s="5" t="s">
        <v>10045</v>
      </c>
      <c r="C9563" s="5" t="s">
        <v>21</v>
      </c>
      <c r="K9563" s="5">
        <v>150.0</v>
      </c>
      <c r="N9563" s="9">
        <v>44522.0</v>
      </c>
    </row>
    <row r="9564">
      <c r="A9564" s="5">
        <v>9563.0</v>
      </c>
      <c r="B9564" s="5" t="s">
        <v>10046</v>
      </c>
      <c r="C9564" s="5" t="s">
        <v>21</v>
      </c>
      <c r="K9564" s="5">
        <v>300.0</v>
      </c>
      <c r="N9564" s="9">
        <v>44237.0</v>
      </c>
    </row>
    <row r="9565">
      <c r="A9565" s="5">
        <v>9564.0</v>
      </c>
      <c r="B9565" s="5" t="s">
        <v>10047</v>
      </c>
      <c r="C9565" s="5" t="s">
        <v>21</v>
      </c>
      <c r="N9565" s="9">
        <v>45231.0</v>
      </c>
    </row>
    <row r="9566">
      <c r="A9566" s="5">
        <v>9565.0</v>
      </c>
      <c r="B9566" s="5" t="s">
        <v>10048</v>
      </c>
      <c r="C9566" s="5" t="s">
        <v>21</v>
      </c>
      <c r="K9566" s="5">
        <v>450.0</v>
      </c>
      <c r="N9566" s="9">
        <v>44606.0</v>
      </c>
    </row>
    <row r="9567">
      <c r="A9567" s="5">
        <v>9566.0</v>
      </c>
      <c r="B9567" s="5" t="s">
        <v>10049</v>
      </c>
      <c r="C9567" s="5" t="s">
        <v>21</v>
      </c>
      <c r="N9567" s="9">
        <v>44607.0</v>
      </c>
    </row>
    <row r="9568">
      <c r="A9568" s="5">
        <v>9567.0</v>
      </c>
      <c r="B9568" s="5" t="s">
        <v>10050</v>
      </c>
      <c r="C9568" s="5" t="s">
        <v>21</v>
      </c>
      <c r="K9568" s="5">
        <v>350.0</v>
      </c>
      <c r="N9568" s="9">
        <v>44385.0</v>
      </c>
    </row>
    <row r="9569">
      <c r="A9569" s="5">
        <v>9568.0</v>
      </c>
      <c r="B9569" s="5" t="s">
        <v>10051</v>
      </c>
      <c r="C9569" s="5" t="s">
        <v>21</v>
      </c>
      <c r="K9569" s="5">
        <v>600.0</v>
      </c>
      <c r="N9569" s="9">
        <v>44593.0</v>
      </c>
    </row>
    <row r="9570">
      <c r="A9570" s="5">
        <v>9569.0</v>
      </c>
      <c r="B9570" s="5" t="s">
        <v>10052</v>
      </c>
      <c r="C9570" s="5" t="s">
        <v>21</v>
      </c>
      <c r="K9570" s="5">
        <v>500.0</v>
      </c>
      <c r="N9570" s="9">
        <v>44557.0</v>
      </c>
    </row>
    <row r="9571">
      <c r="A9571" s="5">
        <v>9570.0</v>
      </c>
      <c r="B9571" s="5" t="s">
        <v>10053</v>
      </c>
      <c r="C9571" s="5" t="s">
        <v>21</v>
      </c>
      <c r="K9571" s="5">
        <v>40.0</v>
      </c>
      <c r="N9571" s="9">
        <v>44115.0</v>
      </c>
    </row>
    <row r="9572">
      <c r="A9572" s="5">
        <v>9571.0</v>
      </c>
      <c r="B9572" s="5" t="s">
        <v>10054</v>
      </c>
      <c r="C9572" s="5" t="s">
        <v>21</v>
      </c>
      <c r="K9572" s="5">
        <v>600.0</v>
      </c>
      <c r="N9572" s="9">
        <v>44906.0</v>
      </c>
    </row>
    <row r="9573">
      <c r="A9573" s="5">
        <v>9572.0</v>
      </c>
      <c r="B9573" s="5" t="s">
        <v>10055</v>
      </c>
      <c r="C9573" s="5" t="s">
        <v>21</v>
      </c>
      <c r="K9573" s="5">
        <v>250.0</v>
      </c>
      <c r="N9573" s="9">
        <v>44619.0</v>
      </c>
    </row>
    <row r="9574">
      <c r="A9574" s="5">
        <v>9573.0</v>
      </c>
      <c r="B9574" s="5" t="s">
        <v>10056</v>
      </c>
      <c r="C9574" s="5" t="s">
        <v>21</v>
      </c>
      <c r="K9574" s="5">
        <v>200.0</v>
      </c>
      <c r="N9574" s="9">
        <v>44350.0</v>
      </c>
    </row>
    <row r="9575">
      <c r="A9575" s="5">
        <v>9574.0</v>
      </c>
      <c r="B9575" s="5" t="s">
        <v>10057</v>
      </c>
      <c r="C9575" s="5" t="s">
        <v>21</v>
      </c>
      <c r="K9575" s="5">
        <v>150.0</v>
      </c>
      <c r="N9575" s="9">
        <v>45096.0</v>
      </c>
    </row>
    <row r="9576">
      <c r="A9576" s="5">
        <v>9575.0</v>
      </c>
      <c r="B9576" s="5" t="s">
        <v>10058</v>
      </c>
      <c r="C9576" s="5" t="s">
        <v>21</v>
      </c>
      <c r="K9576" s="5">
        <v>4000.0</v>
      </c>
      <c r="N9576" s="9">
        <v>44419.0</v>
      </c>
    </row>
    <row r="9577">
      <c r="A9577" s="5">
        <v>9576.0</v>
      </c>
      <c r="B9577" s="5" t="s">
        <v>10059</v>
      </c>
      <c r="C9577" s="5" t="s">
        <v>21</v>
      </c>
      <c r="K9577" s="5">
        <v>3600.0</v>
      </c>
      <c r="N9577" s="9">
        <v>45173.0</v>
      </c>
    </row>
    <row r="9578">
      <c r="A9578" s="5">
        <v>9577.0</v>
      </c>
      <c r="B9578" s="5" t="s">
        <v>10060</v>
      </c>
      <c r="C9578" s="5" t="s">
        <v>21</v>
      </c>
      <c r="K9578" s="5">
        <v>250.0</v>
      </c>
      <c r="N9578" s="9">
        <v>44095.0</v>
      </c>
    </row>
    <row r="9579">
      <c r="A9579" s="5">
        <v>9578.0</v>
      </c>
      <c r="B9579" s="5" t="s">
        <v>10061</v>
      </c>
      <c r="C9579" s="5" t="s">
        <v>21</v>
      </c>
      <c r="K9579" s="5">
        <v>2700.0</v>
      </c>
      <c r="N9579" s="9">
        <v>44833.0</v>
      </c>
    </row>
    <row r="9580">
      <c r="A9580" s="5">
        <v>9579.0</v>
      </c>
      <c r="B9580" s="5" t="s">
        <v>10062</v>
      </c>
      <c r="C9580" s="5" t="s">
        <v>21</v>
      </c>
      <c r="K9580" s="5">
        <v>600.0</v>
      </c>
      <c r="N9580" s="9">
        <v>44317.0</v>
      </c>
    </row>
    <row r="9581">
      <c r="A9581" s="5">
        <v>9580.0</v>
      </c>
      <c r="B9581" s="5" t="s">
        <v>10063</v>
      </c>
      <c r="C9581" s="5" t="s">
        <v>21</v>
      </c>
      <c r="K9581" s="5">
        <v>10.0</v>
      </c>
      <c r="N9581" s="9">
        <v>44429.0</v>
      </c>
    </row>
    <row r="9582">
      <c r="A9582" s="5">
        <v>9581.0</v>
      </c>
      <c r="B9582" s="5" t="s">
        <v>10064</v>
      </c>
      <c r="C9582" s="5" t="s">
        <v>21</v>
      </c>
      <c r="K9582" s="5">
        <v>4300.0</v>
      </c>
      <c r="N9582" s="9">
        <v>44259.0</v>
      </c>
    </row>
    <row r="9583">
      <c r="A9583" s="5">
        <v>9582.0</v>
      </c>
      <c r="B9583" s="5" t="s">
        <v>10065</v>
      </c>
      <c r="C9583" s="5" t="s">
        <v>21</v>
      </c>
      <c r="K9583" s="5">
        <v>600.0</v>
      </c>
      <c r="N9583" s="9">
        <v>44701.0</v>
      </c>
    </row>
    <row r="9584">
      <c r="A9584" s="5">
        <v>9583.0</v>
      </c>
      <c r="B9584" s="5" t="s">
        <v>10066</v>
      </c>
      <c r="C9584" s="5" t="s">
        <v>21</v>
      </c>
      <c r="K9584" s="5">
        <v>1500.0</v>
      </c>
      <c r="N9584" s="9">
        <v>43842.0</v>
      </c>
    </row>
    <row r="9585">
      <c r="A9585" s="5">
        <v>9584.0</v>
      </c>
      <c r="B9585" s="5" t="s">
        <v>10067</v>
      </c>
      <c r="C9585" s="5" t="s">
        <v>21</v>
      </c>
      <c r="K9585" s="5">
        <v>1700.0</v>
      </c>
      <c r="N9585" s="9">
        <v>43983.0</v>
      </c>
    </row>
    <row r="9586">
      <c r="A9586" s="5">
        <v>9585.0</v>
      </c>
      <c r="B9586" s="5" t="s">
        <v>10068</v>
      </c>
      <c r="C9586" s="5" t="s">
        <v>21</v>
      </c>
      <c r="K9586" s="5">
        <v>6900.0</v>
      </c>
      <c r="N9586" s="9">
        <v>43909.0</v>
      </c>
    </row>
    <row r="9587">
      <c r="A9587" s="5">
        <v>9586.0</v>
      </c>
      <c r="B9587" s="5" t="s">
        <v>10069</v>
      </c>
      <c r="C9587" s="5" t="s">
        <v>21</v>
      </c>
      <c r="K9587" s="5">
        <v>1000.0</v>
      </c>
      <c r="N9587" s="9">
        <v>44261.0</v>
      </c>
    </row>
    <row r="9588">
      <c r="A9588" s="5">
        <v>9587.0</v>
      </c>
      <c r="B9588" s="5" t="s">
        <v>10070</v>
      </c>
      <c r="C9588" s="5" t="s">
        <v>21</v>
      </c>
      <c r="K9588" s="5">
        <v>200.0</v>
      </c>
      <c r="N9588" s="9">
        <v>44702.0</v>
      </c>
    </row>
    <row r="9589">
      <c r="A9589" s="5">
        <v>9588.0</v>
      </c>
      <c r="B9589" s="5" t="s">
        <v>10071</v>
      </c>
      <c r="C9589" s="5" t="s">
        <v>21</v>
      </c>
      <c r="K9589" s="5">
        <v>90.0</v>
      </c>
      <c r="N9589" s="9">
        <v>44789.0</v>
      </c>
    </row>
    <row r="9590">
      <c r="A9590" s="5">
        <v>9589.0</v>
      </c>
      <c r="B9590" s="5" t="s">
        <v>10072</v>
      </c>
      <c r="C9590" s="5" t="s">
        <v>21</v>
      </c>
      <c r="K9590" s="5">
        <v>10.0</v>
      </c>
      <c r="N9590" s="9">
        <v>45075.0</v>
      </c>
    </row>
    <row r="9591">
      <c r="A9591" s="5">
        <v>9590.0</v>
      </c>
      <c r="B9591" s="5" t="s">
        <v>10073</v>
      </c>
      <c r="C9591" s="5" t="s">
        <v>21</v>
      </c>
      <c r="K9591" s="5">
        <v>150.0</v>
      </c>
      <c r="N9591" s="9">
        <v>44293.0</v>
      </c>
    </row>
    <row r="9592">
      <c r="A9592" s="5">
        <v>9591.0</v>
      </c>
      <c r="B9592" s="5" t="s">
        <v>10074</v>
      </c>
      <c r="C9592" s="5" t="s">
        <v>21</v>
      </c>
      <c r="K9592" s="5">
        <v>7800.0</v>
      </c>
      <c r="N9592" s="9">
        <v>44034.0</v>
      </c>
    </row>
    <row r="9593">
      <c r="A9593" s="5">
        <v>9592.0</v>
      </c>
      <c r="B9593" s="5" t="s">
        <v>10075</v>
      </c>
      <c r="C9593" s="5" t="s">
        <v>21</v>
      </c>
      <c r="K9593" s="5">
        <v>100.0</v>
      </c>
      <c r="N9593" s="9">
        <v>45440.0</v>
      </c>
    </row>
    <row r="9594">
      <c r="A9594" s="5">
        <v>9593.0</v>
      </c>
      <c r="B9594" s="5" t="s">
        <v>10076</v>
      </c>
      <c r="C9594" s="5" t="s">
        <v>21</v>
      </c>
      <c r="K9594" s="5">
        <v>2300.0</v>
      </c>
      <c r="N9594" s="9">
        <v>44207.0</v>
      </c>
    </row>
    <row r="9595">
      <c r="A9595" s="5">
        <v>9594.0</v>
      </c>
      <c r="B9595" s="5" t="s">
        <v>10077</v>
      </c>
      <c r="C9595" s="5" t="s">
        <v>21</v>
      </c>
      <c r="K9595" s="5">
        <v>150.0</v>
      </c>
      <c r="N9595" s="9">
        <v>44926.0</v>
      </c>
    </row>
    <row r="9596">
      <c r="A9596" s="5">
        <v>9595.0</v>
      </c>
      <c r="B9596" s="5" t="s">
        <v>10078</v>
      </c>
      <c r="C9596" s="5" t="s">
        <v>21</v>
      </c>
      <c r="K9596" s="5">
        <v>450.0</v>
      </c>
      <c r="N9596" s="9">
        <v>43979.0</v>
      </c>
    </row>
    <row r="9597">
      <c r="A9597" s="5">
        <v>9596.0</v>
      </c>
      <c r="B9597" s="5" t="s">
        <v>10079</v>
      </c>
      <c r="C9597" s="5" t="s">
        <v>21</v>
      </c>
      <c r="K9597" s="5">
        <v>450.0</v>
      </c>
      <c r="N9597" s="9">
        <v>44556.0</v>
      </c>
    </row>
    <row r="9598">
      <c r="A9598" s="5">
        <v>9597.0</v>
      </c>
      <c r="B9598" s="5" t="s">
        <v>10080</v>
      </c>
      <c r="C9598" s="5" t="s">
        <v>21</v>
      </c>
      <c r="K9598" s="5">
        <v>1700.0</v>
      </c>
      <c r="N9598" s="9">
        <v>44495.0</v>
      </c>
    </row>
    <row r="9599">
      <c r="A9599" s="5">
        <v>9598.0</v>
      </c>
      <c r="B9599" s="5" t="s">
        <v>10081</v>
      </c>
      <c r="C9599" s="5" t="s">
        <v>21</v>
      </c>
      <c r="K9599" s="5">
        <v>200.0</v>
      </c>
      <c r="N9599" s="9">
        <v>45002.0</v>
      </c>
    </row>
    <row r="9600">
      <c r="A9600" s="5">
        <v>9599.0</v>
      </c>
      <c r="B9600" s="5" t="s">
        <v>10082</v>
      </c>
      <c r="C9600" s="5" t="s">
        <v>21</v>
      </c>
      <c r="K9600" s="5">
        <v>30.0</v>
      </c>
      <c r="N9600" s="9">
        <v>44643.0</v>
      </c>
    </row>
    <row r="9601">
      <c r="A9601" s="5">
        <v>9600.0</v>
      </c>
      <c r="B9601" s="5" t="s">
        <v>10083</v>
      </c>
      <c r="C9601" s="5" t="s">
        <v>21</v>
      </c>
      <c r="K9601" s="5">
        <v>250.0</v>
      </c>
      <c r="N9601" s="9">
        <v>44463.0</v>
      </c>
    </row>
    <row r="9602">
      <c r="A9602" s="5">
        <v>9601.0</v>
      </c>
      <c r="B9602" s="5" t="s">
        <v>10084</v>
      </c>
      <c r="C9602" s="5" t="s">
        <v>21</v>
      </c>
      <c r="K9602" s="5">
        <v>1600.0</v>
      </c>
      <c r="N9602" s="9">
        <v>44538.0</v>
      </c>
    </row>
    <row r="9603">
      <c r="A9603" s="5">
        <v>9602.0</v>
      </c>
      <c r="B9603" s="5" t="s">
        <v>10085</v>
      </c>
      <c r="C9603" s="5" t="s">
        <v>21</v>
      </c>
      <c r="K9603" s="5">
        <v>800.0</v>
      </c>
      <c r="N9603" s="9">
        <v>45372.0</v>
      </c>
    </row>
    <row r="9604">
      <c r="A9604" s="5">
        <v>9603.0</v>
      </c>
      <c r="B9604" s="5" t="s">
        <v>10086</v>
      </c>
      <c r="C9604" s="5" t="s">
        <v>21</v>
      </c>
      <c r="K9604" s="5">
        <v>4800.0</v>
      </c>
      <c r="N9604" s="9">
        <v>44438.0</v>
      </c>
    </row>
    <row r="9605">
      <c r="A9605" s="5">
        <v>9604.0</v>
      </c>
      <c r="B9605" s="5" t="s">
        <v>10087</v>
      </c>
      <c r="C9605" s="5" t="s">
        <v>21</v>
      </c>
      <c r="K9605" s="5">
        <v>450.0</v>
      </c>
      <c r="N9605" s="9">
        <v>44560.0</v>
      </c>
    </row>
    <row r="9606">
      <c r="A9606" s="5">
        <v>9605.0</v>
      </c>
      <c r="B9606" s="5" t="s">
        <v>10088</v>
      </c>
      <c r="C9606" s="5" t="s">
        <v>21</v>
      </c>
      <c r="K9606" s="5">
        <v>300.0</v>
      </c>
      <c r="N9606" s="9">
        <v>44565.0</v>
      </c>
    </row>
    <row r="9607">
      <c r="A9607" s="5">
        <v>9606.0</v>
      </c>
      <c r="B9607" s="5" t="s">
        <v>10089</v>
      </c>
      <c r="C9607" s="5" t="s">
        <v>21</v>
      </c>
      <c r="K9607" s="5">
        <v>90.0</v>
      </c>
      <c r="N9607" s="9">
        <v>44802.0</v>
      </c>
    </row>
    <row r="9608">
      <c r="A9608" s="5">
        <v>9607.0</v>
      </c>
      <c r="B9608" s="5" t="s">
        <v>10090</v>
      </c>
      <c r="C9608" s="5" t="s">
        <v>21</v>
      </c>
      <c r="K9608" s="5">
        <v>1100.0</v>
      </c>
      <c r="N9608" s="9">
        <v>44735.0</v>
      </c>
    </row>
    <row r="9609">
      <c r="A9609" s="5">
        <v>9608.0</v>
      </c>
      <c r="B9609" s="5" t="s">
        <v>10091</v>
      </c>
      <c r="C9609" s="5" t="s">
        <v>21</v>
      </c>
      <c r="K9609" s="5">
        <v>150.0</v>
      </c>
      <c r="N9609" s="9">
        <v>44839.0</v>
      </c>
    </row>
    <row r="9610">
      <c r="A9610" s="5">
        <v>9609.0</v>
      </c>
      <c r="B9610" s="5" t="s">
        <v>10092</v>
      </c>
      <c r="C9610" s="5" t="s">
        <v>21</v>
      </c>
      <c r="K9610" s="5">
        <v>50.0</v>
      </c>
      <c r="N9610" s="9">
        <v>44058.0</v>
      </c>
    </row>
    <row r="9611">
      <c r="A9611" s="5">
        <v>9610.0</v>
      </c>
      <c r="B9611" s="5" t="s">
        <v>10093</v>
      </c>
      <c r="C9611" s="5" t="s">
        <v>21</v>
      </c>
      <c r="K9611" s="5">
        <v>90.0</v>
      </c>
      <c r="N9611" s="9">
        <v>44935.0</v>
      </c>
    </row>
    <row r="9612">
      <c r="A9612" s="5">
        <v>9611.0</v>
      </c>
      <c r="B9612" s="5" t="s">
        <v>10094</v>
      </c>
      <c r="C9612" s="5" t="s">
        <v>21</v>
      </c>
      <c r="K9612" s="5">
        <v>700.0</v>
      </c>
      <c r="N9612" s="9">
        <v>45301.0</v>
      </c>
    </row>
    <row r="9613">
      <c r="A9613" s="5">
        <v>9612.0</v>
      </c>
      <c r="B9613" s="5" t="s">
        <v>10095</v>
      </c>
      <c r="C9613" s="5" t="s">
        <v>21</v>
      </c>
      <c r="K9613" s="5">
        <v>10.0</v>
      </c>
      <c r="N9613" s="9">
        <v>44925.0</v>
      </c>
    </row>
    <row r="9614">
      <c r="A9614" s="5">
        <v>9613.0</v>
      </c>
      <c r="B9614" s="5" t="s">
        <v>10096</v>
      </c>
      <c r="C9614" s="5" t="s">
        <v>21</v>
      </c>
      <c r="K9614" s="5">
        <v>250.0</v>
      </c>
      <c r="N9614" s="9">
        <v>44532.0</v>
      </c>
    </row>
    <row r="9615">
      <c r="A9615" s="5">
        <v>9614.0</v>
      </c>
      <c r="B9615" s="5" t="s">
        <v>10097</v>
      </c>
      <c r="C9615" s="5" t="s">
        <v>21</v>
      </c>
      <c r="K9615" s="5">
        <v>20.0</v>
      </c>
      <c r="N9615" s="9">
        <v>45108.0</v>
      </c>
    </row>
    <row r="9616">
      <c r="A9616" s="5">
        <v>9615.0</v>
      </c>
      <c r="B9616" s="5" t="s">
        <v>10098</v>
      </c>
      <c r="C9616" s="5" t="s">
        <v>21</v>
      </c>
      <c r="K9616" s="5">
        <v>1200.0</v>
      </c>
      <c r="N9616" s="9">
        <v>44780.0</v>
      </c>
    </row>
    <row r="9617">
      <c r="A9617" s="5">
        <v>9616.0</v>
      </c>
      <c r="B9617" s="5" t="s">
        <v>10099</v>
      </c>
      <c r="C9617" s="5" t="s">
        <v>21</v>
      </c>
      <c r="K9617" s="5">
        <v>250.0</v>
      </c>
      <c r="N9617" s="9">
        <v>43919.0</v>
      </c>
    </row>
    <row r="9618">
      <c r="A9618" s="5">
        <v>9617.0</v>
      </c>
      <c r="B9618" s="5" t="s">
        <v>10100</v>
      </c>
      <c r="C9618" s="5" t="s">
        <v>21</v>
      </c>
      <c r="K9618" s="5">
        <v>10.0</v>
      </c>
      <c r="N9618" s="9">
        <v>44637.0</v>
      </c>
    </row>
    <row r="9619">
      <c r="A9619" s="5">
        <v>9618.0</v>
      </c>
      <c r="B9619" s="5" t="s">
        <v>10101</v>
      </c>
      <c r="C9619" s="5" t="s">
        <v>21</v>
      </c>
      <c r="K9619" s="5">
        <v>350.0</v>
      </c>
      <c r="N9619" s="9">
        <v>44687.0</v>
      </c>
    </row>
    <row r="9620">
      <c r="A9620" s="5">
        <v>9619.0</v>
      </c>
      <c r="B9620" s="5" t="s">
        <v>10102</v>
      </c>
      <c r="C9620" s="5" t="s">
        <v>21</v>
      </c>
      <c r="K9620" s="5">
        <v>300.0</v>
      </c>
      <c r="N9620" s="9">
        <v>44881.0</v>
      </c>
    </row>
    <row r="9621">
      <c r="A9621" s="5">
        <v>9620.0</v>
      </c>
      <c r="B9621" s="5" t="s">
        <v>10103</v>
      </c>
      <c r="C9621" s="5" t="s">
        <v>21</v>
      </c>
      <c r="K9621" s="5">
        <v>5400.0</v>
      </c>
      <c r="N9621" s="9">
        <v>44120.0</v>
      </c>
    </row>
    <row r="9622">
      <c r="A9622" s="5">
        <v>9621.0</v>
      </c>
      <c r="B9622" s="5" t="s">
        <v>10104</v>
      </c>
      <c r="C9622" s="5" t="s">
        <v>21</v>
      </c>
      <c r="K9622" s="5">
        <v>600.0</v>
      </c>
      <c r="N9622" s="9">
        <v>44462.0</v>
      </c>
    </row>
    <row r="9623">
      <c r="A9623" s="5">
        <v>9622.0</v>
      </c>
      <c r="B9623" s="5" t="s">
        <v>10105</v>
      </c>
      <c r="C9623" s="5" t="s">
        <v>21</v>
      </c>
      <c r="K9623" s="5">
        <v>4600.0</v>
      </c>
      <c r="N9623" s="9">
        <v>42767.0</v>
      </c>
    </row>
    <row r="9624">
      <c r="A9624" s="5">
        <v>9623.0</v>
      </c>
      <c r="B9624" s="5" t="s">
        <v>10106</v>
      </c>
      <c r="C9624" s="5" t="s">
        <v>21</v>
      </c>
      <c r="K9624" s="5">
        <v>50.0</v>
      </c>
      <c r="N9624" s="9">
        <v>44541.0</v>
      </c>
    </row>
    <row r="9625">
      <c r="A9625" s="5">
        <v>9624.0</v>
      </c>
      <c r="B9625" s="5" t="s">
        <v>10107</v>
      </c>
      <c r="C9625" s="5" t="s">
        <v>21</v>
      </c>
      <c r="K9625" s="5">
        <v>2500.0</v>
      </c>
      <c r="N9625" s="9">
        <v>45152.0</v>
      </c>
    </row>
    <row r="9626">
      <c r="A9626" s="5">
        <v>9625.0</v>
      </c>
      <c r="B9626" s="5" t="s">
        <v>10108</v>
      </c>
      <c r="C9626" s="5" t="s">
        <v>21</v>
      </c>
      <c r="K9626" s="5">
        <v>350.0</v>
      </c>
      <c r="N9626" s="9">
        <v>44564.0</v>
      </c>
    </row>
    <row r="9627">
      <c r="A9627" s="5">
        <v>9626.0</v>
      </c>
      <c r="B9627" s="5" t="s">
        <v>10109</v>
      </c>
      <c r="C9627" s="5" t="s">
        <v>21</v>
      </c>
      <c r="K9627" s="5">
        <v>150.0</v>
      </c>
      <c r="N9627" s="9">
        <v>44237.0</v>
      </c>
    </row>
    <row r="9628">
      <c r="A9628" s="5">
        <v>9627.0</v>
      </c>
      <c r="B9628" s="5" t="s">
        <v>10110</v>
      </c>
      <c r="C9628" s="5" t="s">
        <v>21</v>
      </c>
      <c r="K9628" s="5">
        <v>30.0</v>
      </c>
      <c r="N9628" s="9">
        <v>44701.0</v>
      </c>
    </row>
    <row r="9629">
      <c r="A9629" s="5">
        <v>9628.0</v>
      </c>
      <c r="B9629" s="5" t="s">
        <v>10111</v>
      </c>
      <c r="C9629" s="5" t="s">
        <v>21</v>
      </c>
      <c r="K9629" s="5">
        <v>1600.0</v>
      </c>
      <c r="N9629" s="9">
        <v>44551.0</v>
      </c>
    </row>
    <row r="9630">
      <c r="A9630" s="5">
        <v>9629.0</v>
      </c>
      <c r="B9630" s="5" t="s">
        <v>10112</v>
      </c>
      <c r="C9630" s="5" t="s">
        <v>21</v>
      </c>
      <c r="K9630" s="5">
        <v>700.0</v>
      </c>
      <c r="N9630" s="9">
        <v>44731.0</v>
      </c>
    </row>
    <row r="9631">
      <c r="A9631" s="5">
        <v>9630.0</v>
      </c>
      <c r="B9631" s="5" t="s">
        <v>10113</v>
      </c>
      <c r="C9631" s="5" t="s">
        <v>21</v>
      </c>
      <c r="K9631" s="5">
        <v>450.0</v>
      </c>
      <c r="N9631" s="9">
        <v>44538.0</v>
      </c>
    </row>
    <row r="9632">
      <c r="A9632" s="5">
        <v>9631.0</v>
      </c>
      <c r="B9632" s="5" t="s">
        <v>10114</v>
      </c>
      <c r="C9632" s="5" t="s">
        <v>21</v>
      </c>
      <c r="N9632" s="9">
        <v>45099.0</v>
      </c>
    </row>
    <row r="9633">
      <c r="A9633" s="5">
        <v>9632.0</v>
      </c>
      <c r="B9633" s="5" t="s">
        <v>10115</v>
      </c>
      <c r="C9633" s="5" t="s">
        <v>21</v>
      </c>
      <c r="K9633" s="5">
        <v>800.0</v>
      </c>
      <c r="N9633" s="9">
        <v>44429.0</v>
      </c>
    </row>
    <row r="9634">
      <c r="A9634" s="5">
        <v>9633.0</v>
      </c>
      <c r="B9634" s="5" t="s">
        <v>10116</v>
      </c>
      <c r="C9634" s="5" t="s">
        <v>21</v>
      </c>
      <c r="K9634" s="5">
        <v>50.0</v>
      </c>
      <c r="N9634" s="9">
        <v>44803.0</v>
      </c>
    </row>
    <row r="9635">
      <c r="A9635" s="5">
        <v>9634.0</v>
      </c>
      <c r="B9635" s="5" t="s">
        <v>10117</v>
      </c>
      <c r="C9635" s="5" t="s">
        <v>21</v>
      </c>
      <c r="K9635" s="5">
        <v>70.0</v>
      </c>
      <c r="N9635" s="9">
        <v>44234.0</v>
      </c>
    </row>
    <row r="9636">
      <c r="A9636" s="5">
        <v>9635.0</v>
      </c>
      <c r="B9636" s="5" t="s">
        <v>10118</v>
      </c>
      <c r="C9636" s="5" t="s">
        <v>21</v>
      </c>
      <c r="K9636" s="5">
        <v>250.0</v>
      </c>
      <c r="N9636" s="9">
        <v>44559.0</v>
      </c>
    </row>
    <row r="9637">
      <c r="A9637" s="5">
        <v>9636.0</v>
      </c>
      <c r="B9637" s="5" t="s">
        <v>321</v>
      </c>
      <c r="C9637" s="5" t="s">
        <v>21</v>
      </c>
      <c r="K9637" s="5">
        <v>40.0</v>
      </c>
      <c r="N9637" s="9">
        <v>44022.0</v>
      </c>
    </row>
    <row r="9638">
      <c r="A9638" s="5">
        <v>9637.0</v>
      </c>
      <c r="B9638" s="5" t="s">
        <v>10119</v>
      </c>
      <c r="C9638" s="5" t="s">
        <v>21</v>
      </c>
      <c r="K9638" s="5">
        <v>40.0</v>
      </c>
      <c r="N9638" s="9">
        <v>45225.0</v>
      </c>
    </row>
    <row r="9639">
      <c r="A9639" s="5">
        <v>9638.0</v>
      </c>
      <c r="B9639" s="5" t="s">
        <v>10120</v>
      </c>
      <c r="C9639" s="5" t="s">
        <v>21</v>
      </c>
      <c r="K9639" s="5">
        <v>70.0</v>
      </c>
      <c r="N9639" s="9">
        <v>43870.0</v>
      </c>
    </row>
    <row r="9640">
      <c r="A9640" s="5">
        <v>9639.0</v>
      </c>
      <c r="B9640" s="5" t="s">
        <v>10121</v>
      </c>
      <c r="C9640" s="5" t="s">
        <v>21</v>
      </c>
      <c r="K9640" s="5">
        <v>200.0</v>
      </c>
      <c r="N9640" s="9">
        <v>44687.0</v>
      </c>
    </row>
    <row r="9641">
      <c r="A9641" s="5">
        <v>9640.0</v>
      </c>
      <c r="B9641" s="5" t="s">
        <v>10122</v>
      </c>
      <c r="C9641" s="5" t="s">
        <v>21</v>
      </c>
      <c r="K9641" s="5">
        <v>300.0</v>
      </c>
      <c r="N9641" s="9">
        <v>44722.0</v>
      </c>
    </row>
    <row r="9642">
      <c r="A9642" s="5">
        <v>9641.0</v>
      </c>
      <c r="B9642" s="5" t="s">
        <v>10123</v>
      </c>
      <c r="C9642" s="5" t="s">
        <v>21</v>
      </c>
      <c r="N9642" s="9">
        <v>44537.0</v>
      </c>
    </row>
    <row r="9643">
      <c r="A9643" s="5">
        <v>9642.0</v>
      </c>
      <c r="B9643" s="5" t="s">
        <v>10124</v>
      </c>
      <c r="C9643" s="5" t="s">
        <v>21</v>
      </c>
      <c r="K9643" s="5">
        <v>150.0</v>
      </c>
      <c r="N9643" s="9">
        <v>44743.0</v>
      </c>
    </row>
    <row r="9644">
      <c r="A9644" s="5">
        <v>9643.0</v>
      </c>
      <c r="B9644" s="5" t="s">
        <v>10125</v>
      </c>
      <c r="C9644" s="5" t="s">
        <v>21</v>
      </c>
      <c r="K9644" s="5">
        <v>1000.0</v>
      </c>
      <c r="N9644" s="9">
        <v>44365.0</v>
      </c>
    </row>
    <row r="9645">
      <c r="A9645" s="5">
        <v>9644.0</v>
      </c>
      <c r="B9645" s="5" t="s">
        <v>10126</v>
      </c>
      <c r="C9645" s="5" t="s">
        <v>21</v>
      </c>
      <c r="K9645" s="5">
        <v>150.0</v>
      </c>
      <c r="N9645" s="9">
        <v>44897.0</v>
      </c>
    </row>
    <row r="9646">
      <c r="A9646" s="5">
        <v>9645.0</v>
      </c>
      <c r="B9646" s="5" t="s">
        <v>10127</v>
      </c>
      <c r="C9646" s="5" t="s">
        <v>21</v>
      </c>
      <c r="K9646" s="5">
        <v>1500.0</v>
      </c>
      <c r="N9646" s="9">
        <v>44710.0</v>
      </c>
    </row>
    <row r="9647">
      <c r="A9647" s="5">
        <v>9646.0</v>
      </c>
      <c r="B9647" s="5" t="s">
        <v>10128</v>
      </c>
      <c r="C9647" s="5" t="s">
        <v>21</v>
      </c>
      <c r="K9647" s="5">
        <v>80.0</v>
      </c>
      <c r="N9647" s="9">
        <v>45074.0</v>
      </c>
    </row>
    <row r="9648">
      <c r="A9648" s="5">
        <v>9647.0</v>
      </c>
      <c r="B9648" s="5" t="s">
        <v>10129</v>
      </c>
      <c r="C9648" s="5" t="s">
        <v>21</v>
      </c>
      <c r="K9648" s="5">
        <v>70.0</v>
      </c>
      <c r="N9648" s="9">
        <v>45564.0</v>
      </c>
    </row>
    <row r="9649">
      <c r="A9649" s="5">
        <v>9648.0</v>
      </c>
      <c r="B9649" s="5" t="s">
        <v>10130</v>
      </c>
      <c r="C9649" s="5" t="s">
        <v>21</v>
      </c>
      <c r="K9649" s="5">
        <v>500.0</v>
      </c>
      <c r="N9649" s="9">
        <v>45311.0</v>
      </c>
    </row>
    <row r="9650">
      <c r="A9650" s="5">
        <v>9649.0</v>
      </c>
      <c r="B9650" s="5" t="s">
        <v>10131</v>
      </c>
      <c r="C9650" s="5" t="s">
        <v>21</v>
      </c>
      <c r="K9650" s="5">
        <v>10.0</v>
      </c>
      <c r="N9650" s="9">
        <v>44566.0</v>
      </c>
    </row>
    <row r="9651">
      <c r="A9651" s="5">
        <v>9650.0</v>
      </c>
      <c r="B9651" s="5" t="s">
        <v>10132</v>
      </c>
      <c r="C9651" s="5" t="s">
        <v>21</v>
      </c>
      <c r="K9651" s="5">
        <v>350.0</v>
      </c>
      <c r="N9651" s="9">
        <v>44594.0</v>
      </c>
    </row>
    <row r="9652">
      <c r="A9652" s="5">
        <v>9651.0</v>
      </c>
      <c r="B9652" s="5" t="s">
        <v>10133</v>
      </c>
      <c r="C9652" s="5" t="s">
        <v>21</v>
      </c>
      <c r="K9652" s="5">
        <v>600.0</v>
      </c>
      <c r="N9652" s="9">
        <v>45405.0</v>
      </c>
    </row>
    <row r="9653">
      <c r="A9653" s="5">
        <v>9652.0</v>
      </c>
      <c r="B9653" s="5" t="s">
        <v>10134</v>
      </c>
      <c r="C9653" s="5" t="s">
        <v>21</v>
      </c>
      <c r="K9653" s="5">
        <v>250.0</v>
      </c>
      <c r="N9653" s="9">
        <v>45600.0</v>
      </c>
    </row>
    <row r="9654">
      <c r="A9654" s="5">
        <v>9653.0</v>
      </c>
      <c r="B9654" s="5" t="s">
        <v>10135</v>
      </c>
      <c r="C9654" s="5" t="s">
        <v>21</v>
      </c>
      <c r="K9654" s="5">
        <v>60.0</v>
      </c>
      <c r="N9654" s="9">
        <v>44881.0</v>
      </c>
    </row>
    <row r="9655">
      <c r="A9655" s="5">
        <v>9654.0</v>
      </c>
      <c r="B9655" s="5" t="s">
        <v>10136</v>
      </c>
      <c r="C9655" s="5" t="s">
        <v>21</v>
      </c>
      <c r="K9655" s="5">
        <v>600.0</v>
      </c>
      <c r="N9655" s="9">
        <v>44102.0</v>
      </c>
    </row>
    <row r="9656">
      <c r="A9656" s="5">
        <v>9655.0</v>
      </c>
      <c r="B9656" s="5" t="s">
        <v>10137</v>
      </c>
      <c r="C9656" s="5" t="s">
        <v>21</v>
      </c>
      <c r="K9656" s="5">
        <v>1000.0</v>
      </c>
      <c r="N9656" s="9">
        <v>44173.0</v>
      </c>
    </row>
    <row r="9657">
      <c r="A9657" s="5">
        <v>9656.0</v>
      </c>
      <c r="B9657" s="5" t="s">
        <v>10138</v>
      </c>
      <c r="C9657" s="5" t="s">
        <v>21</v>
      </c>
      <c r="K9657" s="5">
        <v>10.0</v>
      </c>
      <c r="N9657" s="9">
        <v>44759.0</v>
      </c>
    </row>
    <row r="9658">
      <c r="A9658" s="5">
        <v>9657.0</v>
      </c>
      <c r="B9658" s="5" t="s">
        <v>10139</v>
      </c>
      <c r="C9658" s="5" t="s">
        <v>21</v>
      </c>
      <c r="N9658" s="9">
        <v>44519.0</v>
      </c>
    </row>
    <row r="9659">
      <c r="A9659" s="5">
        <v>9658.0</v>
      </c>
      <c r="B9659" s="5" t="s">
        <v>10140</v>
      </c>
      <c r="C9659" s="5" t="s">
        <v>21</v>
      </c>
      <c r="K9659" s="5">
        <v>100.0</v>
      </c>
      <c r="N9659" s="9">
        <v>44581.0</v>
      </c>
    </row>
    <row r="9660">
      <c r="A9660" s="5">
        <v>9659.0</v>
      </c>
      <c r="B9660" s="5" t="s">
        <v>10141</v>
      </c>
      <c r="C9660" s="5" t="s">
        <v>21</v>
      </c>
      <c r="K9660" s="5">
        <v>2000.0</v>
      </c>
      <c r="N9660" s="9">
        <v>44027.0</v>
      </c>
    </row>
    <row r="9661">
      <c r="A9661" s="5">
        <v>9660.0</v>
      </c>
      <c r="B9661" s="5" t="s">
        <v>10142</v>
      </c>
      <c r="C9661" s="5" t="s">
        <v>21</v>
      </c>
      <c r="K9661" s="5">
        <v>10.0</v>
      </c>
      <c r="N9661" s="9">
        <v>44680.0</v>
      </c>
    </row>
    <row r="9662">
      <c r="A9662" s="5">
        <v>9661.0</v>
      </c>
      <c r="B9662" s="5" t="s">
        <v>10143</v>
      </c>
      <c r="C9662" s="5" t="s">
        <v>21</v>
      </c>
      <c r="K9662" s="5">
        <v>1000.0</v>
      </c>
      <c r="N9662" s="9">
        <v>44588.0</v>
      </c>
    </row>
    <row r="9663">
      <c r="A9663" s="5">
        <v>9662.0</v>
      </c>
      <c r="B9663" s="5" t="s">
        <v>324</v>
      </c>
      <c r="C9663" s="5" t="s">
        <v>21</v>
      </c>
      <c r="K9663" s="5">
        <v>200.0</v>
      </c>
      <c r="N9663" s="9">
        <v>44206.0</v>
      </c>
    </row>
    <row r="9664">
      <c r="A9664" s="5">
        <v>9663.0</v>
      </c>
      <c r="B9664" s="5" t="s">
        <v>10144</v>
      </c>
      <c r="C9664" s="5" t="s">
        <v>21</v>
      </c>
      <c r="K9664" s="5">
        <v>450.0</v>
      </c>
      <c r="N9664" s="9">
        <v>45080.0</v>
      </c>
    </row>
    <row r="9665">
      <c r="A9665" s="5">
        <v>9664.0</v>
      </c>
      <c r="B9665" s="5" t="s">
        <v>10145</v>
      </c>
      <c r="C9665" s="5" t="s">
        <v>21</v>
      </c>
      <c r="K9665" s="5">
        <v>150.0</v>
      </c>
      <c r="N9665" s="9">
        <v>44968.0</v>
      </c>
    </row>
    <row r="9666">
      <c r="A9666" s="5">
        <v>9665.0</v>
      </c>
      <c r="B9666" s="5" t="s">
        <v>10146</v>
      </c>
      <c r="C9666" s="5" t="s">
        <v>21</v>
      </c>
      <c r="K9666" s="5">
        <v>4500.0</v>
      </c>
      <c r="N9666" s="9">
        <v>44126.0</v>
      </c>
    </row>
    <row r="9667">
      <c r="A9667" s="5">
        <v>9666.0</v>
      </c>
      <c r="B9667" s="5" t="s">
        <v>10147</v>
      </c>
      <c r="C9667" s="5" t="s">
        <v>21</v>
      </c>
      <c r="N9667" s="9">
        <v>44530.0</v>
      </c>
    </row>
    <row r="9668">
      <c r="A9668" s="5">
        <v>9667.0</v>
      </c>
      <c r="B9668" s="5" t="s">
        <v>10148</v>
      </c>
      <c r="C9668" s="5" t="s">
        <v>21</v>
      </c>
      <c r="K9668" s="5">
        <v>150.0</v>
      </c>
      <c r="N9668" s="9">
        <v>44318.0</v>
      </c>
    </row>
    <row r="9669">
      <c r="A9669" s="5">
        <v>9668.0</v>
      </c>
      <c r="B9669" s="5" t="s">
        <v>10149</v>
      </c>
      <c r="C9669" s="5" t="s">
        <v>21</v>
      </c>
      <c r="K9669" s="5">
        <v>200.0</v>
      </c>
      <c r="N9669" s="9">
        <v>44521.0</v>
      </c>
    </row>
    <row r="9670">
      <c r="A9670" s="5">
        <v>9669.0</v>
      </c>
      <c r="B9670" s="5" t="s">
        <v>10150</v>
      </c>
      <c r="C9670" s="5" t="s">
        <v>21</v>
      </c>
      <c r="K9670" s="5">
        <v>1600.0</v>
      </c>
      <c r="N9670" s="9">
        <v>44400.0</v>
      </c>
    </row>
    <row r="9671">
      <c r="A9671" s="5">
        <v>9670.0</v>
      </c>
      <c r="B9671" s="5" t="s">
        <v>10151</v>
      </c>
      <c r="C9671" s="5" t="s">
        <v>21</v>
      </c>
      <c r="K9671" s="5">
        <v>100.0</v>
      </c>
      <c r="N9671" s="9">
        <v>44749.0</v>
      </c>
    </row>
    <row r="9672">
      <c r="A9672" s="5">
        <v>9671.0</v>
      </c>
      <c r="B9672" s="5" t="s">
        <v>10152</v>
      </c>
      <c r="C9672" s="5" t="s">
        <v>21</v>
      </c>
      <c r="K9672" s="5">
        <v>50.0</v>
      </c>
      <c r="N9672" s="9">
        <v>44553.0</v>
      </c>
    </row>
    <row r="9673">
      <c r="A9673" s="5">
        <v>9672.0</v>
      </c>
      <c r="B9673" s="5" t="s">
        <v>10153</v>
      </c>
      <c r="C9673" s="5" t="s">
        <v>21</v>
      </c>
      <c r="K9673" s="5">
        <v>700.0</v>
      </c>
      <c r="N9673" s="9">
        <v>44534.0</v>
      </c>
    </row>
    <row r="9674">
      <c r="A9674" s="5">
        <v>9673.0</v>
      </c>
      <c r="B9674" s="5" t="s">
        <v>10154</v>
      </c>
      <c r="C9674" s="5" t="s">
        <v>21</v>
      </c>
      <c r="K9674" s="5">
        <v>700.0</v>
      </c>
      <c r="N9674" s="9">
        <v>45393.0</v>
      </c>
    </row>
    <row r="9675">
      <c r="A9675" s="5">
        <v>9674.0</v>
      </c>
      <c r="B9675" s="5" t="s">
        <v>10155</v>
      </c>
      <c r="C9675" s="5" t="s">
        <v>21</v>
      </c>
      <c r="K9675" s="5">
        <v>250.0</v>
      </c>
      <c r="N9675" s="9">
        <v>44726.0</v>
      </c>
    </row>
    <row r="9676">
      <c r="A9676" s="5">
        <v>9675.0</v>
      </c>
      <c r="B9676" s="5" t="s">
        <v>10156</v>
      </c>
      <c r="C9676" s="5" t="s">
        <v>21</v>
      </c>
      <c r="K9676" s="5">
        <v>10.0</v>
      </c>
      <c r="N9676" s="9">
        <v>44586.0</v>
      </c>
    </row>
    <row r="9677">
      <c r="A9677" s="5">
        <v>9676.0</v>
      </c>
      <c r="B9677" s="5" t="s">
        <v>10157</v>
      </c>
      <c r="C9677" s="5" t="s">
        <v>21</v>
      </c>
      <c r="K9677" s="5">
        <v>1100.0</v>
      </c>
      <c r="N9677" s="9">
        <v>44613.0</v>
      </c>
    </row>
    <row r="9678">
      <c r="A9678" s="5">
        <v>9677.0</v>
      </c>
      <c r="B9678" s="5" t="s">
        <v>10158</v>
      </c>
      <c r="C9678" s="5" t="s">
        <v>21</v>
      </c>
      <c r="K9678" s="5">
        <v>450.0</v>
      </c>
      <c r="N9678" s="9">
        <v>43874.0</v>
      </c>
    </row>
    <row r="9679">
      <c r="A9679" s="5">
        <v>9678.0</v>
      </c>
      <c r="B9679" s="5" t="s">
        <v>10159</v>
      </c>
      <c r="C9679" s="5" t="s">
        <v>21</v>
      </c>
      <c r="K9679" s="5">
        <v>900.0</v>
      </c>
      <c r="N9679" s="9">
        <v>44577.0</v>
      </c>
    </row>
    <row r="9680">
      <c r="A9680" s="5">
        <v>9679.0</v>
      </c>
      <c r="B9680" s="5" t="s">
        <v>10160</v>
      </c>
      <c r="C9680" s="5" t="s">
        <v>21</v>
      </c>
      <c r="K9680" s="5">
        <v>400.0</v>
      </c>
      <c r="N9680" s="9">
        <v>44040.0</v>
      </c>
    </row>
    <row r="9681">
      <c r="A9681" s="5">
        <v>9680.0</v>
      </c>
      <c r="B9681" s="5" t="s">
        <v>10161</v>
      </c>
      <c r="C9681" s="5" t="s">
        <v>21</v>
      </c>
      <c r="K9681" s="5">
        <v>150.0</v>
      </c>
      <c r="N9681" s="9">
        <v>45615.0</v>
      </c>
    </row>
    <row r="9682">
      <c r="A9682" s="5">
        <v>9681.0</v>
      </c>
      <c r="B9682" s="5" t="s">
        <v>10162</v>
      </c>
      <c r="C9682" s="5" t="s">
        <v>21</v>
      </c>
      <c r="K9682" s="5">
        <v>200.0</v>
      </c>
      <c r="N9682" s="9">
        <v>44835.0</v>
      </c>
    </row>
    <row r="9683">
      <c r="A9683" s="5">
        <v>9682.0</v>
      </c>
      <c r="B9683" s="5" t="s">
        <v>10163</v>
      </c>
      <c r="C9683" s="5" t="s">
        <v>21</v>
      </c>
      <c r="K9683" s="5">
        <v>70.0</v>
      </c>
      <c r="N9683" s="9">
        <v>44597.0</v>
      </c>
    </row>
    <row r="9684">
      <c r="A9684" s="5">
        <v>9683.0</v>
      </c>
      <c r="B9684" s="5" t="s">
        <v>10164</v>
      </c>
      <c r="C9684" s="5" t="s">
        <v>21</v>
      </c>
      <c r="K9684" s="5">
        <v>90.0</v>
      </c>
      <c r="N9684" s="9">
        <v>44517.0</v>
      </c>
    </row>
    <row r="9685">
      <c r="A9685" s="5">
        <v>9684.0</v>
      </c>
      <c r="B9685" s="5" t="s">
        <v>327</v>
      </c>
      <c r="C9685" s="5" t="s">
        <v>21</v>
      </c>
      <c r="K9685" s="5">
        <v>250.0</v>
      </c>
      <c r="N9685" s="9">
        <v>44347.0</v>
      </c>
    </row>
    <row r="9686">
      <c r="A9686" s="5">
        <v>9685.0</v>
      </c>
      <c r="B9686" s="5" t="s">
        <v>10165</v>
      </c>
      <c r="C9686" s="5" t="s">
        <v>21</v>
      </c>
      <c r="K9686" s="5">
        <v>20.0</v>
      </c>
      <c r="N9686" s="9">
        <v>45239.0</v>
      </c>
    </row>
    <row r="9687">
      <c r="A9687" s="5">
        <v>9686.0</v>
      </c>
      <c r="B9687" s="5" t="s">
        <v>10166</v>
      </c>
      <c r="C9687" s="5" t="s">
        <v>21</v>
      </c>
      <c r="K9687" s="5">
        <v>1200.0</v>
      </c>
      <c r="N9687" s="9">
        <v>45104.0</v>
      </c>
    </row>
    <row r="9688">
      <c r="A9688" s="5">
        <v>9687.0</v>
      </c>
      <c r="B9688" s="5" t="s">
        <v>10167</v>
      </c>
      <c r="C9688" s="5" t="s">
        <v>21</v>
      </c>
      <c r="K9688" s="5">
        <v>250.0</v>
      </c>
      <c r="N9688" s="9">
        <v>44338.0</v>
      </c>
    </row>
    <row r="9689">
      <c r="A9689" s="5">
        <v>9688.0</v>
      </c>
      <c r="B9689" s="5" t="s">
        <v>10168</v>
      </c>
      <c r="C9689" s="5" t="s">
        <v>21</v>
      </c>
      <c r="N9689" s="9">
        <v>44515.0</v>
      </c>
    </row>
    <row r="9690">
      <c r="A9690" s="5">
        <v>9689.0</v>
      </c>
      <c r="B9690" s="5" t="s">
        <v>10169</v>
      </c>
      <c r="C9690" s="5" t="s">
        <v>21</v>
      </c>
      <c r="K9690" s="5">
        <v>200.0</v>
      </c>
      <c r="N9690" s="9">
        <v>44530.0</v>
      </c>
    </row>
    <row r="9691">
      <c r="A9691" s="5">
        <v>9690.0</v>
      </c>
      <c r="B9691" s="5" t="s">
        <v>10170</v>
      </c>
      <c r="C9691" s="5" t="s">
        <v>21</v>
      </c>
      <c r="K9691" s="5">
        <v>350.0</v>
      </c>
      <c r="N9691" s="9">
        <v>44681.0</v>
      </c>
    </row>
    <row r="9692">
      <c r="A9692" s="5">
        <v>9691.0</v>
      </c>
      <c r="B9692" s="5" t="s">
        <v>10171</v>
      </c>
      <c r="C9692" s="5" t="s">
        <v>21</v>
      </c>
      <c r="K9692" s="5">
        <v>1200.0</v>
      </c>
      <c r="N9692" s="9">
        <v>44711.0</v>
      </c>
    </row>
    <row r="9693">
      <c r="A9693" s="5">
        <v>9692.0</v>
      </c>
      <c r="B9693" s="5" t="s">
        <v>10172</v>
      </c>
      <c r="C9693" s="5" t="s">
        <v>21</v>
      </c>
      <c r="K9693" s="5">
        <v>90.0</v>
      </c>
      <c r="N9693" s="9">
        <v>44543.0</v>
      </c>
    </row>
    <row r="9694">
      <c r="A9694" s="5">
        <v>9693.0</v>
      </c>
      <c r="B9694" s="5" t="s">
        <v>10173</v>
      </c>
      <c r="C9694" s="5" t="s">
        <v>21</v>
      </c>
      <c r="K9694" s="5">
        <v>30.0</v>
      </c>
      <c r="N9694" s="9">
        <v>45375.0</v>
      </c>
    </row>
    <row r="9695">
      <c r="A9695" s="5">
        <v>9694.0</v>
      </c>
      <c r="B9695" s="5" t="s">
        <v>10174</v>
      </c>
      <c r="C9695" s="5" t="s">
        <v>21</v>
      </c>
      <c r="K9695" s="5">
        <v>80.0</v>
      </c>
      <c r="N9695" s="9">
        <v>44281.0</v>
      </c>
    </row>
    <row r="9696">
      <c r="A9696" s="5">
        <v>9695.0</v>
      </c>
      <c r="B9696" s="5" t="s">
        <v>10175</v>
      </c>
      <c r="C9696" s="5" t="s">
        <v>21</v>
      </c>
      <c r="K9696" s="5">
        <v>80.0</v>
      </c>
      <c r="N9696" s="9">
        <v>44729.0</v>
      </c>
    </row>
    <row r="9697">
      <c r="A9697" s="5">
        <v>9696.0</v>
      </c>
      <c r="B9697" s="5" t="s">
        <v>10176</v>
      </c>
      <c r="C9697" s="5" t="s">
        <v>21</v>
      </c>
      <c r="K9697" s="5">
        <v>450.0</v>
      </c>
      <c r="N9697" s="9">
        <v>44817.0</v>
      </c>
    </row>
    <row r="9698">
      <c r="A9698" s="5">
        <v>9697.0</v>
      </c>
      <c r="B9698" s="5" t="s">
        <v>10177</v>
      </c>
      <c r="C9698" s="5" t="s">
        <v>21</v>
      </c>
      <c r="K9698" s="5">
        <v>100.0</v>
      </c>
      <c r="N9698" s="9">
        <v>44254.0</v>
      </c>
    </row>
    <row r="9699">
      <c r="A9699" s="5">
        <v>9698.0</v>
      </c>
      <c r="B9699" s="5" t="s">
        <v>10178</v>
      </c>
      <c r="C9699" s="5" t="s">
        <v>21</v>
      </c>
      <c r="K9699" s="5">
        <v>500.0</v>
      </c>
      <c r="N9699" s="9">
        <v>43932.0</v>
      </c>
    </row>
    <row r="9700">
      <c r="A9700" s="5">
        <v>9699.0</v>
      </c>
      <c r="B9700" s="5" t="s">
        <v>10179</v>
      </c>
      <c r="C9700" s="5" t="s">
        <v>21</v>
      </c>
      <c r="K9700" s="5">
        <v>350.0</v>
      </c>
      <c r="N9700" s="9">
        <v>44576.0</v>
      </c>
    </row>
    <row r="9701">
      <c r="A9701" s="5">
        <v>9700.0</v>
      </c>
      <c r="B9701" s="5" t="s">
        <v>10180</v>
      </c>
      <c r="C9701" s="5" t="s">
        <v>21</v>
      </c>
      <c r="K9701" s="5">
        <v>500.0</v>
      </c>
      <c r="N9701" s="9">
        <v>45185.0</v>
      </c>
    </row>
    <row r="9702">
      <c r="A9702" s="5">
        <v>9701.0</v>
      </c>
      <c r="B9702" s="5" t="s">
        <v>10181</v>
      </c>
      <c r="C9702" s="5" t="s">
        <v>21</v>
      </c>
      <c r="K9702" s="5">
        <v>150.0</v>
      </c>
      <c r="N9702" s="9">
        <v>45089.0</v>
      </c>
    </row>
    <row r="9703">
      <c r="A9703" s="5">
        <v>9702.0</v>
      </c>
      <c r="B9703" s="5" t="s">
        <v>10182</v>
      </c>
      <c r="C9703" s="5" t="s">
        <v>21</v>
      </c>
      <c r="K9703" s="5">
        <v>600.0</v>
      </c>
      <c r="N9703" s="9">
        <v>44592.0</v>
      </c>
    </row>
    <row r="9704">
      <c r="A9704" s="5">
        <v>9703.0</v>
      </c>
      <c r="B9704" s="5" t="s">
        <v>10183</v>
      </c>
      <c r="C9704" s="5" t="s">
        <v>21</v>
      </c>
      <c r="K9704" s="5">
        <v>200.0</v>
      </c>
      <c r="N9704" s="9">
        <v>44706.0</v>
      </c>
    </row>
    <row r="9705">
      <c r="A9705" s="5">
        <v>9704.0</v>
      </c>
      <c r="B9705" s="5" t="s">
        <v>10184</v>
      </c>
      <c r="C9705" s="5" t="s">
        <v>21</v>
      </c>
      <c r="K9705" s="5">
        <v>19000.0</v>
      </c>
      <c r="N9705" s="9">
        <v>44886.0</v>
      </c>
    </row>
    <row r="9706">
      <c r="A9706" s="5">
        <v>9705.0</v>
      </c>
      <c r="B9706" s="5" t="s">
        <v>10185</v>
      </c>
      <c r="C9706" s="5" t="s">
        <v>21</v>
      </c>
      <c r="K9706" s="5">
        <v>100.0</v>
      </c>
      <c r="N9706" s="9">
        <v>45276.0</v>
      </c>
    </row>
    <row r="9707">
      <c r="A9707" s="5">
        <v>9706.0</v>
      </c>
      <c r="B9707" s="5" t="s">
        <v>10186</v>
      </c>
      <c r="C9707" s="5" t="s">
        <v>21</v>
      </c>
      <c r="K9707" s="5">
        <v>50.0</v>
      </c>
      <c r="N9707" s="9">
        <v>45107.0</v>
      </c>
    </row>
    <row r="9708">
      <c r="A9708" s="5">
        <v>9707.0</v>
      </c>
      <c r="B9708" s="5" t="s">
        <v>10187</v>
      </c>
      <c r="C9708" s="5" t="s">
        <v>21</v>
      </c>
      <c r="K9708" s="5">
        <v>1900.0</v>
      </c>
      <c r="N9708" s="9">
        <v>43942.0</v>
      </c>
    </row>
    <row r="9709">
      <c r="A9709" s="5">
        <v>9708.0</v>
      </c>
      <c r="B9709" s="5" t="s">
        <v>10188</v>
      </c>
      <c r="C9709" s="5" t="s">
        <v>21</v>
      </c>
      <c r="K9709" s="5">
        <v>300.0</v>
      </c>
      <c r="N9709" s="9">
        <v>44956.0</v>
      </c>
    </row>
    <row r="9710">
      <c r="A9710" s="5">
        <v>9709.0</v>
      </c>
      <c r="B9710" s="5" t="s">
        <v>10189</v>
      </c>
      <c r="C9710" s="5" t="s">
        <v>21</v>
      </c>
      <c r="K9710" s="5">
        <v>700.0</v>
      </c>
      <c r="N9710" s="9">
        <v>45417.0</v>
      </c>
    </row>
    <row r="9711">
      <c r="A9711" s="5">
        <v>9710.0</v>
      </c>
      <c r="B9711" s="5" t="s">
        <v>10190</v>
      </c>
      <c r="C9711" s="5" t="s">
        <v>21</v>
      </c>
      <c r="N9711" s="9">
        <v>44442.0</v>
      </c>
    </row>
    <row r="9712">
      <c r="A9712" s="5">
        <v>9711.0</v>
      </c>
      <c r="B9712" s="5" t="s">
        <v>10191</v>
      </c>
      <c r="C9712" s="5" t="s">
        <v>21</v>
      </c>
      <c r="N9712" s="9">
        <v>44552.0</v>
      </c>
    </row>
    <row r="9713">
      <c r="A9713" s="5">
        <v>9712.0</v>
      </c>
      <c r="B9713" s="5" t="s">
        <v>10192</v>
      </c>
      <c r="C9713" s="5" t="s">
        <v>21</v>
      </c>
      <c r="K9713" s="5">
        <v>70.0</v>
      </c>
      <c r="N9713" s="9">
        <v>44569.0</v>
      </c>
    </row>
    <row r="9714">
      <c r="A9714" s="5">
        <v>9713.0</v>
      </c>
      <c r="B9714" s="5" t="s">
        <v>10193</v>
      </c>
      <c r="C9714" s="5" t="s">
        <v>21</v>
      </c>
      <c r="K9714" s="5">
        <v>5700.0</v>
      </c>
      <c r="N9714" s="9">
        <v>43940.0</v>
      </c>
    </row>
    <row r="9715">
      <c r="A9715" s="5">
        <v>9714.0</v>
      </c>
      <c r="B9715" s="5" t="s">
        <v>10194</v>
      </c>
      <c r="C9715" s="5" t="s">
        <v>21</v>
      </c>
      <c r="K9715" s="5">
        <v>300.0</v>
      </c>
      <c r="N9715" s="9">
        <v>44104.0</v>
      </c>
    </row>
    <row r="9716">
      <c r="A9716" s="5">
        <v>9715.0</v>
      </c>
      <c r="B9716" s="5" t="s">
        <v>10195</v>
      </c>
      <c r="C9716" s="5" t="s">
        <v>21</v>
      </c>
      <c r="K9716" s="5">
        <v>30.0</v>
      </c>
      <c r="N9716" s="9">
        <v>45327.0</v>
      </c>
    </row>
    <row r="9717">
      <c r="A9717" s="5">
        <v>9716.0</v>
      </c>
      <c r="B9717" s="5" t="s">
        <v>10196</v>
      </c>
      <c r="C9717" s="5" t="s">
        <v>21</v>
      </c>
      <c r="K9717" s="5">
        <v>1400.0</v>
      </c>
      <c r="N9717" s="9">
        <v>44787.0</v>
      </c>
    </row>
    <row r="9718">
      <c r="A9718" s="5">
        <v>9717.0</v>
      </c>
      <c r="B9718" s="5" t="s">
        <v>10197</v>
      </c>
      <c r="C9718" s="5" t="s">
        <v>21</v>
      </c>
      <c r="K9718" s="5">
        <v>150.0</v>
      </c>
      <c r="N9718" s="9">
        <v>44063.0</v>
      </c>
    </row>
    <row r="9719">
      <c r="A9719" s="5">
        <v>9718.0</v>
      </c>
      <c r="B9719" s="5" t="s">
        <v>10198</v>
      </c>
      <c r="C9719" s="5" t="s">
        <v>21</v>
      </c>
      <c r="K9719" s="5">
        <v>1900.0</v>
      </c>
      <c r="N9719" s="9">
        <v>44394.0</v>
      </c>
    </row>
    <row r="9720">
      <c r="A9720" s="5">
        <v>9719.0</v>
      </c>
      <c r="B9720" s="5" t="s">
        <v>10199</v>
      </c>
      <c r="C9720" s="5" t="s">
        <v>21</v>
      </c>
      <c r="K9720" s="5">
        <v>50.0</v>
      </c>
      <c r="N9720" s="9">
        <v>44617.0</v>
      </c>
    </row>
    <row r="9721">
      <c r="A9721" s="5">
        <v>9720.0</v>
      </c>
      <c r="B9721" s="5" t="s">
        <v>10200</v>
      </c>
      <c r="C9721" s="5" t="s">
        <v>21</v>
      </c>
      <c r="K9721" s="5">
        <v>400.0</v>
      </c>
      <c r="N9721" s="9">
        <v>43935.0</v>
      </c>
    </row>
    <row r="9722">
      <c r="A9722" s="5">
        <v>9721.0</v>
      </c>
      <c r="B9722" s="5" t="s">
        <v>10201</v>
      </c>
      <c r="C9722" s="5" t="s">
        <v>21</v>
      </c>
      <c r="K9722" s="5">
        <v>200.0</v>
      </c>
      <c r="N9722" s="9">
        <v>44042.0</v>
      </c>
    </row>
    <row r="9723">
      <c r="A9723" s="5">
        <v>9722.0</v>
      </c>
      <c r="B9723" s="5" t="s">
        <v>10202</v>
      </c>
      <c r="C9723" s="5" t="s">
        <v>21</v>
      </c>
      <c r="K9723" s="5">
        <v>40.0</v>
      </c>
      <c r="N9723" s="9">
        <v>45350.0</v>
      </c>
    </row>
    <row r="9724">
      <c r="A9724" s="5">
        <v>9723.0</v>
      </c>
      <c r="B9724" s="5" t="s">
        <v>10203</v>
      </c>
      <c r="C9724" s="5" t="s">
        <v>21</v>
      </c>
      <c r="K9724" s="5">
        <v>800.0</v>
      </c>
      <c r="N9724" s="9">
        <v>44799.0</v>
      </c>
    </row>
    <row r="9725">
      <c r="A9725" s="5">
        <v>9724.0</v>
      </c>
      <c r="B9725" s="5" t="s">
        <v>10204</v>
      </c>
      <c r="C9725" s="5" t="s">
        <v>21</v>
      </c>
      <c r="K9725" s="5">
        <v>4000.0</v>
      </c>
      <c r="N9725" s="9">
        <v>44577.0</v>
      </c>
    </row>
    <row r="9726">
      <c r="A9726" s="5">
        <v>9725.0</v>
      </c>
      <c r="B9726" s="5" t="s">
        <v>10205</v>
      </c>
      <c r="C9726" s="5" t="s">
        <v>21</v>
      </c>
      <c r="K9726" s="5">
        <v>250.0</v>
      </c>
      <c r="N9726" s="9">
        <v>45305.0</v>
      </c>
    </row>
    <row r="9727">
      <c r="A9727" s="5">
        <v>9726.0</v>
      </c>
      <c r="B9727" s="5" t="s">
        <v>10206</v>
      </c>
      <c r="C9727" s="5" t="s">
        <v>21</v>
      </c>
      <c r="K9727" s="5">
        <v>1700.0</v>
      </c>
      <c r="N9727" s="9">
        <v>43935.0</v>
      </c>
    </row>
    <row r="9728">
      <c r="A9728" s="5">
        <v>9727.0</v>
      </c>
      <c r="B9728" s="5" t="s">
        <v>10207</v>
      </c>
      <c r="C9728" s="5" t="s">
        <v>21</v>
      </c>
      <c r="K9728" s="5">
        <v>200.0</v>
      </c>
      <c r="N9728" s="9">
        <v>45081.0</v>
      </c>
    </row>
    <row r="9729">
      <c r="A9729" s="5">
        <v>9728.0</v>
      </c>
      <c r="B9729" s="5" t="s">
        <v>10208</v>
      </c>
      <c r="C9729" s="5" t="s">
        <v>21</v>
      </c>
      <c r="K9729" s="5">
        <v>150.0</v>
      </c>
      <c r="N9729" s="9">
        <v>44534.0</v>
      </c>
    </row>
    <row r="9730">
      <c r="A9730" s="5">
        <v>9729.0</v>
      </c>
      <c r="B9730" s="5" t="s">
        <v>10209</v>
      </c>
      <c r="C9730" s="5" t="s">
        <v>21</v>
      </c>
      <c r="K9730" s="5">
        <v>100.0</v>
      </c>
      <c r="N9730" s="9">
        <v>44625.0</v>
      </c>
    </row>
    <row r="9731">
      <c r="A9731" s="5">
        <v>9730.0</v>
      </c>
      <c r="B9731" s="5" t="s">
        <v>10210</v>
      </c>
      <c r="C9731" s="5" t="s">
        <v>21</v>
      </c>
      <c r="K9731" s="5">
        <v>1300.0</v>
      </c>
      <c r="N9731" s="9">
        <v>44179.0</v>
      </c>
    </row>
    <row r="9732">
      <c r="A9732" s="5">
        <v>9731.0</v>
      </c>
      <c r="B9732" s="5" t="s">
        <v>10211</v>
      </c>
      <c r="C9732" s="5" t="s">
        <v>21</v>
      </c>
      <c r="K9732" s="5">
        <v>1800.0</v>
      </c>
      <c r="N9732" s="9">
        <v>44300.0</v>
      </c>
    </row>
    <row r="9733">
      <c r="A9733" s="5">
        <v>9732.0</v>
      </c>
      <c r="B9733" s="5" t="s">
        <v>330</v>
      </c>
      <c r="C9733" s="5" t="s">
        <v>21</v>
      </c>
      <c r="K9733" s="5">
        <v>30.0</v>
      </c>
      <c r="N9733" s="9">
        <v>45099.0</v>
      </c>
    </row>
    <row r="9734">
      <c r="A9734" s="5">
        <v>9733.0</v>
      </c>
      <c r="B9734" s="5" t="s">
        <v>10212</v>
      </c>
      <c r="C9734" s="5" t="s">
        <v>21</v>
      </c>
      <c r="K9734" s="5">
        <v>150.0</v>
      </c>
      <c r="N9734" s="9">
        <v>44495.0</v>
      </c>
    </row>
    <row r="9735">
      <c r="A9735" s="5">
        <v>9734.0</v>
      </c>
      <c r="B9735" s="5" t="s">
        <v>10213</v>
      </c>
      <c r="C9735" s="5" t="s">
        <v>21</v>
      </c>
      <c r="K9735" s="5">
        <v>150.0</v>
      </c>
      <c r="N9735" s="9">
        <v>45047.0</v>
      </c>
    </row>
    <row r="9736">
      <c r="A9736" s="5">
        <v>9735.0</v>
      </c>
      <c r="B9736" s="5" t="s">
        <v>10214</v>
      </c>
      <c r="C9736" s="5" t="s">
        <v>21</v>
      </c>
      <c r="K9736" s="5">
        <v>100.0</v>
      </c>
      <c r="N9736" s="9">
        <v>45009.0</v>
      </c>
    </row>
    <row r="9737">
      <c r="A9737" s="5">
        <v>9736.0</v>
      </c>
      <c r="B9737" s="5" t="s">
        <v>10215</v>
      </c>
      <c r="C9737" s="5" t="s">
        <v>21</v>
      </c>
      <c r="K9737" s="5">
        <v>1600.0</v>
      </c>
      <c r="N9737" s="9">
        <v>43857.0</v>
      </c>
    </row>
    <row r="9738">
      <c r="A9738" s="5">
        <v>9737.0</v>
      </c>
      <c r="B9738" s="5" t="s">
        <v>10216</v>
      </c>
      <c r="C9738" s="5" t="s">
        <v>21</v>
      </c>
      <c r="N9738" s="9">
        <v>44380.0</v>
      </c>
    </row>
    <row r="9739">
      <c r="A9739" s="5">
        <v>9738.0</v>
      </c>
      <c r="B9739" s="5" t="s">
        <v>10217</v>
      </c>
      <c r="C9739" s="5" t="s">
        <v>21</v>
      </c>
      <c r="N9739" s="9">
        <v>44283.0</v>
      </c>
    </row>
    <row r="9740">
      <c r="A9740" s="5">
        <v>9739.0</v>
      </c>
      <c r="B9740" s="5" t="s">
        <v>10218</v>
      </c>
      <c r="C9740" s="5" t="s">
        <v>21</v>
      </c>
      <c r="K9740" s="5">
        <v>600.0</v>
      </c>
      <c r="N9740" s="9">
        <v>44437.0</v>
      </c>
    </row>
    <row r="9741">
      <c r="A9741" s="5">
        <v>9740.0</v>
      </c>
      <c r="B9741" s="5" t="s">
        <v>10219</v>
      </c>
      <c r="C9741" s="5" t="s">
        <v>21</v>
      </c>
      <c r="K9741" s="5">
        <v>10.0</v>
      </c>
      <c r="N9741" s="9">
        <v>45322.0</v>
      </c>
    </row>
    <row r="9742">
      <c r="A9742" s="5">
        <v>9741.0</v>
      </c>
      <c r="B9742" s="5" t="s">
        <v>10220</v>
      </c>
      <c r="C9742" s="5" t="s">
        <v>21</v>
      </c>
      <c r="K9742" s="5">
        <v>300.0</v>
      </c>
      <c r="N9742" s="9">
        <v>45136.0</v>
      </c>
    </row>
    <row r="9743">
      <c r="A9743" s="5">
        <v>9742.0</v>
      </c>
      <c r="B9743" s="5" t="s">
        <v>10221</v>
      </c>
      <c r="C9743" s="5" t="s">
        <v>21</v>
      </c>
      <c r="K9743" s="5">
        <v>50.0</v>
      </c>
      <c r="N9743" s="9">
        <v>44708.0</v>
      </c>
    </row>
    <row r="9744">
      <c r="A9744" s="5">
        <v>9743.0</v>
      </c>
      <c r="B9744" s="5" t="s">
        <v>10222</v>
      </c>
      <c r="C9744" s="5" t="s">
        <v>21</v>
      </c>
      <c r="K9744" s="5">
        <v>250.0</v>
      </c>
      <c r="N9744" s="9">
        <v>44484.0</v>
      </c>
    </row>
    <row r="9745">
      <c r="A9745" s="5">
        <v>9744.0</v>
      </c>
      <c r="B9745" s="5" t="s">
        <v>10223</v>
      </c>
      <c r="C9745" s="5" t="s">
        <v>21</v>
      </c>
      <c r="K9745" s="5">
        <v>300.0</v>
      </c>
      <c r="N9745" s="9">
        <v>44460.0</v>
      </c>
    </row>
    <row r="9746">
      <c r="A9746" s="5">
        <v>9745.0</v>
      </c>
      <c r="B9746" s="5" t="s">
        <v>10224</v>
      </c>
      <c r="C9746" s="5" t="s">
        <v>21</v>
      </c>
      <c r="K9746" s="5">
        <v>350.0</v>
      </c>
      <c r="N9746" s="9">
        <v>45072.0</v>
      </c>
    </row>
    <row r="9747">
      <c r="A9747" s="5">
        <v>9746.0</v>
      </c>
      <c r="B9747" s="5" t="s">
        <v>10225</v>
      </c>
      <c r="C9747" s="5" t="s">
        <v>21</v>
      </c>
      <c r="K9747" s="5">
        <v>2600.0</v>
      </c>
      <c r="N9747" s="9">
        <v>43961.0</v>
      </c>
    </row>
    <row r="9748">
      <c r="A9748" s="5">
        <v>9747.0</v>
      </c>
      <c r="B9748" s="5" t="s">
        <v>10226</v>
      </c>
      <c r="C9748" s="5" t="s">
        <v>21</v>
      </c>
      <c r="K9748" s="5">
        <v>1100.0</v>
      </c>
      <c r="N9748" s="9">
        <v>44381.0</v>
      </c>
    </row>
    <row r="9749">
      <c r="A9749" s="5">
        <v>9748.0</v>
      </c>
      <c r="B9749" s="5" t="s">
        <v>10227</v>
      </c>
      <c r="C9749" s="5" t="s">
        <v>21</v>
      </c>
      <c r="K9749" s="5">
        <v>450.0</v>
      </c>
      <c r="N9749" s="9">
        <v>43953.0</v>
      </c>
    </row>
    <row r="9750">
      <c r="A9750" s="5">
        <v>9749.0</v>
      </c>
      <c r="B9750" s="5" t="s">
        <v>10228</v>
      </c>
      <c r="C9750" s="5" t="s">
        <v>21</v>
      </c>
      <c r="K9750" s="5">
        <v>800.0</v>
      </c>
      <c r="N9750" s="9">
        <v>44154.0</v>
      </c>
    </row>
    <row r="9751">
      <c r="A9751" s="5">
        <v>9750.0</v>
      </c>
      <c r="B9751" s="5" t="s">
        <v>10229</v>
      </c>
      <c r="C9751" s="5" t="s">
        <v>21</v>
      </c>
      <c r="K9751" s="5">
        <v>300.0</v>
      </c>
      <c r="N9751" s="9">
        <v>44235.0</v>
      </c>
    </row>
    <row r="9752">
      <c r="A9752" s="5">
        <v>9751.0</v>
      </c>
      <c r="B9752" s="5" t="s">
        <v>10230</v>
      </c>
      <c r="C9752" s="5" t="s">
        <v>21</v>
      </c>
      <c r="K9752" s="5">
        <v>5100.0</v>
      </c>
      <c r="N9752" s="9">
        <v>43942.0</v>
      </c>
    </row>
    <row r="9753">
      <c r="A9753" s="5">
        <v>9752.0</v>
      </c>
      <c r="B9753" s="5" t="s">
        <v>10231</v>
      </c>
      <c r="C9753" s="5" t="s">
        <v>21</v>
      </c>
      <c r="K9753" s="5">
        <v>100.0</v>
      </c>
      <c r="N9753" s="9">
        <v>44542.0</v>
      </c>
    </row>
    <row r="9754">
      <c r="A9754" s="5">
        <v>9753.0</v>
      </c>
      <c r="B9754" s="5" t="s">
        <v>10232</v>
      </c>
      <c r="C9754" s="5" t="s">
        <v>21</v>
      </c>
      <c r="K9754" s="5">
        <v>400.0</v>
      </c>
      <c r="N9754" s="9">
        <v>45044.0</v>
      </c>
    </row>
    <row r="9755">
      <c r="A9755" s="5">
        <v>9754.0</v>
      </c>
      <c r="B9755" s="5" t="s">
        <v>10233</v>
      </c>
      <c r="C9755" s="5" t="s">
        <v>21</v>
      </c>
      <c r="K9755" s="5">
        <v>250.0</v>
      </c>
      <c r="N9755" s="9">
        <v>44893.0</v>
      </c>
    </row>
    <row r="9756">
      <c r="A9756" s="5">
        <v>9755.0</v>
      </c>
      <c r="B9756" s="5" t="s">
        <v>10234</v>
      </c>
      <c r="C9756" s="5" t="s">
        <v>21</v>
      </c>
      <c r="K9756" s="5">
        <v>250.0</v>
      </c>
      <c r="N9756" s="9">
        <v>44280.0</v>
      </c>
    </row>
    <row r="9757">
      <c r="A9757" s="5">
        <v>9756.0</v>
      </c>
      <c r="B9757" s="5" t="s">
        <v>10235</v>
      </c>
      <c r="C9757" s="5" t="s">
        <v>21</v>
      </c>
      <c r="K9757" s="5">
        <v>3200.0</v>
      </c>
      <c r="N9757" s="9">
        <v>44087.0</v>
      </c>
    </row>
    <row r="9758">
      <c r="A9758" s="5">
        <v>9757.0</v>
      </c>
      <c r="B9758" s="5" t="s">
        <v>10236</v>
      </c>
      <c r="C9758" s="5" t="s">
        <v>21</v>
      </c>
      <c r="K9758" s="5">
        <v>20.0</v>
      </c>
      <c r="N9758" s="9">
        <v>45610.0</v>
      </c>
    </row>
    <row r="9759">
      <c r="A9759" s="5">
        <v>9758.0</v>
      </c>
      <c r="B9759" s="5" t="s">
        <v>10237</v>
      </c>
      <c r="C9759" s="5" t="s">
        <v>21</v>
      </c>
      <c r="K9759" s="5">
        <v>350.0</v>
      </c>
      <c r="N9759" s="9">
        <v>45367.0</v>
      </c>
    </row>
    <row r="9760">
      <c r="A9760" s="5">
        <v>9759.0</v>
      </c>
      <c r="B9760" s="5" t="s">
        <v>10238</v>
      </c>
      <c r="C9760" s="5" t="s">
        <v>21</v>
      </c>
      <c r="N9760" s="9">
        <v>44518.0</v>
      </c>
    </row>
    <row r="9761">
      <c r="A9761" s="5">
        <v>9760.0</v>
      </c>
      <c r="B9761" s="5" t="s">
        <v>10239</v>
      </c>
      <c r="C9761" s="5" t="s">
        <v>21</v>
      </c>
      <c r="K9761" s="5">
        <v>400.0</v>
      </c>
      <c r="N9761" s="9">
        <v>44061.0</v>
      </c>
    </row>
    <row r="9762">
      <c r="A9762" s="5">
        <v>9761.0</v>
      </c>
      <c r="B9762" s="5" t="s">
        <v>10240</v>
      </c>
      <c r="C9762" s="5" t="s">
        <v>21</v>
      </c>
      <c r="K9762" s="5">
        <v>150.0</v>
      </c>
      <c r="N9762" s="9">
        <v>44970.0</v>
      </c>
    </row>
    <row r="9763">
      <c r="A9763" s="5">
        <v>9762.0</v>
      </c>
      <c r="B9763" s="5" t="s">
        <v>10241</v>
      </c>
      <c r="C9763" s="5" t="s">
        <v>21</v>
      </c>
      <c r="K9763" s="5">
        <v>500.0</v>
      </c>
      <c r="N9763" s="9">
        <v>44155.0</v>
      </c>
    </row>
    <row r="9764">
      <c r="A9764" s="5">
        <v>9763.0</v>
      </c>
      <c r="B9764" s="5" t="s">
        <v>10242</v>
      </c>
      <c r="C9764" s="5" t="s">
        <v>21</v>
      </c>
      <c r="K9764" s="5">
        <v>250.0</v>
      </c>
      <c r="N9764" s="9">
        <v>43898.0</v>
      </c>
    </row>
    <row r="9765">
      <c r="A9765" s="5">
        <v>9764.0</v>
      </c>
      <c r="B9765" s="5" t="s">
        <v>10243</v>
      </c>
      <c r="C9765" s="5" t="s">
        <v>21</v>
      </c>
      <c r="K9765" s="5">
        <v>500.0</v>
      </c>
      <c r="N9765" s="9">
        <v>44397.0</v>
      </c>
    </row>
    <row r="9766">
      <c r="A9766" s="5">
        <v>9765.0</v>
      </c>
      <c r="B9766" s="5" t="s">
        <v>10244</v>
      </c>
      <c r="C9766" s="5" t="s">
        <v>21</v>
      </c>
      <c r="K9766" s="5">
        <v>200.0</v>
      </c>
      <c r="N9766" s="9">
        <v>45309.0</v>
      </c>
    </row>
    <row r="9767">
      <c r="A9767" s="5">
        <v>9766.0</v>
      </c>
      <c r="B9767" s="5" t="s">
        <v>10245</v>
      </c>
      <c r="C9767" s="5" t="s">
        <v>21</v>
      </c>
      <c r="K9767" s="5">
        <v>250.0</v>
      </c>
      <c r="N9767" s="9">
        <v>44589.0</v>
      </c>
    </row>
    <row r="9768">
      <c r="A9768" s="5">
        <v>9767.0</v>
      </c>
      <c r="B9768" s="5" t="s">
        <v>10246</v>
      </c>
      <c r="C9768" s="5" t="s">
        <v>21</v>
      </c>
      <c r="K9768" s="5">
        <v>1400.0</v>
      </c>
      <c r="N9768" s="9">
        <v>45148.0</v>
      </c>
    </row>
    <row r="9769">
      <c r="A9769" s="5">
        <v>9768.0</v>
      </c>
      <c r="B9769" s="5" t="s">
        <v>10247</v>
      </c>
      <c r="C9769" s="5" t="s">
        <v>21</v>
      </c>
      <c r="K9769" s="5">
        <v>500.0</v>
      </c>
      <c r="N9769" s="9">
        <v>44668.0</v>
      </c>
    </row>
    <row r="9770">
      <c r="A9770" s="5">
        <v>9769.0</v>
      </c>
      <c r="B9770" s="5" t="s">
        <v>10248</v>
      </c>
      <c r="C9770" s="5" t="s">
        <v>21</v>
      </c>
      <c r="K9770" s="5">
        <v>40.0</v>
      </c>
      <c r="N9770" s="9">
        <v>44645.0</v>
      </c>
    </row>
    <row r="9771">
      <c r="A9771" s="5">
        <v>9770.0</v>
      </c>
      <c r="B9771" s="5" t="s">
        <v>10249</v>
      </c>
      <c r="C9771" s="5" t="s">
        <v>21</v>
      </c>
      <c r="K9771" s="5">
        <v>450.0</v>
      </c>
      <c r="N9771" s="9">
        <v>44575.0</v>
      </c>
    </row>
    <row r="9772">
      <c r="A9772" s="5">
        <v>9771.0</v>
      </c>
      <c r="B9772" s="5" t="s">
        <v>10250</v>
      </c>
      <c r="C9772" s="5" t="s">
        <v>21</v>
      </c>
      <c r="K9772" s="5">
        <v>4700.0</v>
      </c>
      <c r="N9772" s="9">
        <v>44133.0</v>
      </c>
    </row>
    <row r="9773">
      <c r="A9773" s="5">
        <v>9772.0</v>
      </c>
      <c r="B9773" s="5" t="s">
        <v>10251</v>
      </c>
      <c r="C9773" s="5" t="s">
        <v>21</v>
      </c>
      <c r="K9773" s="5">
        <v>100.0</v>
      </c>
      <c r="N9773" s="9">
        <v>45056.0</v>
      </c>
    </row>
    <row r="9774">
      <c r="A9774" s="5">
        <v>9773.0</v>
      </c>
      <c r="B9774" s="5" t="s">
        <v>10252</v>
      </c>
      <c r="C9774" s="5" t="s">
        <v>21</v>
      </c>
      <c r="K9774" s="5">
        <v>600.0</v>
      </c>
      <c r="N9774" s="9">
        <v>44042.0</v>
      </c>
    </row>
    <row r="9775">
      <c r="A9775" s="5">
        <v>9774.0</v>
      </c>
      <c r="B9775" s="5" t="s">
        <v>10253</v>
      </c>
      <c r="C9775" s="5" t="s">
        <v>21</v>
      </c>
      <c r="K9775" s="5">
        <v>200.0</v>
      </c>
      <c r="N9775" s="9">
        <v>44697.0</v>
      </c>
    </row>
    <row r="9776">
      <c r="A9776" s="5">
        <v>9775.0</v>
      </c>
      <c r="B9776" s="5" t="s">
        <v>10254</v>
      </c>
      <c r="C9776" s="5" t="s">
        <v>21</v>
      </c>
      <c r="K9776" s="5">
        <v>200.0</v>
      </c>
      <c r="N9776" s="9">
        <v>43938.0</v>
      </c>
    </row>
    <row r="9777">
      <c r="A9777" s="5">
        <v>9776.0</v>
      </c>
      <c r="B9777" s="5" t="s">
        <v>10255</v>
      </c>
      <c r="C9777" s="5" t="s">
        <v>21</v>
      </c>
      <c r="K9777" s="5">
        <v>30.0</v>
      </c>
      <c r="N9777" s="9">
        <v>44528.0</v>
      </c>
    </row>
    <row r="9778">
      <c r="A9778" s="5">
        <v>9777.0</v>
      </c>
      <c r="B9778" s="5" t="s">
        <v>10256</v>
      </c>
      <c r="C9778" s="5" t="s">
        <v>21</v>
      </c>
      <c r="K9778" s="5">
        <v>700.0</v>
      </c>
      <c r="N9778" s="9">
        <v>44230.0</v>
      </c>
    </row>
    <row r="9779">
      <c r="A9779" s="5">
        <v>9778.0</v>
      </c>
      <c r="B9779" s="5" t="s">
        <v>10257</v>
      </c>
      <c r="C9779" s="5" t="s">
        <v>21</v>
      </c>
      <c r="K9779" s="5">
        <v>40.0</v>
      </c>
      <c r="N9779" s="9">
        <v>44523.0</v>
      </c>
    </row>
    <row r="9780">
      <c r="A9780" s="5">
        <v>9779.0</v>
      </c>
      <c r="B9780" s="5" t="s">
        <v>10258</v>
      </c>
      <c r="C9780" s="5" t="s">
        <v>21</v>
      </c>
      <c r="K9780" s="5">
        <v>20.0</v>
      </c>
      <c r="N9780" s="9">
        <v>44710.0</v>
      </c>
    </row>
    <row r="9781">
      <c r="A9781" s="5">
        <v>9780.0</v>
      </c>
      <c r="B9781" s="5" t="s">
        <v>10259</v>
      </c>
      <c r="C9781" s="5" t="s">
        <v>21</v>
      </c>
      <c r="K9781" s="5">
        <v>300.0</v>
      </c>
      <c r="N9781" s="9">
        <v>44588.0</v>
      </c>
    </row>
    <row r="9782">
      <c r="A9782" s="5">
        <v>9781.0</v>
      </c>
      <c r="B9782" s="5" t="s">
        <v>10260</v>
      </c>
      <c r="C9782" s="5" t="s">
        <v>21</v>
      </c>
      <c r="K9782" s="5">
        <v>1700.0</v>
      </c>
      <c r="N9782" s="9">
        <v>44620.0</v>
      </c>
    </row>
    <row r="9783">
      <c r="A9783" s="5">
        <v>9782.0</v>
      </c>
      <c r="B9783" s="5" t="s">
        <v>10261</v>
      </c>
      <c r="C9783" s="5" t="s">
        <v>21</v>
      </c>
      <c r="K9783" s="5">
        <v>300.0</v>
      </c>
      <c r="N9783" s="9">
        <v>44756.0</v>
      </c>
    </row>
    <row r="9784">
      <c r="A9784" s="5">
        <v>9783.0</v>
      </c>
      <c r="B9784" s="5" t="s">
        <v>10262</v>
      </c>
      <c r="C9784" s="5" t="s">
        <v>21</v>
      </c>
      <c r="K9784" s="5">
        <v>40.0</v>
      </c>
      <c r="N9784" s="9">
        <v>45029.0</v>
      </c>
    </row>
    <row r="9785">
      <c r="A9785" s="5">
        <v>9784.0</v>
      </c>
      <c r="B9785" s="5" t="s">
        <v>10263</v>
      </c>
      <c r="C9785" s="5" t="s">
        <v>21</v>
      </c>
      <c r="K9785" s="5">
        <v>1400.0</v>
      </c>
      <c r="N9785" s="9">
        <v>42684.0</v>
      </c>
    </row>
    <row r="9786">
      <c r="A9786" s="5">
        <v>9785.0</v>
      </c>
      <c r="B9786" s="5" t="s">
        <v>10264</v>
      </c>
      <c r="C9786" s="5" t="s">
        <v>21</v>
      </c>
      <c r="K9786" s="5">
        <v>50.0</v>
      </c>
      <c r="N9786" s="9">
        <v>45229.0</v>
      </c>
    </row>
    <row r="9787">
      <c r="A9787" s="5">
        <v>9786.0</v>
      </c>
      <c r="B9787" s="5" t="s">
        <v>10265</v>
      </c>
      <c r="C9787" s="5" t="s">
        <v>21</v>
      </c>
      <c r="N9787" s="9">
        <v>44529.0</v>
      </c>
    </row>
    <row r="9788">
      <c r="A9788" s="5">
        <v>9787.0</v>
      </c>
      <c r="B9788" s="5" t="s">
        <v>10266</v>
      </c>
      <c r="C9788" s="5" t="s">
        <v>21</v>
      </c>
      <c r="K9788" s="5">
        <v>100.0</v>
      </c>
      <c r="N9788" s="9">
        <v>45081.0</v>
      </c>
    </row>
    <row r="9789">
      <c r="A9789" s="5">
        <v>9788.0</v>
      </c>
      <c r="B9789" s="5" t="s">
        <v>10267</v>
      </c>
      <c r="C9789" s="5" t="s">
        <v>21</v>
      </c>
      <c r="K9789" s="5">
        <v>400.0</v>
      </c>
      <c r="N9789" s="9">
        <v>44819.0</v>
      </c>
    </row>
    <row r="9790">
      <c r="A9790" s="5">
        <v>9789.0</v>
      </c>
      <c r="B9790" s="5" t="s">
        <v>10268</v>
      </c>
      <c r="C9790" s="5" t="s">
        <v>21</v>
      </c>
      <c r="N9790" s="9">
        <v>44614.0</v>
      </c>
    </row>
    <row r="9791">
      <c r="A9791" s="5">
        <v>9790.0</v>
      </c>
      <c r="B9791" s="5" t="s">
        <v>10269</v>
      </c>
      <c r="C9791" s="5" t="s">
        <v>21</v>
      </c>
      <c r="K9791" s="5">
        <v>300.0</v>
      </c>
      <c r="N9791" s="9">
        <v>44583.0</v>
      </c>
    </row>
    <row r="9792">
      <c r="A9792" s="5">
        <v>9791.0</v>
      </c>
      <c r="B9792" s="5" t="s">
        <v>10270</v>
      </c>
      <c r="C9792" s="5" t="s">
        <v>21</v>
      </c>
      <c r="K9792" s="5">
        <v>250.0</v>
      </c>
      <c r="N9792" s="9">
        <v>44592.0</v>
      </c>
    </row>
    <row r="9793">
      <c r="A9793" s="5">
        <v>9792.0</v>
      </c>
      <c r="B9793" s="5" t="s">
        <v>10271</v>
      </c>
      <c r="C9793" s="5" t="s">
        <v>21</v>
      </c>
      <c r="K9793" s="5">
        <v>20.0</v>
      </c>
      <c r="N9793" s="9">
        <v>44597.0</v>
      </c>
    </row>
    <row r="9794">
      <c r="A9794" s="5">
        <v>9793.0</v>
      </c>
      <c r="B9794" s="5" t="s">
        <v>10272</v>
      </c>
      <c r="C9794" s="5" t="s">
        <v>21</v>
      </c>
      <c r="K9794" s="5">
        <v>700.0</v>
      </c>
      <c r="N9794" s="9">
        <v>44516.0</v>
      </c>
    </row>
    <row r="9795">
      <c r="A9795" s="5">
        <v>9794.0</v>
      </c>
      <c r="B9795" s="5" t="s">
        <v>10273</v>
      </c>
      <c r="C9795" s="5" t="s">
        <v>21</v>
      </c>
      <c r="K9795" s="5">
        <v>350.0</v>
      </c>
      <c r="N9795" s="9">
        <v>44814.0</v>
      </c>
    </row>
    <row r="9796">
      <c r="A9796" s="5">
        <v>9795.0</v>
      </c>
      <c r="B9796" s="5" t="s">
        <v>10274</v>
      </c>
      <c r="C9796" s="5" t="s">
        <v>21</v>
      </c>
      <c r="K9796" s="5">
        <v>1600.0</v>
      </c>
      <c r="N9796" s="9">
        <v>45092.0</v>
      </c>
    </row>
    <row r="9797">
      <c r="A9797" s="5">
        <v>9796.0</v>
      </c>
      <c r="B9797" s="5" t="s">
        <v>10275</v>
      </c>
      <c r="C9797" s="5" t="s">
        <v>21</v>
      </c>
      <c r="K9797" s="5">
        <v>400.0</v>
      </c>
      <c r="N9797" s="9">
        <v>43922.0</v>
      </c>
    </row>
    <row r="9798">
      <c r="A9798" s="5">
        <v>9797.0</v>
      </c>
      <c r="B9798" s="5" t="s">
        <v>10276</v>
      </c>
      <c r="C9798" s="5" t="s">
        <v>21</v>
      </c>
      <c r="K9798" s="5">
        <v>150.0</v>
      </c>
      <c r="N9798" s="9">
        <v>44894.0</v>
      </c>
    </row>
    <row r="9799">
      <c r="A9799" s="5">
        <v>9798.0</v>
      </c>
      <c r="B9799" s="5" t="s">
        <v>10277</v>
      </c>
      <c r="C9799" s="5" t="s">
        <v>21</v>
      </c>
      <c r="K9799" s="5">
        <v>200.0</v>
      </c>
      <c r="N9799" s="9">
        <v>44738.0</v>
      </c>
    </row>
    <row r="9800">
      <c r="A9800" s="5">
        <v>9799.0</v>
      </c>
      <c r="B9800" s="5" t="s">
        <v>10278</v>
      </c>
      <c r="C9800" s="5" t="s">
        <v>21</v>
      </c>
      <c r="K9800" s="5">
        <v>21000.0</v>
      </c>
      <c r="N9800" s="9">
        <v>43854.0</v>
      </c>
    </row>
    <row r="9801">
      <c r="A9801" s="5">
        <v>9800.0</v>
      </c>
      <c r="B9801" s="5" t="s">
        <v>10279</v>
      </c>
      <c r="C9801" s="5" t="s">
        <v>21</v>
      </c>
      <c r="K9801" s="5">
        <v>90.0</v>
      </c>
      <c r="N9801" s="9">
        <v>45167.0</v>
      </c>
    </row>
    <row r="9802">
      <c r="A9802" s="5">
        <v>9801.0</v>
      </c>
      <c r="B9802" s="5" t="s">
        <v>10280</v>
      </c>
      <c r="C9802" s="5" t="s">
        <v>21</v>
      </c>
      <c r="K9802" s="5">
        <v>1400.0</v>
      </c>
      <c r="N9802" s="9">
        <v>44532.0</v>
      </c>
    </row>
    <row r="9803">
      <c r="A9803" s="5">
        <v>9802.0</v>
      </c>
      <c r="B9803" s="5" t="s">
        <v>10281</v>
      </c>
      <c r="C9803" s="5" t="s">
        <v>21</v>
      </c>
      <c r="K9803" s="5">
        <v>600.0</v>
      </c>
      <c r="N9803" s="9">
        <v>44012.0</v>
      </c>
    </row>
    <row r="9804">
      <c r="A9804" s="5">
        <v>9803.0</v>
      </c>
      <c r="B9804" s="5" t="s">
        <v>10282</v>
      </c>
      <c r="C9804" s="5" t="s">
        <v>21</v>
      </c>
      <c r="K9804" s="5">
        <v>250.0</v>
      </c>
      <c r="N9804" s="9">
        <v>43979.0</v>
      </c>
    </row>
    <row r="9805">
      <c r="A9805" s="5">
        <v>9804.0</v>
      </c>
      <c r="B9805" s="5" t="s">
        <v>10283</v>
      </c>
      <c r="C9805" s="5" t="s">
        <v>21</v>
      </c>
      <c r="N9805" s="9">
        <v>44547.0</v>
      </c>
    </row>
    <row r="9806">
      <c r="A9806" s="5">
        <v>9805.0</v>
      </c>
      <c r="B9806" s="5" t="s">
        <v>10284</v>
      </c>
      <c r="C9806" s="5" t="s">
        <v>21</v>
      </c>
      <c r="K9806" s="5">
        <v>100.0</v>
      </c>
      <c r="N9806" s="9">
        <v>44537.0</v>
      </c>
    </row>
    <row r="9807">
      <c r="A9807" s="5">
        <v>9806.0</v>
      </c>
      <c r="B9807" s="5" t="s">
        <v>10285</v>
      </c>
      <c r="C9807" s="5" t="s">
        <v>21</v>
      </c>
      <c r="K9807" s="5">
        <v>200.0</v>
      </c>
      <c r="N9807" s="9">
        <v>45446.0</v>
      </c>
    </row>
    <row r="9808">
      <c r="A9808" s="5">
        <v>9807.0</v>
      </c>
      <c r="B9808" s="5" t="s">
        <v>10286</v>
      </c>
      <c r="C9808" s="5" t="s">
        <v>21</v>
      </c>
      <c r="K9808" s="5">
        <v>100.0</v>
      </c>
      <c r="N9808" s="9">
        <v>44505.0</v>
      </c>
    </row>
    <row r="9809">
      <c r="A9809" s="5">
        <v>9808.0</v>
      </c>
      <c r="B9809" s="5" t="s">
        <v>10287</v>
      </c>
      <c r="C9809" s="5" t="s">
        <v>21</v>
      </c>
      <c r="K9809" s="5">
        <v>350.0</v>
      </c>
      <c r="N9809" s="9">
        <v>44605.0</v>
      </c>
    </row>
    <row r="9810">
      <c r="A9810" s="5">
        <v>9809.0</v>
      </c>
      <c r="B9810" s="5" t="s">
        <v>10288</v>
      </c>
      <c r="C9810" s="5" t="s">
        <v>21</v>
      </c>
      <c r="K9810" s="5">
        <v>600.0</v>
      </c>
      <c r="N9810" s="9">
        <v>45453.0</v>
      </c>
    </row>
    <row r="9811">
      <c r="A9811" s="5">
        <v>9810.0</v>
      </c>
      <c r="B9811" s="5" t="s">
        <v>10289</v>
      </c>
      <c r="C9811" s="5" t="s">
        <v>21</v>
      </c>
      <c r="K9811" s="5">
        <v>400.0</v>
      </c>
      <c r="N9811" s="9">
        <v>44430.0</v>
      </c>
    </row>
    <row r="9812">
      <c r="A9812" s="5">
        <v>9811.0</v>
      </c>
      <c r="B9812" s="5" t="s">
        <v>10290</v>
      </c>
      <c r="C9812" s="5" t="s">
        <v>21</v>
      </c>
      <c r="K9812" s="5">
        <v>200.0</v>
      </c>
      <c r="N9812" s="9">
        <v>44749.0</v>
      </c>
    </row>
    <row r="9813">
      <c r="A9813" s="5">
        <v>9812.0</v>
      </c>
      <c r="B9813" s="5" t="s">
        <v>10291</v>
      </c>
      <c r="C9813" s="5" t="s">
        <v>21</v>
      </c>
      <c r="K9813" s="5">
        <v>90.0</v>
      </c>
      <c r="N9813" s="9">
        <v>44789.0</v>
      </c>
    </row>
    <row r="9814">
      <c r="A9814" s="5">
        <v>9813.0</v>
      </c>
      <c r="B9814" s="5" t="s">
        <v>10292</v>
      </c>
      <c r="C9814" s="5" t="s">
        <v>21</v>
      </c>
      <c r="K9814" s="5">
        <v>200.0</v>
      </c>
      <c r="N9814" s="9">
        <v>44519.0</v>
      </c>
    </row>
    <row r="9815">
      <c r="A9815" s="5">
        <v>9814.0</v>
      </c>
      <c r="B9815" s="5" t="s">
        <v>10293</v>
      </c>
      <c r="C9815" s="5" t="s">
        <v>21</v>
      </c>
      <c r="K9815" s="5">
        <v>800.0</v>
      </c>
      <c r="N9815" s="9">
        <v>44255.0</v>
      </c>
    </row>
    <row r="9816">
      <c r="A9816" s="5">
        <v>9815.0</v>
      </c>
      <c r="B9816" s="5" t="s">
        <v>10294</v>
      </c>
      <c r="C9816" s="5" t="s">
        <v>21</v>
      </c>
      <c r="K9816" s="5">
        <v>1400.0</v>
      </c>
      <c r="N9816" s="9">
        <v>43929.0</v>
      </c>
    </row>
    <row r="9817">
      <c r="A9817" s="5">
        <v>9816.0</v>
      </c>
      <c r="B9817" s="5" t="s">
        <v>10295</v>
      </c>
      <c r="C9817" s="5" t="s">
        <v>21</v>
      </c>
      <c r="K9817" s="5">
        <v>300.0</v>
      </c>
      <c r="N9817" s="9">
        <v>44206.0</v>
      </c>
    </row>
    <row r="9818">
      <c r="A9818" s="5">
        <v>9817.0</v>
      </c>
      <c r="B9818" s="5" t="s">
        <v>10296</v>
      </c>
      <c r="C9818" s="5" t="s">
        <v>21</v>
      </c>
      <c r="K9818" s="5">
        <v>1400.0</v>
      </c>
      <c r="N9818" s="9">
        <v>44618.0</v>
      </c>
    </row>
    <row r="9819">
      <c r="A9819" s="5">
        <v>9818.0</v>
      </c>
      <c r="B9819" s="5" t="s">
        <v>10297</v>
      </c>
      <c r="C9819" s="5" t="s">
        <v>21</v>
      </c>
      <c r="K9819" s="5">
        <v>2300.0</v>
      </c>
      <c r="N9819" s="9">
        <v>45208.0</v>
      </c>
    </row>
    <row r="9820">
      <c r="A9820" s="5">
        <v>9819.0</v>
      </c>
      <c r="B9820" s="5" t="s">
        <v>10298</v>
      </c>
      <c r="C9820" s="5" t="s">
        <v>21</v>
      </c>
      <c r="K9820" s="5">
        <v>1000.0</v>
      </c>
      <c r="N9820" s="9">
        <v>44548.0</v>
      </c>
    </row>
    <row r="9821">
      <c r="A9821" s="5">
        <v>9820.0</v>
      </c>
      <c r="B9821" s="5" t="s">
        <v>10299</v>
      </c>
      <c r="C9821" s="5" t="s">
        <v>21</v>
      </c>
      <c r="K9821" s="5">
        <v>150.0</v>
      </c>
      <c r="N9821" s="9">
        <v>44603.0</v>
      </c>
    </row>
    <row r="9822">
      <c r="A9822" s="5">
        <v>9821.0</v>
      </c>
      <c r="B9822" s="5" t="s">
        <v>10300</v>
      </c>
      <c r="C9822" s="5" t="s">
        <v>21</v>
      </c>
      <c r="K9822" s="5">
        <v>100.0</v>
      </c>
      <c r="N9822" s="9">
        <v>44621.0</v>
      </c>
    </row>
    <row r="9823">
      <c r="A9823" s="5">
        <v>9822.0</v>
      </c>
      <c r="B9823" s="5" t="s">
        <v>10301</v>
      </c>
      <c r="C9823" s="5" t="s">
        <v>21</v>
      </c>
      <c r="N9823" s="9">
        <v>44479.0</v>
      </c>
    </row>
    <row r="9824">
      <c r="A9824" s="5">
        <v>9823.0</v>
      </c>
      <c r="B9824" s="5" t="s">
        <v>10302</v>
      </c>
      <c r="C9824" s="5" t="s">
        <v>21</v>
      </c>
      <c r="K9824" s="5">
        <v>4800.0</v>
      </c>
      <c r="N9824" s="9">
        <v>44342.0</v>
      </c>
    </row>
    <row r="9825">
      <c r="A9825" s="5">
        <v>9824.0</v>
      </c>
      <c r="B9825" s="5" t="s">
        <v>10303</v>
      </c>
      <c r="C9825" s="5" t="s">
        <v>21</v>
      </c>
      <c r="K9825" s="5">
        <v>100.0</v>
      </c>
      <c r="N9825" s="9">
        <v>45075.0</v>
      </c>
    </row>
    <row r="9826">
      <c r="A9826" s="5">
        <v>9825.0</v>
      </c>
      <c r="B9826" s="5" t="s">
        <v>10304</v>
      </c>
      <c r="C9826" s="5" t="s">
        <v>21</v>
      </c>
      <c r="K9826" s="5">
        <v>450.0</v>
      </c>
      <c r="N9826" s="9">
        <v>44642.0</v>
      </c>
    </row>
    <row r="9827">
      <c r="A9827" s="5">
        <v>9826.0</v>
      </c>
      <c r="B9827" s="5" t="s">
        <v>10305</v>
      </c>
      <c r="C9827" s="5" t="s">
        <v>21</v>
      </c>
      <c r="K9827" s="5">
        <v>800.0</v>
      </c>
      <c r="N9827" s="9">
        <v>44105.0</v>
      </c>
    </row>
    <row r="9828">
      <c r="A9828" s="5">
        <v>9827.0</v>
      </c>
      <c r="B9828" s="5" t="s">
        <v>10306</v>
      </c>
      <c r="C9828" s="5" t="s">
        <v>21</v>
      </c>
      <c r="K9828" s="5">
        <v>200.0</v>
      </c>
      <c r="N9828" s="9">
        <v>44460.0</v>
      </c>
    </row>
    <row r="9829">
      <c r="A9829" s="5">
        <v>9828.0</v>
      </c>
      <c r="B9829" s="5" t="s">
        <v>10307</v>
      </c>
      <c r="C9829" s="5" t="s">
        <v>21</v>
      </c>
      <c r="K9829" s="5">
        <v>200.0</v>
      </c>
      <c r="N9829" s="9">
        <v>46128.0</v>
      </c>
    </row>
    <row r="9830">
      <c r="A9830" s="5">
        <v>9829.0</v>
      </c>
      <c r="B9830" s="5" t="s">
        <v>10308</v>
      </c>
      <c r="C9830" s="5" t="s">
        <v>21</v>
      </c>
      <c r="K9830" s="5">
        <v>100.0</v>
      </c>
      <c r="N9830" s="9">
        <v>44531.0</v>
      </c>
    </row>
    <row r="9831">
      <c r="A9831" s="5">
        <v>9830.0</v>
      </c>
      <c r="B9831" s="5" t="s">
        <v>10309</v>
      </c>
      <c r="C9831" s="5" t="s">
        <v>21</v>
      </c>
      <c r="K9831" s="5">
        <v>250.0</v>
      </c>
      <c r="N9831" s="9">
        <v>45677.0</v>
      </c>
    </row>
    <row r="9832">
      <c r="A9832" s="5">
        <v>9831.0</v>
      </c>
      <c r="B9832" s="5" t="s">
        <v>10310</v>
      </c>
      <c r="C9832" s="5" t="s">
        <v>21</v>
      </c>
      <c r="N9832" s="9">
        <v>45088.0</v>
      </c>
    </row>
    <row r="9833">
      <c r="A9833" s="5">
        <v>9832.0</v>
      </c>
      <c r="B9833" s="5" t="s">
        <v>335</v>
      </c>
      <c r="C9833" s="5" t="s">
        <v>21</v>
      </c>
      <c r="N9833" s="9">
        <v>43249.0</v>
      </c>
    </row>
    <row r="9834">
      <c r="A9834" s="5">
        <v>9833.0</v>
      </c>
      <c r="B9834" s="5" t="s">
        <v>10311</v>
      </c>
      <c r="C9834" s="5" t="s">
        <v>21</v>
      </c>
      <c r="K9834" s="5">
        <v>800.0</v>
      </c>
      <c r="N9834" s="9">
        <v>44557.0</v>
      </c>
    </row>
    <row r="9835">
      <c r="A9835" s="5">
        <v>9834.0</v>
      </c>
      <c r="B9835" s="5" t="s">
        <v>10312</v>
      </c>
      <c r="C9835" s="5" t="s">
        <v>21</v>
      </c>
      <c r="K9835" s="5">
        <v>450.0</v>
      </c>
      <c r="N9835" s="9">
        <v>44536.0</v>
      </c>
    </row>
    <row r="9836">
      <c r="A9836" s="5">
        <v>9835.0</v>
      </c>
      <c r="B9836" s="5" t="s">
        <v>10313</v>
      </c>
      <c r="C9836" s="5" t="s">
        <v>21</v>
      </c>
      <c r="K9836" s="5">
        <v>200.0</v>
      </c>
      <c r="N9836" s="9">
        <v>44967.0</v>
      </c>
    </row>
    <row r="9837">
      <c r="A9837" s="5">
        <v>9836.0</v>
      </c>
      <c r="B9837" s="5" t="s">
        <v>10314</v>
      </c>
      <c r="C9837" s="5" t="s">
        <v>21</v>
      </c>
      <c r="K9837" s="5">
        <v>500.0</v>
      </c>
      <c r="N9837" s="9">
        <v>44300.0</v>
      </c>
    </row>
    <row r="9838">
      <c r="A9838" s="5">
        <v>9837.0</v>
      </c>
      <c r="B9838" s="5" t="s">
        <v>10315</v>
      </c>
      <c r="C9838" s="5" t="s">
        <v>21</v>
      </c>
      <c r="K9838" s="5">
        <v>70.0</v>
      </c>
      <c r="N9838" s="9">
        <v>44533.0</v>
      </c>
    </row>
    <row r="9839">
      <c r="A9839" s="5">
        <v>9838.0</v>
      </c>
      <c r="B9839" s="5" t="s">
        <v>10316</v>
      </c>
      <c r="C9839" s="5" t="s">
        <v>21</v>
      </c>
      <c r="K9839" s="5">
        <v>150.0</v>
      </c>
      <c r="N9839" s="9">
        <v>44592.0</v>
      </c>
    </row>
    <row r="9840">
      <c r="A9840" s="5">
        <v>9839.0</v>
      </c>
      <c r="B9840" s="5" t="s">
        <v>10317</v>
      </c>
      <c r="C9840" s="5" t="s">
        <v>21</v>
      </c>
      <c r="K9840" s="5">
        <v>700.0</v>
      </c>
      <c r="N9840" s="9">
        <v>44950.0</v>
      </c>
    </row>
    <row r="9841">
      <c r="A9841" s="5">
        <v>9840.0</v>
      </c>
      <c r="B9841" s="5" t="s">
        <v>10318</v>
      </c>
      <c r="C9841" s="5" t="s">
        <v>21</v>
      </c>
      <c r="K9841" s="5">
        <v>800.0</v>
      </c>
      <c r="N9841" s="9">
        <v>44935.0</v>
      </c>
    </row>
    <row r="9842">
      <c r="A9842" s="5">
        <v>9841.0</v>
      </c>
      <c r="B9842" s="5" t="s">
        <v>10319</v>
      </c>
      <c r="C9842" s="5" t="s">
        <v>21</v>
      </c>
      <c r="K9842" s="5">
        <v>150.0</v>
      </c>
      <c r="N9842" s="9">
        <v>44508.0</v>
      </c>
    </row>
    <row r="9843">
      <c r="A9843" s="5">
        <v>9842.0</v>
      </c>
      <c r="B9843" s="5" t="s">
        <v>10320</v>
      </c>
      <c r="C9843" s="5" t="s">
        <v>21</v>
      </c>
      <c r="K9843" s="5">
        <v>150.0</v>
      </c>
      <c r="N9843" s="9">
        <v>45080.0</v>
      </c>
    </row>
    <row r="9844">
      <c r="A9844" s="5">
        <v>9843.0</v>
      </c>
      <c r="B9844" s="5" t="s">
        <v>10321</v>
      </c>
      <c r="C9844" s="5" t="s">
        <v>21</v>
      </c>
      <c r="N9844" s="9">
        <v>44577.0</v>
      </c>
    </row>
    <row r="9845">
      <c r="A9845" s="5">
        <v>9844.0</v>
      </c>
      <c r="B9845" s="5" t="s">
        <v>10322</v>
      </c>
      <c r="C9845" s="5" t="s">
        <v>21</v>
      </c>
      <c r="K9845" s="5">
        <v>250.0</v>
      </c>
      <c r="N9845" s="9">
        <v>44991.0</v>
      </c>
    </row>
    <row r="9846">
      <c r="A9846" s="5">
        <v>9845.0</v>
      </c>
      <c r="B9846" s="5" t="s">
        <v>10323</v>
      </c>
      <c r="C9846" s="5" t="s">
        <v>21</v>
      </c>
      <c r="K9846" s="5">
        <v>8000.0</v>
      </c>
      <c r="N9846" s="9">
        <v>44041.0</v>
      </c>
    </row>
    <row r="9847">
      <c r="A9847" s="5">
        <v>9846.0</v>
      </c>
      <c r="B9847" s="5" t="s">
        <v>10324</v>
      </c>
      <c r="C9847" s="5" t="s">
        <v>21</v>
      </c>
      <c r="K9847" s="5">
        <v>200.0</v>
      </c>
      <c r="N9847" s="9">
        <v>45107.0</v>
      </c>
    </row>
    <row r="9848">
      <c r="A9848" s="5">
        <v>9847.0</v>
      </c>
      <c r="B9848" s="5" t="s">
        <v>10325</v>
      </c>
      <c r="C9848" s="5" t="s">
        <v>21</v>
      </c>
      <c r="K9848" s="5">
        <v>600.0</v>
      </c>
      <c r="N9848" s="9">
        <v>45032.0</v>
      </c>
    </row>
    <row r="9849">
      <c r="A9849" s="5">
        <v>9848.0</v>
      </c>
      <c r="B9849" s="5" t="s">
        <v>10326</v>
      </c>
      <c r="C9849" s="5" t="s">
        <v>21</v>
      </c>
      <c r="K9849" s="5">
        <v>3700.0</v>
      </c>
      <c r="N9849" s="9">
        <v>44191.0</v>
      </c>
    </row>
    <row r="9850">
      <c r="A9850" s="5">
        <v>9849.0</v>
      </c>
      <c r="B9850" s="5" t="s">
        <v>10327</v>
      </c>
      <c r="C9850" s="5" t="s">
        <v>21</v>
      </c>
      <c r="K9850" s="5">
        <v>1600.0</v>
      </c>
      <c r="N9850" s="9">
        <v>44847.0</v>
      </c>
    </row>
    <row r="9851">
      <c r="A9851" s="5">
        <v>9850.0</v>
      </c>
      <c r="B9851" s="5" t="s">
        <v>10328</v>
      </c>
      <c r="C9851" s="5" t="s">
        <v>21</v>
      </c>
      <c r="K9851" s="5">
        <v>150.0</v>
      </c>
      <c r="N9851" s="9">
        <v>44096.0</v>
      </c>
    </row>
    <row r="9852">
      <c r="A9852" s="5">
        <v>9851.0</v>
      </c>
      <c r="B9852" s="5" t="s">
        <v>10329</v>
      </c>
      <c r="C9852" s="5" t="s">
        <v>21</v>
      </c>
      <c r="K9852" s="5">
        <v>900.0</v>
      </c>
      <c r="N9852" s="9">
        <v>44199.0</v>
      </c>
    </row>
    <row r="9853">
      <c r="A9853" s="5">
        <v>9852.0</v>
      </c>
      <c r="B9853" s="5" t="s">
        <v>10330</v>
      </c>
      <c r="C9853" s="5" t="s">
        <v>21</v>
      </c>
      <c r="K9853" s="5">
        <v>500.0</v>
      </c>
      <c r="N9853" s="9">
        <v>44110.0</v>
      </c>
    </row>
    <row r="9854">
      <c r="A9854" s="5">
        <v>9853.0</v>
      </c>
      <c r="B9854" s="5" t="s">
        <v>10331</v>
      </c>
      <c r="C9854" s="5" t="s">
        <v>21</v>
      </c>
      <c r="K9854" s="5">
        <v>900.0</v>
      </c>
      <c r="N9854" s="9">
        <v>44067.0</v>
      </c>
    </row>
    <row r="9855">
      <c r="A9855" s="5">
        <v>9854.0</v>
      </c>
      <c r="B9855" s="5" t="s">
        <v>10332</v>
      </c>
      <c r="C9855" s="5" t="s">
        <v>21</v>
      </c>
      <c r="K9855" s="5">
        <v>350.0</v>
      </c>
      <c r="N9855" s="9">
        <v>44019.0</v>
      </c>
    </row>
    <row r="9856">
      <c r="A9856" s="5">
        <v>9855.0</v>
      </c>
      <c r="B9856" s="5" t="s">
        <v>10333</v>
      </c>
      <c r="C9856" s="5" t="s">
        <v>21</v>
      </c>
      <c r="K9856" s="5">
        <v>1500.0</v>
      </c>
      <c r="N9856" s="9">
        <v>44529.0</v>
      </c>
    </row>
    <row r="9857">
      <c r="A9857" s="5">
        <v>9856.0</v>
      </c>
      <c r="B9857" s="5" t="s">
        <v>338</v>
      </c>
      <c r="C9857" s="5" t="s">
        <v>21</v>
      </c>
      <c r="K9857" s="5">
        <v>200.0</v>
      </c>
      <c r="N9857" s="9">
        <v>44040.0</v>
      </c>
    </row>
    <row r="9858">
      <c r="A9858" s="5">
        <v>9857.0</v>
      </c>
      <c r="B9858" s="5" t="s">
        <v>10334</v>
      </c>
      <c r="C9858" s="5" t="s">
        <v>21</v>
      </c>
      <c r="K9858" s="5">
        <v>400.0</v>
      </c>
      <c r="N9858" s="9">
        <v>44606.0</v>
      </c>
    </row>
    <row r="9859">
      <c r="A9859" s="5">
        <v>9858.0</v>
      </c>
      <c r="B9859" s="5" t="s">
        <v>10335</v>
      </c>
      <c r="C9859" s="5" t="s">
        <v>21</v>
      </c>
      <c r="K9859" s="5">
        <v>500.0</v>
      </c>
      <c r="N9859" s="9">
        <v>44703.0</v>
      </c>
    </row>
    <row r="9860">
      <c r="A9860" s="5">
        <v>9859.0</v>
      </c>
      <c r="B9860" s="5" t="s">
        <v>10336</v>
      </c>
      <c r="C9860" s="5" t="s">
        <v>21</v>
      </c>
      <c r="K9860" s="5">
        <v>300.0</v>
      </c>
      <c r="N9860" s="9">
        <v>44529.0</v>
      </c>
    </row>
    <row r="9861">
      <c r="A9861" s="5">
        <v>9860.0</v>
      </c>
      <c r="B9861" s="5" t="s">
        <v>10337</v>
      </c>
      <c r="C9861" s="5" t="s">
        <v>21</v>
      </c>
      <c r="K9861" s="5">
        <v>450.0</v>
      </c>
      <c r="N9861" s="9">
        <v>45099.0</v>
      </c>
    </row>
    <row r="9862">
      <c r="A9862" s="5">
        <v>9861.0</v>
      </c>
      <c r="B9862" s="5" t="s">
        <v>10338</v>
      </c>
      <c r="C9862" s="5" t="s">
        <v>21</v>
      </c>
      <c r="K9862" s="5">
        <v>60.0</v>
      </c>
      <c r="N9862" s="9">
        <v>44770.0</v>
      </c>
    </row>
    <row r="9863">
      <c r="A9863" s="5">
        <v>9862.0</v>
      </c>
      <c r="B9863" s="5" t="s">
        <v>10339</v>
      </c>
      <c r="C9863" s="5" t="s">
        <v>21</v>
      </c>
      <c r="K9863" s="5">
        <v>30.0</v>
      </c>
      <c r="N9863" s="9">
        <v>44244.0</v>
      </c>
    </row>
    <row r="9864">
      <c r="A9864" s="5">
        <v>9863.0</v>
      </c>
      <c r="B9864" s="5" t="s">
        <v>10340</v>
      </c>
      <c r="C9864" s="5" t="s">
        <v>21</v>
      </c>
      <c r="K9864" s="5">
        <v>1100.0</v>
      </c>
      <c r="N9864" s="9">
        <v>44519.0</v>
      </c>
    </row>
    <row r="9865">
      <c r="A9865" s="5">
        <v>9864.0</v>
      </c>
      <c r="B9865" s="5" t="s">
        <v>10341</v>
      </c>
      <c r="C9865" s="5" t="s">
        <v>21</v>
      </c>
      <c r="K9865" s="5">
        <v>1500.0</v>
      </c>
      <c r="N9865" s="9">
        <v>43984.0</v>
      </c>
    </row>
    <row r="9866">
      <c r="A9866" s="5">
        <v>9865.0</v>
      </c>
      <c r="B9866" s="5" t="s">
        <v>10342</v>
      </c>
      <c r="C9866" s="5" t="s">
        <v>21</v>
      </c>
      <c r="K9866" s="5">
        <v>600.0</v>
      </c>
      <c r="N9866" s="9">
        <v>45060.0</v>
      </c>
    </row>
    <row r="9867">
      <c r="A9867" s="5">
        <v>9866.0</v>
      </c>
      <c r="B9867" s="5" t="s">
        <v>10343</v>
      </c>
      <c r="C9867" s="5" t="s">
        <v>21</v>
      </c>
      <c r="K9867" s="5">
        <v>50.0</v>
      </c>
      <c r="N9867" s="9">
        <v>44296.0</v>
      </c>
    </row>
    <row r="9868">
      <c r="A9868" s="5">
        <v>9867.0</v>
      </c>
      <c r="B9868" s="5" t="s">
        <v>10344</v>
      </c>
      <c r="C9868" s="5" t="s">
        <v>21</v>
      </c>
      <c r="K9868" s="5">
        <v>21000.0</v>
      </c>
      <c r="N9868" s="9">
        <v>46085.0</v>
      </c>
    </row>
    <row r="9869">
      <c r="A9869" s="5">
        <v>9868.0</v>
      </c>
      <c r="B9869" s="5" t="s">
        <v>10345</v>
      </c>
      <c r="C9869" s="5" t="s">
        <v>21</v>
      </c>
      <c r="K9869" s="5">
        <v>400.0</v>
      </c>
      <c r="N9869" s="9">
        <v>45099.0</v>
      </c>
    </row>
    <row r="9870">
      <c r="A9870" s="5">
        <v>9869.0</v>
      </c>
      <c r="B9870" s="5" t="s">
        <v>10346</v>
      </c>
      <c r="C9870" s="5" t="s">
        <v>21</v>
      </c>
      <c r="K9870" s="5">
        <v>800.0</v>
      </c>
      <c r="N9870" s="9">
        <v>44624.0</v>
      </c>
    </row>
    <row r="9871">
      <c r="A9871" s="5">
        <v>9870.0</v>
      </c>
      <c r="B9871" s="5" t="s">
        <v>10347</v>
      </c>
      <c r="C9871" s="5" t="s">
        <v>21</v>
      </c>
      <c r="K9871" s="5">
        <v>80.0</v>
      </c>
      <c r="N9871" s="9">
        <v>44705.0</v>
      </c>
    </row>
    <row r="9872">
      <c r="A9872" s="5">
        <v>9871.0</v>
      </c>
      <c r="B9872" s="5" t="s">
        <v>10348</v>
      </c>
      <c r="C9872" s="5" t="s">
        <v>21</v>
      </c>
      <c r="K9872" s="5">
        <v>40.0</v>
      </c>
      <c r="N9872" s="9">
        <v>44778.0</v>
      </c>
    </row>
    <row r="9873">
      <c r="A9873" s="5">
        <v>9872.0</v>
      </c>
      <c r="B9873" s="5" t="s">
        <v>10349</v>
      </c>
      <c r="C9873" s="5" t="s">
        <v>21</v>
      </c>
      <c r="K9873" s="5">
        <v>40.0</v>
      </c>
      <c r="N9873" s="9">
        <v>44719.0</v>
      </c>
    </row>
    <row r="9874">
      <c r="A9874" s="5">
        <v>9873.0</v>
      </c>
      <c r="B9874" s="5" t="s">
        <v>10350</v>
      </c>
      <c r="C9874" s="5" t="s">
        <v>21</v>
      </c>
      <c r="K9874" s="5">
        <v>10.0</v>
      </c>
      <c r="N9874" s="9">
        <v>44574.0</v>
      </c>
    </row>
    <row r="9875">
      <c r="A9875" s="5">
        <v>9874.0</v>
      </c>
      <c r="B9875" s="5" t="s">
        <v>10351</v>
      </c>
      <c r="C9875" s="5" t="s">
        <v>21</v>
      </c>
      <c r="K9875" s="5">
        <v>700.0</v>
      </c>
      <c r="N9875" s="9">
        <v>44505.0</v>
      </c>
    </row>
    <row r="9876">
      <c r="A9876" s="5">
        <v>9875.0</v>
      </c>
      <c r="B9876" s="5" t="s">
        <v>10352</v>
      </c>
      <c r="C9876" s="5" t="s">
        <v>21</v>
      </c>
      <c r="K9876" s="5">
        <v>2500.0</v>
      </c>
      <c r="N9876" s="9">
        <v>44582.0</v>
      </c>
    </row>
    <row r="9877">
      <c r="A9877" s="5">
        <v>9876.0</v>
      </c>
      <c r="B9877" s="5" t="s">
        <v>10353</v>
      </c>
      <c r="C9877" s="5" t="s">
        <v>21</v>
      </c>
      <c r="K9877" s="5">
        <v>17000.0</v>
      </c>
      <c r="N9877" s="9">
        <v>43841.0</v>
      </c>
    </row>
    <row r="9878">
      <c r="A9878" s="5">
        <v>9877.0</v>
      </c>
      <c r="B9878" s="5" t="s">
        <v>10354</v>
      </c>
      <c r="C9878" s="5" t="s">
        <v>21</v>
      </c>
      <c r="K9878" s="5">
        <v>150.0</v>
      </c>
      <c r="N9878" s="9">
        <v>45090.0</v>
      </c>
    </row>
    <row r="9879">
      <c r="A9879" s="5">
        <v>9878.0</v>
      </c>
      <c r="B9879" s="5" t="s">
        <v>10355</v>
      </c>
      <c r="C9879" s="5" t="s">
        <v>21</v>
      </c>
      <c r="K9879" s="5">
        <v>200.0</v>
      </c>
      <c r="N9879" s="9">
        <v>45450.0</v>
      </c>
    </row>
    <row r="9880">
      <c r="A9880" s="5">
        <v>9879.0</v>
      </c>
      <c r="B9880" s="5" t="s">
        <v>10356</v>
      </c>
      <c r="C9880" s="5" t="s">
        <v>21</v>
      </c>
      <c r="K9880" s="5">
        <v>70.0</v>
      </c>
      <c r="N9880" s="9">
        <v>44968.0</v>
      </c>
    </row>
    <row r="9881">
      <c r="A9881" s="5">
        <v>9880.0</v>
      </c>
      <c r="B9881" s="5" t="s">
        <v>10357</v>
      </c>
      <c r="C9881" s="5" t="s">
        <v>21</v>
      </c>
      <c r="K9881" s="5">
        <v>500.0</v>
      </c>
      <c r="N9881" s="9">
        <v>44047.0</v>
      </c>
    </row>
    <row r="9882">
      <c r="A9882" s="5">
        <v>9881.0</v>
      </c>
      <c r="B9882" s="5" t="s">
        <v>10358</v>
      </c>
      <c r="C9882" s="5" t="s">
        <v>21</v>
      </c>
      <c r="K9882" s="5">
        <v>60.0</v>
      </c>
      <c r="N9882" s="9">
        <v>44628.0</v>
      </c>
    </row>
    <row r="9883">
      <c r="A9883" s="5">
        <v>9882.0</v>
      </c>
      <c r="B9883" s="5" t="s">
        <v>10359</v>
      </c>
      <c r="C9883" s="5" t="s">
        <v>21</v>
      </c>
      <c r="K9883" s="5">
        <v>150.0</v>
      </c>
      <c r="N9883" s="9">
        <v>44386.0</v>
      </c>
    </row>
    <row r="9884">
      <c r="A9884" s="5">
        <v>9883.0</v>
      </c>
      <c r="B9884" s="5" t="s">
        <v>10360</v>
      </c>
      <c r="C9884" s="5" t="s">
        <v>21</v>
      </c>
      <c r="K9884" s="5">
        <v>400.0</v>
      </c>
      <c r="N9884" s="9">
        <v>44989.0</v>
      </c>
    </row>
    <row r="9885">
      <c r="A9885" s="5">
        <v>9884.0</v>
      </c>
      <c r="B9885" s="5" t="s">
        <v>10361</v>
      </c>
      <c r="C9885" s="5" t="s">
        <v>21</v>
      </c>
      <c r="K9885" s="5">
        <v>1300.0</v>
      </c>
      <c r="N9885" s="9">
        <v>44827.0</v>
      </c>
    </row>
    <row r="9886">
      <c r="A9886" s="5">
        <v>9885.0</v>
      </c>
      <c r="B9886" s="5" t="s">
        <v>10362</v>
      </c>
      <c r="C9886" s="5" t="s">
        <v>21</v>
      </c>
      <c r="K9886" s="5">
        <v>70.0</v>
      </c>
      <c r="N9886" s="9">
        <v>45323.0</v>
      </c>
    </row>
    <row r="9887">
      <c r="A9887" s="5">
        <v>9886.0</v>
      </c>
      <c r="B9887" s="5" t="s">
        <v>10363</v>
      </c>
      <c r="C9887" s="5" t="s">
        <v>21</v>
      </c>
      <c r="K9887" s="5">
        <v>150.0</v>
      </c>
      <c r="N9887" s="9">
        <v>45028.0</v>
      </c>
    </row>
    <row r="9888">
      <c r="A9888" s="5">
        <v>9887.0</v>
      </c>
      <c r="B9888" s="5" t="s">
        <v>10364</v>
      </c>
      <c r="C9888" s="5" t="s">
        <v>21</v>
      </c>
      <c r="K9888" s="5">
        <v>1700.0</v>
      </c>
      <c r="N9888" s="9">
        <v>43843.0</v>
      </c>
    </row>
    <row r="9889">
      <c r="A9889" s="5">
        <v>9888.0</v>
      </c>
      <c r="B9889" s="5" t="s">
        <v>10365</v>
      </c>
      <c r="C9889" s="5" t="s">
        <v>21</v>
      </c>
      <c r="K9889" s="5">
        <v>1000.0</v>
      </c>
      <c r="N9889" s="9">
        <v>44168.0</v>
      </c>
    </row>
    <row r="9890">
      <c r="A9890" s="5">
        <v>9889.0</v>
      </c>
      <c r="B9890" s="5" t="s">
        <v>10366</v>
      </c>
      <c r="C9890" s="5" t="s">
        <v>21</v>
      </c>
      <c r="K9890" s="5">
        <v>450.0</v>
      </c>
      <c r="N9890" s="9">
        <v>45077.0</v>
      </c>
    </row>
    <row r="9891">
      <c r="A9891" s="5">
        <v>9890.0</v>
      </c>
      <c r="B9891" s="5" t="s">
        <v>10367</v>
      </c>
      <c r="C9891" s="5" t="s">
        <v>21</v>
      </c>
      <c r="K9891" s="5">
        <v>600.0</v>
      </c>
      <c r="N9891" s="9">
        <v>44796.0</v>
      </c>
    </row>
    <row r="9892">
      <c r="A9892" s="5">
        <v>9891.0</v>
      </c>
      <c r="B9892" s="5" t="s">
        <v>10368</v>
      </c>
      <c r="C9892" s="5" t="s">
        <v>21</v>
      </c>
      <c r="K9892" s="5">
        <v>150.0</v>
      </c>
      <c r="N9892" s="9">
        <v>44585.0</v>
      </c>
    </row>
    <row r="9893">
      <c r="A9893" s="5">
        <v>9892.0</v>
      </c>
      <c r="B9893" s="5" t="s">
        <v>10369</v>
      </c>
      <c r="C9893" s="5" t="s">
        <v>21</v>
      </c>
      <c r="K9893" s="5">
        <v>1300.0</v>
      </c>
      <c r="N9893" s="9">
        <v>44538.0</v>
      </c>
    </row>
    <row r="9894">
      <c r="A9894" s="5">
        <v>9893.0</v>
      </c>
      <c r="B9894" s="5" t="s">
        <v>10370</v>
      </c>
      <c r="C9894" s="5" t="s">
        <v>21</v>
      </c>
      <c r="K9894" s="5">
        <v>2800.0</v>
      </c>
      <c r="N9894" s="9">
        <v>45057.0</v>
      </c>
    </row>
    <row r="9895">
      <c r="A9895" s="5">
        <v>9894.0</v>
      </c>
      <c r="B9895" s="5" t="s">
        <v>10371</v>
      </c>
      <c r="C9895" s="5" t="s">
        <v>21</v>
      </c>
      <c r="K9895" s="5">
        <v>80.0</v>
      </c>
      <c r="N9895" s="9">
        <v>45044.0</v>
      </c>
    </row>
    <row r="9896">
      <c r="A9896" s="5">
        <v>9895.0</v>
      </c>
      <c r="B9896" s="5" t="s">
        <v>10372</v>
      </c>
      <c r="C9896" s="5" t="s">
        <v>21</v>
      </c>
      <c r="K9896" s="5">
        <v>150.0</v>
      </c>
      <c r="N9896" s="9">
        <v>44250.0</v>
      </c>
    </row>
    <row r="9897">
      <c r="A9897" s="5">
        <v>9896.0</v>
      </c>
      <c r="B9897" s="5" t="s">
        <v>10373</v>
      </c>
      <c r="C9897" s="5" t="s">
        <v>21</v>
      </c>
      <c r="K9897" s="5">
        <v>200.0</v>
      </c>
      <c r="N9897" s="9">
        <v>44510.0</v>
      </c>
    </row>
    <row r="9898">
      <c r="A9898" s="5">
        <v>9897.0</v>
      </c>
      <c r="B9898" s="5" t="s">
        <v>10374</v>
      </c>
      <c r="C9898" s="5" t="s">
        <v>21</v>
      </c>
      <c r="K9898" s="5">
        <v>800.0</v>
      </c>
      <c r="N9898" s="9">
        <v>44383.0</v>
      </c>
    </row>
    <row r="9899">
      <c r="A9899" s="5">
        <v>9898.0</v>
      </c>
      <c r="B9899" s="5" t="s">
        <v>10375</v>
      </c>
      <c r="C9899" s="5" t="s">
        <v>21</v>
      </c>
      <c r="K9899" s="5">
        <v>150.0</v>
      </c>
      <c r="N9899" s="9">
        <v>44874.0</v>
      </c>
    </row>
    <row r="9900">
      <c r="A9900" s="5">
        <v>9899.0</v>
      </c>
      <c r="B9900" s="5" t="s">
        <v>10376</v>
      </c>
      <c r="C9900" s="5" t="s">
        <v>21</v>
      </c>
      <c r="N9900" s="9">
        <v>44983.0</v>
      </c>
    </row>
    <row r="9901">
      <c r="A9901" s="5">
        <v>9900.0</v>
      </c>
      <c r="B9901" s="5" t="s">
        <v>10377</v>
      </c>
      <c r="C9901" s="5" t="s">
        <v>21</v>
      </c>
      <c r="N9901" s="9">
        <v>44552.0</v>
      </c>
    </row>
    <row r="9902">
      <c r="A9902" s="5">
        <v>9901.0</v>
      </c>
      <c r="B9902" s="5" t="s">
        <v>10378</v>
      </c>
      <c r="C9902" s="5" t="s">
        <v>21</v>
      </c>
      <c r="K9902" s="5">
        <v>150.0</v>
      </c>
      <c r="N9902" s="9">
        <v>44326.0</v>
      </c>
    </row>
    <row r="9903">
      <c r="A9903" s="5">
        <v>9902.0</v>
      </c>
      <c r="B9903" s="5" t="s">
        <v>10379</v>
      </c>
      <c r="C9903" s="5" t="s">
        <v>21</v>
      </c>
      <c r="K9903" s="5">
        <v>350.0</v>
      </c>
      <c r="N9903" s="9">
        <v>44728.0</v>
      </c>
    </row>
    <row r="9904">
      <c r="A9904" s="5">
        <v>9903.0</v>
      </c>
      <c r="B9904" s="5" t="s">
        <v>10380</v>
      </c>
      <c r="C9904" s="5" t="s">
        <v>21</v>
      </c>
      <c r="N9904" s="9">
        <v>44509.0</v>
      </c>
    </row>
    <row r="9905">
      <c r="A9905" s="5">
        <v>9904.0</v>
      </c>
      <c r="B9905" s="5" t="s">
        <v>10381</v>
      </c>
      <c r="C9905" s="5" t="s">
        <v>21</v>
      </c>
      <c r="K9905" s="5">
        <v>450.0</v>
      </c>
      <c r="N9905" s="9">
        <v>44497.0</v>
      </c>
    </row>
    <row r="9906">
      <c r="A9906" s="5">
        <v>9905.0</v>
      </c>
      <c r="B9906" s="5" t="s">
        <v>10382</v>
      </c>
      <c r="C9906" s="5" t="s">
        <v>21</v>
      </c>
      <c r="K9906" s="5">
        <v>450.0</v>
      </c>
      <c r="N9906" s="9">
        <v>44773.0</v>
      </c>
    </row>
    <row r="9907">
      <c r="A9907" s="5">
        <v>9906.0</v>
      </c>
      <c r="B9907" s="5" t="s">
        <v>333</v>
      </c>
      <c r="C9907" s="5" t="s">
        <v>21</v>
      </c>
      <c r="K9907" s="5">
        <v>200.0</v>
      </c>
      <c r="N9907" s="9">
        <v>45173.0</v>
      </c>
    </row>
    <row r="9908">
      <c r="A9908" s="5">
        <v>9907.0</v>
      </c>
      <c r="B9908" s="5" t="s">
        <v>10383</v>
      </c>
      <c r="C9908" s="5" t="s">
        <v>21</v>
      </c>
      <c r="K9908" s="5">
        <v>900.0</v>
      </c>
      <c r="N9908" s="9">
        <v>43912.0</v>
      </c>
    </row>
    <row r="9909">
      <c r="A9909" s="5">
        <v>9908.0</v>
      </c>
      <c r="B9909" s="5" t="s">
        <v>10384</v>
      </c>
      <c r="C9909" s="5" t="s">
        <v>21</v>
      </c>
      <c r="K9909" s="5">
        <v>20.0</v>
      </c>
      <c r="N9909" s="9">
        <v>44640.0</v>
      </c>
    </row>
    <row r="9910">
      <c r="A9910" s="5">
        <v>9909.0</v>
      </c>
      <c r="B9910" s="5" t="s">
        <v>10385</v>
      </c>
      <c r="C9910" s="5" t="s">
        <v>21</v>
      </c>
      <c r="K9910" s="5">
        <v>1100.0</v>
      </c>
      <c r="N9910" s="9">
        <v>45320.0</v>
      </c>
    </row>
    <row r="9911">
      <c r="A9911" s="5">
        <v>9910.0</v>
      </c>
      <c r="B9911" s="5" t="s">
        <v>10386</v>
      </c>
      <c r="C9911" s="5" t="s">
        <v>21</v>
      </c>
      <c r="K9911" s="5">
        <v>50.0</v>
      </c>
      <c r="N9911" s="9">
        <v>44616.0</v>
      </c>
    </row>
    <row r="9912">
      <c r="A9912" s="5">
        <v>9911.0</v>
      </c>
      <c r="B9912" s="5" t="s">
        <v>10387</v>
      </c>
      <c r="C9912" s="5" t="s">
        <v>21</v>
      </c>
      <c r="K9912" s="5">
        <v>250.0</v>
      </c>
      <c r="N9912" s="9">
        <v>44713.0</v>
      </c>
    </row>
    <row r="9913">
      <c r="A9913" s="5">
        <v>9912.0</v>
      </c>
      <c r="B9913" s="5" t="s">
        <v>10388</v>
      </c>
      <c r="C9913" s="5" t="s">
        <v>21</v>
      </c>
      <c r="K9913" s="5">
        <v>150.0</v>
      </c>
      <c r="N9913" s="9">
        <v>45570.0</v>
      </c>
    </row>
    <row r="9914">
      <c r="A9914" s="5">
        <v>9913.0</v>
      </c>
      <c r="B9914" s="5" t="s">
        <v>10389</v>
      </c>
      <c r="C9914" s="5" t="s">
        <v>21</v>
      </c>
      <c r="K9914" s="5">
        <v>700.0</v>
      </c>
      <c r="N9914" s="9">
        <v>44116.0</v>
      </c>
    </row>
    <row r="9915">
      <c r="A9915" s="5">
        <v>9914.0</v>
      </c>
      <c r="B9915" s="5" t="s">
        <v>10390</v>
      </c>
      <c r="C9915" s="5" t="s">
        <v>21</v>
      </c>
      <c r="K9915" s="5">
        <v>100.0</v>
      </c>
      <c r="N9915" s="9">
        <v>44488.0</v>
      </c>
    </row>
    <row r="9916">
      <c r="A9916" s="5">
        <v>9915.0</v>
      </c>
      <c r="B9916" s="5" t="s">
        <v>10391</v>
      </c>
      <c r="C9916" s="5" t="s">
        <v>21</v>
      </c>
      <c r="K9916" s="5">
        <v>250.0</v>
      </c>
      <c r="N9916" s="9">
        <v>44736.0</v>
      </c>
    </row>
    <row r="9917">
      <c r="A9917" s="5">
        <v>9916.0</v>
      </c>
      <c r="B9917" s="5" t="s">
        <v>10392</v>
      </c>
      <c r="C9917" s="5" t="s">
        <v>21</v>
      </c>
      <c r="K9917" s="5">
        <v>70.0</v>
      </c>
      <c r="N9917" s="9">
        <v>44540.0</v>
      </c>
    </row>
    <row r="9918">
      <c r="A9918" s="5">
        <v>9917.0</v>
      </c>
      <c r="B9918" s="5" t="s">
        <v>10393</v>
      </c>
      <c r="C9918" s="5" t="s">
        <v>21</v>
      </c>
      <c r="K9918" s="5">
        <v>100.0</v>
      </c>
      <c r="N9918" s="9">
        <v>43923.0</v>
      </c>
    </row>
    <row r="9919">
      <c r="A9919" s="5">
        <v>9918.0</v>
      </c>
      <c r="B9919" s="5" t="s">
        <v>10394</v>
      </c>
      <c r="C9919" s="5" t="s">
        <v>21</v>
      </c>
      <c r="K9919" s="5">
        <v>500.0</v>
      </c>
      <c r="N9919" s="9">
        <v>44733.0</v>
      </c>
    </row>
    <row r="9920">
      <c r="A9920" s="5">
        <v>9919.0</v>
      </c>
      <c r="B9920" s="5" t="s">
        <v>10395</v>
      </c>
      <c r="C9920" s="5" t="s">
        <v>21</v>
      </c>
      <c r="K9920" s="5">
        <v>800.0</v>
      </c>
      <c r="N9920" s="9">
        <v>45408.0</v>
      </c>
    </row>
    <row r="9921">
      <c r="A9921" s="5">
        <v>9920.0</v>
      </c>
      <c r="B9921" s="5" t="s">
        <v>10396</v>
      </c>
      <c r="C9921" s="5" t="s">
        <v>21</v>
      </c>
      <c r="K9921" s="5">
        <v>200.0</v>
      </c>
      <c r="N9921" s="9">
        <v>44569.0</v>
      </c>
    </row>
    <row r="9922">
      <c r="A9922" s="5">
        <v>9921.0</v>
      </c>
      <c r="B9922" s="5" t="s">
        <v>10397</v>
      </c>
      <c r="C9922" s="5" t="s">
        <v>21</v>
      </c>
      <c r="K9922" s="5">
        <v>400.0</v>
      </c>
      <c r="N9922" s="9">
        <v>43860.0</v>
      </c>
    </row>
    <row r="9923">
      <c r="A9923" s="5">
        <v>9922.0</v>
      </c>
      <c r="B9923" s="5" t="s">
        <v>10398</v>
      </c>
      <c r="C9923" s="5" t="s">
        <v>21</v>
      </c>
      <c r="K9923" s="5">
        <v>500.0</v>
      </c>
      <c r="N9923" s="9">
        <v>44080.0</v>
      </c>
    </row>
    <row r="9924">
      <c r="A9924" s="5">
        <v>9923.0</v>
      </c>
      <c r="B9924" s="5" t="s">
        <v>10399</v>
      </c>
      <c r="C9924" s="5" t="s">
        <v>21</v>
      </c>
      <c r="K9924" s="5">
        <v>800.0</v>
      </c>
      <c r="N9924" s="9">
        <v>44633.0</v>
      </c>
    </row>
    <row r="9925">
      <c r="A9925" s="5">
        <v>9924.0</v>
      </c>
      <c r="B9925" s="5" t="s">
        <v>10400</v>
      </c>
      <c r="C9925" s="5" t="s">
        <v>21</v>
      </c>
      <c r="K9925" s="5">
        <v>90.0</v>
      </c>
      <c r="N9925" s="9">
        <v>45350.0</v>
      </c>
    </row>
    <row r="9926">
      <c r="A9926" s="5">
        <v>9925.0</v>
      </c>
      <c r="B9926" s="5" t="s">
        <v>10401</v>
      </c>
      <c r="C9926" s="5" t="s">
        <v>21</v>
      </c>
      <c r="K9926" s="5">
        <v>90.0</v>
      </c>
      <c r="N9926" s="9">
        <v>44705.0</v>
      </c>
    </row>
    <row r="9927">
      <c r="A9927" s="5">
        <v>9926.0</v>
      </c>
      <c r="B9927" s="5" t="s">
        <v>10402</v>
      </c>
      <c r="C9927" s="5" t="s">
        <v>21</v>
      </c>
      <c r="K9927" s="5">
        <v>200.0</v>
      </c>
      <c r="N9927" s="9">
        <v>44561.0</v>
      </c>
    </row>
    <row r="9928">
      <c r="A9928" s="5">
        <v>9927.0</v>
      </c>
      <c r="B9928" s="5" t="s">
        <v>10403</v>
      </c>
      <c r="C9928" s="5" t="s">
        <v>21</v>
      </c>
      <c r="K9928" s="5">
        <v>3100.0</v>
      </c>
      <c r="N9928" s="9">
        <v>44540.0</v>
      </c>
    </row>
    <row r="9929">
      <c r="A9929" s="5">
        <v>9928.0</v>
      </c>
      <c r="B9929" s="5" t="s">
        <v>10404</v>
      </c>
      <c r="C9929" s="5" t="s">
        <v>21</v>
      </c>
      <c r="K9929" s="5">
        <v>150.0</v>
      </c>
      <c r="N9929" s="9">
        <v>44637.0</v>
      </c>
    </row>
    <row r="9930">
      <c r="A9930" s="5">
        <v>9929.0</v>
      </c>
      <c r="B9930" s="5" t="s">
        <v>10405</v>
      </c>
      <c r="C9930" s="5" t="s">
        <v>21</v>
      </c>
      <c r="K9930" s="5">
        <v>350.0</v>
      </c>
      <c r="N9930" s="9">
        <v>44543.0</v>
      </c>
    </row>
    <row r="9931">
      <c r="A9931" s="5">
        <v>9930.0</v>
      </c>
      <c r="B9931" s="5" t="s">
        <v>10406</v>
      </c>
      <c r="C9931" s="5" t="s">
        <v>21</v>
      </c>
      <c r="K9931" s="5">
        <v>250.0</v>
      </c>
      <c r="N9931" s="9">
        <v>44061.0</v>
      </c>
    </row>
    <row r="9932">
      <c r="A9932" s="5">
        <v>9931.0</v>
      </c>
      <c r="B9932" s="5" t="s">
        <v>10407</v>
      </c>
      <c r="C9932" s="5" t="s">
        <v>21</v>
      </c>
      <c r="K9932" s="5">
        <v>350.0</v>
      </c>
      <c r="N9932" s="9">
        <v>45390.0</v>
      </c>
    </row>
    <row r="9933">
      <c r="A9933" s="5">
        <v>9932.0</v>
      </c>
      <c r="B9933" s="5" t="s">
        <v>10408</v>
      </c>
      <c r="C9933" s="5" t="s">
        <v>21</v>
      </c>
      <c r="K9933" s="5">
        <v>150.0</v>
      </c>
      <c r="N9933" s="9">
        <v>44536.0</v>
      </c>
    </row>
    <row r="9934">
      <c r="A9934" s="5">
        <v>9933.0</v>
      </c>
      <c r="B9934" s="5" t="s">
        <v>10409</v>
      </c>
      <c r="C9934" s="5" t="s">
        <v>21</v>
      </c>
      <c r="K9934" s="5">
        <v>250.0</v>
      </c>
      <c r="N9934" s="9">
        <v>44559.0</v>
      </c>
    </row>
    <row r="9935">
      <c r="A9935" s="5">
        <v>9934.0</v>
      </c>
      <c r="B9935" s="5" t="s">
        <v>10410</v>
      </c>
      <c r="C9935" s="5" t="s">
        <v>21</v>
      </c>
      <c r="K9935" s="5">
        <v>150.0</v>
      </c>
      <c r="N9935" s="9">
        <v>44824.0</v>
      </c>
    </row>
    <row r="9936">
      <c r="A9936" s="5">
        <v>9935.0</v>
      </c>
      <c r="B9936" s="5" t="s">
        <v>10411</v>
      </c>
      <c r="C9936" s="5" t="s">
        <v>21</v>
      </c>
      <c r="K9936" s="5">
        <v>400.0</v>
      </c>
      <c r="N9936" s="9">
        <v>44587.0</v>
      </c>
    </row>
    <row r="9937">
      <c r="A9937" s="5">
        <v>9936.0</v>
      </c>
      <c r="B9937" s="5" t="s">
        <v>10412</v>
      </c>
      <c r="C9937" s="5" t="s">
        <v>21</v>
      </c>
      <c r="K9937" s="5">
        <v>9600.0</v>
      </c>
      <c r="N9937" s="9">
        <v>43938.0</v>
      </c>
    </row>
    <row r="9938">
      <c r="A9938" s="5">
        <v>9937.0</v>
      </c>
      <c r="B9938" s="5" t="s">
        <v>10413</v>
      </c>
      <c r="C9938" s="5" t="s">
        <v>21</v>
      </c>
      <c r="K9938" s="5">
        <v>40.0</v>
      </c>
      <c r="N9938" s="9">
        <v>45124.0</v>
      </c>
    </row>
    <row r="9939">
      <c r="A9939" s="5">
        <v>9938.0</v>
      </c>
      <c r="B9939" s="5" t="s">
        <v>10414</v>
      </c>
      <c r="C9939" s="5" t="s">
        <v>21</v>
      </c>
      <c r="K9939" s="5">
        <v>60.0</v>
      </c>
      <c r="N9939" s="9">
        <v>44877.0</v>
      </c>
    </row>
    <row r="9940">
      <c r="A9940" s="5">
        <v>9939.0</v>
      </c>
      <c r="B9940" s="5" t="s">
        <v>10415</v>
      </c>
      <c r="C9940" s="5" t="s">
        <v>21</v>
      </c>
      <c r="K9940" s="5">
        <v>250.0</v>
      </c>
      <c r="N9940" s="9">
        <v>44571.0</v>
      </c>
    </row>
    <row r="9941">
      <c r="A9941" s="5">
        <v>9940.0</v>
      </c>
      <c r="B9941" s="5" t="s">
        <v>10416</v>
      </c>
      <c r="C9941" s="5" t="s">
        <v>21</v>
      </c>
      <c r="K9941" s="5">
        <v>10.0</v>
      </c>
      <c r="N9941" s="9">
        <v>44862.0</v>
      </c>
    </row>
    <row r="9942">
      <c r="A9942" s="5">
        <v>9941.0</v>
      </c>
      <c r="B9942" s="5" t="s">
        <v>10417</v>
      </c>
      <c r="C9942" s="5" t="s">
        <v>21</v>
      </c>
      <c r="K9942" s="5">
        <v>150.0</v>
      </c>
      <c r="N9942" s="9">
        <v>45090.0</v>
      </c>
    </row>
    <row r="9943">
      <c r="A9943" s="5">
        <v>9942.0</v>
      </c>
      <c r="B9943" s="5" t="s">
        <v>10418</v>
      </c>
      <c r="C9943" s="5" t="s">
        <v>21</v>
      </c>
      <c r="K9943" s="5">
        <v>150.0</v>
      </c>
      <c r="N9943" s="9">
        <v>44478.0</v>
      </c>
    </row>
    <row r="9944">
      <c r="A9944" s="5">
        <v>9943.0</v>
      </c>
      <c r="B9944" s="5" t="s">
        <v>10419</v>
      </c>
      <c r="C9944" s="5" t="s">
        <v>21</v>
      </c>
      <c r="K9944" s="5">
        <v>60.0</v>
      </c>
      <c r="N9944" s="9">
        <v>44216.0</v>
      </c>
    </row>
    <row r="9945">
      <c r="A9945" s="5">
        <v>9944.0</v>
      </c>
      <c r="B9945" s="5" t="s">
        <v>10420</v>
      </c>
      <c r="C9945" s="5" t="s">
        <v>21</v>
      </c>
      <c r="K9945" s="5">
        <v>10.0</v>
      </c>
      <c r="N9945" s="9">
        <v>44380.0</v>
      </c>
    </row>
    <row r="9946">
      <c r="A9946" s="5">
        <v>9945.0</v>
      </c>
      <c r="B9946" s="5" t="s">
        <v>10421</v>
      </c>
      <c r="C9946" s="5" t="s">
        <v>21</v>
      </c>
      <c r="K9946" s="5">
        <v>200.0</v>
      </c>
      <c r="N9946" s="9">
        <v>44730.0</v>
      </c>
    </row>
    <row r="9947">
      <c r="A9947" s="5">
        <v>9946.0</v>
      </c>
      <c r="B9947" s="5" t="s">
        <v>10422</v>
      </c>
      <c r="C9947" s="5" t="s">
        <v>21</v>
      </c>
      <c r="K9947" s="5">
        <v>250.0</v>
      </c>
      <c r="N9947" s="9">
        <v>44347.0</v>
      </c>
    </row>
    <row r="9948">
      <c r="A9948" s="5">
        <v>9947.0</v>
      </c>
      <c r="B9948" s="5" t="s">
        <v>336</v>
      </c>
      <c r="C9948" s="5" t="s">
        <v>21</v>
      </c>
      <c r="K9948" s="5">
        <v>2900.0</v>
      </c>
      <c r="N9948" s="9">
        <v>44575.0</v>
      </c>
    </row>
    <row r="9949">
      <c r="A9949" s="5">
        <v>9948.0</v>
      </c>
      <c r="B9949" s="5" t="s">
        <v>10423</v>
      </c>
      <c r="C9949" s="5" t="s">
        <v>21</v>
      </c>
      <c r="K9949" s="5">
        <v>250.0</v>
      </c>
      <c r="N9949" s="9">
        <v>44172.0</v>
      </c>
    </row>
    <row r="9950">
      <c r="A9950" s="5">
        <v>9949.0</v>
      </c>
      <c r="B9950" s="5" t="s">
        <v>10424</v>
      </c>
      <c r="C9950" s="5" t="s">
        <v>21</v>
      </c>
      <c r="K9950" s="5">
        <v>100.0</v>
      </c>
      <c r="N9950" s="9">
        <v>45044.0</v>
      </c>
    </row>
    <row r="9951">
      <c r="A9951" s="5">
        <v>9950.0</v>
      </c>
      <c r="B9951" s="5" t="s">
        <v>10425</v>
      </c>
      <c r="C9951" s="5" t="s">
        <v>21</v>
      </c>
      <c r="K9951" s="5">
        <v>70.0</v>
      </c>
      <c r="N9951" s="9">
        <v>44927.0</v>
      </c>
    </row>
    <row r="9952">
      <c r="A9952" s="5">
        <v>9951.0</v>
      </c>
      <c r="B9952" s="5" t="s">
        <v>339</v>
      </c>
      <c r="C9952" s="5" t="s">
        <v>21</v>
      </c>
      <c r="K9952" s="5">
        <v>20.0</v>
      </c>
      <c r="N9952" s="9">
        <v>44751.0</v>
      </c>
    </row>
    <row r="9953">
      <c r="A9953" s="5">
        <v>9952.0</v>
      </c>
      <c r="B9953" s="5" t="s">
        <v>10426</v>
      </c>
      <c r="C9953" s="5" t="s">
        <v>21</v>
      </c>
      <c r="K9953" s="5">
        <v>700.0</v>
      </c>
      <c r="N9953" s="9">
        <v>44270.0</v>
      </c>
    </row>
    <row r="9954">
      <c r="A9954" s="5">
        <v>9953.0</v>
      </c>
      <c r="B9954" s="5" t="s">
        <v>10427</v>
      </c>
      <c r="C9954" s="5" t="s">
        <v>21</v>
      </c>
      <c r="K9954" s="5">
        <v>700.0</v>
      </c>
      <c r="N9954" s="9">
        <v>44512.0</v>
      </c>
    </row>
    <row r="9955">
      <c r="A9955" s="5">
        <v>9954.0</v>
      </c>
      <c r="B9955" s="5" t="s">
        <v>10428</v>
      </c>
      <c r="C9955" s="5" t="s">
        <v>21</v>
      </c>
      <c r="K9955" s="5">
        <v>50.0</v>
      </c>
      <c r="N9955" s="9">
        <v>44760.0</v>
      </c>
    </row>
    <row r="9956">
      <c r="A9956" s="5">
        <v>9955.0</v>
      </c>
      <c r="B9956" s="5" t="s">
        <v>10429</v>
      </c>
      <c r="C9956" s="5" t="s">
        <v>21</v>
      </c>
      <c r="K9956" s="5">
        <v>1800.0</v>
      </c>
      <c r="N9956" s="9">
        <v>44945.0</v>
      </c>
    </row>
    <row r="9957">
      <c r="A9957" s="5">
        <v>9956.0</v>
      </c>
      <c r="B9957" s="5" t="s">
        <v>10430</v>
      </c>
      <c r="C9957" s="5" t="s">
        <v>21</v>
      </c>
      <c r="K9957" s="5">
        <v>450.0</v>
      </c>
      <c r="N9957" s="9">
        <v>44402.0</v>
      </c>
    </row>
    <row r="9958">
      <c r="A9958" s="5">
        <v>9957.0</v>
      </c>
      <c r="B9958" s="5" t="s">
        <v>10431</v>
      </c>
      <c r="C9958" s="5" t="s">
        <v>21</v>
      </c>
      <c r="K9958" s="5">
        <v>50.0</v>
      </c>
      <c r="N9958" s="9">
        <v>44165.0</v>
      </c>
    </row>
    <row r="9959">
      <c r="A9959" s="5">
        <v>9958.0</v>
      </c>
      <c r="B9959" s="5" t="s">
        <v>10432</v>
      </c>
      <c r="C9959" s="5" t="s">
        <v>21</v>
      </c>
      <c r="K9959" s="5">
        <v>600.0</v>
      </c>
      <c r="N9959" s="9">
        <v>44623.0</v>
      </c>
    </row>
    <row r="9960">
      <c r="A9960" s="5">
        <v>9959.0</v>
      </c>
      <c r="B9960" s="5" t="s">
        <v>10433</v>
      </c>
      <c r="C9960" s="5" t="s">
        <v>21</v>
      </c>
      <c r="K9960" s="5">
        <v>1000.0</v>
      </c>
      <c r="N9960" s="9">
        <v>44493.0</v>
      </c>
    </row>
    <row r="9961">
      <c r="A9961" s="5">
        <v>9960.0</v>
      </c>
      <c r="B9961" s="5" t="s">
        <v>10434</v>
      </c>
      <c r="C9961" s="5" t="s">
        <v>21</v>
      </c>
      <c r="K9961" s="5">
        <v>100.0</v>
      </c>
      <c r="N9961" s="9">
        <v>44637.0</v>
      </c>
    </row>
    <row r="9962">
      <c r="A9962" s="5">
        <v>9961.0</v>
      </c>
      <c r="B9962" s="5" t="s">
        <v>10435</v>
      </c>
      <c r="C9962" s="5" t="s">
        <v>21</v>
      </c>
      <c r="K9962" s="5">
        <v>250.0</v>
      </c>
      <c r="N9962" s="9">
        <v>44471.0</v>
      </c>
    </row>
    <row r="9963">
      <c r="A9963" s="5">
        <v>9962.0</v>
      </c>
      <c r="B9963" s="5" t="s">
        <v>10436</v>
      </c>
      <c r="C9963" s="5" t="s">
        <v>21</v>
      </c>
      <c r="K9963" s="5">
        <v>4700.0</v>
      </c>
      <c r="N9963" s="9">
        <v>43914.0</v>
      </c>
    </row>
    <row r="9964">
      <c r="A9964" s="5">
        <v>9963.0</v>
      </c>
      <c r="B9964" s="5" t="s">
        <v>10437</v>
      </c>
      <c r="C9964" s="5" t="s">
        <v>21</v>
      </c>
      <c r="K9964" s="5">
        <v>250.0</v>
      </c>
      <c r="N9964" s="9">
        <v>44641.0</v>
      </c>
    </row>
    <row r="9965">
      <c r="A9965" s="5">
        <v>9964.0</v>
      </c>
      <c r="B9965" s="5" t="s">
        <v>10438</v>
      </c>
      <c r="C9965" s="5" t="s">
        <v>21</v>
      </c>
      <c r="K9965" s="5">
        <v>150.0</v>
      </c>
      <c r="N9965" s="9">
        <v>45169.0</v>
      </c>
    </row>
    <row r="9966">
      <c r="A9966" s="5">
        <v>9965.0</v>
      </c>
      <c r="B9966" s="5" t="s">
        <v>10439</v>
      </c>
      <c r="C9966" s="5" t="s">
        <v>21</v>
      </c>
      <c r="K9966" s="5">
        <v>2100.0</v>
      </c>
      <c r="N9966" s="9">
        <v>44539.0</v>
      </c>
    </row>
    <row r="9967">
      <c r="A9967" s="5">
        <v>9966.0</v>
      </c>
      <c r="B9967" s="5" t="s">
        <v>10440</v>
      </c>
      <c r="C9967" s="5" t="s">
        <v>21</v>
      </c>
      <c r="K9967" s="5">
        <v>10.0</v>
      </c>
      <c r="N9967" s="9">
        <v>44553.0</v>
      </c>
    </row>
    <row r="9968">
      <c r="A9968" s="5">
        <v>9967.0</v>
      </c>
      <c r="B9968" s="5" t="s">
        <v>10441</v>
      </c>
      <c r="C9968" s="5" t="s">
        <v>21</v>
      </c>
      <c r="K9968" s="5">
        <v>1600.0</v>
      </c>
      <c r="N9968" s="9">
        <v>44420.0</v>
      </c>
    </row>
    <row r="9969">
      <c r="A9969" s="5">
        <v>9968.0</v>
      </c>
      <c r="B9969" s="5" t="s">
        <v>10442</v>
      </c>
      <c r="C9969" s="5" t="s">
        <v>21</v>
      </c>
      <c r="K9969" s="5">
        <v>150.0</v>
      </c>
      <c r="N9969" s="9">
        <v>43968.0</v>
      </c>
    </row>
    <row r="9970">
      <c r="A9970" s="5">
        <v>9969.0</v>
      </c>
      <c r="B9970" s="5" t="s">
        <v>10443</v>
      </c>
      <c r="C9970" s="5" t="s">
        <v>21</v>
      </c>
      <c r="K9970" s="5">
        <v>800.0</v>
      </c>
      <c r="N9970" s="9">
        <v>43916.0</v>
      </c>
    </row>
    <row r="9971">
      <c r="A9971" s="5">
        <v>9970.0</v>
      </c>
      <c r="B9971" s="5" t="s">
        <v>10444</v>
      </c>
      <c r="C9971" s="5" t="s">
        <v>21</v>
      </c>
      <c r="K9971" s="5">
        <v>200.0</v>
      </c>
      <c r="N9971" s="9">
        <v>44967.0</v>
      </c>
    </row>
    <row r="9972">
      <c r="A9972" s="5">
        <v>9971.0</v>
      </c>
      <c r="B9972" s="5" t="s">
        <v>10445</v>
      </c>
      <c r="C9972" s="5" t="s">
        <v>21</v>
      </c>
      <c r="K9972" s="5">
        <v>250.0</v>
      </c>
      <c r="N9972" s="9">
        <v>44798.0</v>
      </c>
    </row>
    <row r="9973">
      <c r="A9973" s="5">
        <v>9972.0</v>
      </c>
      <c r="B9973" s="5" t="s">
        <v>10446</v>
      </c>
      <c r="C9973" s="5" t="s">
        <v>21</v>
      </c>
      <c r="K9973" s="5">
        <v>150.0</v>
      </c>
      <c r="N9973" s="9">
        <v>44819.0</v>
      </c>
    </row>
    <row r="9974">
      <c r="A9974" s="5">
        <v>9973.0</v>
      </c>
      <c r="B9974" s="5" t="s">
        <v>10447</v>
      </c>
      <c r="C9974" s="5" t="s">
        <v>21</v>
      </c>
      <c r="K9974" s="5">
        <v>400.0</v>
      </c>
      <c r="N9974" s="9">
        <v>43981.0</v>
      </c>
    </row>
    <row r="9975">
      <c r="A9975" s="5">
        <v>9974.0</v>
      </c>
      <c r="B9975" s="5" t="s">
        <v>10448</v>
      </c>
      <c r="C9975" s="5" t="s">
        <v>21</v>
      </c>
      <c r="K9975" s="5">
        <v>4500.0</v>
      </c>
      <c r="N9975" s="9">
        <v>44351.0</v>
      </c>
    </row>
    <row r="9976">
      <c r="A9976" s="5">
        <v>9975.0</v>
      </c>
      <c r="B9976" s="5" t="s">
        <v>10449</v>
      </c>
      <c r="C9976" s="5" t="s">
        <v>21</v>
      </c>
      <c r="K9976" s="5">
        <v>90.0</v>
      </c>
      <c r="N9976" s="9">
        <v>44732.0</v>
      </c>
    </row>
    <row r="9977">
      <c r="A9977" s="5">
        <v>9976.0</v>
      </c>
      <c r="B9977" s="5" t="s">
        <v>10450</v>
      </c>
      <c r="C9977" s="5" t="s">
        <v>21</v>
      </c>
      <c r="K9977" s="5">
        <v>150.0</v>
      </c>
      <c r="N9977" s="9">
        <v>43957.0</v>
      </c>
    </row>
    <row r="9978">
      <c r="A9978" s="5">
        <v>9977.0</v>
      </c>
      <c r="B9978" s="5" t="s">
        <v>10451</v>
      </c>
      <c r="C9978" s="5" t="s">
        <v>21</v>
      </c>
      <c r="K9978" s="5">
        <v>1400.0</v>
      </c>
      <c r="N9978" s="9">
        <v>43940.0</v>
      </c>
    </row>
    <row r="9979">
      <c r="A9979" s="5">
        <v>9978.0</v>
      </c>
      <c r="B9979" s="5" t="s">
        <v>10452</v>
      </c>
      <c r="C9979" s="5" t="s">
        <v>21</v>
      </c>
      <c r="K9979" s="5">
        <v>1000.0</v>
      </c>
      <c r="N9979" s="9">
        <v>44532.0</v>
      </c>
    </row>
    <row r="9980">
      <c r="A9980" s="5">
        <v>9979.0</v>
      </c>
      <c r="B9980" s="5" t="s">
        <v>10453</v>
      </c>
      <c r="C9980" s="5" t="s">
        <v>21</v>
      </c>
      <c r="K9980" s="5">
        <v>200.0</v>
      </c>
      <c r="N9980" s="9">
        <v>44026.0</v>
      </c>
    </row>
    <row r="9981">
      <c r="A9981" s="5">
        <v>9980.0</v>
      </c>
      <c r="B9981" s="5" t="s">
        <v>10454</v>
      </c>
      <c r="C9981" s="5" t="s">
        <v>21</v>
      </c>
      <c r="K9981" s="5">
        <v>200.0</v>
      </c>
      <c r="N9981" s="9">
        <v>44688.0</v>
      </c>
    </row>
    <row r="9982">
      <c r="A9982" s="5">
        <v>9981.0</v>
      </c>
      <c r="B9982" s="5" t="s">
        <v>10455</v>
      </c>
      <c r="C9982" s="5" t="s">
        <v>21</v>
      </c>
      <c r="K9982" s="5">
        <v>30.0</v>
      </c>
      <c r="N9982" s="9">
        <v>44561.0</v>
      </c>
    </row>
    <row r="9983">
      <c r="A9983" s="5">
        <v>9982.0</v>
      </c>
      <c r="B9983" s="5" t="s">
        <v>10456</v>
      </c>
      <c r="C9983" s="5" t="s">
        <v>21</v>
      </c>
      <c r="K9983" s="5">
        <v>250.0</v>
      </c>
      <c r="N9983" s="9">
        <v>44653.0</v>
      </c>
    </row>
    <row r="9984">
      <c r="A9984" s="5">
        <v>9983.0</v>
      </c>
      <c r="B9984" s="5" t="s">
        <v>10457</v>
      </c>
      <c r="C9984" s="5" t="s">
        <v>21</v>
      </c>
      <c r="K9984" s="5">
        <v>350.0</v>
      </c>
      <c r="N9984" s="9">
        <v>44451.0</v>
      </c>
    </row>
    <row r="9985">
      <c r="A9985" s="5">
        <v>9984.0</v>
      </c>
      <c r="B9985" s="5" t="s">
        <v>10458</v>
      </c>
      <c r="C9985" s="5" t="s">
        <v>21</v>
      </c>
      <c r="N9985" s="9">
        <v>44408.0</v>
      </c>
    </row>
    <row r="9986">
      <c r="A9986" s="5">
        <v>9985.0</v>
      </c>
      <c r="B9986" s="5" t="s">
        <v>10459</v>
      </c>
      <c r="C9986" s="5" t="s">
        <v>21</v>
      </c>
      <c r="K9986" s="5">
        <v>2700.0</v>
      </c>
      <c r="N9986" s="9">
        <v>45090.0</v>
      </c>
    </row>
    <row r="9987">
      <c r="A9987" s="5">
        <v>9986.0</v>
      </c>
      <c r="B9987" s="5" t="s">
        <v>10460</v>
      </c>
      <c r="C9987" s="5" t="s">
        <v>21</v>
      </c>
      <c r="K9987" s="5">
        <v>800.0</v>
      </c>
      <c r="N9987" s="9">
        <v>44262.0</v>
      </c>
    </row>
    <row r="9988">
      <c r="A9988" s="5">
        <v>9987.0</v>
      </c>
      <c r="B9988" s="5" t="s">
        <v>10461</v>
      </c>
      <c r="C9988" s="5" t="s">
        <v>21</v>
      </c>
      <c r="K9988" s="5">
        <v>70.0</v>
      </c>
      <c r="N9988" s="9">
        <v>44602.0</v>
      </c>
    </row>
    <row r="9989">
      <c r="A9989" s="5">
        <v>9988.0</v>
      </c>
      <c r="B9989" s="5" t="s">
        <v>10462</v>
      </c>
      <c r="C9989" s="5" t="s">
        <v>21</v>
      </c>
      <c r="K9989" s="5">
        <v>1000.0</v>
      </c>
      <c r="N9989" s="9">
        <v>44422.0</v>
      </c>
    </row>
    <row r="9990">
      <c r="A9990" s="5">
        <v>9989.0</v>
      </c>
      <c r="B9990" s="5" t="s">
        <v>10463</v>
      </c>
      <c r="C9990" s="5" t="s">
        <v>21</v>
      </c>
      <c r="K9990" s="5">
        <v>400.0</v>
      </c>
      <c r="N9990" s="9">
        <v>44705.0</v>
      </c>
    </row>
    <row r="9991">
      <c r="A9991" s="5">
        <v>9990.0</v>
      </c>
      <c r="B9991" s="5" t="s">
        <v>10464</v>
      </c>
      <c r="C9991" s="5" t="s">
        <v>21</v>
      </c>
      <c r="K9991" s="5">
        <v>300.0</v>
      </c>
      <c r="N9991" s="9">
        <v>44531.0</v>
      </c>
    </row>
    <row r="9992">
      <c r="A9992" s="5">
        <v>9991.0</v>
      </c>
      <c r="B9992" s="5" t="s">
        <v>10465</v>
      </c>
      <c r="C9992" s="5" t="s">
        <v>21</v>
      </c>
      <c r="K9992" s="5">
        <v>100.0</v>
      </c>
      <c r="N9992" s="9">
        <v>44272.0</v>
      </c>
    </row>
    <row r="9993">
      <c r="A9993" s="5">
        <v>9992.0</v>
      </c>
      <c r="B9993" s="5" t="s">
        <v>10466</v>
      </c>
      <c r="C9993" s="5" t="s">
        <v>21</v>
      </c>
      <c r="K9993" s="5">
        <v>1000.0</v>
      </c>
      <c r="N9993" s="9">
        <v>44725.0</v>
      </c>
    </row>
    <row r="9994">
      <c r="A9994" s="5">
        <v>9993.0</v>
      </c>
      <c r="B9994" s="5" t="s">
        <v>10467</v>
      </c>
      <c r="C9994" s="5" t="s">
        <v>21</v>
      </c>
      <c r="K9994" s="5">
        <v>150.0</v>
      </c>
      <c r="N9994" s="9">
        <v>44507.0</v>
      </c>
    </row>
    <row r="9995">
      <c r="A9995" s="5">
        <v>9994.0</v>
      </c>
      <c r="B9995" s="5" t="s">
        <v>10468</v>
      </c>
      <c r="C9995" s="5" t="s">
        <v>21</v>
      </c>
      <c r="K9995" s="5">
        <v>60.0</v>
      </c>
      <c r="N9995" s="9">
        <v>44823.0</v>
      </c>
    </row>
    <row r="9996">
      <c r="A9996" s="5">
        <v>9995.0</v>
      </c>
      <c r="B9996" s="5" t="s">
        <v>10469</v>
      </c>
      <c r="C9996" s="5" t="s">
        <v>21</v>
      </c>
      <c r="K9996" s="5">
        <v>10.0</v>
      </c>
      <c r="N9996" s="9">
        <v>44619.0</v>
      </c>
    </row>
    <row r="9997">
      <c r="A9997" s="5">
        <v>9996.0</v>
      </c>
      <c r="B9997" s="5" t="s">
        <v>10470</v>
      </c>
      <c r="C9997" s="5" t="s">
        <v>21</v>
      </c>
      <c r="K9997" s="5">
        <v>150.0</v>
      </c>
      <c r="N9997" s="9">
        <v>45384.0</v>
      </c>
    </row>
    <row r="9998">
      <c r="A9998" s="5">
        <v>9997.0</v>
      </c>
      <c r="B9998" s="5" t="s">
        <v>341</v>
      </c>
      <c r="C9998" s="5" t="s">
        <v>21</v>
      </c>
      <c r="K9998" s="5">
        <v>1800.0</v>
      </c>
      <c r="N9998" s="9">
        <v>43886.0</v>
      </c>
    </row>
    <row r="9999">
      <c r="A9999" s="5">
        <v>9998.0</v>
      </c>
      <c r="B9999" s="5" t="s">
        <v>10471</v>
      </c>
      <c r="C9999" s="5" t="s">
        <v>21</v>
      </c>
      <c r="K9999" s="5">
        <v>16000.0</v>
      </c>
      <c r="N9999" s="9">
        <v>43872.0</v>
      </c>
    </row>
    <row r="10000">
      <c r="A10000" s="5">
        <v>9999.0</v>
      </c>
      <c r="B10000" s="5" t="s">
        <v>10472</v>
      </c>
      <c r="C10000" s="5" t="s">
        <v>21</v>
      </c>
      <c r="K10000" s="5">
        <v>90.0</v>
      </c>
      <c r="N10000" s="9">
        <v>44984.0</v>
      </c>
    </row>
    <row r="10001">
      <c r="A10001" s="5">
        <v>10000.0</v>
      </c>
      <c r="B10001" s="5" t="s">
        <v>10473</v>
      </c>
      <c r="C10001" s="5" t="s">
        <v>21</v>
      </c>
      <c r="K10001" s="5">
        <v>2600.0</v>
      </c>
      <c r="N10001" s="9">
        <v>44635.0</v>
      </c>
    </row>
    <row r="10002">
      <c r="A10002" s="5">
        <v>10001.0</v>
      </c>
      <c r="B10002" s="5" t="s">
        <v>10474</v>
      </c>
      <c r="C10002" s="5" t="s">
        <v>21</v>
      </c>
      <c r="K10002" s="5">
        <v>3300.0</v>
      </c>
      <c r="N10002" s="9">
        <v>44430.0</v>
      </c>
    </row>
    <row r="10003">
      <c r="A10003" s="5">
        <v>10002.0</v>
      </c>
      <c r="B10003" s="5" t="s">
        <v>10475</v>
      </c>
      <c r="C10003" s="5" t="s">
        <v>21</v>
      </c>
      <c r="K10003" s="5">
        <v>2300.0</v>
      </c>
      <c r="N10003" s="9">
        <v>43954.0</v>
      </c>
    </row>
    <row r="10004">
      <c r="A10004" s="5">
        <v>10003.0</v>
      </c>
      <c r="B10004" s="5" t="s">
        <v>10476</v>
      </c>
      <c r="C10004" s="5" t="s">
        <v>21</v>
      </c>
      <c r="K10004" s="5">
        <v>350.0</v>
      </c>
      <c r="N10004" s="9">
        <v>44546.0</v>
      </c>
    </row>
    <row r="10005">
      <c r="A10005" s="5">
        <v>10004.0</v>
      </c>
      <c r="B10005" s="5" t="s">
        <v>10477</v>
      </c>
      <c r="C10005" s="5" t="s">
        <v>21</v>
      </c>
      <c r="K10005" s="5">
        <v>700.0</v>
      </c>
      <c r="N10005" s="9">
        <v>44962.0</v>
      </c>
    </row>
    <row r="10006">
      <c r="A10006" s="5">
        <v>10005.0</v>
      </c>
      <c r="B10006" s="5" t="s">
        <v>10478</v>
      </c>
      <c r="C10006" s="5" t="s">
        <v>21</v>
      </c>
      <c r="K10006" s="5">
        <v>400.0</v>
      </c>
      <c r="N10006" s="9">
        <v>44576.0</v>
      </c>
    </row>
    <row r="10007">
      <c r="A10007" s="5">
        <v>10006.0</v>
      </c>
      <c r="B10007" s="5" t="s">
        <v>10479</v>
      </c>
      <c r="C10007" s="5" t="s">
        <v>21</v>
      </c>
      <c r="K10007" s="5">
        <v>600.0</v>
      </c>
      <c r="N10007" s="9">
        <v>44570.0</v>
      </c>
    </row>
    <row r="10008">
      <c r="A10008" s="5">
        <v>10007.0</v>
      </c>
      <c r="B10008" s="5" t="s">
        <v>10480</v>
      </c>
      <c r="C10008" s="5" t="s">
        <v>21</v>
      </c>
      <c r="K10008" s="5">
        <v>250.0</v>
      </c>
      <c r="N10008" s="9">
        <v>44419.0</v>
      </c>
    </row>
    <row r="10009">
      <c r="A10009" s="5">
        <v>10008.0</v>
      </c>
      <c r="B10009" s="5" t="s">
        <v>10481</v>
      </c>
      <c r="C10009" s="5" t="s">
        <v>21</v>
      </c>
      <c r="K10009" s="5">
        <v>250.0</v>
      </c>
      <c r="N10009" s="9">
        <v>44315.0</v>
      </c>
    </row>
    <row r="10010">
      <c r="A10010" s="5">
        <v>10009.0</v>
      </c>
      <c r="B10010" s="5" t="s">
        <v>10482</v>
      </c>
      <c r="C10010" s="5" t="s">
        <v>21</v>
      </c>
      <c r="K10010" s="5">
        <v>1300.0</v>
      </c>
      <c r="N10010" s="9">
        <v>44010.0</v>
      </c>
    </row>
    <row r="10011">
      <c r="A10011" s="5">
        <v>10010.0</v>
      </c>
      <c r="B10011" s="5" t="s">
        <v>10483</v>
      </c>
      <c r="C10011" s="5" t="s">
        <v>21</v>
      </c>
      <c r="K10011" s="5">
        <v>70.0</v>
      </c>
      <c r="N10011" s="9">
        <v>44985.0</v>
      </c>
    </row>
    <row r="10012">
      <c r="A10012" s="5">
        <v>10011.0</v>
      </c>
      <c r="B10012" s="5" t="s">
        <v>10484</v>
      </c>
      <c r="C10012" s="5" t="s">
        <v>21</v>
      </c>
      <c r="K10012" s="5">
        <v>250.0</v>
      </c>
      <c r="N10012" s="9">
        <v>44638.0</v>
      </c>
    </row>
    <row r="10013">
      <c r="A10013" s="5">
        <v>10012.0</v>
      </c>
      <c r="B10013" s="5" t="s">
        <v>10485</v>
      </c>
      <c r="C10013" s="5" t="s">
        <v>21</v>
      </c>
      <c r="K10013" s="5">
        <v>1700.0</v>
      </c>
      <c r="N10013" s="9">
        <v>44560.0</v>
      </c>
    </row>
    <row r="10014">
      <c r="A10014" s="5">
        <v>10013.0</v>
      </c>
      <c r="B10014" s="5" t="s">
        <v>10486</v>
      </c>
      <c r="C10014" s="5" t="s">
        <v>21</v>
      </c>
      <c r="K10014" s="5">
        <v>450.0</v>
      </c>
      <c r="N10014" s="9">
        <v>44109.0</v>
      </c>
    </row>
    <row r="10015">
      <c r="A10015" s="5">
        <v>10014.0</v>
      </c>
      <c r="B10015" s="5" t="s">
        <v>10487</v>
      </c>
      <c r="C10015" s="5" t="s">
        <v>21</v>
      </c>
      <c r="K10015" s="5">
        <v>300.0</v>
      </c>
      <c r="N10015" s="9">
        <v>43921.0</v>
      </c>
    </row>
    <row r="10016">
      <c r="A10016" s="5">
        <v>10015.0</v>
      </c>
      <c r="B10016" s="5" t="s">
        <v>10488</v>
      </c>
      <c r="C10016" s="5" t="s">
        <v>21</v>
      </c>
      <c r="K10016" s="5">
        <v>250.0</v>
      </c>
      <c r="N10016" s="9">
        <v>44088.0</v>
      </c>
    </row>
    <row r="10017">
      <c r="A10017" s="5">
        <v>10016.0</v>
      </c>
      <c r="B10017" s="5" t="s">
        <v>10489</v>
      </c>
      <c r="C10017" s="5" t="s">
        <v>21</v>
      </c>
      <c r="K10017" s="5">
        <v>700.0</v>
      </c>
      <c r="N10017" s="9">
        <v>45126.0</v>
      </c>
    </row>
    <row r="10018">
      <c r="A10018" s="5">
        <v>10017.0</v>
      </c>
      <c r="B10018" s="5" t="s">
        <v>10490</v>
      </c>
      <c r="C10018" s="5" t="s">
        <v>21</v>
      </c>
      <c r="K10018" s="5">
        <v>40.0</v>
      </c>
      <c r="N10018" s="9">
        <v>44783.0</v>
      </c>
    </row>
    <row r="10019">
      <c r="A10019" s="5">
        <v>10018.0</v>
      </c>
      <c r="B10019" s="5" t="s">
        <v>10491</v>
      </c>
      <c r="C10019" s="5" t="s">
        <v>21</v>
      </c>
      <c r="K10019" s="5">
        <v>8000.0</v>
      </c>
      <c r="N10019" s="9">
        <v>43925.0</v>
      </c>
    </row>
    <row r="10020">
      <c r="A10020" s="5">
        <v>10019.0</v>
      </c>
      <c r="B10020" s="5" t="s">
        <v>10492</v>
      </c>
      <c r="C10020" s="5" t="s">
        <v>21</v>
      </c>
      <c r="K10020" s="5">
        <v>200.0</v>
      </c>
      <c r="N10020" s="9">
        <v>43880.0</v>
      </c>
    </row>
    <row r="10021">
      <c r="A10021" s="5">
        <v>10020.0</v>
      </c>
      <c r="B10021" s="5" t="s">
        <v>10493</v>
      </c>
      <c r="C10021" s="5" t="s">
        <v>21</v>
      </c>
      <c r="K10021" s="5">
        <v>6500.0</v>
      </c>
      <c r="N10021" s="9">
        <v>44194.0</v>
      </c>
    </row>
    <row r="10022">
      <c r="A10022" s="5">
        <v>10021.0</v>
      </c>
      <c r="B10022" s="5" t="s">
        <v>10494</v>
      </c>
      <c r="C10022" s="5" t="s">
        <v>21</v>
      </c>
      <c r="K10022" s="5">
        <v>350.0</v>
      </c>
      <c r="N10022" s="9">
        <v>44721.0</v>
      </c>
    </row>
    <row r="10023">
      <c r="A10023" s="5">
        <v>10022.0</v>
      </c>
      <c r="B10023" s="5" t="s">
        <v>10495</v>
      </c>
      <c r="C10023" s="5" t="s">
        <v>21</v>
      </c>
      <c r="K10023" s="5">
        <v>1400.0</v>
      </c>
      <c r="N10023" s="9">
        <v>44486.0</v>
      </c>
    </row>
    <row r="10024">
      <c r="A10024" s="5">
        <v>10023.0</v>
      </c>
      <c r="B10024" s="5" t="s">
        <v>10496</v>
      </c>
      <c r="C10024" s="5" t="s">
        <v>21</v>
      </c>
      <c r="K10024" s="5">
        <v>450.0</v>
      </c>
      <c r="N10024" s="9">
        <v>45181.0</v>
      </c>
    </row>
    <row r="10025">
      <c r="A10025" s="5">
        <v>10024.0</v>
      </c>
      <c r="B10025" s="5" t="s">
        <v>10497</v>
      </c>
      <c r="C10025" s="5" t="s">
        <v>21</v>
      </c>
      <c r="K10025" s="5">
        <v>16000.0</v>
      </c>
      <c r="N10025" s="9">
        <v>46090.0</v>
      </c>
    </row>
    <row r="10026">
      <c r="A10026" s="5">
        <v>10025.0</v>
      </c>
      <c r="B10026" s="5" t="s">
        <v>10498</v>
      </c>
      <c r="C10026" s="5" t="s">
        <v>21</v>
      </c>
      <c r="K10026" s="5">
        <v>20.0</v>
      </c>
      <c r="N10026" s="9">
        <v>44136.0</v>
      </c>
    </row>
    <row r="10027">
      <c r="A10027" s="5">
        <v>10026.0</v>
      </c>
      <c r="B10027" s="5" t="s">
        <v>10499</v>
      </c>
      <c r="C10027" s="5" t="s">
        <v>21</v>
      </c>
      <c r="K10027" s="5">
        <v>250.0</v>
      </c>
      <c r="N10027" s="9">
        <v>44740.0</v>
      </c>
    </row>
    <row r="10028">
      <c r="A10028" s="5">
        <v>10027.0</v>
      </c>
      <c r="B10028" s="5" t="s">
        <v>10500</v>
      </c>
      <c r="C10028" s="5" t="s">
        <v>21</v>
      </c>
      <c r="K10028" s="5">
        <v>20.0</v>
      </c>
      <c r="N10028" s="9">
        <v>44844.0</v>
      </c>
    </row>
    <row r="10029">
      <c r="A10029" s="5">
        <v>10028.0</v>
      </c>
      <c r="B10029" s="5" t="s">
        <v>10501</v>
      </c>
      <c r="C10029" s="5" t="s">
        <v>21</v>
      </c>
      <c r="K10029" s="5">
        <v>200.0</v>
      </c>
      <c r="N10029" s="9">
        <v>44529.0</v>
      </c>
    </row>
    <row r="10030">
      <c r="A10030" s="5">
        <v>10029.0</v>
      </c>
      <c r="B10030" s="5" t="s">
        <v>10502</v>
      </c>
      <c r="C10030" s="5" t="s">
        <v>21</v>
      </c>
      <c r="K10030" s="5">
        <v>1300.0</v>
      </c>
      <c r="N10030" s="9">
        <v>44560.0</v>
      </c>
    </row>
    <row r="10031">
      <c r="A10031" s="5">
        <v>10030.0</v>
      </c>
      <c r="B10031" s="5" t="s">
        <v>10503</v>
      </c>
      <c r="C10031" s="5" t="s">
        <v>21</v>
      </c>
      <c r="K10031" s="5">
        <v>100.0</v>
      </c>
      <c r="N10031" s="9">
        <v>44517.0</v>
      </c>
    </row>
    <row r="10032">
      <c r="A10032" s="5">
        <v>10031.0</v>
      </c>
      <c r="B10032" s="5" t="s">
        <v>10504</v>
      </c>
      <c r="C10032" s="5" t="s">
        <v>21</v>
      </c>
      <c r="K10032" s="5">
        <v>150.0</v>
      </c>
      <c r="N10032" s="9">
        <v>45068.0</v>
      </c>
    </row>
    <row r="10033">
      <c r="A10033" s="5">
        <v>10032.0</v>
      </c>
      <c r="B10033" s="5" t="s">
        <v>10505</v>
      </c>
      <c r="C10033" s="5" t="s">
        <v>21</v>
      </c>
      <c r="K10033" s="5">
        <v>200.0</v>
      </c>
      <c r="N10033" s="9">
        <v>43900.0</v>
      </c>
    </row>
    <row r="10034">
      <c r="A10034" s="5">
        <v>10033.0</v>
      </c>
      <c r="B10034" s="5" t="s">
        <v>10506</v>
      </c>
      <c r="C10034" s="5" t="s">
        <v>21</v>
      </c>
      <c r="K10034" s="5">
        <v>300.0</v>
      </c>
      <c r="N10034" s="9">
        <v>43948.0</v>
      </c>
    </row>
    <row r="10035">
      <c r="A10035" s="5">
        <v>10034.0</v>
      </c>
      <c r="B10035" s="5" t="s">
        <v>10507</v>
      </c>
      <c r="C10035" s="5" t="s">
        <v>21</v>
      </c>
      <c r="K10035" s="5">
        <v>300.0</v>
      </c>
      <c r="N10035" s="9">
        <v>44542.0</v>
      </c>
    </row>
    <row r="10036">
      <c r="A10036" s="5">
        <v>10035.0</v>
      </c>
      <c r="B10036" s="5" t="s">
        <v>10508</v>
      </c>
      <c r="C10036" s="5" t="s">
        <v>21</v>
      </c>
      <c r="K10036" s="5">
        <v>200.0</v>
      </c>
      <c r="N10036" s="9">
        <v>43883.0</v>
      </c>
    </row>
    <row r="10037">
      <c r="A10037" s="5">
        <v>10036.0</v>
      </c>
      <c r="B10037" s="5" t="s">
        <v>10509</v>
      </c>
      <c r="C10037" s="5" t="s">
        <v>21</v>
      </c>
      <c r="K10037" s="5">
        <v>100.0</v>
      </c>
      <c r="N10037" s="9">
        <v>45138.0</v>
      </c>
    </row>
    <row r="10038">
      <c r="A10038" s="5">
        <v>10037.0</v>
      </c>
      <c r="B10038" s="5" t="s">
        <v>10510</v>
      </c>
      <c r="C10038" s="5" t="s">
        <v>21</v>
      </c>
      <c r="K10038" s="5">
        <v>250.0</v>
      </c>
      <c r="N10038" s="9">
        <v>44314.0</v>
      </c>
    </row>
    <row r="10039">
      <c r="A10039" s="5">
        <v>10038.0</v>
      </c>
      <c r="B10039" s="5" t="s">
        <v>10511</v>
      </c>
      <c r="C10039" s="5" t="s">
        <v>21</v>
      </c>
      <c r="K10039" s="5">
        <v>400.0</v>
      </c>
      <c r="N10039" s="9">
        <v>45268.0</v>
      </c>
    </row>
    <row r="10040">
      <c r="A10040" s="5">
        <v>10039.0</v>
      </c>
      <c r="B10040" s="5" t="s">
        <v>10512</v>
      </c>
      <c r="C10040" s="5" t="s">
        <v>21</v>
      </c>
      <c r="K10040" s="5">
        <v>10.0</v>
      </c>
      <c r="N10040" s="9">
        <v>44670.0</v>
      </c>
    </row>
    <row r="10041">
      <c r="A10041" s="5">
        <v>10040.0</v>
      </c>
      <c r="B10041" s="5" t="s">
        <v>10513</v>
      </c>
      <c r="C10041" s="5" t="s">
        <v>21</v>
      </c>
      <c r="K10041" s="5">
        <v>20.0</v>
      </c>
      <c r="N10041" s="9">
        <v>44087.0</v>
      </c>
    </row>
    <row r="10042">
      <c r="A10042" s="5">
        <v>10041.0</v>
      </c>
      <c r="B10042" s="5" t="s">
        <v>10514</v>
      </c>
      <c r="C10042" s="5" t="s">
        <v>21</v>
      </c>
      <c r="K10042" s="5">
        <v>350.0</v>
      </c>
      <c r="N10042" s="9">
        <v>44486.0</v>
      </c>
    </row>
    <row r="10043">
      <c r="A10043" s="5">
        <v>10042.0</v>
      </c>
      <c r="B10043" s="5" t="s">
        <v>10515</v>
      </c>
      <c r="C10043" s="5" t="s">
        <v>21</v>
      </c>
      <c r="K10043" s="5">
        <v>600.0</v>
      </c>
      <c r="N10043" s="9">
        <v>44061.0</v>
      </c>
    </row>
    <row r="10044">
      <c r="A10044" s="5">
        <v>10043.0</v>
      </c>
      <c r="B10044" s="5" t="s">
        <v>10516</v>
      </c>
      <c r="C10044" s="5" t="s">
        <v>21</v>
      </c>
      <c r="K10044" s="5">
        <v>150.0</v>
      </c>
      <c r="N10044" s="9">
        <v>44632.0</v>
      </c>
    </row>
    <row r="10045">
      <c r="A10045" s="5">
        <v>10044.0</v>
      </c>
      <c r="B10045" s="5" t="s">
        <v>10517</v>
      </c>
      <c r="C10045" s="5" t="s">
        <v>21</v>
      </c>
      <c r="K10045" s="5">
        <v>250.0</v>
      </c>
      <c r="N10045" s="9">
        <v>44118.0</v>
      </c>
    </row>
    <row r="10046">
      <c r="A10046" s="5">
        <v>10045.0</v>
      </c>
      <c r="B10046" s="5" t="s">
        <v>10518</v>
      </c>
      <c r="C10046" s="5" t="s">
        <v>21</v>
      </c>
      <c r="K10046" s="5">
        <v>250.0</v>
      </c>
      <c r="N10046" s="9">
        <v>44658.0</v>
      </c>
    </row>
    <row r="10047">
      <c r="A10047" s="5">
        <v>10046.0</v>
      </c>
      <c r="B10047" s="5" t="s">
        <v>10519</v>
      </c>
      <c r="C10047" s="5" t="s">
        <v>21</v>
      </c>
      <c r="K10047" s="5">
        <v>1300.0</v>
      </c>
      <c r="N10047" s="9">
        <v>44626.0</v>
      </c>
    </row>
    <row r="10048">
      <c r="A10048" s="5">
        <v>10047.0</v>
      </c>
      <c r="B10048" s="5" t="s">
        <v>10520</v>
      </c>
      <c r="C10048" s="5" t="s">
        <v>21</v>
      </c>
      <c r="K10048" s="5">
        <v>150.0</v>
      </c>
      <c r="N10048" s="9">
        <v>44932.0</v>
      </c>
    </row>
    <row r="10049">
      <c r="A10049" s="5">
        <v>10048.0</v>
      </c>
      <c r="B10049" s="5" t="s">
        <v>10521</v>
      </c>
      <c r="C10049" s="5" t="s">
        <v>21</v>
      </c>
      <c r="K10049" s="5">
        <v>200.0</v>
      </c>
      <c r="N10049" s="9">
        <v>44775.0</v>
      </c>
    </row>
    <row r="10050">
      <c r="A10050" s="5">
        <v>10049.0</v>
      </c>
      <c r="B10050" s="5" t="s">
        <v>344</v>
      </c>
      <c r="C10050" s="5" t="s">
        <v>21</v>
      </c>
      <c r="K10050" s="5">
        <v>24000.0</v>
      </c>
      <c r="N10050" s="9">
        <v>43657.0</v>
      </c>
    </row>
    <row r="10051">
      <c r="A10051" s="5">
        <v>10050.0</v>
      </c>
      <c r="B10051" s="5" t="s">
        <v>10522</v>
      </c>
      <c r="C10051" s="5" t="s">
        <v>21</v>
      </c>
      <c r="K10051" s="5">
        <v>90.0</v>
      </c>
      <c r="N10051" s="9">
        <v>44900.0</v>
      </c>
    </row>
    <row r="10052">
      <c r="A10052" s="5">
        <v>10051.0</v>
      </c>
      <c r="B10052" s="5" t="s">
        <v>10523</v>
      </c>
      <c r="C10052" s="5" t="s">
        <v>21</v>
      </c>
      <c r="K10052" s="5">
        <v>1400.0</v>
      </c>
      <c r="N10052" s="9">
        <v>44546.0</v>
      </c>
    </row>
    <row r="10053">
      <c r="A10053" s="5">
        <v>10052.0</v>
      </c>
      <c r="B10053" s="5" t="s">
        <v>10524</v>
      </c>
      <c r="C10053" s="5" t="s">
        <v>21</v>
      </c>
      <c r="N10053" s="9">
        <v>44529.0</v>
      </c>
    </row>
    <row r="10054">
      <c r="A10054" s="5">
        <v>10053.0</v>
      </c>
      <c r="B10054" s="5" t="s">
        <v>10525</v>
      </c>
      <c r="C10054" s="5" t="s">
        <v>21</v>
      </c>
      <c r="N10054" s="9">
        <v>44529.0</v>
      </c>
    </row>
    <row r="10055">
      <c r="A10055" s="5">
        <v>10054.0</v>
      </c>
      <c r="B10055" s="5" t="s">
        <v>10526</v>
      </c>
      <c r="C10055" s="5" t="s">
        <v>21</v>
      </c>
      <c r="K10055" s="5">
        <v>250.0</v>
      </c>
      <c r="N10055" s="9">
        <v>45460.0</v>
      </c>
    </row>
    <row r="10056">
      <c r="A10056" s="5">
        <v>10055.0</v>
      </c>
      <c r="B10056" s="5" t="s">
        <v>347</v>
      </c>
      <c r="C10056" s="5" t="s">
        <v>21</v>
      </c>
      <c r="K10056" s="5">
        <v>1600.0</v>
      </c>
      <c r="N10056" s="9">
        <v>44349.0</v>
      </c>
    </row>
    <row r="10057">
      <c r="A10057" s="5">
        <v>10056.0</v>
      </c>
      <c r="B10057" s="5" t="s">
        <v>10527</v>
      </c>
      <c r="C10057" s="5" t="s">
        <v>21</v>
      </c>
      <c r="K10057" s="5">
        <v>200.0</v>
      </c>
      <c r="N10057" s="9">
        <v>44632.0</v>
      </c>
    </row>
    <row r="10058">
      <c r="A10058" s="5">
        <v>10057.0</v>
      </c>
      <c r="B10058" s="5" t="s">
        <v>10528</v>
      </c>
      <c r="C10058" s="5" t="s">
        <v>21</v>
      </c>
      <c r="K10058" s="5">
        <v>40.0</v>
      </c>
      <c r="N10058" s="9">
        <v>44638.0</v>
      </c>
    </row>
    <row r="10059">
      <c r="A10059" s="5">
        <v>10058.0</v>
      </c>
      <c r="B10059" s="5" t="s">
        <v>10529</v>
      </c>
      <c r="C10059" s="5" t="s">
        <v>21</v>
      </c>
      <c r="K10059" s="5">
        <v>600.0</v>
      </c>
      <c r="N10059" s="9">
        <v>44582.0</v>
      </c>
    </row>
    <row r="10060">
      <c r="A10060" s="5">
        <v>10059.0</v>
      </c>
      <c r="B10060" s="5" t="s">
        <v>10530</v>
      </c>
      <c r="C10060" s="5" t="s">
        <v>21</v>
      </c>
      <c r="K10060" s="5">
        <v>250.0</v>
      </c>
      <c r="N10060" s="9">
        <v>45163.0</v>
      </c>
    </row>
    <row r="10061">
      <c r="A10061" s="5">
        <v>10060.0</v>
      </c>
      <c r="B10061" s="5" t="s">
        <v>10531</v>
      </c>
      <c r="C10061" s="5" t="s">
        <v>21</v>
      </c>
      <c r="K10061" s="5">
        <v>250.0</v>
      </c>
      <c r="N10061" s="9">
        <v>44557.0</v>
      </c>
    </row>
    <row r="10062">
      <c r="A10062" s="5">
        <v>10061.0</v>
      </c>
      <c r="B10062" s="5" t="s">
        <v>10532</v>
      </c>
      <c r="C10062" s="5" t="s">
        <v>21</v>
      </c>
      <c r="N10062" s="9">
        <v>44568.0</v>
      </c>
    </row>
    <row r="10063">
      <c r="A10063" s="5">
        <v>10062.0</v>
      </c>
      <c r="B10063" s="5" t="s">
        <v>10533</v>
      </c>
      <c r="C10063" s="5" t="s">
        <v>21</v>
      </c>
      <c r="K10063" s="5">
        <v>500.0</v>
      </c>
      <c r="N10063" s="9">
        <v>44566.0</v>
      </c>
    </row>
    <row r="10064">
      <c r="A10064" s="5">
        <v>10063.0</v>
      </c>
      <c r="B10064" s="5" t="s">
        <v>10534</v>
      </c>
      <c r="C10064" s="5" t="s">
        <v>21</v>
      </c>
      <c r="K10064" s="5">
        <v>250.0</v>
      </c>
      <c r="N10064" s="9">
        <v>44642.0</v>
      </c>
    </row>
    <row r="10065">
      <c r="A10065" s="5">
        <v>10064.0</v>
      </c>
      <c r="B10065" s="5" t="s">
        <v>10535</v>
      </c>
      <c r="C10065" s="5" t="s">
        <v>21</v>
      </c>
      <c r="K10065" s="5">
        <v>500.0</v>
      </c>
      <c r="N10065" s="9">
        <v>44517.0</v>
      </c>
    </row>
    <row r="10066">
      <c r="A10066" s="5">
        <v>10065.0</v>
      </c>
      <c r="B10066" s="5" t="s">
        <v>10536</v>
      </c>
      <c r="C10066" s="5" t="s">
        <v>21</v>
      </c>
      <c r="K10066" s="5">
        <v>10.0</v>
      </c>
      <c r="N10066" s="9">
        <v>44763.0</v>
      </c>
    </row>
    <row r="10067">
      <c r="A10067" s="5">
        <v>10066.0</v>
      </c>
      <c r="B10067" s="5" t="s">
        <v>10537</v>
      </c>
      <c r="C10067" s="5" t="s">
        <v>21</v>
      </c>
      <c r="K10067" s="5">
        <v>250.0</v>
      </c>
      <c r="N10067" s="9">
        <v>44468.0</v>
      </c>
    </row>
    <row r="10068">
      <c r="A10068" s="5">
        <v>10067.0</v>
      </c>
      <c r="B10068" s="5" t="s">
        <v>10538</v>
      </c>
      <c r="C10068" s="5" t="s">
        <v>21</v>
      </c>
      <c r="K10068" s="5">
        <v>17000.0</v>
      </c>
      <c r="N10068" s="9">
        <v>46085.0</v>
      </c>
    </row>
    <row r="10069">
      <c r="A10069" s="5">
        <v>10068.0</v>
      </c>
      <c r="B10069" s="5" t="s">
        <v>10539</v>
      </c>
      <c r="C10069" s="5" t="s">
        <v>21</v>
      </c>
      <c r="K10069" s="5">
        <v>30.0</v>
      </c>
      <c r="N10069" s="9">
        <v>44140.0</v>
      </c>
    </row>
    <row r="10070">
      <c r="A10070" s="5">
        <v>10069.0</v>
      </c>
      <c r="B10070" s="5" t="s">
        <v>10540</v>
      </c>
      <c r="C10070" s="5" t="s">
        <v>21</v>
      </c>
      <c r="K10070" s="5">
        <v>250.0</v>
      </c>
      <c r="N10070" s="9">
        <v>44527.0</v>
      </c>
    </row>
    <row r="10071">
      <c r="A10071" s="5">
        <v>10070.0</v>
      </c>
      <c r="B10071" s="5" t="s">
        <v>10541</v>
      </c>
      <c r="C10071" s="5" t="s">
        <v>21</v>
      </c>
      <c r="K10071" s="5">
        <v>2800.0</v>
      </c>
      <c r="N10071" s="9">
        <v>44047.0</v>
      </c>
    </row>
    <row r="10072">
      <c r="A10072" s="5">
        <v>10071.0</v>
      </c>
      <c r="B10072" s="5" t="s">
        <v>10542</v>
      </c>
      <c r="C10072" s="5" t="s">
        <v>21</v>
      </c>
      <c r="K10072" s="5">
        <v>150.0</v>
      </c>
      <c r="N10072" s="9">
        <v>44570.0</v>
      </c>
    </row>
    <row r="10073">
      <c r="A10073" s="5">
        <v>10072.0</v>
      </c>
      <c r="B10073" s="5" t="s">
        <v>10543</v>
      </c>
      <c r="C10073" s="5" t="s">
        <v>21</v>
      </c>
      <c r="K10073" s="5">
        <v>500.0</v>
      </c>
      <c r="N10073" s="9">
        <v>44541.0</v>
      </c>
    </row>
    <row r="10074">
      <c r="A10074" s="5">
        <v>10073.0</v>
      </c>
      <c r="B10074" s="5" t="s">
        <v>10544</v>
      </c>
      <c r="C10074" s="5" t="s">
        <v>21</v>
      </c>
      <c r="K10074" s="5">
        <v>150.0</v>
      </c>
      <c r="N10074" s="9">
        <v>44938.0</v>
      </c>
    </row>
    <row r="10075">
      <c r="A10075" s="5">
        <v>10074.0</v>
      </c>
      <c r="B10075" s="5" t="s">
        <v>10545</v>
      </c>
      <c r="C10075" s="5" t="s">
        <v>21</v>
      </c>
      <c r="K10075" s="5">
        <v>250.0</v>
      </c>
      <c r="N10075" s="9">
        <v>44936.0</v>
      </c>
    </row>
    <row r="10076">
      <c r="A10076" s="5">
        <v>10075.0</v>
      </c>
      <c r="B10076" s="5" t="s">
        <v>10546</v>
      </c>
      <c r="C10076" s="5" t="s">
        <v>21</v>
      </c>
      <c r="K10076" s="5">
        <v>600.0</v>
      </c>
      <c r="N10076" s="9">
        <v>44528.0</v>
      </c>
    </row>
    <row r="10077">
      <c r="A10077" s="5">
        <v>10076.0</v>
      </c>
      <c r="B10077" s="5" t="s">
        <v>10547</v>
      </c>
      <c r="C10077" s="5" t="s">
        <v>21</v>
      </c>
      <c r="K10077" s="5">
        <v>800.0</v>
      </c>
      <c r="N10077" s="9">
        <v>44529.0</v>
      </c>
    </row>
    <row r="10078">
      <c r="A10078" s="5">
        <v>10077.0</v>
      </c>
      <c r="B10078" s="5" t="s">
        <v>10548</v>
      </c>
      <c r="C10078" s="5" t="s">
        <v>21</v>
      </c>
      <c r="K10078" s="5">
        <v>2800.0</v>
      </c>
      <c r="N10078" s="9">
        <v>44319.0</v>
      </c>
    </row>
    <row r="10079">
      <c r="A10079" s="5">
        <v>10078.0</v>
      </c>
      <c r="B10079" s="5" t="s">
        <v>10549</v>
      </c>
      <c r="C10079" s="5" t="s">
        <v>21</v>
      </c>
      <c r="K10079" s="5">
        <v>500.0</v>
      </c>
      <c r="N10079" s="9">
        <v>45033.0</v>
      </c>
    </row>
    <row r="10080">
      <c r="A10080" s="5">
        <v>10079.0</v>
      </c>
      <c r="B10080" s="5" t="s">
        <v>10550</v>
      </c>
      <c r="C10080" s="5" t="s">
        <v>21</v>
      </c>
      <c r="K10080" s="5">
        <v>1700.0</v>
      </c>
      <c r="N10080" s="9">
        <v>42471.0</v>
      </c>
    </row>
    <row r="10081">
      <c r="A10081" s="5">
        <v>10080.0</v>
      </c>
      <c r="B10081" s="5" t="s">
        <v>10551</v>
      </c>
      <c r="C10081" s="5" t="s">
        <v>21</v>
      </c>
      <c r="K10081" s="5">
        <v>500.0</v>
      </c>
      <c r="N10081" s="9">
        <v>44126.0</v>
      </c>
    </row>
    <row r="10082">
      <c r="A10082" s="5">
        <v>10081.0</v>
      </c>
      <c r="B10082" s="5" t="s">
        <v>10552</v>
      </c>
      <c r="C10082" s="5" t="s">
        <v>21</v>
      </c>
      <c r="K10082" s="5">
        <v>70.0</v>
      </c>
      <c r="N10082" s="9">
        <v>44412.0</v>
      </c>
    </row>
    <row r="10083">
      <c r="A10083" s="5">
        <v>10082.0</v>
      </c>
      <c r="B10083" s="5" t="s">
        <v>10553</v>
      </c>
      <c r="C10083" s="5" t="s">
        <v>21</v>
      </c>
      <c r="K10083" s="5">
        <v>300.0</v>
      </c>
      <c r="N10083" s="9">
        <v>44786.0</v>
      </c>
    </row>
    <row r="10084">
      <c r="A10084" s="5">
        <v>10083.0</v>
      </c>
      <c r="B10084" s="5" t="s">
        <v>10554</v>
      </c>
      <c r="C10084" s="5" t="s">
        <v>21</v>
      </c>
      <c r="K10084" s="5">
        <v>80.0</v>
      </c>
      <c r="N10084" s="9">
        <v>44709.0</v>
      </c>
    </row>
    <row r="10085">
      <c r="A10085" s="5">
        <v>10084.0</v>
      </c>
      <c r="B10085" s="5" t="s">
        <v>10555</v>
      </c>
      <c r="C10085" s="5" t="s">
        <v>21</v>
      </c>
      <c r="K10085" s="5">
        <v>3500.0</v>
      </c>
      <c r="N10085" s="9">
        <v>44627.0</v>
      </c>
    </row>
    <row r="10086">
      <c r="A10086" s="5">
        <v>10085.0</v>
      </c>
      <c r="B10086" s="5" t="s">
        <v>10556</v>
      </c>
      <c r="C10086" s="5" t="s">
        <v>21</v>
      </c>
      <c r="K10086" s="5">
        <v>350.0</v>
      </c>
      <c r="N10086" s="9">
        <v>44245.0</v>
      </c>
    </row>
    <row r="10087">
      <c r="A10087" s="5">
        <v>10086.0</v>
      </c>
      <c r="B10087" s="5" t="s">
        <v>10557</v>
      </c>
      <c r="C10087" s="5" t="s">
        <v>21</v>
      </c>
      <c r="K10087" s="5">
        <v>20.0</v>
      </c>
      <c r="N10087" s="9">
        <v>44674.0</v>
      </c>
    </row>
    <row r="10088">
      <c r="A10088" s="5">
        <v>10087.0</v>
      </c>
      <c r="B10088" s="5" t="s">
        <v>10558</v>
      </c>
      <c r="C10088" s="5" t="s">
        <v>21</v>
      </c>
      <c r="K10088" s="5">
        <v>50.0</v>
      </c>
      <c r="N10088" s="9">
        <v>44583.0</v>
      </c>
    </row>
    <row r="10089">
      <c r="A10089" s="5">
        <v>10088.0</v>
      </c>
      <c r="B10089" s="5" t="s">
        <v>10559</v>
      </c>
      <c r="C10089" s="5" t="s">
        <v>21</v>
      </c>
      <c r="K10089" s="5">
        <v>40.0</v>
      </c>
      <c r="N10089" s="9">
        <v>44613.0</v>
      </c>
    </row>
    <row r="10090">
      <c r="A10090" s="5">
        <v>10089.0</v>
      </c>
      <c r="B10090" s="5" t="s">
        <v>10560</v>
      </c>
      <c r="C10090" s="5" t="s">
        <v>21</v>
      </c>
      <c r="K10090" s="5">
        <v>100.0</v>
      </c>
      <c r="N10090" s="9">
        <v>45191.0</v>
      </c>
    </row>
    <row r="10091">
      <c r="A10091" s="5">
        <v>10090.0</v>
      </c>
      <c r="B10091" s="5" t="s">
        <v>10561</v>
      </c>
      <c r="C10091" s="5" t="s">
        <v>21</v>
      </c>
      <c r="K10091" s="5">
        <v>600.0</v>
      </c>
      <c r="N10091" s="9">
        <v>43868.0</v>
      </c>
    </row>
    <row r="10092">
      <c r="A10092" s="5">
        <v>10091.0</v>
      </c>
      <c r="B10092" s="5" t="s">
        <v>10562</v>
      </c>
      <c r="C10092" s="5" t="s">
        <v>21</v>
      </c>
      <c r="K10092" s="5">
        <v>300.0</v>
      </c>
      <c r="N10092" s="9">
        <v>44679.0</v>
      </c>
    </row>
    <row r="10093">
      <c r="A10093" s="5">
        <v>10092.0</v>
      </c>
      <c r="B10093" s="5" t="s">
        <v>10563</v>
      </c>
      <c r="C10093" s="5" t="s">
        <v>21</v>
      </c>
      <c r="K10093" s="5">
        <v>70.0</v>
      </c>
      <c r="N10093" s="9">
        <v>44564.0</v>
      </c>
    </row>
    <row r="10094">
      <c r="A10094" s="5">
        <v>10093.0</v>
      </c>
      <c r="B10094" s="5" t="s">
        <v>10564</v>
      </c>
      <c r="C10094" s="5" t="s">
        <v>21</v>
      </c>
      <c r="K10094" s="5">
        <v>600.0</v>
      </c>
      <c r="N10094" s="9">
        <v>43932.0</v>
      </c>
    </row>
    <row r="10095">
      <c r="A10095" s="5">
        <v>10094.0</v>
      </c>
      <c r="B10095" s="5" t="s">
        <v>10565</v>
      </c>
      <c r="C10095" s="5" t="s">
        <v>21</v>
      </c>
      <c r="K10095" s="5">
        <v>350.0</v>
      </c>
      <c r="N10095" s="9">
        <v>45017.0</v>
      </c>
    </row>
    <row r="10096">
      <c r="A10096" s="5">
        <v>10095.0</v>
      </c>
      <c r="B10096" s="5" t="s">
        <v>10566</v>
      </c>
      <c r="C10096" s="5" t="s">
        <v>21</v>
      </c>
      <c r="K10096" s="5">
        <v>100.0</v>
      </c>
      <c r="N10096" s="9">
        <v>44500.0</v>
      </c>
    </row>
    <row r="10097">
      <c r="A10097" s="5">
        <v>10096.0</v>
      </c>
      <c r="B10097" s="5" t="s">
        <v>10567</v>
      </c>
      <c r="C10097" s="5" t="s">
        <v>21</v>
      </c>
      <c r="K10097" s="5">
        <v>100.0</v>
      </c>
      <c r="N10097" s="9">
        <v>46130.0</v>
      </c>
    </row>
    <row r="10098">
      <c r="A10098" s="5">
        <v>10097.0</v>
      </c>
      <c r="B10098" s="5" t="s">
        <v>10568</v>
      </c>
      <c r="C10098" s="5" t="s">
        <v>21</v>
      </c>
      <c r="K10098" s="5">
        <v>250.0</v>
      </c>
      <c r="N10098" s="9">
        <v>45380.0</v>
      </c>
    </row>
    <row r="10099">
      <c r="A10099" s="5">
        <v>10098.0</v>
      </c>
      <c r="B10099" s="5" t="s">
        <v>10569</v>
      </c>
      <c r="C10099" s="5" t="s">
        <v>21</v>
      </c>
      <c r="K10099" s="5">
        <v>450.0</v>
      </c>
      <c r="N10099" s="9">
        <v>45190.0</v>
      </c>
    </row>
    <row r="10100">
      <c r="A10100" s="5">
        <v>10099.0</v>
      </c>
      <c r="B10100" s="5" t="s">
        <v>10570</v>
      </c>
      <c r="C10100" s="5" t="s">
        <v>21</v>
      </c>
      <c r="K10100" s="5">
        <v>600.0</v>
      </c>
      <c r="N10100" s="9">
        <v>44815.0</v>
      </c>
    </row>
    <row r="10101">
      <c r="A10101" s="5">
        <v>10100.0</v>
      </c>
      <c r="B10101" s="5" t="s">
        <v>10571</v>
      </c>
      <c r="C10101" s="5" t="s">
        <v>21</v>
      </c>
      <c r="K10101" s="5">
        <v>20.0</v>
      </c>
      <c r="N10101" s="9">
        <v>45465.0</v>
      </c>
    </row>
    <row r="10102">
      <c r="A10102" s="5">
        <v>10101.0</v>
      </c>
      <c r="B10102" s="5" t="s">
        <v>10572</v>
      </c>
      <c r="C10102" s="5" t="s">
        <v>21</v>
      </c>
      <c r="K10102" s="5">
        <v>1900.0</v>
      </c>
      <c r="N10102" s="9">
        <v>43847.0</v>
      </c>
    </row>
    <row r="10103">
      <c r="A10103" s="5">
        <v>10102.0</v>
      </c>
      <c r="B10103" s="5" t="s">
        <v>10573</v>
      </c>
      <c r="C10103" s="5" t="s">
        <v>21</v>
      </c>
      <c r="K10103" s="5">
        <v>300.0</v>
      </c>
      <c r="N10103" s="9">
        <v>44033.0</v>
      </c>
    </row>
    <row r="10104">
      <c r="A10104" s="5">
        <v>10103.0</v>
      </c>
      <c r="B10104" s="5" t="s">
        <v>342</v>
      </c>
      <c r="C10104" s="5" t="s">
        <v>21</v>
      </c>
      <c r="K10104" s="5">
        <v>400.0</v>
      </c>
      <c r="N10104" s="9">
        <v>43847.0</v>
      </c>
    </row>
    <row r="10105">
      <c r="A10105" s="5">
        <v>10104.0</v>
      </c>
      <c r="B10105" s="5" t="s">
        <v>10574</v>
      </c>
      <c r="C10105" s="5" t="s">
        <v>21</v>
      </c>
      <c r="K10105" s="5">
        <v>200.0</v>
      </c>
      <c r="N10105" s="9">
        <v>44831.0</v>
      </c>
    </row>
    <row r="10106">
      <c r="A10106" s="5">
        <v>10105.0</v>
      </c>
      <c r="B10106" s="5" t="s">
        <v>10575</v>
      </c>
      <c r="C10106" s="5" t="s">
        <v>21</v>
      </c>
      <c r="K10106" s="5">
        <v>70.0</v>
      </c>
      <c r="N10106" s="9">
        <v>45365.0</v>
      </c>
    </row>
    <row r="10107">
      <c r="A10107" s="5">
        <v>10106.0</v>
      </c>
      <c r="B10107" s="5" t="s">
        <v>10576</v>
      </c>
      <c r="C10107" s="5" t="s">
        <v>21</v>
      </c>
      <c r="K10107" s="5">
        <v>60.0</v>
      </c>
      <c r="N10107" s="9">
        <v>43991.0</v>
      </c>
    </row>
    <row r="10108">
      <c r="A10108" s="5">
        <v>10107.0</v>
      </c>
      <c r="B10108" s="5" t="s">
        <v>10577</v>
      </c>
      <c r="C10108" s="5" t="s">
        <v>21</v>
      </c>
      <c r="K10108" s="5">
        <v>250.0</v>
      </c>
      <c r="N10108" s="9">
        <v>44617.0</v>
      </c>
    </row>
    <row r="10109">
      <c r="A10109" s="5">
        <v>10108.0</v>
      </c>
      <c r="B10109" s="5" t="s">
        <v>10578</v>
      </c>
      <c r="C10109" s="5" t="s">
        <v>21</v>
      </c>
      <c r="K10109" s="5">
        <v>100.0</v>
      </c>
      <c r="N10109" s="9">
        <v>44982.0</v>
      </c>
    </row>
    <row r="10110">
      <c r="A10110" s="5">
        <v>10109.0</v>
      </c>
      <c r="B10110" s="5" t="s">
        <v>10579</v>
      </c>
      <c r="C10110" s="5" t="s">
        <v>21</v>
      </c>
      <c r="K10110" s="5">
        <v>80.0</v>
      </c>
      <c r="N10110" s="9">
        <v>44768.0</v>
      </c>
    </row>
    <row r="10111">
      <c r="A10111" s="5">
        <v>10110.0</v>
      </c>
      <c r="B10111" s="5" t="s">
        <v>10580</v>
      </c>
      <c r="C10111" s="5" t="s">
        <v>21</v>
      </c>
      <c r="K10111" s="5">
        <v>10.0</v>
      </c>
      <c r="N10111" s="9">
        <v>44503.0</v>
      </c>
    </row>
    <row r="10112">
      <c r="A10112" s="5">
        <v>10111.0</v>
      </c>
      <c r="B10112" s="5" t="s">
        <v>10581</v>
      </c>
      <c r="C10112" s="5" t="s">
        <v>21</v>
      </c>
      <c r="K10112" s="5">
        <v>2400.0</v>
      </c>
      <c r="N10112" s="9">
        <v>43860.0</v>
      </c>
    </row>
    <row r="10113">
      <c r="A10113" s="5">
        <v>10112.0</v>
      </c>
      <c r="B10113" s="5" t="s">
        <v>10582</v>
      </c>
      <c r="C10113" s="5" t="s">
        <v>21</v>
      </c>
      <c r="K10113" s="5">
        <v>80.0</v>
      </c>
      <c r="N10113" s="9">
        <v>44531.0</v>
      </c>
    </row>
    <row r="10114">
      <c r="A10114" s="5">
        <v>10113.0</v>
      </c>
      <c r="B10114" s="5" t="s">
        <v>10583</v>
      </c>
      <c r="C10114" s="5" t="s">
        <v>21</v>
      </c>
      <c r="K10114" s="5">
        <v>450.0</v>
      </c>
      <c r="N10114" s="9">
        <v>44285.0</v>
      </c>
    </row>
    <row r="10115">
      <c r="A10115" s="5">
        <v>10114.0</v>
      </c>
      <c r="B10115" s="5" t="s">
        <v>10584</v>
      </c>
      <c r="C10115" s="5" t="s">
        <v>21</v>
      </c>
      <c r="K10115" s="5">
        <v>1800.0</v>
      </c>
      <c r="N10115" s="9">
        <v>44238.0</v>
      </c>
    </row>
    <row r="10116">
      <c r="A10116" s="5">
        <v>10115.0</v>
      </c>
      <c r="B10116" s="5" t="s">
        <v>10585</v>
      </c>
      <c r="C10116" s="5" t="s">
        <v>21</v>
      </c>
      <c r="K10116" s="5">
        <v>90.0</v>
      </c>
      <c r="N10116" s="9">
        <v>44547.0</v>
      </c>
    </row>
    <row r="10117">
      <c r="A10117" s="5">
        <v>10116.0</v>
      </c>
      <c r="B10117" s="5" t="s">
        <v>10586</v>
      </c>
      <c r="C10117" s="5" t="s">
        <v>21</v>
      </c>
      <c r="K10117" s="5">
        <v>700.0</v>
      </c>
      <c r="N10117" s="9">
        <v>43860.0</v>
      </c>
    </row>
    <row r="10118">
      <c r="A10118" s="5">
        <v>10117.0</v>
      </c>
      <c r="B10118" s="5" t="s">
        <v>10587</v>
      </c>
      <c r="C10118" s="5" t="s">
        <v>21</v>
      </c>
      <c r="K10118" s="5">
        <v>1800.0</v>
      </c>
      <c r="N10118" s="9">
        <v>43906.0</v>
      </c>
    </row>
    <row r="10119">
      <c r="A10119" s="5">
        <v>10118.0</v>
      </c>
      <c r="B10119" s="5" t="s">
        <v>10588</v>
      </c>
      <c r="C10119" s="5" t="s">
        <v>21</v>
      </c>
      <c r="K10119" s="5">
        <v>60.0</v>
      </c>
      <c r="N10119" s="9">
        <v>44591.0</v>
      </c>
    </row>
    <row r="10120">
      <c r="A10120" s="5">
        <v>10119.0</v>
      </c>
      <c r="B10120" s="5" t="s">
        <v>10589</v>
      </c>
      <c r="C10120" s="5" t="s">
        <v>21</v>
      </c>
      <c r="K10120" s="5">
        <v>100.0</v>
      </c>
      <c r="N10120" s="9">
        <v>44398.0</v>
      </c>
    </row>
    <row r="10121">
      <c r="A10121" s="5">
        <v>10120.0</v>
      </c>
      <c r="B10121" s="5" t="s">
        <v>10590</v>
      </c>
      <c r="C10121" s="5" t="s">
        <v>21</v>
      </c>
      <c r="K10121" s="5">
        <v>1100.0</v>
      </c>
      <c r="N10121" s="9">
        <v>45314.0</v>
      </c>
    </row>
    <row r="10122">
      <c r="A10122" s="5">
        <v>10121.0</v>
      </c>
      <c r="B10122" s="5" t="s">
        <v>10591</v>
      </c>
      <c r="C10122" s="5" t="s">
        <v>21</v>
      </c>
      <c r="K10122" s="5">
        <v>1500.0</v>
      </c>
      <c r="N10122" s="9">
        <v>44545.0</v>
      </c>
    </row>
    <row r="10123">
      <c r="A10123" s="5">
        <v>10122.0</v>
      </c>
      <c r="B10123" s="5" t="s">
        <v>10592</v>
      </c>
      <c r="C10123" s="5" t="s">
        <v>21</v>
      </c>
      <c r="K10123" s="5">
        <v>150.0</v>
      </c>
      <c r="N10123" s="9">
        <v>45141.0</v>
      </c>
    </row>
    <row r="10124">
      <c r="A10124" s="5">
        <v>10123.0</v>
      </c>
      <c r="B10124" s="5" t="s">
        <v>10593</v>
      </c>
      <c r="C10124" s="5" t="s">
        <v>21</v>
      </c>
      <c r="K10124" s="5">
        <v>500.0</v>
      </c>
      <c r="N10124" s="9">
        <v>45104.0</v>
      </c>
    </row>
    <row r="10125">
      <c r="A10125" s="5">
        <v>10124.0</v>
      </c>
      <c r="B10125" s="5" t="s">
        <v>10594</v>
      </c>
      <c r="C10125" s="5" t="s">
        <v>21</v>
      </c>
      <c r="K10125" s="5">
        <v>1700.0</v>
      </c>
      <c r="N10125" s="9">
        <v>44496.0</v>
      </c>
    </row>
    <row r="10126">
      <c r="A10126" s="5">
        <v>10125.0</v>
      </c>
      <c r="B10126" s="5" t="s">
        <v>10595</v>
      </c>
      <c r="C10126" s="5" t="s">
        <v>21</v>
      </c>
      <c r="K10126" s="5">
        <v>80.0</v>
      </c>
      <c r="N10126" s="9">
        <v>44637.0</v>
      </c>
    </row>
    <row r="10127">
      <c r="A10127" s="5">
        <v>10126.0</v>
      </c>
      <c r="B10127" s="5" t="s">
        <v>10596</v>
      </c>
      <c r="C10127" s="5" t="s">
        <v>21</v>
      </c>
      <c r="K10127" s="5">
        <v>100.0</v>
      </c>
      <c r="N10127" s="9">
        <v>45036.0</v>
      </c>
    </row>
    <row r="10128">
      <c r="A10128" s="5">
        <v>10127.0</v>
      </c>
      <c r="B10128" s="5" t="s">
        <v>10597</v>
      </c>
      <c r="C10128" s="5" t="s">
        <v>21</v>
      </c>
      <c r="K10128" s="5">
        <v>10000.0</v>
      </c>
      <c r="N10128" s="9">
        <v>44594.0</v>
      </c>
    </row>
    <row r="10129">
      <c r="A10129" s="5">
        <v>10128.0</v>
      </c>
      <c r="B10129" s="5" t="s">
        <v>10598</v>
      </c>
      <c r="C10129" s="5" t="s">
        <v>21</v>
      </c>
      <c r="K10129" s="5">
        <v>5000.0</v>
      </c>
      <c r="N10129" s="9">
        <v>43956.0</v>
      </c>
    </row>
    <row r="10130">
      <c r="A10130" s="5">
        <v>10129.0</v>
      </c>
      <c r="B10130" s="5" t="s">
        <v>10599</v>
      </c>
      <c r="C10130" s="5" t="s">
        <v>21</v>
      </c>
      <c r="K10130" s="5">
        <v>150.0</v>
      </c>
      <c r="N10130" s="9">
        <v>44745.0</v>
      </c>
    </row>
    <row r="10131">
      <c r="A10131" s="5">
        <v>10130.0</v>
      </c>
      <c r="B10131" s="5" t="s">
        <v>10600</v>
      </c>
      <c r="C10131" s="5" t="s">
        <v>21</v>
      </c>
      <c r="K10131" s="5">
        <v>800.0</v>
      </c>
      <c r="N10131" s="9">
        <v>44914.0</v>
      </c>
    </row>
    <row r="10132">
      <c r="A10132" s="5">
        <v>10131.0</v>
      </c>
      <c r="B10132" s="5" t="s">
        <v>10601</v>
      </c>
      <c r="C10132" s="5" t="s">
        <v>21</v>
      </c>
      <c r="K10132" s="5">
        <v>10.0</v>
      </c>
      <c r="N10132" s="9">
        <v>45361.0</v>
      </c>
    </row>
    <row r="10133">
      <c r="A10133" s="5">
        <v>10132.0</v>
      </c>
      <c r="B10133" s="5" t="s">
        <v>10602</v>
      </c>
      <c r="C10133" s="5" t="s">
        <v>21</v>
      </c>
      <c r="K10133" s="5">
        <v>200.0</v>
      </c>
      <c r="N10133" s="9">
        <v>45319.0</v>
      </c>
    </row>
    <row r="10134">
      <c r="A10134" s="5">
        <v>10133.0</v>
      </c>
      <c r="B10134" s="5" t="s">
        <v>10603</v>
      </c>
      <c r="C10134" s="5" t="s">
        <v>21</v>
      </c>
      <c r="K10134" s="5">
        <v>200.0</v>
      </c>
      <c r="N10134" s="9">
        <v>44534.0</v>
      </c>
    </row>
    <row r="10135">
      <c r="A10135" s="5">
        <v>10134.0</v>
      </c>
      <c r="B10135" s="5" t="s">
        <v>10604</v>
      </c>
      <c r="C10135" s="5" t="s">
        <v>21</v>
      </c>
      <c r="K10135" s="5">
        <v>200.0</v>
      </c>
      <c r="N10135" s="9">
        <v>44841.0</v>
      </c>
    </row>
    <row r="10136">
      <c r="A10136" s="5">
        <v>10135.0</v>
      </c>
      <c r="B10136" s="5" t="s">
        <v>10605</v>
      </c>
      <c r="C10136" s="5" t="s">
        <v>21</v>
      </c>
      <c r="K10136" s="5">
        <v>150.0</v>
      </c>
      <c r="N10136" s="9">
        <v>44126.0</v>
      </c>
    </row>
    <row r="10137">
      <c r="A10137" s="5">
        <v>10136.0</v>
      </c>
      <c r="B10137" s="5" t="s">
        <v>10606</v>
      </c>
      <c r="C10137" s="5" t="s">
        <v>21</v>
      </c>
      <c r="K10137" s="5">
        <v>200.0</v>
      </c>
      <c r="N10137" s="9">
        <v>44132.0</v>
      </c>
    </row>
    <row r="10138">
      <c r="A10138" s="5">
        <v>10137.0</v>
      </c>
      <c r="B10138" s="5" t="s">
        <v>10607</v>
      </c>
      <c r="C10138" s="5" t="s">
        <v>21</v>
      </c>
      <c r="K10138" s="5">
        <v>200.0</v>
      </c>
      <c r="N10138" s="9">
        <v>44649.0</v>
      </c>
    </row>
    <row r="10139">
      <c r="A10139" s="5">
        <v>10138.0</v>
      </c>
      <c r="B10139" s="5" t="s">
        <v>10608</v>
      </c>
      <c r="C10139" s="5" t="s">
        <v>21</v>
      </c>
      <c r="K10139" s="5">
        <v>300.0</v>
      </c>
      <c r="N10139" s="9">
        <v>43943.0</v>
      </c>
    </row>
    <row r="10140">
      <c r="A10140" s="5">
        <v>10139.0</v>
      </c>
      <c r="B10140" s="5" t="s">
        <v>10609</v>
      </c>
      <c r="C10140" s="5" t="s">
        <v>21</v>
      </c>
      <c r="K10140" s="5">
        <v>250.0</v>
      </c>
      <c r="N10140" s="9">
        <v>44047.0</v>
      </c>
    </row>
    <row r="10141">
      <c r="A10141" s="5">
        <v>10140.0</v>
      </c>
      <c r="B10141" s="5" t="s">
        <v>10610</v>
      </c>
      <c r="C10141" s="5" t="s">
        <v>21</v>
      </c>
      <c r="K10141" s="5">
        <v>500.0</v>
      </c>
      <c r="N10141" s="9">
        <v>44718.0</v>
      </c>
    </row>
    <row r="10142">
      <c r="A10142" s="5">
        <v>10141.0</v>
      </c>
      <c r="B10142" s="5" t="s">
        <v>10611</v>
      </c>
      <c r="C10142" s="5" t="s">
        <v>21</v>
      </c>
      <c r="K10142" s="5">
        <v>500.0</v>
      </c>
      <c r="N10142" s="9">
        <v>44541.0</v>
      </c>
    </row>
    <row r="10143">
      <c r="A10143" s="5">
        <v>10142.0</v>
      </c>
      <c r="B10143" s="5" t="s">
        <v>10612</v>
      </c>
      <c r="C10143" s="5" t="s">
        <v>21</v>
      </c>
      <c r="K10143" s="5">
        <v>500.0</v>
      </c>
      <c r="N10143" s="9">
        <v>44541.0</v>
      </c>
    </row>
    <row r="10144">
      <c r="A10144" s="5">
        <v>10143.0</v>
      </c>
      <c r="B10144" s="5" t="s">
        <v>10613</v>
      </c>
      <c r="C10144" s="5" t="s">
        <v>21</v>
      </c>
      <c r="K10144" s="5">
        <v>600.0</v>
      </c>
      <c r="N10144" s="9">
        <v>44487.0</v>
      </c>
    </row>
    <row r="10145">
      <c r="A10145" s="5">
        <v>10144.0</v>
      </c>
      <c r="B10145" s="5" t="s">
        <v>10614</v>
      </c>
      <c r="C10145" s="5" t="s">
        <v>21</v>
      </c>
      <c r="K10145" s="5">
        <v>450.0</v>
      </c>
      <c r="N10145" s="9">
        <v>44643.0</v>
      </c>
    </row>
    <row r="10146">
      <c r="A10146" s="5">
        <v>10145.0</v>
      </c>
      <c r="B10146" s="5" t="s">
        <v>10615</v>
      </c>
      <c r="C10146" s="5" t="s">
        <v>21</v>
      </c>
      <c r="K10146" s="5">
        <v>100.0</v>
      </c>
      <c r="N10146" s="9">
        <v>44243.0</v>
      </c>
    </row>
    <row r="10147">
      <c r="A10147" s="5">
        <v>10146.0</v>
      </c>
      <c r="B10147" s="5" t="s">
        <v>10616</v>
      </c>
      <c r="C10147" s="5" t="s">
        <v>21</v>
      </c>
      <c r="K10147" s="5">
        <v>70.0</v>
      </c>
      <c r="N10147" s="9">
        <v>44541.0</v>
      </c>
    </row>
    <row r="10148">
      <c r="A10148" s="5">
        <v>10147.0</v>
      </c>
      <c r="B10148" s="5" t="s">
        <v>10617</v>
      </c>
      <c r="C10148" s="5" t="s">
        <v>21</v>
      </c>
      <c r="K10148" s="5">
        <v>3500.0</v>
      </c>
      <c r="N10148" s="9">
        <v>44317.0</v>
      </c>
    </row>
    <row r="10149">
      <c r="A10149" s="5">
        <v>10148.0</v>
      </c>
      <c r="B10149" s="5" t="s">
        <v>10618</v>
      </c>
      <c r="C10149" s="5" t="s">
        <v>21</v>
      </c>
      <c r="K10149" s="5">
        <v>400.0</v>
      </c>
      <c r="N10149" s="9">
        <v>44606.0</v>
      </c>
    </row>
    <row r="10150">
      <c r="A10150" s="5">
        <v>10149.0</v>
      </c>
      <c r="B10150" s="5" t="s">
        <v>10619</v>
      </c>
      <c r="C10150" s="5" t="s">
        <v>21</v>
      </c>
      <c r="K10150" s="5">
        <v>350.0</v>
      </c>
      <c r="N10150" s="9">
        <v>44600.0</v>
      </c>
    </row>
    <row r="10151">
      <c r="A10151" s="5">
        <v>10150.0</v>
      </c>
      <c r="B10151" s="5" t="s">
        <v>10620</v>
      </c>
      <c r="C10151" s="5" t="s">
        <v>21</v>
      </c>
      <c r="K10151" s="5">
        <v>50.0</v>
      </c>
      <c r="N10151" s="9">
        <v>45344.0</v>
      </c>
    </row>
    <row r="10152">
      <c r="A10152" s="5">
        <v>10151.0</v>
      </c>
      <c r="B10152" s="5" t="s">
        <v>10621</v>
      </c>
      <c r="C10152" s="5" t="s">
        <v>21</v>
      </c>
      <c r="K10152" s="5">
        <v>100.0</v>
      </c>
      <c r="N10152" s="9">
        <v>44534.0</v>
      </c>
    </row>
    <row r="10153">
      <c r="A10153" s="5">
        <v>10152.0</v>
      </c>
      <c r="B10153" s="5" t="s">
        <v>10622</v>
      </c>
      <c r="C10153" s="5" t="s">
        <v>21</v>
      </c>
      <c r="K10153" s="5">
        <v>700.0</v>
      </c>
      <c r="N10153" s="9">
        <v>44463.0</v>
      </c>
    </row>
    <row r="10154">
      <c r="A10154" s="5">
        <v>10153.0</v>
      </c>
      <c r="B10154" s="5" t="s">
        <v>10623</v>
      </c>
      <c r="C10154" s="5" t="s">
        <v>21</v>
      </c>
      <c r="K10154" s="5">
        <v>147000.0</v>
      </c>
      <c r="N10154" s="9">
        <v>43948.0</v>
      </c>
    </row>
    <row r="10155">
      <c r="A10155" s="5">
        <v>10154.0</v>
      </c>
      <c r="B10155" s="5" t="s">
        <v>349</v>
      </c>
      <c r="C10155" s="5" t="s">
        <v>21</v>
      </c>
      <c r="K10155" s="5">
        <v>1400.0</v>
      </c>
      <c r="N10155" s="9">
        <v>44380.0</v>
      </c>
    </row>
    <row r="10156">
      <c r="A10156" s="5">
        <v>10155.0</v>
      </c>
      <c r="B10156" s="5" t="s">
        <v>10624</v>
      </c>
      <c r="C10156" s="5" t="s">
        <v>21</v>
      </c>
      <c r="K10156" s="5">
        <v>90.0</v>
      </c>
      <c r="N10156" s="9">
        <v>44589.0</v>
      </c>
    </row>
    <row r="10157">
      <c r="A10157" s="5">
        <v>10156.0</v>
      </c>
      <c r="B10157" s="5" t="s">
        <v>10625</v>
      </c>
      <c r="C10157" s="5" t="s">
        <v>21</v>
      </c>
      <c r="K10157" s="5">
        <v>1800.0</v>
      </c>
      <c r="N10157" s="9">
        <v>43914.0</v>
      </c>
    </row>
    <row r="10158">
      <c r="A10158" s="5">
        <v>10157.0</v>
      </c>
      <c r="B10158" s="5" t="s">
        <v>10626</v>
      </c>
      <c r="C10158" s="5" t="s">
        <v>21</v>
      </c>
      <c r="K10158" s="5">
        <v>300.0</v>
      </c>
      <c r="N10158" s="9">
        <v>45096.0</v>
      </c>
    </row>
    <row r="10159">
      <c r="A10159" s="5">
        <v>10158.0</v>
      </c>
      <c r="B10159" s="5" t="s">
        <v>10627</v>
      </c>
      <c r="C10159" s="5" t="s">
        <v>21</v>
      </c>
      <c r="N10159" s="9">
        <v>44528.0</v>
      </c>
    </row>
    <row r="10160">
      <c r="A10160" s="5">
        <v>10159.0</v>
      </c>
      <c r="B10160" s="5" t="s">
        <v>10628</v>
      </c>
      <c r="C10160" s="5" t="s">
        <v>21</v>
      </c>
      <c r="K10160" s="5">
        <v>2600.0</v>
      </c>
      <c r="N10160" s="9">
        <v>44281.0</v>
      </c>
    </row>
    <row r="10161">
      <c r="A10161" s="5">
        <v>10160.0</v>
      </c>
      <c r="B10161" s="5" t="s">
        <v>10629</v>
      </c>
      <c r="C10161" s="5" t="s">
        <v>21</v>
      </c>
      <c r="K10161" s="5">
        <v>1900.0</v>
      </c>
      <c r="N10161" s="9">
        <v>44532.0</v>
      </c>
    </row>
    <row r="10162">
      <c r="A10162" s="5">
        <v>10161.0</v>
      </c>
      <c r="B10162" s="5" t="s">
        <v>10630</v>
      </c>
      <c r="C10162" s="5" t="s">
        <v>21</v>
      </c>
      <c r="K10162" s="5">
        <v>900.0</v>
      </c>
      <c r="N10162" s="9">
        <v>45030.0</v>
      </c>
    </row>
    <row r="10163">
      <c r="A10163" s="5">
        <v>10162.0</v>
      </c>
      <c r="B10163" s="5" t="s">
        <v>10631</v>
      </c>
      <c r="C10163" s="5" t="s">
        <v>21</v>
      </c>
      <c r="K10163" s="5">
        <v>20.0</v>
      </c>
      <c r="N10163" s="9">
        <v>45616.0</v>
      </c>
    </row>
    <row r="10164">
      <c r="A10164" s="5">
        <v>10163.0</v>
      </c>
      <c r="B10164" s="5" t="s">
        <v>10632</v>
      </c>
      <c r="C10164" s="5" t="s">
        <v>21</v>
      </c>
      <c r="K10164" s="5">
        <v>60.0</v>
      </c>
      <c r="N10164" s="9">
        <v>44386.0</v>
      </c>
    </row>
    <row r="10165">
      <c r="A10165" s="5">
        <v>10164.0</v>
      </c>
      <c r="B10165" s="5" t="s">
        <v>10633</v>
      </c>
      <c r="C10165" s="5" t="s">
        <v>21</v>
      </c>
      <c r="N10165" s="9">
        <v>44529.0</v>
      </c>
    </row>
    <row r="10166">
      <c r="A10166" s="5">
        <v>10165.0</v>
      </c>
      <c r="B10166" s="5" t="s">
        <v>10634</v>
      </c>
      <c r="C10166" s="5" t="s">
        <v>21</v>
      </c>
      <c r="N10166" s="9">
        <v>44567.0</v>
      </c>
    </row>
    <row r="10167">
      <c r="A10167" s="5">
        <v>10166.0</v>
      </c>
      <c r="B10167" s="5" t="s">
        <v>10635</v>
      </c>
      <c r="C10167" s="5" t="s">
        <v>21</v>
      </c>
      <c r="K10167" s="5">
        <v>250.0</v>
      </c>
      <c r="N10167" s="9">
        <v>44401.0</v>
      </c>
    </row>
    <row r="10168">
      <c r="A10168" s="5">
        <v>10167.0</v>
      </c>
      <c r="B10168" s="5" t="s">
        <v>10636</v>
      </c>
      <c r="C10168" s="5" t="s">
        <v>21</v>
      </c>
      <c r="K10168" s="5">
        <v>30.0</v>
      </c>
      <c r="N10168" s="9">
        <v>43898.0</v>
      </c>
    </row>
    <row r="10169">
      <c r="A10169" s="5">
        <v>10168.0</v>
      </c>
      <c r="B10169" s="5" t="s">
        <v>10637</v>
      </c>
      <c r="C10169" s="5" t="s">
        <v>21</v>
      </c>
      <c r="K10169" s="5">
        <v>350.0</v>
      </c>
      <c r="N10169" s="9">
        <v>44536.0</v>
      </c>
    </row>
    <row r="10170">
      <c r="A10170" s="5">
        <v>10169.0</v>
      </c>
      <c r="B10170" s="5" t="s">
        <v>10638</v>
      </c>
      <c r="C10170" s="5" t="s">
        <v>21</v>
      </c>
      <c r="N10170" s="9">
        <v>44772.0</v>
      </c>
    </row>
    <row r="10171">
      <c r="A10171" s="5">
        <v>10170.0</v>
      </c>
      <c r="B10171" s="5" t="s">
        <v>10639</v>
      </c>
      <c r="C10171" s="5" t="s">
        <v>21</v>
      </c>
      <c r="K10171" s="5">
        <v>4800.0</v>
      </c>
      <c r="N10171" s="9">
        <v>43876.0</v>
      </c>
    </row>
    <row r="10172">
      <c r="A10172" s="5">
        <v>10171.0</v>
      </c>
      <c r="B10172" s="5" t="s">
        <v>10640</v>
      </c>
      <c r="C10172" s="5" t="s">
        <v>21</v>
      </c>
      <c r="K10172" s="5">
        <v>1200.0</v>
      </c>
      <c r="N10172" s="9">
        <v>44592.0</v>
      </c>
    </row>
    <row r="10173">
      <c r="A10173" s="5">
        <v>10172.0</v>
      </c>
      <c r="B10173" s="5" t="s">
        <v>10641</v>
      </c>
      <c r="C10173" s="5" t="s">
        <v>21</v>
      </c>
      <c r="K10173" s="5">
        <v>70.0</v>
      </c>
      <c r="N10173" s="9">
        <v>44900.0</v>
      </c>
    </row>
    <row r="10174">
      <c r="A10174" s="5">
        <v>10173.0</v>
      </c>
      <c r="B10174" s="5" t="s">
        <v>10642</v>
      </c>
      <c r="C10174" s="5" t="s">
        <v>21</v>
      </c>
      <c r="K10174" s="5">
        <v>70.0</v>
      </c>
      <c r="N10174" s="9">
        <v>44519.0</v>
      </c>
    </row>
    <row r="10175">
      <c r="A10175" s="5">
        <v>10174.0</v>
      </c>
      <c r="B10175" s="5" t="s">
        <v>10643</v>
      </c>
      <c r="C10175" s="5" t="s">
        <v>21</v>
      </c>
      <c r="K10175" s="5">
        <v>200.0</v>
      </c>
      <c r="N10175" s="9">
        <v>44822.0</v>
      </c>
    </row>
    <row r="10176">
      <c r="A10176" s="5">
        <v>10175.0</v>
      </c>
      <c r="B10176" s="5" t="s">
        <v>10644</v>
      </c>
      <c r="C10176" s="5" t="s">
        <v>21</v>
      </c>
      <c r="K10176" s="5">
        <v>150.0</v>
      </c>
      <c r="N10176" s="9">
        <v>44646.0</v>
      </c>
    </row>
    <row r="10177">
      <c r="A10177" s="5">
        <v>10176.0</v>
      </c>
      <c r="B10177" s="5" t="s">
        <v>10645</v>
      </c>
      <c r="C10177" s="5" t="s">
        <v>21</v>
      </c>
      <c r="K10177" s="5">
        <v>10.0</v>
      </c>
      <c r="N10177" s="9">
        <v>44035.0</v>
      </c>
    </row>
    <row r="10178">
      <c r="A10178" s="5">
        <v>10177.0</v>
      </c>
      <c r="B10178" s="5" t="s">
        <v>10646</v>
      </c>
      <c r="C10178" s="5" t="s">
        <v>21</v>
      </c>
      <c r="K10178" s="5">
        <v>300.0</v>
      </c>
      <c r="N10178" s="9">
        <v>44529.0</v>
      </c>
    </row>
    <row r="10179">
      <c r="A10179" s="5">
        <v>10178.0</v>
      </c>
      <c r="B10179" s="5" t="s">
        <v>10647</v>
      </c>
      <c r="C10179" s="5" t="s">
        <v>21</v>
      </c>
      <c r="K10179" s="5">
        <v>400.0</v>
      </c>
      <c r="N10179" s="9">
        <v>45017.0</v>
      </c>
    </row>
    <row r="10180">
      <c r="A10180" s="5">
        <v>10179.0</v>
      </c>
      <c r="B10180" s="5" t="s">
        <v>10648</v>
      </c>
      <c r="C10180" s="5" t="s">
        <v>21</v>
      </c>
      <c r="K10180" s="5">
        <v>150.0</v>
      </c>
      <c r="N10180" s="9">
        <v>44385.0</v>
      </c>
    </row>
    <row r="10181">
      <c r="A10181" s="5">
        <v>10180.0</v>
      </c>
      <c r="B10181" s="5" t="s">
        <v>10649</v>
      </c>
      <c r="C10181" s="5" t="s">
        <v>21</v>
      </c>
      <c r="K10181" s="5">
        <v>80.0</v>
      </c>
      <c r="N10181" s="9">
        <v>44661.0</v>
      </c>
    </row>
    <row r="10182">
      <c r="A10182" s="5">
        <v>10181.0</v>
      </c>
      <c r="B10182" s="5" t="s">
        <v>10650</v>
      </c>
      <c r="C10182" s="5" t="s">
        <v>21</v>
      </c>
      <c r="K10182" s="5">
        <v>10.0</v>
      </c>
      <c r="N10182" s="9">
        <v>44635.0</v>
      </c>
    </row>
    <row r="10183">
      <c r="A10183" s="5">
        <v>10182.0</v>
      </c>
      <c r="B10183" s="5" t="s">
        <v>10651</v>
      </c>
      <c r="C10183" s="5" t="s">
        <v>21</v>
      </c>
      <c r="K10183" s="5">
        <v>100.0</v>
      </c>
      <c r="N10183" s="9">
        <v>45096.0</v>
      </c>
    </row>
    <row r="10184">
      <c r="A10184" s="5">
        <v>10183.0</v>
      </c>
      <c r="B10184" s="5" t="s">
        <v>10652</v>
      </c>
      <c r="C10184" s="5" t="s">
        <v>21</v>
      </c>
      <c r="K10184" s="5">
        <v>100.0</v>
      </c>
      <c r="N10184" s="9">
        <v>45378.0</v>
      </c>
    </row>
    <row r="10185">
      <c r="A10185" s="5">
        <v>10184.0</v>
      </c>
      <c r="B10185" s="5" t="s">
        <v>10653</v>
      </c>
      <c r="C10185" s="5" t="s">
        <v>21</v>
      </c>
      <c r="K10185" s="5">
        <v>250.0</v>
      </c>
      <c r="N10185" s="9">
        <v>44781.0</v>
      </c>
    </row>
    <row r="10186">
      <c r="A10186" s="5">
        <v>10185.0</v>
      </c>
      <c r="B10186" s="5" t="s">
        <v>10654</v>
      </c>
      <c r="C10186" s="5" t="s">
        <v>21</v>
      </c>
      <c r="K10186" s="5">
        <v>700.0</v>
      </c>
      <c r="N10186" s="9">
        <v>44651.0</v>
      </c>
    </row>
    <row r="10187">
      <c r="A10187" s="5">
        <v>10186.0</v>
      </c>
      <c r="B10187" s="5" t="s">
        <v>10655</v>
      </c>
      <c r="C10187" s="5" t="s">
        <v>21</v>
      </c>
      <c r="K10187" s="5">
        <v>150.0</v>
      </c>
      <c r="N10187" s="9">
        <v>44902.0</v>
      </c>
    </row>
    <row r="10188">
      <c r="A10188" s="5">
        <v>10187.0</v>
      </c>
      <c r="B10188" s="5" t="s">
        <v>10656</v>
      </c>
      <c r="C10188" s="5" t="s">
        <v>21</v>
      </c>
      <c r="K10188" s="5">
        <v>500.0</v>
      </c>
      <c r="N10188" s="9">
        <v>44518.0</v>
      </c>
    </row>
    <row r="10189">
      <c r="A10189" s="5">
        <v>10188.0</v>
      </c>
      <c r="B10189" s="5" t="s">
        <v>10657</v>
      </c>
      <c r="C10189" s="5" t="s">
        <v>21</v>
      </c>
      <c r="K10189" s="5">
        <v>100.0</v>
      </c>
      <c r="N10189" s="9">
        <v>43943.0</v>
      </c>
    </row>
    <row r="10190">
      <c r="A10190" s="5">
        <v>10189.0</v>
      </c>
      <c r="B10190" s="5" t="s">
        <v>10658</v>
      </c>
      <c r="C10190" s="5" t="s">
        <v>21</v>
      </c>
      <c r="K10190" s="5">
        <v>12000.0</v>
      </c>
      <c r="N10190" s="9">
        <v>44250.0</v>
      </c>
    </row>
    <row r="10191">
      <c r="A10191" s="5">
        <v>10190.0</v>
      </c>
      <c r="B10191" s="5" t="s">
        <v>10659</v>
      </c>
      <c r="C10191" s="5" t="s">
        <v>21</v>
      </c>
      <c r="K10191" s="5">
        <v>50.0</v>
      </c>
      <c r="N10191" s="9">
        <v>44753.0</v>
      </c>
    </row>
    <row r="10192">
      <c r="A10192" s="5">
        <v>10191.0</v>
      </c>
      <c r="B10192" s="5" t="s">
        <v>10660</v>
      </c>
      <c r="C10192" s="5" t="s">
        <v>21</v>
      </c>
      <c r="K10192" s="5">
        <v>7000.0</v>
      </c>
      <c r="N10192" s="9">
        <v>43976.0</v>
      </c>
    </row>
    <row r="10193">
      <c r="A10193" s="5">
        <v>10192.0</v>
      </c>
      <c r="B10193" s="5" t="s">
        <v>10661</v>
      </c>
      <c r="C10193" s="5" t="s">
        <v>21</v>
      </c>
      <c r="K10193" s="5">
        <v>1900.0</v>
      </c>
      <c r="N10193" s="9">
        <v>44547.0</v>
      </c>
    </row>
    <row r="10194">
      <c r="A10194" s="5">
        <v>10193.0</v>
      </c>
      <c r="B10194" s="5" t="s">
        <v>10662</v>
      </c>
      <c r="C10194" s="5" t="s">
        <v>21</v>
      </c>
      <c r="K10194" s="5">
        <v>1300.0</v>
      </c>
      <c r="N10194" s="9">
        <v>45667.0</v>
      </c>
    </row>
    <row r="10195">
      <c r="A10195" s="5">
        <v>10194.0</v>
      </c>
      <c r="B10195" s="5" t="s">
        <v>10663</v>
      </c>
      <c r="C10195" s="5" t="s">
        <v>21</v>
      </c>
      <c r="N10195" s="9">
        <v>44953.0</v>
      </c>
    </row>
    <row r="10196">
      <c r="A10196" s="5">
        <v>10195.0</v>
      </c>
      <c r="B10196" s="5" t="s">
        <v>10664</v>
      </c>
      <c r="C10196" s="5" t="s">
        <v>21</v>
      </c>
      <c r="K10196" s="5">
        <v>350.0</v>
      </c>
      <c r="N10196" s="9">
        <v>44553.0</v>
      </c>
    </row>
    <row r="10197">
      <c r="A10197" s="5">
        <v>10196.0</v>
      </c>
      <c r="B10197" s="5" t="s">
        <v>10665</v>
      </c>
      <c r="C10197" s="5" t="s">
        <v>21</v>
      </c>
      <c r="K10197" s="5">
        <v>60.0</v>
      </c>
      <c r="N10197" s="9">
        <v>44188.0</v>
      </c>
    </row>
    <row r="10198">
      <c r="A10198" s="5">
        <v>10197.0</v>
      </c>
      <c r="B10198" s="5" t="s">
        <v>10666</v>
      </c>
      <c r="C10198" s="5" t="s">
        <v>21</v>
      </c>
      <c r="N10198" s="9">
        <v>43934.0</v>
      </c>
    </row>
    <row r="10199">
      <c r="A10199" s="5">
        <v>10198.0</v>
      </c>
      <c r="B10199" s="5" t="s">
        <v>10667</v>
      </c>
      <c r="C10199" s="5" t="s">
        <v>21</v>
      </c>
      <c r="K10199" s="5">
        <v>1600.0</v>
      </c>
      <c r="N10199" s="9">
        <v>45139.0</v>
      </c>
    </row>
    <row r="10200">
      <c r="A10200" s="5">
        <v>10199.0</v>
      </c>
      <c r="B10200" s="5" t="s">
        <v>10668</v>
      </c>
      <c r="C10200" s="5" t="s">
        <v>21</v>
      </c>
      <c r="K10200" s="5">
        <v>250.0</v>
      </c>
      <c r="N10200" s="9">
        <v>45058.0</v>
      </c>
    </row>
    <row r="10201">
      <c r="A10201" s="5">
        <v>10200.0</v>
      </c>
      <c r="B10201" s="5" t="s">
        <v>10669</v>
      </c>
      <c r="C10201" s="5" t="s">
        <v>21</v>
      </c>
      <c r="K10201" s="5">
        <v>80.0</v>
      </c>
      <c r="N10201" s="9">
        <v>45785.0</v>
      </c>
    </row>
    <row r="10202">
      <c r="A10202" s="5">
        <v>10201.0</v>
      </c>
      <c r="B10202" s="5" t="s">
        <v>10670</v>
      </c>
      <c r="C10202" s="5" t="s">
        <v>21</v>
      </c>
      <c r="K10202" s="5">
        <v>1200.0</v>
      </c>
      <c r="N10202" s="9">
        <v>44531.0</v>
      </c>
    </row>
    <row r="10203">
      <c r="A10203" s="5">
        <v>10202.0</v>
      </c>
      <c r="B10203" s="5" t="s">
        <v>10671</v>
      </c>
      <c r="C10203" s="5" t="s">
        <v>21</v>
      </c>
      <c r="K10203" s="5">
        <v>900.0</v>
      </c>
      <c r="N10203" s="9">
        <v>43869.0</v>
      </c>
    </row>
    <row r="10204">
      <c r="A10204" s="5">
        <v>10203.0</v>
      </c>
      <c r="B10204" s="5" t="s">
        <v>10672</v>
      </c>
      <c r="C10204" s="5" t="s">
        <v>21</v>
      </c>
      <c r="K10204" s="5">
        <v>200.0</v>
      </c>
      <c r="N10204" s="9">
        <v>44562.0</v>
      </c>
    </row>
    <row r="10205">
      <c r="A10205" s="5">
        <v>10204.0</v>
      </c>
      <c r="B10205" s="5" t="s">
        <v>10673</v>
      </c>
      <c r="C10205" s="5" t="s">
        <v>21</v>
      </c>
      <c r="K10205" s="5">
        <v>900.0</v>
      </c>
      <c r="N10205" s="9">
        <v>44539.0</v>
      </c>
    </row>
    <row r="10206">
      <c r="A10206" s="5">
        <v>10205.0</v>
      </c>
      <c r="B10206" s="5" t="s">
        <v>10674</v>
      </c>
      <c r="C10206" s="5" t="s">
        <v>21</v>
      </c>
      <c r="K10206" s="5">
        <v>50.0</v>
      </c>
      <c r="N10206" s="9">
        <v>43885.0</v>
      </c>
    </row>
    <row r="10207">
      <c r="A10207" s="5">
        <v>10206.0</v>
      </c>
      <c r="B10207" s="5" t="s">
        <v>10675</v>
      </c>
      <c r="C10207" s="5" t="s">
        <v>21</v>
      </c>
      <c r="K10207" s="5">
        <v>2100.0</v>
      </c>
      <c r="N10207" s="9">
        <v>44556.0</v>
      </c>
    </row>
    <row r="10208">
      <c r="A10208" s="5">
        <v>10207.0</v>
      </c>
      <c r="B10208" s="5" t="s">
        <v>10676</v>
      </c>
      <c r="C10208" s="5" t="s">
        <v>21</v>
      </c>
      <c r="K10208" s="5">
        <v>400.0</v>
      </c>
      <c r="N10208" s="9">
        <v>44518.0</v>
      </c>
    </row>
    <row r="10209">
      <c r="A10209" s="5">
        <v>10208.0</v>
      </c>
      <c r="B10209" s="5" t="s">
        <v>10677</v>
      </c>
      <c r="C10209" s="5" t="s">
        <v>21</v>
      </c>
      <c r="K10209" s="5">
        <v>900.0</v>
      </c>
      <c r="N10209" s="9">
        <v>45047.0</v>
      </c>
    </row>
    <row r="10210">
      <c r="A10210" s="5">
        <v>10209.0</v>
      </c>
      <c r="B10210" s="5" t="s">
        <v>10678</v>
      </c>
      <c r="C10210" s="5" t="s">
        <v>21</v>
      </c>
      <c r="K10210" s="5">
        <v>150.0</v>
      </c>
      <c r="N10210" s="9">
        <v>43878.0</v>
      </c>
    </row>
    <row r="10211">
      <c r="A10211" s="5">
        <v>10210.0</v>
      </c>
      <c r="B10211" s="5" t="s">
        <v>10679</v>
      </c>
      <c r="C10211" s="5" t="s">
        <v>21</v>
      </c>
      <c r="K10211" s="5">
        <v>300.0</v>
      </c>
      <c r="N10211" s="9">
        <v>44977.0</v>
      </c>
    </row>
    <row r="10212">
      <c r="A10212" s="5">
        <v>10211.0</v>
      </c>
      <c r="B10212" s="5" t="s">
        <v>10680</v>
      </c>
      <c r="C10212" s="5" t="s">
        <v>21</v>
      </c>
      <c r="N10212" s="9">
        <v>45107.0</v>
      </c>
    </row>
    <row r="10213">
      <c r="A10213" s="5">
        <v>10212.0</v>
      </c>
      <c r="B10213" s="5" t="s">
        <v>10681</v>
      </c>
      <c r="C10213" s="5" t="s">
        <v>21</v>
      </c>
      <c r="K10213" s="5">
        <v>200.0</v>
      </c>
      <c r="N10213" s="9">
        <v>44768.0</v>
      </c>
    </row>
    <row r="10214">
      <c r="A10214" s="5">
        <v>10213.0</v>
      </c>
      <c r="B10214" s="5" t="s">
        <v>10682</v>
      </c>
      <c r="C10214" s="5" t="s">
        <v>21</v>
      </c>
      <c r="K10214" s="5">
        <v>450.0</v>
      </c>
      <c r="N10214" s="9">
        <v>45390.0</v>
      </c>
    </row>
    <row r="10215">
      <c r="A10215" s="5">
        <v>10214.0</v>
      </c>
      <c r="B10215" s="5" t="s">
        <v>10683</v>
      </c>
      <c r="C10215" s="5" t="s">
        <v>21</v>
      </c>
      <c r="N10215" s="9">
        <v>44588.0</v>
      </c>
    </row>
    <row r="10216">
      <c r="A10216" s="5">
        <v>10215.0</v>
      </c>
      <c r="B10216" s="5" t="s">
        <v>10684</v>
      </c>
      <c r="C10216" s="5" t="s">
        <v>21</v>
      </c>
      <c r="K10216" s="5">
        <v>500.0</v>
      </c>
      <c r="N10216" s="9">
        <v>44731.0</v>
      </c>
    </row>
    <row r="10217">
      <c r="A10217" s="5">
        <v>10216.0</v>
      </c>
      <c r="B10217" s="5" t="s">
        <v>10685</v>
      </c>
      <c r="C10217" s="5" t="s">
        <v>21</v>
      </c>
      <c r="K10217" s="5">
        <v>30.0</v>
      </c>
      <c r="N10217" s="9">
        <v>45087.0</v>
      </c>
    </row>
    <row r="10218">
      <c r="A10218" s="5">
        <v>10217.0</v>
      </c>
      <c r="B10218" s="5" t="s">
        <v>10686</v>
      </c>
      <c r="C10218" s="5" t="s">
        <v>21</v>
      </c>
      <c r="K10218" s="5">
        <v>900.0</v>
      </c>
      <c r="N10218" s="9">
        <v>44884.0</v>
      </c>
    </row>
    <row r="10219">
      <c r="A10219" s="5">
        <v>10218.0</v>
      </c>
      <c r="B10219" s="5" t="s">
        <v>10687</v>
      </c>
      <c r="C10219" s="5" t="s">
        <v>21</v>
      </c>
      <c r="K10219" s="5">
        <v>50.0</v>
      </c>
      <c r="N10219" s="9">
        <v>45012.0</v>
      </c>
    </row>
    <row r="10220">
      <c r="A10220" s="5">
        <v>10219.0</v>
      </c>
      <c r="B10220" s="5" t="s">
        <v>352</v>
      </c>
      <c r="C10220" s="5" t="s">
        <v>21</v>
      </c>
      <c r="K10220" s="5">
        <v>200.0</v>
      </c>
      <c r="N10220" s="9">
        <v>44366.0</v>
      </c>
    </row>
    <row r="10221">
      <c r="A10221" s="5">
        <v>10220.0</v>
      </c>
      <c r="B10221" s="5" t="s">
        <v>10688</v>
      </c>
      <c r="C10221" s="5" t="s">
        <v>21</v>
      </c>
      <c r="K10221" s="5">
        <v>250.0</v>
      </c>
      <c r="N10221" s="9">
        <v>44668.0</v>
      </c>
    </row>
    <row r="10222">
      <c r="A10222" s="5">
        <v>10221.0</v>
      </c>
      <c r="B10222" s="5" t="s">
        <v>10689</v>
      </c>
      <c r="C10222" s="5" t="s">
        <v>21</v>
      </c>
      <c r="K10222" s="5">
        <v>80.0</v>
      </c>
      <c r="N10222" s="9">
        <v>44621.0</v>
      </c>
    </row>
    <row r="10223">
      <c r="A10223" s="5">
        <v>10222.0</v>
      </c>
      <c r="B10223" s="5" t="s">
        <v>10690</v>
      </c>
      <c r="C10223" s="5" t="s">
        <v>21</v>
      </c>
      <c r="K10223" s="5">
        <v>200.0</v>
      </c>
      <c r="N10223" s="9">
        <v>44664.0</v>
      </c>
    </row>
    <row r="10224">
      <c r="A10224" s="5">
        <v>10223.0</v>
      </c>
      <c r="B10224" s="5" t="s">
        <v>10691</v>
      </c>
      <c r="C10224" s="5" t="s">
        <v>21</v>
      </c>
      <c r="K10224" s="5">
        <v>350.0</v>
      </c>
      <c r="N10224" s="9">
        <v>45082.0</v>
      </c>
    </row>
    <row r="10225">
      <c r="A10225" s="5">
        <v>10224.0</v>
      </c>
      <c r="B10225" s="5" t="s">
        <v>10692</v>
      </c>
      <c r="C10225" s="5" t="s">
        <v>21</v>
      </c>
      <c r="K10225" s="5">
        <v>30.0</v>
      </c>
      <c r="N10225" s="9">
        <v>44536.0</v>
      </c>
    </row>
    <row r="10226">
      <c r="A10226" s="5">
        <v>10225.0</v>
      </c>
      <c r="B10226" s="5" t="s">
        <v>10693</v>
      </c>
      <c r="C10226" s="5" t="s">
        <v>21</v>
      </c>
      <c r="K10226" s="5">
        <v>700.0</v>
      </c>
      <c r="N10226" s="9">
        <v>45102.0</v>
      </c>
    </row>
    <row r="10227">
      <c r="A10227" s="5">
        <v>10226.0</v>
      </c>
      <c r="B10227" s="5" t="s">
        <v>10694</v>
      </c>
      <c r="C10227" s="5" t="s">
        <v>21</v>
      </c>
      <c r="K10227" s="5">
        <v>450.0</v>
      </c>
      <c r="N10227" s="9">
        <v>44575.0</v>
      </c>
    </row>
    <row r="10228">
      <c r="A10228" s="5">
        <v>10227.0</v>
      </c>
      <c r="B10228" s="5" t="s">
        <v>10695</v>
      </c>
      <c r="C10228" s="5" t="s">
        <v>21</v>
      </c>
      <c r="K10228" s="5">
        <v>100.0</v>
      </c>
      <c r="N10228" s="9">
        <v>44035.0</v>
      </c>
    </row>
    <row r="10229">
      <c r="A10229" s="5">
        <v>10228.0</v>
      </c>
      <c r="B10229" s="5" t="s">
        <v>10696</v>
      </c>
      <c r="C10229" s="5" t="s">
        <v>21</v>
      </c>
      <c r="K10229" s="5">
        <v>1200.0</v>
      </c>
      <c r="N10229" s="9">
        <v>44411.0</v>
      </c>
    </row>
    <row r="10230">
      <c r="A10230" s="5">
        <v>10229.0</v>
      </c>
      <c r="B10230" s="5" t="s">
        <v>10697</v>
      </c>
      <c r="C10230" s="5" t="s">
        <v>21</v>
      </c>
      <c r="K10230" s="5">
        <v>1000.0</v>
      </c>
      <c r="N10230" s="9">
        <v>44413.0</v>
      </c>
    </row>
    <row r="10231">
      <c r="A10231" s="5">
        <v>10230.0</v>
      </c>
      <c r="B10231" s="5" t="s">
        <v>10698</v>
      </c>
      <c r="C10231" s="5" t="s">
        <v>21</v>
      </c>
      <c r="K10231" s="5">
        <v>40.0</v>
      </c>
      <c r="N10231" s="9">
        <v>45715.0</v>
      </c>
    </row>
    <row r="10232">
      <c r="A10232" s="5">
        <v>10231.0</v>
      </c>
      <c r="B10232" s="5" t="s">
        <v>10699</v>
      </c>
      <c r="C10232" s="5" t="s">
        <v>21</v>
      </c>
      <c r="K10232" s="5">
        <v>900.0</v>
      </c>
      <c r="N10232" s="9">
        <v>43921.0</v>
      </c>
    </row>
    <row r="10233">
      <c r="A10233" s="5">
        <v>10232.0</v>
      </c>
      <c r="B10233" s="5" t="s">
        <v>10700</v>
      </c>
      <c r="C10233" s="5" t="s">
        <v>21</v>
      </c>
      <c r="K10233" s="5">
        <v>200.0</v>
      </c>
      <c r="N10233" s="9">
        <v>44953.0</v>
      </c>
    </row>
    <row r="10234">
      <c r="A10234" s="5">
        <v>10233.0</v>
      </c>
      <c r="B10234" s="5" t="s">
        <v>10701</v>
      </c>
      <c r="C10234" s="5" t="s">
        <v>21</v>
      </c>
      <c r="K10234" s="5">
        <v>30.0</v>
      </c>
      <c r="N10234" s="9">
        <v>44356.0</v>
      </c>
    </row>
    <row r="10235">
      <c r="A10235" s="5">
        <v>10234.0</v>
      </c>
      <c r="B10235" s="5" t="s">
        <v>10702</v>
      </c>
      <c r="C10235" s="5" t="s">
        <v>21</v>
      </c>
      <c r="K10235" s="5">
        <v>700.0</v>
      </c>
      <c r="N10235" s="9">
        <v>44338.0</v>
      </c>
    </row>
    <row r="10236">
      <c r="A10236" s="5">
        <v>10235.0</v>
      </c>
      <c r="B10236" s="5" t="s">
        <v>10703</v>
      </c>
      <c r="C10236" s="5" t="s">
        <v>21</v>
      </c>
      <c r="K10236" s="5">
        <v>150.0</v>
      </c>
      <c r="N10236" s="9">
        <v>44783.0</v>
      </c>
    </row>
    <row r="10237">
      <c r="A10237" s="5">
        <v>10236.0</v>
      </c>
      <c r="B10237" s="5" t="s">
        <v>10704</v>
      </c>
      <c r="C10237" s="5" t="s">
        <v>21</v>
      </c>
      <c r="K10237" s="5">
        <v>1300.0</v>
      </c>
      <c r="N10237" s="9">
        <v>45706.0</v>
      </c>
    </row>
    <row r="10238">
      <c r="A10238" s="5">
        <v>10237.0</v>
      </c>
      <c r="B10238" s="5" t="s">
        <v>10705</v>
      </c>
      <c r="C10238" s="5" t="s">
        <v>21</v>
      </c>
      <c r="K10238" s="5">
        <v>100.0</v>
      </c>
      <c r="N10238" s="9">
        <v>44555.0</v>
      </c>
    </row>
    <row r="10239">
      <c r="A10239" s="5">
        <v>10238.0</v>
      </c>
      <c r="B10239" s="5" t="s">
        <v>10706</v>
      </c>
      <c r="C10239" s="5" t="s">
        <v>21</v>
      </c>
      <c r="K10239" s="5">
        <v>80.0</v>
      </c>
      <c r="N10239" s="9">
        <v>44582.0</v>
      </c>
    </row>
    <row r="10240">
      <c r="A10240" s="5">
        <v>10239.0</v>
      </c>
      <c r="B10240" s="5" t="s">
        <v>10707</v>
      </c>
      <c r="C10240" s="5" t="s">
        <v>21</v>
      </c>
      <c r="K10240" s="5">
        <v>2300.0</v>
      </c>
      <c r="N10240" s="9">
        <v>43922.0</v>
      </c>
    </row>
    <row r="10241">
      <c r="A10241" s="5">
        <v>10240.0</v>
      </c>
      <c r="B10241" s="5" t="s">
        <v>10708</v>
      </c>
      <c r="C10241" s="5" t="s">
        <v>21</v>
      </c>
      <c r="K10241" s="5">
        <v>80.0</v>
      </c>
      <c r="N10241" s="9">
        <v>44417.0</v>
      </c>
    </row>
    <row r="10242">
      <c r="A10242" s="5">
        <v>10241.0</v>
      </c>
      <c r="B10242" s="5" t="s">
        <v>10709</v>
      </c>
      <c r="C10242" s="5" t="s">
        <v>21</v>
      </c>
      <c r="N10242" s="9">
        <v>45277.0</v>
      </c>
    </row>
    <row r="10243">
      <c r="A10243" s="5">
        <v>10242.0</v>
      </c>
      <c r="B10243" s="5" t="s">
        <v>10710</v>
      </c>
      <c r="C10243" s="5" t="s">
        <v>21</v>
      </c>
      <c r="K10243" s="5">
        <v>450.0</v>
      </c>
      <c r="N10243" s="9">
        <v>44571.0</v>
      </c>
    </row>
    <row r="10244">
      <c r="A10244" s="5">
        <v>10243.0</v>
      </c>
      <c r="B10244" s="5" t="s">
        <v>10711</v>
      </c>
      <c r="C10244" s="5" t="s">
        <v>21</v>
      </c>
      <c r="K10244" s="5">
        <v>1400.0</v>
      </c>
      <c r="N10244" s="9">
        <v>44577.0</v>
      </c>
    </row>
    <row r="10245">
      <c r="A10245" s="5">
        <v>10244.0</v>
      </c>
      <c r="B10245" s="5" t="s">
        <v>10712</v>
      </c>
      <c r="C10245" s="5" t="s">
        <v>21</v>
      </c>
      <c r="K10245" s="5">
        <v>300.0</v>
      </c>
      <c r="N10245" s="9">
        <v>45243.0</v>
      </c>
    </row>
    <row r="10246">
      <c r="A10246" s="5">
        <v>10245.0</v>
      </c>
      <c r="B10246" s="5" t="s">
        <v>10713</v>
      </c>
      <c r="C10246" s="5" t="s">
        <v>21</v>
      </c>
      <c r="K10246" s="5">
        <v>700.0</v>
      </c>
      <c r="N10246" s="9">
        <v>44553.0</v>
      </c>
    </row>
    <row r="10247">
      <c r="A10247" s="5">
        <v>10246.0</v>
      </c>
      <c r="B10247" s="5" t="s">
        <v>10714</v>
      </c>
      <c r="C10247" s="5" t="s">
        <v>21</v>
      </c>
      <c r="K10247" s="5">
        <v>200.0</v>
      </c>
      <c r="N10247" s="9">
        <v>44931.0</v>
      </c>
    </row>
    <row r="10248">
      <c r="A10248" s="5">
        <v>10247.0</v>
      </c>
      <c r="B10248" s="5" t="s">
        <v>343</v>
      </c>
      <c r="C10248" s="5" t="s">
        <v>21</v>
      </c>
      <c r="K10248" s="5">
        <v>20.0</v>
      </c>
      <c r="N10248" s="9">
        <v>43989.0</v>
      </c>
    </row>
    <row r="10249">
      <c r="A10249" s="5">
        <v>10248.0</v>
      </c>
      <c r="B10249" s="5" t="s">
        <v>10715</v>
      </c>
      <c r="C10249" s="5" t="s">
        <v>21</v>
      </c>
      <c r="N10249" s="9">
        <v>44562.0</v>
      </c>
    </row>
    <row r="10250">
      <c r="A10250" s="5">
        <v>10249.0</v>
      </c>
      <c r="B10250" s="5" t="s">
        <v>10716</v>
      </c>
      <c r="C10250" s="5" t="s">
        <v>21</v>
      </c>
      <c r="K10250" s="5">
        <v>4700.0</v>
      </c>
      <c r="N10250" s="9">
        <v>43861.0</v>
      </c>
    </row>
    <row r="10251">
      <c r="A10251" s="5">
        <v>10250.0</v>
      </c>
      <c r="B10251" s="5" t="s">
        <v>10717</v>
      </c>
      <c r="C10251" s="5" t="s">
        <v>21</v>
      </c>
      <c r="K10251" s="5">
        <v>250.0</v>
      </c>
      <c r="N10251" s="9">
        <v>44531.0</v>
      </c>
    </row>
    <row r="10252">
      <c r="A10252" s="5">
        <v>10251.0</v>
      </c>
      <c r="B10252" s="5" t="s">
        <v>10718</v>
      </c>
      <c r="C10252" s="5" t="s">
        <v>21</v>
      </c>
      <c r="K10252" s="5">
        <v>70.0</v>
      </c>
      <c r="N10252" s="9">
        <v>45569.0</v>
      </c>
    </row>
    <row r="10253">
      <c r="A10253" s="5">
        <v>10252.0</v>
      </c>
      <c r="B10253" s="5" t="s">
        <v>10719</v>
      </c>
      <c r="C10253" s="5" t="s">
        <v>21</v>
      </c>
      <c r="K10253" s="5">
        <v>150.0</v>
      </c>
      <c r="N10253" s="9">
        <v>44826.0</v>
      </c>
    </row>
    <row r="10254">
      <c r="A10254" s="5">
        <v>10253.0</v>
      </c>
      <c r="B10254" s="5" t="s">
        <v>10720</v>
      </c>
      <c r="C10254" s="5" t="s">
        <v>21</v>
      </c>
      <c r="K10254" s="5">
        <v>80.0</v>
      </c>
      <c r="N10254" s="9">
        <v>44881.0</v>
      </c>
    </row>
    <row r="10255">
      <c r="A10255" s="5">
        <v>10254.0</v>
      </c>
      <c r="B10255" s="5" t="s">
        <v>10721</v>
      </c>
      <c r="C10255" s="5" t="s">
        <v>21</v>
      </c>
      <c r="K10255" s="5">
        <v>250.0</v>
      </c>
      <c r="N10255" s="9">
        <v>44672.0</v>
      </c>
    </row>
    <row r="10256">
      <c r="A10256" s="5">
        <v>10255.0</v>
      </c>
      <c r="B10256" s="5" t="s">
        <v>10722</v>
      </c>
      <c r="C10256" s="5" t="s">
        <v>21</v>
      </c>
      <c r="K10256" s="5">
        <v>250.0</v>
      </c>
      <c r="N10256" s="9">
        <v>44220.0</v>
      </c>
    </row>
    <row r="10257">
      <c r="A10257" s="5">
        <v>10256.0</v>
      </c>
      <c r="B10257" s="5" t="s">
        <v>10723</v>
      </c>
      <c r="C10257" s="5" t="s">
        <v>21</v>
      </c>
      <c r="K10257" s="5">
        <v>1300.0</v>
      </c>
      <c r="N10257" s="9">
        <v>44394.0</v>
      </c>
    </row>
    <row r="10258">
      <c r="A10258" s="5">
        <v>10257.0</v>
      </c>
      <c r="B10258" s="5" t="s">
        <v>10724</v>
      </c>
      <c r="C10258" s="5" t="s">
        <v>21</v>
      </c>
      <c r="K10258" s="5">
        <v>700.0</v>
      </c>
      <c r="N10258" s="9">
        <v>44041.0</v>
      </c>
    </row>
    <row r="10259">
      <c r="A10259" s="5">
        <v>10258.0</v>
      </c>
      <c r="B10259" s="5" t="s">
        <v>10725</v>
      </c>
      <c r="C10259" s="5" t="s">
        <v>21</v>
      </c>
      <c r="K10259" s="5">
        <v>7500.0</v>
      </c>
      <c r="N10259" s="9">
        <v>44054.0</v>
      </c>
    </row>
    <row r="10260">
      <c r="A10260" s="5">
        <v>10259.0</v>
      </c>
      <c r="B10260" s="5" t="s">
        <v>10726</v>
      </c>
      <c r="C10260" s="5" t="s">
        <v>21</v>
      </c>
      <c r="K10260" s="5">
        <v>50.0</v>
      </c>
      <c r="N10260" s="9">
        <v>44580.0</v>
      </c>
    </row>
    <row r="10261">
      <c r="A10261" s="5">
        <v>10260.0</v>
      </c>
      <c r="B10261" s="5" t="s">
        <v>10727</v>
      </c>
      <c r="C10261" s="5" t="s">
        <v>21</v>
      </c>
      <c r="K10261" s="5">
        <v>200.0</v>
      </c>
      <c r="N10261" s="9">
        <v>44824.0</v>
      </c>
    </row>
    <row r="10262">
      <c r="A10262" s="5">
        <v>10261.0</v>
      </c>
      <c r="B10262" s="5" t="s">
        <v>345</v>
      </c>
      <c r="C10262" s="5" t="s">
        <v>21</v>
      </c>
      <c r="K10262" s="5">
        <v>150.0</v>
      </c>
      <c r="N10262" s="9">
        <v>44126.0</v>
      </c>
    </row>
    <row r="10263">
      <c r="A10263" s="5">
        <v>10262.0</v>
      </c>
      <c r="B10263" s="5" t="s">
        <v>10728</v>
      </c>
      <c r="C10263" s="5" t="s">
        <v>21</v>
      </c>
      <c r="K10263" s="5">
        <v>700.0</v>
      </c>
      <c r="N10263" s="9">
        <v>44558.0</v>
      </c>
    </row>
    <row r="10264">
      <c r="A10264" s="5">
        <v>10263.0</v>
      </c>
      <c r="B10264" s="5" t="s">
        <v>10729</v>
      </c>
      <c r="C10264" s="5" t="s">
        <v>21</v>
      </c>
      <c r="K10264" s="5">
        <v>4500.0</v>
      </c>
      <c r="N10264" s="9">
        <v>43845.0</v>
      </c>
    </row>
    <row r="10265">
      <c r="A10265" s="5">
        <v>10264.0</v>
      </c>
      <c r="B10265" s="5" t="s">
        <v>10730</v>
      </c>
      <c r="C10265" s="5" t="s">
        <v>21</v>
      </c>
      <c r="K10265" s="5">
        <v>200.0</v>
      </c>
      <c r="N10265" s="9">
        <v>44279.0</v>
      </c>
    </row>
    <row r="10266">
      <c r="A10266" s="5">
        <v>10265.0</v>
      </c>
      <c r="B10266" s="5" t="s">
        <v>10731</v>
      </c>
      <c r="C10266" s="5" t="s">
        <v>21</v>
      </c>
      <c r="K10266" s="5">
        <v>4000.0</v>
      </c>
      <c r="N10266" s="9">
        <v>44380.0</v>
      </c>
    </row>
    <row r="10267">
      <c r="A10267" s="5">
        <v>10266.0</v>
      </c>
      <c r="B10267" s="5" t="s">
        <v>10732</v>
      </c>
      <c r="C10267" s="5" t="s">
        <v>21</v>
      </c>
      <c r="K10267" s="5">
        <v>150.0</v>
      </c>
      <c r="N10267" s="9">
        <v>44295.0</v>
      </c>
    </row>
    <row r="10268">
      <c r="A10268" s="5">
        <v>10267.0</v>
      </c>
      <c r="B10268" s="5" t="s">
        <v>10733</v>
      </c>
      <c r="C10268" s="5" t="s">
        <v>21</v>
      </c>
      <c r="K10268" s="5">
        <v>200.0</v>
      </c>
      <c r="N10268" s="9">
        <v>45295.0</v>
      </c>
    </row>
    <row r="10269">
      <c r="A10269" s="5">
        <v>10268.0</v>
      </c>
      <c r="B10269" s="5" t="s">
        <v>10734</v>
      </c>
      <c r="C10269" s="5" t="s">
        <v>21</v>
      </c>
      <c r="K10269" s="5">
        <v>1500.0</v>
      </c>
      <c r="N10269" s="9">
        <v>44391.0</v>
      </c>
    </row>
    <row r="10270">
      <c r="A10270" s="5">
        <v>10269.0</v>
      </c>
      <c r="B10270" s="5" t="s">
        <v>10735</v>
      </c>
      <c r="C10270" s="5" t="s">
        <v>21</v>
      </c>
      <c r="K10270" s="5">
        <v>600.0</v>
      </c>
      <c r="N10270" s="9">
        <v>44650.0</v>
      </c>
    </row>
    <row r="10271">
      <c r="A10271" s="5">
        <v>10270.0</v>
      </c>
      <c r="B10271" s="5" t="s">
        <v>10736</v>
      </c>
      <c r="C10271" s="5" t="s">
        <v>21</v>
      </c>
      <c r="K10271" s="5">
        <v>450.0</v>
      </c>
      <c r="N10271" s="9">
        <v>45576.0</v>
      </c>
    </row>
    <row r="10272">
      <c r="A10272" s="5">
        <v>10271.0</v>
      </c>
      <c r="B10272" s="5" t="s">
        <v>10737</v>
      </c>
      <c r="C10272" s="5" t="s">
        <v>21</v>
      </c>
      <c r="K10272" s="5">
        <v>300.0</v>
      </c>
      <c r="N10272" s="9">
        <v>44549.0</v>
      </c>
    </row>
    <row r="10273">
      <c r="A10273" s="5">
        <v>10272.0</v>
      </c>
      <c r="B10273" s="5" t="s">
        <v>10738</v>
      </c>
      <c r="C10273" s="5" t="s">
        <v>21</v>
      </c>
      <c r="K10273" s="5">
        <v>400.0</v>
      </c>
      <c r="N10273" s="9">
        <v>44637.0</v>
      </c>
    </row>
    <row r="10274">
      <c r="A10274" s="5">
        <v>10273.0</v>
      </c>
      <c r="B10274" s="5" t="s">
        <v>10739</v>
      </c>
      <c r="C10274" s="5" t="s">
        <v>21</v>
      </c>
      <c r="K10274" s="5">
        <v>250.0</v>
      </c>
      <c r="N10274" s="9">
        <v>44618.0</v>
      </c>
    </row>
    <row r="10275">
      <c r="A10275" s="5">
        <v>10274.0</v>
      </c>
      <c r="B10275" s="5" t="s">
        <v>10740</v>
      </c>
      <c r="C10275" s="5" t="s">
        <v>21</v>
      </c>
      <c r="K10275" s="5">
        <v>700.0</v>
      </c>
      <c r="N10275" s="9">
        <v>43843.0</v>
      </c>
    </row>
    <row r="10276">
      <c r="A10276" s="5">
        <v>10275.0</v>
      </c>
      <c r="B10276" s="5" t="s">
        <v>10741</v>
      </c>
      <c r="C10276" s="5" t="s">
        <v>21</v>
      </c>
      <c r="K10276" s="5">
        <v>600.0</v>
      </c>
      <c r="N10276" s="9">
        <v>43854.0</v>
      </c>
    </row>
    <row r="10277">
      <c r="A10277" s="5">
        <v>10276.0</v>
      </c>
      <c r="B10277" s="5" t="s">
        <v>10742</v>
      </c>
      <c r="C10277" s="5" t="s">
        <v>21</v>
      </c>
      <c r="K10277" s="5">
        <v>100.0</v>
      </c>
      <c r="N10277" s="9">
        <v>44676.0</v>
      </c>
    </row>
    <row r="10278">
      <c r="A10278" s="5">
        <v>10277.0</v>
      </c>
      <c r="B10278" s="5" t="s">
        <v>10743</v>
      </c>
      <c r="C10278" s="5" t="s">
        <v>21</v>
      </c>
      <c r="K10278" s="5">
        <v>3800.0</v>
      </c>
      <c r="N10278" s="9">
        <v>44212.0</v>
      </c>
    </row>
    <row r="10279">
      <c r="A10279" s="5">
        <v>10278.0</v>
      </c>
      <c r="B10279" s="5" t="s">
        <v>10744</v>
      </c>
      <c r="C10279" s="5" t="s">
        <v>21</v>
      </c>
      <c r="K10279" s="5">
        <v>500.0</v>
      </c>
      <c r="N10279" s="9">
        <v>45193.0</v>
      </c>
    </row>
    <row r="10280">
      <c r="A10280" s="5">
        <v>10279.0</v>
      </c>
      <c r="B10280" s="5" t="s">
        <v>10745</v>
      </c>
      <c r="C10280" s="5" t="s">
        <v>21</v>
      </c>
      <c r="K10280" s="5">
        <v>250.0</v>
      </c>
      <c r="N10280" s="9">
        <v>45022.0</v>
      </c>
    </row>
    <row r="10281">
      <c r="A10281" s="5">
        <v>10280.0</v>
      </c>
      <c r="B10281" s="5" t="s">
        <v>10746</v>
      </c>
      <c r="C10281" s="5" t="s">
        <v>21</v>
      </c>
      <c r="K10281" s="5">
        <v>15000.0</v>
      </c>
      <c r="N10281" s="9">
        <v>44158.0</v>
      </c>
    </row>
    <row r="10282">
      <c r="A10282" s="5">
        <v>10281.0</v>
      </c>
      <c r="B10282" s="5" t="s">
        <v>10747</v>
      </c>
      <c r="C10282" s="5" t="s">
        <v>21</v>
      </c>
      <c r="K10282" s="5">
        <v>58000.0</v>
      </c>
      <c r="N10282" s="9">
        <v>44032.0</v>
      </c>
    </row>
    <row r="10283">
      <c r="A10283" s="5">
        <v>10282.0</v>
      </c>
      <c r="B10283" s="5" t="s">
        <v>10748</v>
      </c>
      <c r="C10283" s="5" t="s">
        <v>21</v>
      </c>
      <c r="K10283" s="5">
        <v>2200.0</v>
      </c>
      <c r="N10283" s="9">
        <v>44673.0</v>
      </c>
    </row>
    <row r="10284">
      <c r="A10284" s="5">
        <v>10283.0</v>
      </c>
      <c r="B10284" s="5" t="s">
        <v>10749</v>
      </c>
      <c r="C10284" s="5" t="s">
        <v>21</v>
      </c>
      <c r="K10284" s="5">
        <v>2600.0</v>
      </c>
      <c r="N10284" s="9">
        <v>44140.0</v>
      </c>
    </row>
    <row r="10285">
      <c r="A10285" s="5">
        <v>10284.0</v>
      </c>
      <c r="B10285" s="5" t="s">
        <v>10750</v>
      </c>
      <c r="C10285" s="5" t="s">
        <v>21</v>
      </c>
      <c r="K10285" s="5">
        <v>1700.0</v>
      </c>
      <c r="N10285" s="9">
        <v>44255.0</v>
      </c>
    </row>
    <row r="10286">
      <c r="A10286" s="5">
        <v>10285.0</v>
      </c>
      <c r="B10286" s="5" t="s">
        <v>10751</v>
      </c>
      <c r="C10286" s="5" t="s">
        <v>21</v>
      </c>
      <c r="K10286" s="5">
        <v>100.0</v>
      </c>
      <c r="N10286" s="9">
        <v>44671.0</v>
      </c>
    </row>
    <row r="10287">
      <c r="A10287" s="5">
        <v>10286.0</v>
      </c>
      <c r="B10287" s="5" t="s">
        <v>10752</v>
      </c>
      <c r="C10287" s="5" t="s">
        <v>21</v>
      </c>
      <c r="K10287" s="5">
        <v>600.0</v>
      </c>
      <c r="N10287" s="9">
        <v>45334.0</v>
      </c>
    </row>
    <row r="10288">
      <c r="A10288" s="5">
        <v>10287.0</v>
      </c>
      <c r="B10288" s="5" t="s">
        <v>10753</v>
      </c>
      <c r="C10288" s="5" t="s">
        <v>21</v>
      </c>
      <c r="K10288" s="5">
        <v>3000.0</v>
      </c>
      <c r="N10288" s="9">
        <v>44019.0</v>
      </c>
    </row>
    <row r="10289">
      <c r="A10289" s="5">
        <v>10288.0</v>
      </c>
      <c r="B10289" s="5" t="s">
        <v>10754</v>
      </c>
      <c r="C10289" s="5" t="s">
        <v>21</v>
      </c>
      <c r="K10289" s="5">
        <v>70.0</v>
      </c>
      <c r="N10289" s="9">
        <v>43882.0</v>
      </c>
    </row>
    <row r="10290">
      <c r="A10290" s="5">
        <v>10289.0</v>
      </c>
      <c r="B10290" s="5" t="s">
        <v>10755</v>
      </c>
      <c r="C10290" s="5" t="s">
        <v>21</v>
      </c>
      <c r="K10290" s="5">
        <v>300.0</v>
      </c>
      <c r="N10290" s="9">
        <v>44555.0</v>
      </c>
    </row>
    <row r="10291">
      <c r="A10291" s="5">
        <v>10290.0</v>
      </c>
      <c r="B10291" s="5" t="s">
        <v>10756</v>
      </c>
      <c r="C10291" s="5" t="s">
        <v>21</v>
      </c>
      <c r="K10291" s="5">
        <v>500.0</v>
      </c>
      <c r="N10291" s="9">
        <v>45096.0</v>
      </c>
    </row>
    <row r="10292">
      <c r="A10292" s="5">
        <v>10291.0</v>
      </c>
      <c r="B10292" s="5" t="s">
        <v>10757</v>
      </c>
      <c r="C10292" s="5" t="s">
        <v>21</v>
      </c>
      <c r="K10292" s="5">
        <v>1400.0</v>
      </c>
      <c r="N10292" s="9">
        <v>43936.0</v>
      </c>
    </row>
    <row r="10293">
      <c r="A10293" s="5">
        <v>10292.0</v>
      </c>
      <c r="B10293" s="5" t="s">
        <v>10758</v>
      </c>
      <c r="C10293" s="5" t="s">
        <v>21</v>
      </c>
      <c r="K10293" s="5">
        <v>350.0</v>
      </c>
      <c r="N10293" s="9">
        <v>44649.0</v>
      </c>
    </row>
    <row r="10294">
      <c r="A10294" s="5">
        <v>10293.0</v>
      </c>
      <c r="B10294" s="5" t="s">
        <v>10759</v>
      </c>
      <c r="C10294" s="5" t="s">
        <v>21</v>
      </c>
      <c r="K10294" s="5">
        <v>40.0</v>
      </c>
      <c r="N10294" s="9">
        <v>44461.0</v>
      </c>
    </row>
    <row r="10295">
      <c r="A10295" s="5">
        <v>10294.0</v>
      </c>
      <c r="B10295" s="5" t="s">
        <v>10760</v>
      </c>
      <c r="C10295" s="5" t="s">
        <v>21</v>
      </c>
      <c r="K10295" s="5">
        <v>900.0</v>
      </c>
      <c r="N10295" s="9">
        <v>44603.0</v>
      </c>
    </row>
    <row r="10296">
      <c r="A10296" s="5">
        <v>10295.0</v>
      </c>
      <c r="B10296" s="5" t="s">
        <v>348</v>
      </c>
      <c r="C10296" s="5" t="s">
        <v>21</v>
      </c>
      <c r="K10296" s="5">
        <v>350.0</v>
      </c>
      <c r="N10296" s="9">
        <v>44865.0</v>
      </c>
    </row>
    <row r="10297">
      <c r="A10297" s="5">
        <v>10296.0</v>
      </c>
      <c r="B10297" s="5" t="s">
        <v>10761</v>
      </c>
      <c r="C10297" s="5" t="s">
        <v>21</v>
      </c>
      <c r="K10297" s="5">
        <v>350.0</v>
      </c>
      <c r="N10297" s="9">
        <v>44544.0</v>
      </c>
    </row>
    <row r="10298">
      <c r="A10298" s="5">
        <v>10297.0</v>
      </c>
      <c r="B10298" s="5" t="s">
        <v>10762</v>
      </c>
      <c r="C10298" s="5" t="s">
        <v>21</v>
      </c>
      <c r="K10298" s="5">
        <v>400.0</v>
      </c>
      <c r="N10298" s="9">
        <v>44534.0</v>
      </c>
    </row>
    <row r="10299">
      <c r="A10299" s="5">
        <v>10298.0</v>
      </c>
      <c r="B10299" s="5" t="s">
        <v>10763</v>
      </c>
      <c r="C10299" s="5" t="s">
        <v>21</v>
      </c>
      <c r="K10299" s="5">
        <v>800.0</v>
      </c>
      <c r="N10299" s="9">
        <v>44659.0</v>
      </c>
    </row>
    <row r="10300">
      <c r="A10300" s="5">
        <v>10299.0</v>
      </c>
      <c r="B10300" s="5" t="s">
        <v>10764</v>
      </c>
      <c r="C10300" s="5" t="s">
        <v>21</v>
      </c>
      <c r="K10300" s="5">
        <v>600.0</v>
      </c>
      <c r="N10300" s="9">
        <v>43863.0</v>
      </c>
    </row>
    <row r="10301">
      <c r="A10301" s="5">
        <v>10300.0</v>
      </c>
      <c r="B10301" s="5" t="s">
        <v>10765</v>
      </c>
      <c r="C10301" s="5" t="s">
        <v>21</v>
      </c>
      <c r="K10301" s="5">
        <v>600.0</v>
      </c>
      <c r="N10301" s="9">
        <v>44022.0</v>
      </c>
    </row>
    <row r="10302">
      <c r="A10302" s="5">
        <v>10301.0</v>
      </c>
      <c r="B10302" s="5" t="s">
        <v>10766</v>
      </c>
      <c r="C10302" s="5" t="s">
        <v>21</v>
      </c>
      <c r="K10302" s="5">
        <v>80.0</v>
      </c>
      <c r="N10302" s="9">
        <v>45232.0</v>
      </c>
    </row>
    <row r="10303">
      <c r="A10303" s="5">
        <v>10302.0</v>
      </c>
      <c r="B10303" s="5" t="s">
        <v>10767</v>
      </c>
      <c r="C10303" s="5" t="s">
        <v>21</v>
      </c>
      <c r="K10303" s="5">
        <v>200.0</v>
      </c>
      <c r="N10303" s="9">
        <v>44931.0</v>
      </c>
    </row>
    <row r="10304">
      <c r="A10304" s="5">
        <v>10303.0</v>
      </c>
      <c r="B10304" s="5" t="s">
        <v>10768</v>
      </c>
      <c r="C10304" s="5" t="s">
        <v>21</v>
      </c>
      <c r="K10304" s="5">
        <v>600.0</v>
      </c>
      <c r="N10304" s="9">
        <v>44641.0</v>
      </c>
    </row>
    <row r="10305">
      <c r="A10305" s="5">
        <v>10304.0</v>
      </c>
      <c r="B10305" s="5" t="s">
        <v>10769</v>
      </c>
      <c r="C10305" s="5" t="s">
        <v>21</v>
      </c>
      <c r="K10305" s="5">
        <v>200.0</v>
      </c>
      <c r="N10305" s="9">
        <v>44954.0</v>
      </c>
    </row>
    <row r="10306">
      <c r="A10306" s="5">
        <v>10305.0</v>
      </c>
      <c r="B10306" s="5" t="s">
        <v>10770</v>
      </c>
      <c r="C10306" s="5" t="s">
        <v>21</v>
      </c>
      <c r="K10306" s="5">
        <v>200.0</v>
      </c>
      <c r="N10306" s="9">
        <v>44583.0</v>
      </c>
    </row>
    <row r="10307">
      <c r="A10307" s="5">
        <v>10306.0</v>
      </c>
      <c r="B10307" s="5" t="s">
        <v>10771</v>
      </c>
      <c r="C10307" s="5" t="s">
        <v>21</v>
      </c>
      <c r="K10307" s="5">
        <v>250.0</v>
      </c>
      <c r="N10307" s="9">
        <v>44548.0</v>
      </c>
    </row>
    <row r="10308">
      <c r="A10308" s="5">
        <v>10307.0</v>
      </c>
      <c r="B10308" s="5" t="s">
        <v>10772</v>
      </c>
      <c r="C10308" s="5" t="s">
        <v>21</v>
      </c>
      <c r="K10308" s="5">
        <v>300.0</v>
      </c>
      <c r="N10308" s="9">
        <v>43997.0</v>
      </c>
    </row>
    <row r="10309">
      <c r="A10309" s="5">
        <v>10308.0</v>
      </c>
      <c r="B10309" s="5" t="s">
        <v>10773</v>
      </c>
      <c r="C10309" s="5" t="s">
        <v>21</v>
      </c>
      <c r="K10309" s="5">
        <v>500.0</v>
      </c>
      <c r="N10309" s="9">
        <v>44240.0</v>
      </c>
    </row>
    <row r="10310">
      <c r="A10310" s="5">
        <v>10309.0</v>
      </c>
      <c r="B10310" s="5" t="s">
        <v>10774</v>
      </c>
      <c r="C10310" s="5" t="s">
        <v>21</v>
      </c>
      <c r="K10310" s="5">
        <v>350.0</v>
      </c>
      <c r="N10310" s="9">
        <v>44298.0</v>
      </c>
    </row>
    <row r="10311">
      <c r="A10311" s="5">
        <v>10310.0</v>
      </c>
      <c r="B10311" s="5" t="s">
        <v>10775</v>
      </c>
      <c r="C10311" s="5" t="s">
        <v>21</v>
      </c>
      <c r="K10311" s="5">
        <v>450.0</v>
      </c>
      <c r="N10311" s="9">
        <v>44023.0</v>
      </c>
    </row>
    <row r="10312">
      <c r="A10312" s="5">
        <v>10311.0</v>
      </c>
      <c r="B10312" s="5" t="s">
        <v>10776</v>
      </c>
      <c r="C10312" s="5" t="s">
        <v>21</v>
      </c>
      <c r="K10312" s="5">
        <v>250.0</v>
      </c>
      <c r="N10312" s="9">
        <v>44920.0</v>
      </c>
    </row>
    <row r="10313">
      <c r="A10313" s="5">
        <v>10312.0</v>
      </c>
      <c r="B10313" s="5" t="s">
        <v>10777</v>
      </c>
      <c r="C10313" s="5" t="s">
        <v>21</v>
      </c>
      <c r="K10313" s="5">
        <v>20.0</v>
      </c>
      <c r="N10313" s="9">
        <v>44051.0</v>
      </c>
    </row>
    <row r="10314">
      <c r="A10314" s="5">
        <v>10313.0</v>
      </c>
      <c r="B10314" s="5" t="s">
        <v>10778</v>
      </c>
      <c r="C10314" s="5" t="s">
        <v>21</v>
      </c>
      <c r="K10314" s="5">
        <v>1200.0</v>
      </c>
      <c r="N10314" s="9">
        <v>44521.0</v>
      </c>
    </row>
    <row r="10315">
      <c r="A10315" s="5">
        <v>10314.0</v>
      </c>
      <c r="B10315" s="5" t="s">
        <v>10779</v>
      </c>
      <c r="C10315" s="5" t="s">
        <v>21</v>
      </c>
      <c r="K10315" s="5">
        <v>200.0</v>
      </c>
      <c r="N10315" s="9">
        <v>44468.0</v>
      </c>
    </row>
    <row r="10316">
      <c r="A10316" s="5">
        <v>10315.0</v>
      </c>
      <c r="B10316" s="5" t="s">
        <v>10780</v>
      </c>
      <c r="C10316" s="5" t="s">
        <v>21</v>
      </c>
      <c r="K10316" s="5">
        <v>200.0</v>
      </c>
      <c r="N10316" s="9">
        <v>45562.0</v>
      </c>
    </row>
    <row r="10317">
      <c r="A10317" s="5">
        <v>10316.0</v>
      </c>
      <c r="B10317" s="5" t="s">
        <v>10781</v>
      </c>
      <c r="C10317" s="5" t="s">
        <v>21</v>
      </c>
      <c r="K10317" s="5">
        <v>250.0</v>
      </c>
      <c r="N10317" s="9">
        <v>44307.0</v>
      </c>
    </row>
    <row r="10318">
      <c r="A10318" s="5">
        <v>10317.0</v>
      </c>
      <c r="B10318" s="5" t="s">
        <v>10782</v>
      </c>
      <c r="C10318" s="5" t="s">
        <v>21</v>
      </c>
      <c r="K10318" s="5">
        <v>60.0</v>
      </c>
      <c r="N10318" s="9">
        <v>44585.0</v>
      </c>
    </row>
    <row r="10319">
      <c r="A10319" s="5">
        <v>10318.0</v>
      </c>
      <c r="B10319" s="5" t="s">
        <v>10783</v>
      </c>
      <c r="C10319" s="5" t="s">
        <v>21</v>
      </c>
      <c r="K10319" s="5">
        <v>400.0</v>
      </c>
      <c r="N10319" s="9">
        <v>45059.0</v>
      </c>
    </row>
    <row r="10320">
      <c r="A10320" s="5">
        <v>10319.0</v>
      </c>
      <c r="B10320" s="5" t="s">
        <v>10784</v>
      </c>
      <c r="C10320" s="5" t="s">
        <v>21</v>
      </c>
      <c r="K10320" s="5">
        <v>1900.0</v>
      </c>
      <c r="N10320" s="9">
        <v>44580.0</v>
      </c>
    </row>
    <row r="10321">
      <c r="A10321" s="5">
        <v>10320.0</v>
      </c>
      <c r="B10321" s="5" t="s">
        <v>10785</v>
      </c>
      <c r="C10321" s="5" t="s">
        <v>21</v>
      </c>
      <c r="K10321" s="5">
        <v>150.0</v>
      </c>
      <c r="N10321" s="9">
        <v>45160.0</v>
      </c>
    </row>
    <row r="10322">
      <c r="A10322" s="5">
        <v>10321.0</v>
      </c>
      <c r="B10322" s="5" t="s">
        <v>10786</v>
      </c>
      <c r="C10322" s="5" t="s">
        <v>21</v>
      </c>
      <c r="K10322" s="5">
        <v>700.0</v>
      </c>
      <c r="N10322" s="9">
        <v>44543.0</v>
      </c>
    </row>
    <row r="10323">
      <c r="A10323" s="5">
        <v>10322.0</v>
      </c>
      <c r="B10323" s="5" t="s">
        <v>10787</v>
      </c>
      <c r="C10323" s="5" t="s">
        <v>21</v>
      </c>
      <c r="K10323" s="5">
        <v>600.0</v>
      </c>
      <c r="N10323" s="9">
        <v>44557.0</v>
      </c>
    </row>
    <row r="10324">
      <c r="A10324" s="5">
        <v>10323.0</v>
      </c>
      <c r="B10324" s="5" t="s">
        <v>10788</v>
      </c>
      <c r="C10324" s="5" t="s">
        <v>21</v>
      </c>
      <c r="K10324" s="5">
        <v>7200.0</v>
      </c>
      <c r="N10324" s="9">
        <v>45215.0</v>
      </c>
    </row>
    <row r="10325">
      <c r="A10325" s="5">
        <v>10324.0</v>
      </c>
      <c r="B10325" s="5" t="s">
        <v>351</v>
      </c>
      <c r="C10325" s="5" t="s">
        <v>21</v>
      </c>
      <c r="N10325" s="9">
        <v>44116.0</v>
      </c>
    </row>
    <row r="10326">
      <c r="A10326" s="5">
        <v>10325.0</v>
      </c>
      <c r="B10326" s="5" t="s">
        <v>10789</v>
      </c>
      <c r="C10326" s="5" t="s">
        <v>21</v>
      </c>
      <c r="K10326" s="5">
        <v>1500.0</v>
      </c>
      <c r="N10326" s="9">
        <v>45122.0</v>
      </c>
    </row>
    <row r="10327">
      <c r="A10327" s="5">
        <v>10326.0</v>
      </c>
      <c r="B10327" s="5" t="s">
        <v>10790</v>
      </c>
      <c r="C10327" s="5" t="s">
        <v>21</v>
      </c>
      <c r="K10327" s="5">
        <v>50.0</v>
      </c>
      <c r="N10327" s="9">
        <v>44796.0</v>
      </c>
    </row>
    <row r="10328">
      <c r="A10328" s="5">
        <v>10327.0</v>
      </c>
      <c r="B10328" s="5" t="s">
        <v>10791</v>
      </c>
      <c r="C10328" s="5" t="s">
        <v>21</v>
      </c>
      <c r="K10328" s="5">
        <v>1200.0</v>
      </c>
      <c r="N10328" s="9">
        <v>45574.0</v>
      </c>
    </row>
    <row r="10329">
      <c r="A10329" s="5">
        <v>10328.0</v>
      </c>
      <c r="B10329" s="5" t="s">
        <v>10792</v>
      </c>
      <c r="C10329" s="5" t="s">
        <v>21</v>
      </c>
      <c r="K10329" s="5">
        <v>150.0</v>
      </c>
      <c r="N10329" s="9">
        <v>44275.0</v>
      </c>
    </row>
    <row r="10330">
      <c r="A10330" s="5">
        <v>10329.0</v>
      </c>
      <c r="B10330" s="5" t="s">
        <v>10793</v>
      </c>
      <c r="C10330" s="5" t="s">
        <v>21</v>
      </c>
      <c r="K10330" s="5">
        <v>1400.0</v>
      </c>
      <c r="N10330" s="9">
        <v>44584.0</v>
      </c>
    </row>
    <row r="10331">
      <c r="A10331" s="5">
        <v>10330.0</v>
      </c>
      <c r="B10331" s="5" t="s">
        <v>10794</v>
      </c>
      <c r="C10331" s="5" t="s">
        <v>21</v>
      </c>
      <c r="K10331" s="5">
        <v>3500.0</v>
      </c>
      <c r="N10331" s="9">
        <v>43869.0</v>
      </c>
    </row>
    <row r="10332">
      <c r="A10332" s="5">
        <v>10331.0</v>
      </c>
      <c r="B10332" s="5" t="s">
        <v>10795</v>
      </c>
      <c r="C10332" s="5" t="s">
        <v>21</v>
      </c>
      <c r="K10332" s="5">
        <v>50.0</v>
      </c>
      <c r="N10332" s="9">
        <v>44254.0</v>
      </c>
    </row>
    <row r="10333">
      <c r="A10333" s="5">
        <v>10332.0</v>
      </c>
      <c r="B10333" s="5" t="s">
        <v>10796</v>
      </c>
      <c r="C10333" s="5" t="s">
        <v>21</v>
      </c>
      <c r="K10333" s="5">
        <v>150.0</v>
      </c>
      <c r="N10333" s="9">
        <v>45599.0</v>
      </c>
    </row>
    <row r="10334">
      <c r="A10334" s="5">
        <v>10333.0</v>
      </c>
      <c r="B10334" s="5" t="s">
        <v>10797</v>
      </c>
      <c r="C10334" s="5" t="s">
        <v>21</v>
      </c>
      <c r="N10334" s="9">
        <v>44519.0</v>
      </c>
    </row>
    <row r="10335">
      <c r="A10335" s="5">
        <v>10334.0</v>
      </c>
      <c r="B10335" s="5" t="s">
        <v>10798</v>
      </c>
      <c r="C10335" s="5" t="s">
        <v>21</v>
      </c>
      <c r="K10335" s="5">
        <v>1900.0</v>
      </c>
      <c r="N10335" s="9">
        <v>43940.0</v>
      </c>
    </row>
    <row r="10336">
      <c r="A10336" s="5">
        <v>10335.0</v>
      </c>
      <c r="B10336" s="5" t="s">
        <v>10799</v>
      </c>
      <c r="C10336" s="5" t="s">
        <v>21</v>
      </c>
      <c r="K10336" s="5">
        <v>100.0</v>
      </c>
      <c r="N10336" s="9">
        <v>44225.0</v>
      </c>
    </row>
    <row r="10337">
      <c r="A10337" s="5">
        <v>10336.0</v>
      </c>
      <c r="B10337" s="5" t="s">
        <v>10800</v>
      </c>
      <c r="C10337" s="5" t="s">
        <v>21</v>
      </c>
      <c r="K10337" s="5">
        <v>450.0</v>
      </c>
      <c r="N10337" s="9">
        <v>44758.0</v>
      </c>
    </row>
    <row r="10338">
      <c r="A10338" s="5">
        <v>10337.0</v>
      </c>
      <c r="B10338" s="5" t="s">
        <v>10801</v>
      </c>
      <c r="C10338" s="5" t="s">
        <v>21</v>
      </c>
      <c r="K10338" s="5">
        <v>90.0</v>
      </c>
      <c r="N10338" s="9">
        <v>44622.0</v>
      </c>
    </row>
    <row r="10339">
      <c r="A10339" s="5">
        <v>10338.0</v>
      </c>
      <c r="B10339" s="5" t="s">
        <v>10802</v>
      </c>
      <c r="C10339" s="5" t="s">
        <v>21</v>
      </c>
      <c r="K10339" s="5">
        <v>700.0</v>
      </c>
      <c r="N10339" s="9">
        <v>44981.0</v>
      </c>
    </row>
    <row r="10340">
      <c r="A10340" s="5">
        <v>10339.0</v>
      </c>
      <c r="B10340" s="5" t="s">
        <v>10803</v>
      </c>
      <c r="C10340" s="5" t="s">
        <v>21</v>
      </c>
      <c r="K10340" s="5">
        <v>100.0</v>
      </c>
      <c r="N10340" s="9">
        <v>44854.0</v>
      </c>
    </row>
    <row r="10341">
      <c r="A10341" s="5">
        <v>10340.0</v>
      </c>
      <c r="B10341" s="5" t="s">
        <v>10804</v>
      </c>
      <c r="C10341" s="5" t="s">
        <v>21</v>
      </c>
      <c r="K10341" s="5">
        <v>40.0</v>
      </c>
      <c r="N10341" s="9">
        <v>44689.0</v>
      </c>
    </row>
    <row r="10342">
      <c r="A10342" s="5">
        <v>10341.0</v>
      </c>
      <c r="B10342" s="5" t="s">
        <v>10805</v>
      </c>
      <c r="C10342" s="5" t="s">
        <v>21</v>
      </c>
      <c r="K10342" s="5">
        <v>6600.0</v>
      </c>
      <c r="N10342" s="9">
        <v>43872.0</v>
      </c>
    </row>
    <row r="10343">
      <c r="A10343" s="5">
        <v>10342.0</v>
      </c>
      <c r="B10343" s="5" t="s">
        <v>10806</v>
      </c>
      <c r="C10343" s="5" t="s">
        <v>21</v>
      </c>
      <c r="K10343" s="5">
        <v>900.0</v>
      </c>
      <c r="N10343" s="9">
        <v>44563.0</v>
      </c>
    </row>
    <row r="10344">
      <c r="A10344" s="5">
        <v>10343.0</v>
      </c>
      <c r="B10344" s="5" t="s">
        <v>10807</v>
      </c>
      <c r="C10344" s="5" t="s">
        <v>21</v>
      </c>
      <c r="K10344" s="5">
        <v>500.0</v>
      </c>
      <c r="N10344" s="9">
        <v>44681.0</v>
      </c>
    </row>
    <row r="10345">
      <c r="A10345" s="5">
        <v>10344.0</v>
      </c>
      <c r="B10345" s="5" t="s">
        <v>10808</v>
      </c>
      <c r="C10345" s="5" t="s">
        <v>21</v>
      </c>
      <c r="K10345" s="5">
        <v>300.0</v>
      </c>
      <c r="N10345" s="9">
        <v>44952.0</v>
      </c>
    </row>
    <row r="10346">
      <c r="A10346" s="5">
        <v>10345.0</v>
      </c>
      <c r="B10346" s="5" t="s">
        <v>10809</v>
      </c>
      <c r="C10346" s="5" t="s">
        <v>21</v>
      </c>
      <c r="K10346" s="5">
        <v>200.0</v>
      </c>
      <c r="N10346" s="9">
        <v>44752.0</v>
      </c>
    </row>
    <row r="10347">
      <c r="A10347" s="5">
        <v>10346.0</v>
      </c>
      <c r="B10347" s="5" t="s">
        <v>10810</v>
      </c>
      <c r="C10347" s="5" t="s">
        <v>21</v>
      </c>
      <c r="K10347" s="5">
        <v>200.0</v>
      </c>
      <c r="N10347" s="9">
        <v>45528.0</v>
      </c>
    </row>
    <row r="10348">
      <c r="A10348" s="5">
        <v>10347.0</v>
      </c>
      <c r="B10348" s="5" t="s">
        <v>10811</v>
      </c>
      <c r="C10348" s="5" t="s">
        <v>21</v>
      </c>
      <c r="K10348" s="5">
        <v>1100.0</v>
      </c>
      <c r="N10348" s="9">
        <v>44551.0</v>
      </c>
    </row>
    <row r="10349">
      <c r="A10349" s="5">
        <v>10348.0</v>
      </c>
      <c r="B10349" s="5" t="s">
        <v>10812</v>
      </c>
      <c r="C10349" s="5" t="s">
        <v>21</v>
      </c>
      <c r="K10349" s="5">
        <v>150.0</v>
      </c>
      <c r="N10349" s="9">
        <v>43999.0</v>
      </c>
    </row>
    <row r="10350">
      <c r="A10350" s="5">
        <v>10349.0</v>
      </c>
      <c r="B10350" s="5" t="s">
        <v>10813</v>
      </c>
      <c r="C10350" s="5" t="s">
        <v>21</v>
      </c>
      <c r="N10350" s="9">
        <v>44523.0</v>
      </c>
    </row>
    <row r="10351">
      <c r="A10351" s="5">
        <v>10350.0</v>
      </c>
      <c r="B10351" s="5" t="s">
        <v>10814</v>
      </c>
      <c r="C10351" s="5" t="s">
        <v>21</v>
      </c>
      <c r="K10351" s="5">
        <v>100.0</v>
      </c>
      <c r="N10351" s="9">
        <v>44396.0</v>
      </c>
    </row>
    <row r="10352">
      <c r="A10352" s="5">
        <v>10351.0</v>
      </c>
      <c r="B10352" s="5" t="s">
        <v>10815</v>
      </c>
      <c r="C10352" s="5" t="s">
        <v>21</v>
      </c>
      <c r="N10352" s="9">
        <v>44120.0</v>
      </c>
    </row>
    <row r="10353">
      <c r="A10353" s="5">
        <v>10352.0</v>
      </c>
      <c r="B10353" s="5" t="s">
        <v>10816</v>
      </c>
      <c r="C10353" s="5" t="s">
        <v>21</v>
      </c>
      <c r="K10353" s="5">
        <v>350.0</v>
      </c>
      <c r="N10353" s="9">
        <v>45730.0</v>
      </c>
    </row>
    <row r="10354">
      <c r="A10354" s="5">
        <v>10353.0</v>
      </c>
      <c r="B10354" s="5" t="s">
        <v>10817</v>
      </c>
      <c r="C10354" s="5" t="s">
        <v>21</v>
      </c>
      <c r="K10354" s="5">
        <v>300.0</v>
      </c>
      <c r="N10354" s="9">
        <v>44611.0</v>
      </c>
    </row>
    <row r="10355">
      <c r="A10355" s="5">
        <v>10354.0</v>
      </c>
      <c r="B10355" s="5" t="s">
        <v>10818</v>
      </c>
      <c r="C10355" s="5" t="s">
        <v>21</v>
      </c>
      <c r="K10355" s="5">
        <v>100.0</v>
      </c>
      <c r="N10355" s="9">
        <v>44549.0</v>
      </c>
    </row>
    <row r="10356">
      <c r="A10356" s="5">
        <v>10355.0</v>
      </c>
      <c r="B10356" s="5" t="s">
        <v>10819</v>
      </c>
      <c r="C10356" s="5" t="s">
        <v>21</v>
      </c>
      <c r="K10356" s="5">
        <v>20.0</v>
      </c>
      <c r="N10356" s="9">
        <v>44963.0</v>
      </c>
    </row>
    <row r="10357">
      <c r="A10357" s="5">
        <v>10356.0</v>
      </c>
      <c r="B10357" s="5" t="s">
        <v>10820</v>
      </c>
      <c r="C10357" s="5" t="s">
        <v>21</v>
      </c>
      <c r="K10357" s="5">
        <v>3100.0</v>
      </c>
      <c r="N10357" s="9">
        <v>45285.0</v>
      </c>
    </row>
    <row r="10358">
      <c r="A10358" s="5">
        <v>10357.0</v>
      </c>
      <c r="B10358" s="5" t="s">
        <v>10821</v>
      </c>
      <c r="C10358" s="5" t="s">
        <v>21</v>
      </c>
      <c r="K10358" s="5">
        <v>4000.0</v>
      </c>
      <c r="N10358" s="9">
        <v>44008.0</v>
      </c>
    </row>
    <row r="10359">
      <c r="A10359" s="5">
        <v>10358.0</v>
      </c>
      <c r="B10359" s="5" t="s">
        <v>10822</v>
      </c>
      <c r="C10359" s="5" t="s">
        <v>21</v>
      </c>
      <c r="K10359" s="5">
        <v>600.0</v>
      </c>
      <c r="N10359" s="9">
        <v>44658.0</v>
      </c>
    </row>
    <row r="10360">
      <c r="A10360" s="5">
        <v>10359.0</v>
      </c>
      <c r="B10360" s="5" t="s">
        <v>10823</v>
      </c>
      <c r="C10360" s="5" t="s">
        <v>21</v>
      </c>
      <c r="K10360" s="5">
        <v>8200.0</v>
      </c>
      <c r="N10360" s="9">
        <v>43876.0</v>
      </c>
    </row>
    <row r="10361">
      <c r="A10361" s="5">
        <v>10360.0</v>
      </c>
      <c r="B10361" s="5" t="s">
        <v>10824</v>
      </c>
      <c r="C10361" s="5" t="s">
        <v>21</v>
      </c>
      <c r="K10361" s="5">
        <v>900.0</v>
      </c>
      <c r="N10361" s="9">
        <v>44558.0</v>
      </c>
    </row>
    <row r="10362">
      <c r="A10362" s="5">
        <v>10361.0</v>
      </c>
      <c r="B10362" s="5" t="s">
        <v>10825</v>
      </c>
      <c r="C10362" s="5" t="s">
        <v>21</v>
      </c>
      <c r="K10362" s="5">
        <v>700.0</v>
      </c>
      <c r="N10362" s="9">
        <v>44527.0</v>
      </c>
    </row>
    <row r="10363">
      <c r="A10363" s="5">
        <v>10362.0</v>
      </c>
      <c r="B10363" s="5" t="s">
        <v>10826</v>
      </c>
      <c r="C10363" s="5" t="s">
        <v>21</v>
      </c>
      <c r="K10363" s="5">
        <v>100.0</v>
      </c>
      <c r="N10363" s="9">
        <v>44692.0</v>
      </c>
    </row>
    <row r="10364">
      <c r="A10364" s="5">
        <v>10363.0</v>
      </c>
      <c r="B10364" s="5" t="s">
        <v>10827</v>
      </c>
      <c r="C10364" s="5" t="s">
        <v>21</v>
      </c>
      <c r="K10364" s="5">
        <v>400.0</v>
      </c>
      <c r="N10364" s="9">
        <v>44572.0</v>
      </c>
    </row>
    <row r="10365">
      <c r="A10365" s="5">
        <v>10364.0</v>
      </c>
      <c r="B10365" s="5" t="s">
        <v>10828</v>
      </c>
      <c r="C10365" s="5" t="s">
        <v>21</v>
      </c>
      <c r="K10365" s="5">
        <v>350.0</v>
      </c>
      <c r="N10365" s="9">
        <v>44458.0</v>
      </c>
    </row>
    <row r="10366">
      <c r="A10366" s="5">
        <v>10365.0</v>
      </c>
      <c r="B10366" s="5" t="s">
        <v>10829</v>
      </c>
      <c r="C10366" s="5" t="s">
        <v>21</v>
      </c>
      <c r="K10366" s="5">
        <v>90.0</v>
      </c>
      <c r="N10366" s="9">
        <v>44766.0</v>
      </c>
    </row>
    <row r="10367">
      <c r="A10367" s="5">
        <v>10366.0</v>
      </c>
      <c r="B10367" s="5" t="s">
        <v>10830</v>
      </c>
      <c r="C10367" s="5" t="s">
        <v>21</v>
      </c>
      <c r="K10367" s="5">
        <v>400.0</v>
      </c>
      <c r="N10367" s="9">
        <v>45566.0</v>
      </c>
    </row>
    <row r="10368">
      <c r="A10368" s="5">
        <v>10367.0</v>
      </c>
      <c r="B10368" s="5" t="s">
        <v>10831</v>
      </c>
      <c r="C10368" s="5" t="s">
        <v>21</v>
      </c>
      <c r="K10368" s="5">
        <v>700.0</v>
      </c>
      <c r="N10368" s="9">
        <v>44545.0</v>
      </c>
    </row>
    <row r="10369">
      <c r="A10369" s="5">
        <v>10368.0</v>
      </c>
      <c r="B10369" s="5" t="s">
        <v>10832</v>
      </c>
      <c r="C10369" s="5" t="s">
        <v>21</v>
      </c>
      <c r="K10369" s="5">
        <v>350.0</v>
      </c>
      <c r="N10369" s="9">
        <v>45097.0</v>
      </c>
    </row>
    <row r="10370">
      <c r="A10370" s="5">
        <v>10369.0</v>
      </c>
      <c r="B10370" s="5" t="s">
        <v>10833</v>
      </c>
      <c r="C10370" s="5" t="s">
        <v>21</v>
      </c>
      <c r="K10370" s="5">
        <v>100.0</v>
      </c>
      <c r="N10370" s="9">
        <v>44641.0</v>
      </c>
    </row>
    <row r="10371">
      <c r="A10371" s="5">
        <v>10370.0</v>
      </c>
      <c r="B10371" s="5" t="s">
        <v>10834</v>
      </c>
      <c r="C10371" s="5" t="s">
        <v>21</v>
      </c>
      <c r="K10371" s="5">
        <v>100.0</v>
      </c>
      <c r="N10371" s="9">
        <v>44739.0</v>
      </c>
    </row>
    <row r="10372">
      <c r="A10372" s="5">
        <v>10371.0</v>
      </c>
      <c r="B10372" s="5" t="s">
        <v>10835</v>
      </c>
      <c r="C10372" s="5" t="s">
        <v>21</v>
      </c>
      <c r="K10372" s="5">
        <v>1600.0</v>
      </c>
      <c r="N10372" s="9">
        <v>44982.0</v>
      </c>
    </row>
    <row r="10373">
      <c r="A10373" s="5">
        <v>10372.0</v>
      </c>
      <c r="B10373" s="5" t="s">
        <v>10836</v>
      </c>
      <c r="C10373" s="5" t="s">
        <v>21</v>
      </c>
      <c r="K10373" s="5">
        <v>250.0</v>
      </c>
      <c r="N10373" s="9">
        <v>44129.0</v>
      </c>
    </row>
    <row r="10374">
      <c r="A10374" s="5">
        <v>10373.0</v>
      </c>
      <c r="B10374" s="5" t="s">
        <v>10837</v>
      </c>
      <c r="C10374" s="5" t="s">
        <v>21</v>
      </c>
      <c r="K10374" s="5">
        <v>2100.0</v>
      </c>
      <c r="N10374" s="9">
        <v>44084.0</v>
      </c>
    </row>
    <row r="10375">
      <c r="A10375" s="5">
        <v>10374.0</v>
      </c>
      <c r="B10375" s="5" t="s">
        <v>10838</v>
      </c>
      <c r="C10375" s="5" t="s">
        <v>21</v>
      </c>
      <c r="K10375" s="5">
        <v>200.0</v>
      </c>
      <c r="N10375" s="9">
        <v>44471.0</v>
      </c>
    </row>
    <row r="10376">
      <c r="A10376" s="5">
        <v>10375.0</v>
      </c>
      <c r="B10376" s="5" t="s">
        <v>10839</v>
      </c>
      <c r="C10376" s="5" t="s">
        <v>21</v>
      </c>
      <c r="K10376" s="5">
        <v>20.0</v>
      </c>
      <c r="N10376" s="9">
        <v>44993.0</v>
      </c>
    </row>
    <row r="10377">
      <c r="A10377" s="5">
        <v>10376.0</v>
      </c>
      <c r="B10377" s="5" t="s">
        <v>10840</v>
      </c>
      <c r="C10377" s="5" t="s">
        <v>21</v>
      </c>
      <c r="K10377" s="5">
        <v>200.0</v>
      </c>
      <c r="N10377" s="9">
        <v>44819.0</v>
      </c>
    </row>
    <row r="10378">
      <c r="A10378" s="5">
        <v>10377.0</v>
      </c>
      <c r="B10378" s="5" t="s">
        <v>10841</v>
      </c>
      <c r="C10378" s="5" t="s">
        <v>21</v>
      </c>
      <c r="K10378" s="5">
        <v>600.0</v>
      </c>
      <c r="N10378" s="9">
        <v>44542.0</v>
      </c>
    </row>
    <row r="10379">
      <c r="A10379" s="5">
        <v>10378.0</v>
      </c>
      <c r="B10379" s="5" t="s">
        <v>10842</v>
      </c>
      <c r="C10379" s="5" t="s">
        <v>21</v>
      </c>
      <c r="N10379" s="9">
        <v>44423.0</v>
      </c>
    </row>
    <row r="10380">
      <c r="A10380" s="5">
        <v>10379.0</v>
      </c>
      <c r="B10380" s="5" t="s">
        <v>10843</v>
      </c>
      <c r="C10380" s="5" t="s">
        <v>21</v>
      </c>
      <c r="K10380" s="5">
        <v>900.0</v>
      </c>
      <c r="N10380" s="9">
        <v>44535.0</v>
      </c>
    </row>
    <row r="10381">
      <c r="A10381" s="5">
        <v>10380.0</v>
      </c>
      <c r="B10381" s="5" t="s">
        <v>10844</v>
      </c>
      <c r="C10381" s="5" t="s">
        <v>21</v>
      </c>
      <c r="K10381" s="5">
        <v>300.0</v>
      </c>
      <c r="N10381" s="9">
        <v>44608.0</v>
      </c>
    </row>
    <row r="10382">
      <c r="A10382" s="5">
        <v>10381.0</v>
      </c>
      <c r="B10382" s="5" t="s">
        <v>10845</v>
      </c>
      <c r="C10382" s="5" t="s">
        <v>21</v>
      </c>
      <c r="K10382" s="5">
        <v>150.0</v>
      </c>
      <c r="N10382" s="9">
        <v>43900.0</v>
      </c>
    </row>
    <row r="10383">
      <c r="A10383" s="5">
        <v>10382.0</v>
      </c>
      <c r="B10383" s="5" t="s">
        <v>10846</v>
      </c>
      <c r="C10383" s="5" t="s">
        <v>21</v>
      </c>
      <c r="K10383" s="5">
        <v>150.0</v>
      </c>
      <c r="N10383" s="9">
        <v>44582.0</v>
      </c>
    </row>
    <row r="10384">
      <c r="A10384" s="5">
        <v>10383.0</v>
      </c>
      <c r="B10384" s="5" t="s">
        <v>353</v>
      </c>
      <c r="C10384" s="5" t="s">
        <v>21</v>
      </c>
      <c r="K10384" s="5">
        <v>20.0</v>
      </c>
      <c r="N10384" s="9">
        <v>44524.0</v>
      </c>
    </row>
    <row r="10385">
      <c r="A10385" s="5">
        <v>10384.0</v>
      </c>
      <c r="B10385" s="5" t="s">
        <v>10847</v>
      </c>
      <c r="C10385" s="5" t="s">
        <v>21</v>
      </c>
      <c r="N10385" s="9">
        <v>44518.0</v>
      </c>
    </row>
    <row r="10386">
      <c r="A10386" s="5">
        <v>10385.0</v>
      </c>
      <c r="B10386" s="5" t="s">
        <v>10848</v>
      </c>
      <c r="C10386" s="5" t="s">
        <v>21</v>
      </c>
      <c r="K10386" s="5">
        <v>5400.0</v>
      </c>
      <c r="N10386" s="9">
        <v>44346.0</v>
      </c>
    </row>
    <row r="10387">
      <c r="A10387" s="5">
        <v>10386.0</v>
      </c>
      <c r="B10387" s="5" t="s">
        <v>10849</v>
      </c>
      <c r="C10387" s="5" t="s">
        <v>21</v>
      </c>
      <c r="K10387" s="5">
        <v>150.0</v>
      </c>
      <c r="N10387" s="9">
        <v>45158.0</v>
      </c>
    </row>
    <row r="10388">
      <c r="A10388" s="5">
        <v>10387.0</v>
      </c>
      <c r="B10388" s="5" t="s">
        <v>10850</v>
      </c>
      <c r="C10388" s="5" t="s">
        <v>21</v>
      </c>
      <c r="K10388" s="5">
        <v>150.0</v>
      </c>
      <c r="N10388" s="9">
        <v>45399.0</v>
      </c>
    </row>
    <row r="10389">
      <c r="A10389" s="5">
        <v>10388.0</v>
      </c>
      <c r="B10389" s="5" t="s">
        <v>10851</v>
      </c>
      <c r="C10389" s="5" t="s">
        <v>21</v>
      </c>
      <c r="K10389" s="5">
        <v>200.0</v>
      </c>
      <c r="N10389" s="9">
        <v>44963.0</v>
      </c>
    </row>
    <row r="10390">
      <c r="A10390" s="5">
        <v>10389.0</v>
      </c>
      <c r="B10390" s="5" t="s">
        <v>10852</v>
      </c>
      <c r="C10390" s="5" t="s">
        <v>21</v>
      </c>
      <c r="K10390" s="5">
        <v>350.0</v>
      </c>
      <c r="N10390" s="9">
        <v>44568.0</v>
      </c>
    </row>
    <row r="10391">
      <c r="A10391" s="5">
        <v>10390.0</v>
      </c>
      <c r="B10391" s="5" t="s">
        <v>10853</v>
      </c>
      <c r="C10391" s="5" t="s">
        <v>21</v>
      </c>
      <c r="K10391" s="5">
        <v>500.0</v>
      </c>
      <c r="N10391" s="9">
        <v>44737.0</v>
      </c>
    </row>
    <row r="10392">
      <c r="A10392" s="5">
        <v>10391.0</v>
      </c>
      <c r="B10392" s="5" t="s">
        <v>10854</v>
      </c>
      <c r="C10392" s="5" t="s">
        <v>21</v>
      </c>
      <c r="K10392" s="5">
        <v>450.0</v>
      </c>
      <c r="N10392" s="9">
        <v>44532.0</v>
      </c>
    </row>
    <row r="10393">
      <c r="A10393" s="5">
        <v>10392.0</v>
      </c>
      <c r="B10393" s="5" t="s">
        <v>10855</v>
      </c>
      <c r="C10393" s="5" t="s">
        <v>21</v>
      </c>
      <c r="K10393" s="5">
        <v>100.0</v>
      </c>
      <c r="N10393" s="9">
        <v>45360.0</v>
      </c>
    </row>
    <row r="10394">
      <c r="A10394" s="5">
        <v>10393.0</v>
      </c>
      <c r="B10394" s="5" t="s">
        <v>10856</v>
      </c>
      <c r="C10394" s="5" t="s">
        <v>21</v>
      </c>
      <c r="K10394" s="5">
        <v>300.0</v>
      </c>
      <c r="N10394" s="9">
        <v>44695.0</v>
      </c>
    </row>
    <row r="10395">
      <c r="A10395" s="5">
        <v>10394.0</v>
      </c>
      <c r="B10395" s="5" t="s">
        <v>10857</v>
      </c>
      <c r="C10395" s="5" t="s">
        <v>21</v>
      </c>
      <c r="K10395" s="5">
        <v>100.0</v>
      </c>
      <c r="N10395" s="9">
        <v>45022.0</v>
      </c>
    </row>
    <row r="10396">
      <c r="A10396" s="5">
        <v>10395.0</v>
      </c>
      <c r="B10396" s="5" t="s">
        <v>10858</v>
      </c>
      <c r="C10396" s="5" t="s">
        <v>21</v>
      </c>
      <c r="K10396" s="5">
        <v>800.0</v>
      </c>
      <c r="N10396" s="9">
        <v>45549.0</v>
      </c>
    </row>
    <row r="10397">
      <c r="A10397" s="5">
        <v>10396.0</v>
      </c>
      <c r="B10397" s="5" t="s">
        <v>10859</v>
      </c>
      <c r="C10397" s="5" t="s">
        <v>21</v>
      </c>
      <c r="K10397" s="5">
        <v>150.0</v>
      </c>
      <c r="N10397" s="9">
        <v>44064.0</v>
      </c>
    </row>
    <row r="10398">
      <c r="A10398" s="5">
        <v>10397.0</v>
      </c>
      <c r="B10398" s="5" t="s">
        <v>10860</v>
      </c>
      <c r="C10398" s="5" t="s">
        <v>21</v>
      </c>
      <c r="N10398" s="9">
        <v>44592.0</v>
      </c>
    </row>
    <row r="10399">
      <c r="A10399" s="5">
        <v>10398.0</v>
      </c>
      <c r="B10399" s="5" t="s">
        <v>10861</v>
      </c>
      <c r="C10399" s="5" t="s">
        <v>21</v>
      </c>
      <c r="K10399" s="5">
        <v>1200.0</v>
      </c>
      <c r="N10399" s="9">
        <v>44527.0</v>
      </c>
    </row>
    <row r="10400">
      <c r="A10400" s="5">
        <v>10399.0</v>
      </c>
      <c r="B10400" s="5" t="s">
        <v>10862</v>
      </c>
      <c r="C10400" s="5" t="s">
        <v>21</v>
      </c>
      <c r="K10400" s="5">
        <v>450.0</v>
      </c>
      <c r="N10400" s="9">
        <v>44445.0</v>
      </c>
    </row>
    <row r="10401">
      <c r="A10401" s="5">
        <v>10400.0</v>
      </c>
      <c r="B10401" s="5" t="s">
        <v>10863</v>
      </c>
      <c r="C10401" s="5" t="s">
        <v>21</v>
      </c>
      <c r="K10401" s="5">
        <v>5300.0</v>
      </c>
      <c r="N10401" s="9">
        <v>45796.0</v>
      </c>
    </row>
    <row r="10402">
      <c r="A10402" s="5">
        <v>10401.0</v>
      </c>
      <c r="B10402" s="5" t="s">
        <v>10864</v>
      </c>
      <c r="C10402" s="5" t="s">
        <v>21</v>
      </c>
      <c r="K10402" s="5">
        <v>700.0</v>
      </c>
      <c r="N10402" s="9">
        <v>44522.0</v>
      </c>
    </row>
    <row r="10403">
      <c r="A10403" s="5">
        <v>10402.0</v>
      </c>
      <c r="B10403" s="5" t="s">
        <v>10865</v>
      </c>
      <c r="C10403" s="5" t="s">
        <v>21</v>
      </c>
      <c r="K10403" s="5">
        <v>200.0</v>
      </c>
      <c r="N10403" s="9">
        <v>44542.0</v>
      </c>
    </row>
    <row r="10404">
      <c r="A10404" s="5">
        <v>10403.0</v>
      </c>
      <c r="B10404" s="5" t="s">
        <v>10866</v>
      </c>
      <c r="C10404" s="5" t="s">
        <v>21</v>
      </c>
      <c r="K10404" s="5">
        <v>90.0</v>
      </c>
      <c r="N10404" s="9">
        <v>43901.0</v>
      </c>
    </row>
    <row r="10405">
      <c r="A10405" s="5">
        <v>10404.0</v>
      </c>
      <c r="B10405" s="5" t="s">
        <v>10867</v>
      </c>
      <c r="C10405" s="5" t="s">
        <v>21</v>
      </c>
      <c r="K10405" s="5">
        <v>150.0</v>
      </c>
      <c r="N10405" s="9">
        <v>44519.0</v>
      </c>
    </row>
    <row r="10406">
      <c r="A10406" s="5">
        <v>10405.0</v>
      </c>
      <c r="B10406" s="5" t="s">
        <v>10868</v>
      </c>
      <c r="C10406" s="5" t="s">
        <v>21</v>
      </c>
      <c r="K10406" s="5">
        <v>5600.0</v>
      </c>
      <c r="N10406" s="9">
        <v>44331.0</v>
      </c>
    </row>
    <row r="10407">
      <c r="A10407" s="5">
        <v>10406.0</v>
      </c>
      <c r="B10407" s="5" t="s">
        <v>10869</v>
      </c>
      <c r="C10407" s="5" t="s">
        <v>21</v>
      </c>
      <c r="N10407" s="9">
        <v>45040.0</v>
      </c>
    </row>
    <row r="10408">
      <c r="A10408" s="5">
        <v>10407.0</v>
      </c>
      <c r="B10408" s="5" t="s">
        <v>10870</v>
      </c>
      <c r="C10408" s="5" t="s">
        <v>21</v>
      </c>
      <c r="K10408" s="5">
        <v>600.0</v>
      </c>
      <c r="N10408" s="9">
        <v>43877.0</v>
      </c>
    </row>
    <row r="10409">
      <c r="A10409" s="5">
        <v>10408.0</v>
      </c>
      <c r="B10409" s="5" t="s">
        <v>10871</v>
      </c>
      <c r="C10409" s="5" t="s">
        <v>21</v>
      </c>
      <c r="K10409" s="5">
        <v>1000.0</v>
      </c>
      <c r="N10409" s="9">
        <v>44428.0</v>
      </c>
    </row>
    <row r="10410">
      <c r="A10410" s="5">
        <v>10409.0</v>
      </c>
      <c r="B10410" s="5" t="s">
        <v>10872</v>
      </c>
      <c r="C10410" s="5" t="s">
        <v>21</v>
      </c>
      <c r="K10410" s="5">
        <v>5800.0</v>
      </c>
      <c r="N10410" s="9">
        <v>43914.0</v>
      </c>
    </row>
    <row r="10411">
      <c r="A10411" s="5">
        <v>10410.0</v>
      </c>
      <c r="B10411" s="5" t="s">
        <v>10873</v>
      </c>
      <c r="C10411" s="5" t="s">
        <v>21</v>
      </c>
      <c r="K10411" s="5">
        <v>900.0</v>
      </c>
      <c r="N10411" s="9">
        <v>44088.0</v>
      </c>
    </row>
    <row r="10412">
      <c r="A10412" s="5">
        <v>10411.0</v>
      </c>
      <c r="B10412" s="5" t="s">
        <v>10874</v>
      </c>
      <c r="C10412" s="5" t="s">
        <v>21</v>
      </c>
      <c r="K10412" s="5">
        <v>70.0</v>
      </c>
      <c r="N10412" s="9">
        <v>44528.0</v>
      </c>
    </row>
    <row r="10413">
      <c r="A10413" s="5">
        <v>10412.0</v>
      </c>
      <c r="B10413" s="5" t="s">
        <v>10875</v>
      </c>
      <c r="C10413" s="5" t="s">
        <v>21</v>
      </c>
      <c r="K10413" s="5">
        <v>100.0</v>
      </c>
      <c r="N10413" s="9">
        <v>44603.0</v>
      </c>
    </row>
    <row r="10414">
      <c r="A10414" s="5">
        <v>10413.0</v>
      </c>
      <c r="B10414" s="5" t="s">
        <v>10876</v>
      </c>
      <c r="C10414" s="5" t="s">
        <v>21</v>
      </c>
      <c r="K10414" s="5">
        <v>400.0</v>
      </c>
      <c r="N10414" s="9">
        <v>44358.0</v>
      </c>
    </row>
    <row r="10415">
      <c r="A10415" s="5">
        <v>10414.0</v>
      </c>
      <c r="B10415" s="5" t="s">
        <v>10877</v>
      </c>
      <c r="C10415" s="5" t="s">
        <v>21</v>
      </c>
      <c r="K10415" s="5">
        <v>8500.0</v>
      </c>
      <c r="N10415" s="9">
        <v>45139.0</v>
      </c>
    </row>
    <row r="10416">
      <c r="A10416" s="5">
        <v>10415.0</v>
      </c>
      <c r="B10416" s="5" t="s">
        <v>10878</v>
      </c>
      <c r="C10416" s="5" t="s">
        <v>21</v>
      </c>
      <c r="K10416" s="5">
        <v>80.0</v>
      </c>
      <c r="N10416" s="9">
        <v>44803.0</v>
      </c>
    </row>
    <row r="10417">
      <c r="A10417" s="5">
        <v>10416.0</v>
      </c>
      <c r="B10417" s="5" t="s">
        <v>10879</v>
      </c>
      <c r="C10417" s="5" t="s">
        <v>21</v>
      </c>
      <c r="K10417" s="5">
        <v>60.0</v>
      </c>
      <c r="N10417" s="9">
        <v>44569.0</v>
      </c>
    </row>
    <row r="10418">
      <c r="A10418" s="5">
        <v>10417.0</v>
      </c>
      <c r="B10418" s="5" t="s">
        <v>10880</v>
      </c>
      <c r="C10418" s="5" t="s">
        <v>21</v>
      </c>
      <c r="K10418" s="5">
        <v>600.0</v>
      </c>
      <c r="N10418" s="9">
        <v>44550.0</v>
      </c>
    </row>
    <row r="10419">
      <c r="A10419" s="5">
        <v>10418.0</v>
      </c>
      <c r="B10419" s="5" t="s">
        <v>10881</v>
      </c>
      <c r="C10419" s="5" t="s">
        <v>21</v>
      </c>
      <c r="K10419" s="5">
        <v>400.0</v>
      </c>
      <c r="N10419" s="9">
        <v>44896.0</v>
      </c>
    </row>
    <row r="10420">
      <c r="A10420" s="5">
        <v>10419.0</v>
      </c>
      <c r="B10420" s="5" t="s">
        <v>10882</v>
      </c>
      <c r="C10420" s="5" t="s">
        <v>21</v>
      </c>
      <c r="K10420" s="5">
        <v>300.0</v>
      </c>
      <c r="N10420" s="9">
        <v>44600.0</v>
      </c>
    </row>
    <row r="10421">
      <c r="A10421" s="5">
        <v>10420.0</v>
      </c>
      <c r="B10421" s="5" t="s">
        <v>10883</v>
      </c>
      <c r="C10421" s="5" t="s">
        <v>21</v>
      </c>
      <c r="K10421" s="5">
        <v>70.0</v>
      </c>
      <c r="N10421" s="9">
        <v>45586.0</v>
      </c>
    </row>
    <row r="10422">
      <c r="A10422" s="5">
        <v>10421.0</v>
      </c>
      <c r="B10422" s="5" t="s">
        <v>355</v>
      </c>
      <c r="C10422" s="5" t="s">
        <v>21</v>
      </c>
      <c r="K10422" s="5">
        <v>4000.0</v>
      </c>
      <c r="N10422" s="9">
        <v>43881.0</v>
      </c>
    </row>
    <row r="10423">
      <c r="A10423" s="5">
        <v>10422.0</v>
      </c>
      <c r="B10423" s="5" t="s">
        <v>10884</v>
      </c>
      <c r="C10423" s="5" t="s">
        <v>21</v>
      </c>
      <c r="N10423" s="9">
        <v>44524.0</v>
      </c>
    </row>
    <row r="10424">
      <c r="A10424" s="5">
        <v>10423.0</v>
      </c>
      <c r="B10424" s="5" t="s">
        <v>10885</v>
      </c>
      <c r="C10424" s="5" t="s">
        <v>21</v>
      </c>
      <c r="K10424" s="5">
        <v>300.0</v>
      </c>
      <c r="N10424" s="9">
        <v>44653.0</v>
      </c>
    </row>
    <row r="10425">
      <c r="A10425" s="5">
        <v>10424.0</v>
      </c>
      <c r="B10425" s="5" t="s">
        <v>10886</v>
      </c>
      <c r="C10425" s="5" t="s">
        <v>21</v>
      </c>
      <c r="K10425" s="5">
        <v>3100.0</v>
      </c>
      <c r="N10425" s="9">
        <v>44738.0</v>
      </c>
    </row>
    <row r="10426">
      <c r="A10426" s="5">
        <v>10425.0</v>
      </c>
      <c r="B10426" s="5" t="s">
        <v>10887</v>
      </c>
      <c r="C10426" s="5" t="s">
        <v>21</v>
      </c>
      <c r="K10426" s="5">
        <v>250.0</v>
      </c>
      <c r="N10426" s="9">
        <v>45138.0</v>
      </c>
    </row>
    <row r="10427">
      <c r="A10427" s="5">
        <v>10426.0</v>
      </c>
      <c r="B10427" s="5" t="s">
        <v>10888</v>
      </c>
      <c r="C10427" s="5" t="s">
        <v>21</v>
      </c>
      <c r="K10427" s="5">
        <v>80.0</v>
      </c>
      <c r="N10427" s="9">
        <v>44555.0</v>
      </c>
    </row>
    <row r="10428">
      <c r="A10428" s="5">
        <v>10427.0</v>
      </c>
      <c r="B10428" s="5" t="s">
        <v>10889</v>
      </c>
      <c r="C10428" s="5" t="s">
        <v>21</v>
      </c>
      <c r="K10428" s="5">
        <v>90.0</v>
      </c>
      <c r="N10428" s="9">
        <v>44536.0</v>
      </c>
    </row>
    <row r="10429">
      <c r="A10429" s="5">
        <v>10428.0</v>
      </c>
      <c r="B10429" s="5" t="s">
        <v>10890</v>
      </c>
      <c r="C10429" s="5" t="s">
        <v>21</v>
      </c>
      <c r="K10429" s="5">
        <v>90.0</v>
      </c>
      <c r="N10429" s="9">
        <v>44539.0</v>
      </c>
    </row>
    <row r="10430">
      <c r="A10430" s="5">
        <v>10429.0</v>
      </c>
      <c r="B10430" s="5" t="s">
        <v>10891</v>
      </c>
      <c r="C10430" s="5" t="s">
        <v>21</v>
      </c>
      <c r="K10430" s="5">
        <v>250.0</v>
      </c>
      <c r="N10430" s="9">
        <v>44780.0</v>
      </c>
    </row>
    <row r="10431">
      <c r="A10431" s="5">
        <v>10430.0</v>
      </c>
      <c r="B10431" s="5" t="s">
        <v>10892</v>
      </c>
      <c r="C10431" s="5" t="s">
        <v>21</v>
      </c>
      <c r="K10431" s="5">
        <v>70.0</v>
      </c>
      <c r="N10431" s="9">
        <v>44729.0</v>
      </c>
    </row>
    <row r="10432">
      <c r="A10432" s="5">
        <v>10431.0</v>
      </c>
      <c r="B10432" s="5" t="s">
        <v>10893</v>
      </c>
      <c r="C10432" s="5" t="s">
        <v>21</v>
      </c>
      <c r="K10432" s="5">
        <v>150.0</v>
      </c>
      <c r="N10432" s="9">
        <v>44731.0</v>
      </c>
    </row>
    <row r="10433">
      <c r="A10433" s="5">
        <v>10432.0</v>
      </c>
      <c r="B10433" s="5" t="s">
        <v>10894</v>
      </c>
      <c r="C10433" s="5" t="s">
        <v>21</v>
      </c>
      <c r="K10433" s="5">
        <v>300.0</v>
      </c>
      <c r="N10433" s="9">
        <v>44454.0</v>
      </c>
    </row>
    <row r="10434">
      <c r="A10434" s="5">
        <v>10433.0</v>
      </c>
      <c r="B10434" s="5" t="s">
        <v>10895</v>
      </c>
      <c r="C10434" s="5" t="s">
        <v>21</v>
      </c>
      <c r="K10434" s="5">
        <v>250.0</v>
      </c>
      <c r="N10434" s="9">
        <v>44170.0</v>
      </c>
    </row>
    <row r="10435">
      <c r="A10435" s="5">
        <v>10434.0</v>
      </c>
      <c r="B10435" s="5" t="s">
        <v>10896</v>
      </c>
      <c r="C10435" s="5" t="s">
        <v>21</v>
      </c>
      <c r="K10435" s="5">
        <v>250.0</v>
      </c>
      <c r="N10435" s="9">
        <v>44636.0</v>
      </c>
    </row>
    <row r="10436">
      <c r="A10436" s="5">
        <v>10435.0</v>
      </c>
      <c r="B10436" s="5" t="s">
        <v>10897</v>
      </c>
      <c r="C10436" s="5" t="s">
        <v>21</v>
      </c>
      <c r="K10436" s="5">
        <v>1100.0</v>
      </c>
      <c r="N10436" s="9">
        <v>44812.0</v>
      </c>
    </row>
    <row r="10437">
      <c r="A10437" s="5">
        <v>10436.0</v>
      </c>
      <c r="B10437" s="5" t="s">
        <v>10898</v>
      </c>
      <c r="C10437" s="5" t="s">
        <v>21</v>
      </c>
      <c r="K10437" s="5">
        <v>600.0</v>
      </c>
      <c r="N10437" s="9">
        <v>44533.0</v>
      </c>
    </row>
    <row r="10438">
      <c r="A10438" s="5">
        <v>10437.0</v>
      </c>
      <c r="B10438" s="5" t="s">
        <v>10899</v>
      </c>
      <c r="C10438" s="5" t="s">
        <v>21</v>
      </c>
      <c r="N10438" s="9">
        <v>44891.0</v>
      </c>
    </row>
    <row r="10439">
      <c r="A10439" s="5">
        <v>10438.0</v>
      </c>
      <c r="B10439" s="5" t="s">
        <v>10900</v>
      </c>
      <c r="C10439" s="5" t="s">
        <v>21</v>
      </c>
      <c r="K10439" s="5">
        <v>250.0</v>
      </c>
      <c r="N10439" s="9">
        <v>45213.0</v>
      </c>
    </row>
    <row r="10440">
      <c r="A10440" s="5">
        <v>10439.0</v>
      </c>
      <c r="B10440" s="5" t="s">
        <v>10901</v>
      </c>
      <c r="C10440" s="5" t="s">
        <v>21</v>
      </c>
      <c r="K10440" s="5">
        <v>3500.0</v>
      </c>
      <c r="N10440" s="9">
        <v>44031.0</v>
      </c>
    </row>
    <row r="10441">
      <c r="A10441" s="5">
        <v>10440.0</v>
      </c>
      <c r="B10441" s="5" t="s">
        <v>10902</v>
      </c>
      <c r="C10441" s="5" t="s">
        <v>21</v>
      </c>
      <c r="K10441" s="5">
        <v>80.0</v>
      </c>
      <c r="N10441" s="9">
        <v>44566.0</v>
      </c>
    </row>
    <row r="10442">
      <c r="A10442" s="5">
        <v>10441.0</v>
      </c>
      <c r="B10442" s="5" t="s">
        <v>10903</v>
      </c>
      <c r="C10442" s="5" t="s">
        <v>21</v>
      </c>
      <c r="K10442" s="5">
        <v>150.0</v>
      </c>
      <c r="N10442" s="9">
        <v>44813.0</v>
      </c>
    </row>
    <row r="10443">
      <c r="A10443" s="5">
        <v>10442.0</v>
      </c>
      <c r="B10443" s="5" t="s">
        <v>10904</v>
      </c>
      <c r="C10443" s="5" t="s">
        <v>21</v>
      </c>
      <c r="K10443" s="5">
        <v>150.0</v>
      </c>
      <c r="N10443" s="9">
        <v>46125.0</v>
      </c>
    </row>
    <row r="10444">
      <c r="A10444" s="5">
        <v>10443.0</v>
      </c>
      <c r="B10444" s="5" t="s">
        <v>10905</v>
      </c>
      <c r="C10444" s="5" t="s">
        <v>21</v>
      </c>
      <c r="K10444" s="5">
        <v>150.0</v>
      </c>
      <c r="N10444" s="9">
        <v>44555.0</v>
      </c>
    </row>
    <row r="10445">
      <c r="A10445" s="5">
        <v>10444.0</v>
      </c>
      <c r="B10445" s="5" t="s">
        <v>10906</v>
      </c>
      <c r="C10445" s="5" t="s">
        <v>21</v>
      </c>
      <c r="K10445" s="5">
        <v>200.0</v>
      </c>
      <c r="N10445" s="9">
        <v>44378.0</v>
      </c>
    </row>
    <row r="10446">
      <c r="A10446" s="5">
        <v>10445.0</v>
      </c>
      <c r="B10446" s="5" t="s">
        <v>10907</v>
      </c>
      <c r="C10446" s="5" t="s">
        <v>21</v>
      </c>
      <c r="K10446" s="5">
        <v>800.0</v>
      </c>
      <c r="N10446" s="9">
        <v>44546.0</v>
      </c>
    </row>
    <row r="10447">
      <c r="A10447" s="5">
        <v>10446.0</v>
      </c>
      <c r="B10447" s="5" t="s">
        <v>10908</v>
      </c>
      <c r="C10447" s="5" t="s">
        <v>21</v>
      </c>
      <c r="K10447" s="5">
        <v>300.0</v>
      </c>
      <c r="N10447" s="9">
        <v>44578.0</v>
      </c>
    </row>
    <row r="10448">
      <c r="A10448" s="5">
        <v>10447.0</v>
      </c>
      <c r="B10448" s="5" t="s">
        <v>10909</v>
      </c>
      <c r="C10448" s="5" t="s">
        <v>21</v>
      </c>
      <c r="K10448" s="5">
        <v>2400.0</v>
      </c>
      <c r="N10448" s="9">
        <v>44881.0</v>
      </c>
    </row>
    <row r="10449">
      <c r="A10449" s="5">
        <v>10448.0</v>
      </c>
      <c r="B10449" s="5" t="s">
        <v>10910</v>
      </c>
      <c r="C10449" s="5" t="s">
        <v>21</v>
      </c>
      <c r="K10449" s="5">
        <v>200.0</v>
      </c>
      <c r="N10449" s="9">
        <v>44773.0</v>
      </c>
    </row>
    <row r="10450">
      <c r="A10450" s="5">
        <v>10449.0</v>
      </c>
      <c r="B10450" s="5" t="s">
        <v>10911</v>
      </c>
      <c r="C10450" s="5" t="s">
        <v>21</v>
      </c>
      <c r="K10450" s="5">
        <v>20.0</v>
      </c>
      <c r="N10450" s="9">
        <v>44610.0</v>
      </c>
    </row>
    <row r="10451">
      <c r="A10451" s="5">
        <v>10450.0</v>
      </c>
      <c r="B10451" s="5" t="s">
        <v>10912</v>
      </c>
      <c r="C10451" s="5" t="s">
        <v>21</v>
      </c>
      <c r="K10451" s="5">
        <v>2900.0</v>
      </c>
      <c r="N10451" s="9">
        <v>44125.0</v>
      </c>
    </row>
    <row r="10452">
      <c r="A10452" s="5">
        <v>10451.0</v>
      </c>
      <c r="B10452" s="5" t="s">
        <v>10913</v>
      </c>
      <c r="C10452" s="5" t="s">
        <v>21</v>
      </c>
      <c r="K10452" s="5">
        <v>1300.0</v>
      </c>
      <c r="N10452" s="9">
        <v>43896.0</v>
      </c>
    </row>
    <row r="10453">
      <c r="A10453" s="5">
        <v>10452.0</v>
      </c>
      <c r="B10453" s="5" t="s">
        <v>10914</v>
      </c>
      <c r="C10453" s="5" t="s">
        <v>21</v>
      </c>
      <c r="K10453" s="5">
        <v>700.0</v>
      </c>
      <c r="N10453" s="9">
        <v>44538.0</v>
      </c>
    </row>
    <row r="10454">
      <c r="A10454" s="5">
        <v>10453.0</v>
      </c>
      <c r="B10454" s="5" t="s">
        <v>354</v>
      </c>
      <c r="C10454" s="5" t="s">
        <v>21</v>
      </c>
      <c r="K10454" s="5">
        <v>450.0</v>
      </c>
      <c r="N10454" s="9">
        <v>44414.0</v>
      </c>
    </row>
    <row r="10455">
      <c r="A10455" s="5">
        <v>10454.0</v>
      </c>
      <c r="B10455" s="5" t="s">
        <v>10915</v>
      </c>
      <c r="C10455" s="5" t="s">
        <v>21</v>
      </c>
      <c r="K10455" s="5">
        <v>2600.0</v>
      </c>
      <c r="N10455" s="9">
        <v>44464.0</v>
      </c>
    </row>
    <row r="10456">
      <c r="A10456" s="5">
        <v>10455.0</v>
      </c>
      <c r="B10456" s="5" t="s">
        <v>357</v>
      </c>
      <c r="C10456" s="5" t="s">
        <v>21</v>
      </c>
      <c r="K10456" s="5">
        <v>2400.0</v>
      </c>
      <c r="N10456" s="9">
        <v>45686.0</v>
      </c>
    </row>
    <row r="10457">
      <c r="A10457" s="5">
        <v>10456.0</v>
      </c>
      <c r="B10457" s="5" t="s">
        <v>10916</v>
      </c>
      <c r="C10457" s="5" t="s">
        <v>21</v>
      </c>
      <c r="K10457" s="5">
        <v>20.0</v>
      </c>
      <c r="N10457" s="9">
        <v>44726.0</v>
      </c>
    </row>
    <row r="10458">
      <c r="A10458" s="5">
        <v>10457.0</v>
      </c>
      <c r="B10458" s="5" t="s">
        <v>10917</v>
      </c>
      <c r="C10458" s="5" t="s">
        <v>21</v>
      </c>
      <c r="K10458" s="5">
        <v>15000.0</v>
      </c>
      <c r="N10458" s="9">
        <v>44625.0</v>
      </c>
    </row>
    <row r="10459">
      <c r="A10459" s="5">
        <v>10458.0</v>
      </c>
      <c r="B10459" s="5" t="s">
        <v>10918</v>
      </c>
      <c r="C10459" s="5" t="s">
        <v>21</v>
      </c>
      <c r="K10459" s="5">
        <v>500.0</v>
      </c>
      <c r="N10459" s="9">
        <v>44318.0</v>
      </c>
    </row>
    <row r="10460">
      <c r="A10460" s="5">
        <v>10459.0</v>
      </c>
      <c r="B10460" s="5" t="s">
        <v>10919</v>
      </c>
      <c r="C10460" s="5" t="s">
        <v>21</v>
      </c>
      <c r="K10460" s="5">
        <v>250.0</v>
      </c>
      <c r="N10460" s="9">
        <v>44525.0</v>
      </c>
    </row>
    <row r="10461">
      <c r="A10461" s="5">
        <v>10460.0</v>
      </c>
      <c r="B10461" s="5" t="s">
        <v>10920</v>
      </c>
      <c r="C10461" s="5" t="s">
        <v>21</v>
      </c>
      <c r="K10461" s="5">
        <v>50.0</v>
      </c>
      <c r="N10461" s="9">
        <v>45660.0</v>
      </c>
    </row>
    <row r="10462">
      <c r="A10462" s="5">
        <v>10461.0</v>
      </c>
      <c r="B10462" s="5" t="s">
        <v>10921</v>
      </c>
      <c r="C10462" s="5" t="s">
        <v>21</v>
      </c>
      <c r="K10462" s="5">
        <v>350.0</v>
      </c>
      <c r="N10462" s="9">
        <v>44586.0</v>
      </c>
    </row>
    <row r="10463">
      <c r="A10463" s="5">
        <v>10462.0</v>
      </c>
      <c r="B10463" s="5" t="s">
        <v>10922</v>
      </c>
      <c r="C10463" s="5" t="s">
        <v>21</v>
      </c>
      <c r="K10463" s="5">
        <v>300.0</v>
      </c>
      <c r="N10463" s="9">
        <v>45104.0</v>
      </c>
    </row>
    <row r="10464">
      <c r="A10464" s="5">
        <v>10463.0</v>
      </c>
      <c r="B10464" s="5" t="s">
        <v>10923</v>
      </c>
      <c r="C10464" s="5" t="s">
        <v>21</v>
      </c>
      <c r="K10464" s="5">
        <v>800.0</v>
      </c>
      <c r="N10464" s="9">
        <v>44557.0</v>
      </c>
    </row>
    <row r="10465">
      <c r="A10465" s="5">
        <v>10464.0</v>
      </c>
      <c r="B10465" s="5" t="s">
        <v>10924</v>
      </c>
      <c r="C10465" s="5" t="s">
        <v>21</v>
      </c>
      <c r="K10465" s="5">
        <v>400.0</v>
      </c>
      <c r="N10465" s="9">
        <v>44673.0</v>
      </c>
    </row>
    <row r="10466">
      <c r="A10466" s="5">
        <v>10465.0</v>
      </c>
      <c r="B10466" s="5" t="s">
        <v>10925</v>
      </c>
      <c r="C10466" s="5" t="s">
        <v>21</v>
      </c>
      <c r="K10466" s="5">
        <v>150.0</v>
      </c>
      <c r="N10466" s="9">
        <v>45288.0</v>
      </c>
    </row>
    <row r="10467">
      <c r="A10467" s="5">
        <v>10466.0</v>
      </c>
      <c r="B10467" s="5" t="s">
        <v>10926</v>
      </c>
      <c r="C10467" s="5" t="s">
        <v>21</v>
      </c>
      <c r="K10467" s="5">
        <v>60.0</v>
      </c>
      <c r="N10467" s="9">
        <v>44353.0</v>
      </c>
    </row>
    <row r="10468">
      <c r="A10468" s="5">
        <v>10467.0</v>
      </c>
      <c r="B10468" s="5" t="s">
        <v>10927</v>
      </c>
      <c r="C10468" s="5" t="s">
        <v>21</v>
      </c>
      <c r="K10468" s="5">
        <v>1500.0</v>
      </c>
      <c r="N10468" s="9">
        <v>44061.0</v>
      </c>
    </row>
    <row r="10469">
      <c r="A10469" s="5">
        <v>10468.0</v>
      </c>
      <c r="B10469" s="5" t="s">
        <v>10928</v>
      </c>
      <c r="C10469" s="5" t="s">
        <v>21</v>
      </c>
      <c r="K10469" s="5">
        <v>30.0</v>
      </c>
      <c r="N10469" s="9">
        <v>44340.0</v>
      </c>
    </row>
    <row r="10470">
      <c r="A10470" s="5">
        <v>10469.0</v>
      </c>
      <c r="B10470" s="5" t="s">
        <v>10929</v>
      </c>
      <c r="C10470" s="5" t="s">
        <v>21</v>
      </c>
      <c r="K10470" s="5">
        <v>900.0</v>
      </c>
      <c r="N10470" s="9">
        <v>43976.0</v>
      </c>
    </row>
    <row r="10471">
      <c r="A10471" s="5">
        <v>10470.0</v>
      </c>
      <c r="B10471" s="5" t="s">
        <v>10930</v>
      </c>
      <c r="C10471" s="5" t="s">
        <v>21</v>
      </c>
      <c r="K10471" s="5">
        <v>150.0</v>
      </c>
      <c r="N10471" s="9">
        <v>44734.0</v>
      </c>
    </row>
    <row r="10472">
      <c r="A10472" s="5">
        <v>10471.0</v>
      </c>
      <c r="B10472" s="5" t="s">
        <v>10931</v>
      </c>
      <c r="C10472" s="5" t="s">
        <v>21</v>
      </c>
      <c r="K10472" s="5">
        <v>350.0</v>
      </c>
      <c r="N10472" s="9">
        <v>45092.0</v>
      </c>
    </row>
    <row r="10473">
      <c r="A10473" s="5">
        <v>10472.0</v>
      </c>
      <c r="B10473" s="5" t="s">
        <v>10932</v>
      </c>
      <c r="C10473" s="5" t="s">
        <v>21</v>
      </c>
      <c r="K10473" s="5">
        <v>250.0</v>
      </c>
      <c r="N10473" s="9">
        <v>44613.0</v>
      </c>
    </row>
    <row r="10474">
      <c r="A10474" s="5">
        <v>10473.0</v>
      </c>
      <c r="B10474" s="5" t="s">
        <v>359</v>
      </c>
      <c r="C10474" s="5" t="s">
        <v>21</v>
      </c>
      <c r="K10474" s="5">
        <v>60.0</v>
      </c>
      <c r="N10474" s="9">
        <v>44145.0</v>
      </c>
    </row>
    <row r="10475">
      <c r="A10475" s="5">
        <v>10474.0</v>
      </c>
      <c r="B10475" s="5" t="s">
        <v>10933</v>
      </c>
      <c r="C10475" s="5" t="s">
        <v>21</v>
      </c>
      <c r="K10475" s="5">
        <v>500.0</v>
      </c>
      <c r="N10475" s="9">
        <v>44533.0</v>
      </c>
    </row>
    <row r="10476">
      <c r="A10476" s="5">
        <v>10475.0</v>
      </c>
      <c r="B10476" s="5" t="s">
        <v>10934</v>
      </c>
      <c r="C10476" s="5" t="s">
        <v>21</v>
      </c>
      <c r="K10476" s="5">
        <v>500.0</v>
      </c>
      <c r="N10476" s="9">
        <v>44558.0</v>
      </c>
    </row>
    <row r="10477">
      <c r="A10477" s="5">
        <v>10476.0</v>
      </c>
      <c r="B10477" s="5" t="s">
        <v>10935</v>
      </c>
      <c r="C10477" s="5" t="s">
        <v>21</v>
      </c>
      <c r="K10477" s="5">
        <v>400.0</v>
      </c>
      <c r="N10477" s="9">
        <v>44155.0</v>
      </c>
    </row>
    <row r="10478">
      <c r="A10478" s="5">
        <v>10477.0</v>
      </c>
      <c r="B10478" s="5" t="s">
        <v>10936</v>
      </c>
      <c r="C10478" s="5" t="s">
        <v>21</v>
      </c>
      <c r="K10478" s="5">
        <v>90.0</v>
      </c>
      <c r="N10478" s="9">
        <v>45624.0</v>
      </c>
    </row>
    <row r="10479">
      <c r="A10479" s="5">
        <v>10478.0</v>
      </c>
      <c r="B10479" s="5" t="s">
        <v>10937</v>
      </c>
      <c r="C10479" s="5" t="s">
        <v>21</v>
      </c>
      <c r="K10479" s="5">
        <v>450.0</v>
      </c>
      <c r="N10479" s="9">
        <v>44694.0</v>
      </c>
    </row>
    <row r="10480">
      <c r="A10480" s="5">
        <v>10479.0</v>
      </c>
      <c r="B10480" s="5" t="s">
        <v>10938</v>
      </c>
      <c r="C10480" s="5" t="s">
        <v>21</v>
      </c>
      <c r="K10480" s="5">
        <v>500.0</v>
      </c>
      <c r="N10480" s="9">
        <v>44997.0</v>
      </c>
    </row>
    <row r="10481">
      <c r="A10481" s="5">
        <v>10480.0</v>
      </c>
      <c r="B10481" s="5" t="s">
        <v>10939</v>
      </c>
      <c r="C10481" s="5" t="s">
        <v>21</v>
      </c>
      <c r="K10481" s="5">
        <v>1000.0</v>
      </c>
      <c r="N10481" s="9">
        <v>44201.0</v>
      </c>
    </row>
    <row r="10482">
      <c r="A10482" s="5">
        <v>10481.0</v>
      </c>
      <c r="B10482" s="5" t="s">
        <v>10940</v>
      </c>
      <c r="C10482" s="5" t="s">
        <v>21</v>
      </c>
      <c r="K10482" s="5">
        <v>250.0</v>
      </c>
      <c r="N10482" s="9">
        <v>45459.0</v>
      </c>
    </row>
    <row r="10483">
      <c r="A10483" s="5">
        <v>10482.0</v>
      </c>
      <c r="B10483" s="5" t="s">
        <v>10941</v>
      </c>
      <c r="C10483" s="5" t="s">
        <v>21</v>
      </c>
      <c r="K10483" s="5">
        <v>60.0</v>
      </c>
      <c r="N10483" s="9">
        <v>43972.0</v>
      </c>
    </row>
    <row r="10484">
      <c r="A10484" s="5">
        <v>10483.0</v>
      </c>
      <c r="B10484" s="5" t="s">
        <v>10942</v>
      </c>
      <c r="C10484" s="5" t="s">
        <v>21</v>
      </c>
      <c r="K10484" s="5">
        <v>28000.0</v>
      </c>
      <c r="N10484" s="9">
        <v>44493.0</v>
      </c>
    </row>
    <row r="10485">
      <c r="A10485" s="5">
        <v>10484.0</v>
      </c>
      <c r="B10485" s="5" t="s">
        <v>10943</v>
      </c>
      <c r="C10485" s="5" t="s">
        <v>21</v>
      </c>
      <c r="K10485" s="5">
        <v>800.0</v>
      </c>
      <c r="N10485" s="9">
        <v>44563.0</v>
      </c>
    </row>
    <row r="10486">
      <c r="A10486" s="5">
        <v>10485.0</v>
      </c>
      <c r="B10486" s="5" t="s">
        <v>10944</v>
      </c>
      <c r="C10486" s="5" t="s">
        <v>21</v>
      </c>
      <c r="K10486" s="5">
        <v>8500.0</v>
      </c>
      <c r="N10486" s="9">
        <v>44540.0</v>
      </c>
    </row>
    <row r="10487">
      <c r="A10487" s="5">
        <v>10486.0</v>
      </c>
      <c r="B10487" s="5" t="s">
        <v>10945</v>
      </c>
      <c r="C10487" s="5" t="s">
        <v>21</v>
      </c>
      <c r="K10487" s="5">
        <v>400.0</v>
      </c>
      <c r="N10487" s="9">
        <v>44663.0</v>
      </c>
    </row>
    <row r="10488">
      <c r="A10488" s="5">
        <v>10487.0</v>
      </c>
      <c r="B10488" s="5" t="s">
        <v>10946</v>
      </c>
      <c r="C10488" s="5" t="s">
        <v>21</v>
      </c>
      <c r="K10488" s="5">
        <v>700.0</v>
      </c>
      <c r="N10488" s="9">
        <v>44501.0</v>
      </c>
    </row>
    <row r="10489">
      <c r="A10489" s="5">
        <v>10488.0</v>
      </c>
      <c r="B10489" s="5" t="s">
        <v>10947</v>
      </c>
      <c r="C10489" s="5" t="s">
        <v>21</v>
      </c>
      <c r="K10489" s="5">
        <v>200.0</v>
      </c>
      <c r="N10489" s="9">
        <v>44937.0</v>
      </c>
    </row>
    <row r="10490">
      <c r="A10490" s="5">
        <v>10489.0</v>
      </c>
      <c r="B10490" s="5" t="s">
        <v>10948</v>
      </c>
      <c r="C10490" s="5" t="s">
        <v>21</v>
      </c>
      <c r="K10490" s="5">
        <v>2600.0</v>
      </c>
      <c r="N10490" s="9">
        <v>44627.0</v>
      </c>
    </row>
    <row r="10491">
      <c r="A10491" s="5">
        <v>10490.0</v>
      </c>
      <c r="B10491" s="5" t="s">
        <v>362</v>
      </c>
      <c r="C10491" s="5" t="s">
        <v>21</v>
      </c>
      <c r="K10491" s="5">
        <v>200.0</v>
      </c>
      <c r="N10491" s="9">
        <v>43925.0</v>
      </c>
    </row>
    <row r="10492">
      <c r="A10492" s="5">
        <v>10491.0</v>
      </c>
      <c r="B10492" s="5" t="s">
        <v>10949</v>
      </c>
      <c r="C10492" s="5" t="s">
        <v>21</v>
      </c>
      <c r="K10492" s="5">
        <v>150.0</v>
      </c>
      <c r="N10492" s="9">
        <v>44294.0</v>
      </c>
    </row>
    <row r="10493">
      <c r="A10493" s="5">
        <v>10492.0</v>
      </c>
      <c r="B10493" s="5" t="s">
        <v>10950</v>
      </c>
      <c r="C10493" s="5" t="s">
        <v>21</v>
      </c>
      <c r="N10493" s="9">
        <v>44108.0</v>
      </c>
    </row>
    <row r="10494">
      <c r="A10494" s="5">
        <v>10493.0</v>
      </c>
      <c r="B10494" s="5" t="s">
        <v>10951</v>
      </c>
      <c r="C10494" s="5" t="s">
        <v>21</v>
      </c>
      <c r="K10494" s="5">
        <v>1500.0</v>
      </c>
      <c r="N10494" s="9">
        <v>45677.0</v>
      </c>
    </row>
    <row r="10495">
      <c r="A10495" s="5">
        <v>10494.0</v>
      </c>
      <c r="B10495" s="5" t="s">
        <v>365</v>
      </c>
      <c r="C10495" s="5" t="s">
        <v>21</v>
      </c>
      <c r="K10495" s="5">
        <v>150.0</v>
      </c>
      <c r="N10495" s="9">
        <v>45552.0</v>
      </c>
    </row>
    <row r="10496">
      <c r="A10496" s="5">
        <v>10495.0</v>
      </c>
      <c r="B10496" s="5" t="s">
        <v>10952</v>
      </c>
      <c r="C10496" s="5" t="s">
        <v>21</v>
      </c>
      <c r="K10496" s="5">
        <v>200.0</v>
      </c>
      <c r="N10496" s="9">
        <v>45152.0</v>
      </c>
    </row>
    <row r="10497">
      <c r="A10497" s="5">
        <v>10496.0</v>
      </c>
      <c r="B10497" s="5" t="s">
        <v>10953</v>
      </c>
      <c r="C10497" s="5" t="s">
        <v>21</v>
      </c>
      <c r="K10497" s="5">
        <v>500.0</v>
      </c>
      <c r="N10497" s="9">
        <v>44535.0</v>
      </c>
    </row>
    <row r="10498">
      <c r="A10498" s="5">
        <v>10497.0</v>
      </c>
      <c r="B10498" s="5" t="s">
        <v>10954</v>
      </c>
      <c r="C10498" s="5" t="s">
        <v>21</v>
      </c>
      <c r="K10498" s="5">
        <v>350.0</v>
      </c>
      <c r="N10498" s="9">
        <v>44681.0</v>
      </c>
    </row>
    <row r="10499">
      <c r="A10499" s="5">
        <v>10498.0</v>
      </c>
      <c r="B10499" s="5" t="s">
        <v>10955</v>
      </c>
      <c r="C10499" s="5" t="s">
        <v>21</v>
      </c>
      <c r="K10499" s="5">
        <v>700.0</v>
      </c>
      <c r="N10499" s="9">
        <v>43890.0</v>
      </c>
    </row>
    <row r="10500">
      <c r="A10500" s="5">
        <v>10499.0</v>
      </c>
      <c r="B10500" s="5" t="s">
        <v>10956</v>
      </c>
      <c r="C10500" s="5" t="s">
        <v>21</v>
      </c>
      <c r="N10500" s="9">
        <v>44588.0</v>
      </c>
    </row>
    <row r="10501">
      <c r="A10501" s="5">
        <v>10500.0</v>
      </c>
      <c r="B10501" s="5" t="s">
        <v>10957</v>
      </c>
      <c r="C10501" s="5" t="s">
        <v>21</v>
      </c>
      <c r="K10501" s="5">
        <v>250.0</v>
      </c>
      <c r="N10501" s="9">
        <v>44691.0</v>
      </c>
    </row>
    <row r="10502">
      <c r="A10502" s="5">
        <v>10501.0</v>
      </c>
      <c r="B10502" s="5" t="s">
        <v>10958</v>
      </c>
      <c r="C10502" s="5" t="s">
        <v>21</v>
      </c>
      <c r="K10502" s="5">
        <v>600.0</v>
      </c>
      <c r="N10502" s="9">
        <v>44753.0</v>
      </c>
    </row>
    <row r="10503">
      <c r="A10503" s="5">
        <v>10502.0</v>
      </c>
      <c r="B10503" s="5" t="s">
        <v>10959</v>
      </c>
      <c r="C10503" s="5" t="s">
        <v>21</v>
      </c>
      <c r="K10503" s="5">
        <v>100.0</v>
      </c>
      <c r="N10503" s="9">
        <v>44381.0</v>
      </c>
    </row>
    <row r="10504">
      <c r="A10504" s="5">
        <v>10503.0</v>
      </c>
      <c r="B10504" s="5" t="s">
        <v>10960</v>
      </c>
      <c r="C10504" s="5" t="s">
        <v>21</v>
      </c>
      <c r="K10504" s="5">
        <v>700.0</v>
      </c>
      <c r="N10504" s="9">
        <v>44291.0</v>
      </c>
    </row>
    <row r="10505">
      <c r="A10505" s="5">
        <v>10504.0</v>
      </c>
      <c r="B10505" s="5" t="s">
        <v>10961</v>
      </c>
      <c r="C10505" s="5" t="s">
        <v>21</v>
      </c>
      <c r="K10505" s="5">
        <v>400.0</v>
      </c>
      <c r="N10505" s="9">
        <v>44909.0</v>
      </c>
    </row>
    <row r="10506">
      <c r="A10506" s="5">
        <v>10505.0</v>
      </c>
      <c r="B10506" s="5" t="s">
        <v>10962</v>
      </c>
      <c r="C10506" s="5" t="s">
        <v>21</v>
      </c>
      <c r="K10506" s="5">
        <v>150.0</v>
      </c>
      <c r="N10506" s="9">
        <v>43873.0</v>
      </c>
    </row>
    <row r="10507">
      <c r="A10507" s="5">
        <v>10506.0</v>
      </c>
      <c r="B10507" s="5" t="s">
        <v>10963</v>
      </c>
      <c r="C10507" s="5" t="s">
        <v>21</v>
      </c>
      <c r="K10507" s="5">
        <v>2800.0</v>
      </c>
      <c r="N10507" s="9">
        <v>44059.0</v>
      </c>
    </row>
    <row r="10508">
      <c r="A10508" s="5">
        <v>10507.0</v>
      </c>
      <c r="B10508" s="5" t="s">
        <v>10964</v>
      </c>
      <c r="C10508" s="5" t="s">
        <v>21</v>
      </c>
      <c r="K10508" s="5">
        <v>1300.0</v>
      </c>
      <c r="N10508" s="9">
        <v>44633.0</v>
      </c>
    </row>
    <row r="10509">
      <c r="A10509" s="5">
        <v>10508.0</v>
      </c>
      <c r="B10509" s="5" t="s">
        <v>10965</v>
      </c>
      <c r="C10509" s="5" t="s">
        <v>21</v>
      </c>
      <c r="K10509" s="5">
        <v>150.0</v>
      </c>
      <c r="N10509" s="9">
        <v>44192.0</v>
      </c>
    </row>
    <row r="10510">
      <c r="A10510" s="5">
        <v>10509.0</v>
      </c>
      <c r="B10510" s="5" t="s">
        <v>10966</v>
      </c>
      <c r="C10510" s="5" t="s">
        <v>21</v>
      </c>
      <c r="N10510" s="9">
        <v>44622.0</v>
      </c>
    </row>
    <row r="10511">
      <c r="A10511" s="5">
        <v>10510.0</v>
      </c>
      <c r="B10511" s="5" t="s">
        <v>10967</v>
      </c>
      <c r="C10511" s="5" t="s">
        <v>21</v>
      </c>
      <c r="K10511" s="5">
        <v>10.0</v>
      </c>
      <c r="N10511" s="9">
        <v>44472.0</v>
      </c>
    </row>
    <row r="10512">
      <c r="A10512" s="5">
        <v>10511.0</v>
      </c>
      <c r="B10512" s="5" t="s">
        <v>10968</v>
      </c>
      <c r="C10512" s="5" t="s">
        <v>21</v>
      </c>
      <c r="K10512" s="5">
        <v>2400.0</v>
      </c>
      <c r="N10512" s="9">
        <v>44610.0</v>
      </c>
    </row>
    <row r="10513">
      <c r="A10513" s="5">
        <v>10512.0</v>
      </c>
      <c r="B10513" s="5" t="s">
        <v>10969</v>
      </c>
      <c r="C10513" s="5" t="s">
        <v>21</v>
      </c>
      <c r="K10513" s="5">
        <v>1300.0</v>
      </c>
      <c r="N10513" s="9">
        <v>44245.0</v>
      </c>
    </row>
    <row r="10514">
      <c r="A10514" s="5">
        <v>10513.0</v>
      </c>
      <c r="B10514" s="5" t="s">
        <v>10970</v>
      </c>
      <c r="C10514" s="5" t="s">
        <v>21</v>
      </c>
      <c r="K10514" s="5">
        <v>350.0</v>
      </c>
      <c r="N10514" s="9">
        <v>45097.0</v>
      </c>
    </row>
    <row r="10515">
      <c r="A10515" s="5">
        <v>10514.0</v>
      </c>
      <c r="B10515" s="5" t="s">
        <v>10971</v>
      </c>
      <c r="C10515" s="5" t="s">
        <v>21</v>
      </c>
      <c r="K10515" s="5">
        <v>100.0</v>
      </c>
      <c r="N10515" s="9">
        <v>43957.0</v>
      </c>
    </row>
    <row r="10516">
      <c r="A10516" s="5">
        <v>10515.0</v>
      </c>
      <c r="B10516" s="5" t="s">
        <v>10972</v>
      </c>
      <c r="C10516" s="5" t="s">
        <v>21</v>
      </c>
      <c r="K10516" s="5">
        <v>800.0</v>
      </c>
      <c r="N10516" s="9">
        <v>44517.0</v>
      </c>
    </row>
    <row r="10517">
      <c r="A10517" s="5">
        <v>10516.0</v>
      </c>
      <c r="B10517" s="5" t="s">
        <v>10973</v>
      </c>
      <c r="C10517" s="5" t="s">
        <v>21</v>
      </c>
      <c r="K10517" s="5">
        <v>600.0</v>
      </c>
      <c r="N10517" s="9">
        <v>43886.0</v>
      </c>
    </row>
    <row r="10518">
      <c r="A10518" s="5">
        <v>10517.0</v>
      </c>
      <c r="B10518" s="5" t="s">
        <v>10974</v>
      </c>
      <c r="C10518" s="5" t="s">
        <v>21</v>
      </c>
      <c r="K10518" s="5">
        <v>250.0</v>
      </c>
      <c r="N10518" s="9">
        <v>44519.0</v>
      </c>
    </row>
    <row r="10519">
      <c r="A10519" s="5">
        <v>10518.0</v>
      </c>
      <c r="B10519" s="5" t="s">
        <v>10975</v>
      </c>
      <c r="C10519" s="5" t="s">
        <v>21</v>
      </c>
      <c r="K10519" s="5">
        <v>20.0</v>
      </c>
      <c r="N10519" s="9">
        <v>44762.0</v>
      </c>
    </row>
    <row r="10520">
      <c r="A10520" s="5">
        <v>10519.0</v>
      </c>
      <c r="B10520" s="5" t="s">
        <v>10976</v>
      </c>
      <c r="C10520" s="5" t="s">
        <v>21</v>
      </c>
      <c r="K10520" s="5">
        <v>100.0</v>
      </c>
      <c r="N10520" s="9">
        <v>44959.0</v>
      </c>
    </row>
    <row r="10521">
      <c r="A10521" s="5">
        <v>10520.0</v>
      </c>
      <c r="B10521" s="5" t="s">
        <v>10977</v>
      </c>
      <c r="C10521" s="5" t="s">
        <v>21</v>
      </c>
      <c r="K10521" s="5">
        <v>150.0</v>
      </c>
      <c r="N10521" s="9">
        <v>45028.0</v>
      </c>
    </row>
    <row r="10522">
      <c r="A10522" s="5">
        <v>10521.0</v>
      </c>
      <c r="B10522" s="5" t="s">
        <v>10978</v>
      </c>
      <c r="C10522" s="5" t="s">
        <v>21</v>
      </c>
      <c r="K10522" s="5">
        <v>1000.0</v>
      </c>
      <c r="N10522" s="9">
        <v>43875.0</v>
      </c>
    </row>
    <row r="10523">
      <c r="A10523" s="5">
        <v>10522.0</v>
      </c>
      <c r="B10523" s="5" t="s">
        <v>10979</v>
      </c>
      <c r="C10523" s="5" t="s">
        <v>21</v>
      </c>
      <c r="K10523" s="5">
        <v>900.0</v>
      </c>
      <c r="N10523" s="9">
        <v>44535.0</v>
      </c>
    </row>
    <row r="10524">
      <c r="A10524" s="5">
        <v>10523.0</v>
      </c>
      <c r="B10524" s="5" t="s">
        <v>10980</v>
      </c>
      <c r="C10524" s="5" t="s">
        <v>21</v>
      </c>
      <c r="K10524" s="5">
        <v>450.0</v>
      </c>
      <c r="N10524" s="9">
        <v>44086.0</v>
      </c>
    </row>
    <row r="10525">
      <c r="A10525" s="5">
        <v>10524.0</v>
      </c>
      <c r="B10525" s="5" t="s">
        <v>10981</v>
      </c>
      <c r="C10525" s="5" t="s">
        <v>21</v>
      </c>
      <c r="K10525" s="5">
        <v>350.0</v>
      </c>
      <c r="N10525" s="9">
        <v>44469.0</v>
      </c>
    </row>
    <row r="10526">
      <c r="A10526" s="5">
        <v>10525.0</v>
      </c>
      <c r="B10526" s="5" t="s">
        <v>10982</v>
      </c>
      <c r="C10526" s="5" t="s">
        <v>21</v>
      </c>
      <c r="K10526" s="5">
        <v>800.0</v>
      </c>
      <c r="N10526" s="9">
        <v>44554.0</v>
      </c>
    </row>
    <row r="10527">
      <c r="A10527" s="5">
        <v>10526.0</v>
      </c>
      <c r="B10527" s="5" t="s">
        <v>10983</v>
      </c>
      <c r="C10527" s="5" t="s">
        <v>21</v>
      </c>
      <c r="K10527" s="5">
        <v>400.0</v>
      </c>
      <c r="N10527" s="9">
        <v>44025.0</v>
      </c>
    </row>
    <row r="10528">
      <c r="A10528" s="5">
        <v>10527.0</v>
      </c>
      <c r="B10528" s="5" t="s">
        <v>10984</v>
      </c>
      <c r="C10528" s="5" t="s">
        <v>21</v>
      </c>
      <c r="K10528" s="5">
        <v>250.0</v>
      </c>
      <c r="N10528" s="9">
        <v>45718.0</v>
      </c>
    </row>
    <row r="10529">
      <c r="A10529" s="5">
        <v>10528.0</v>
      </c>
      <c r="B10529" s="5" t="s">
        <v>10985</v>
      </c>
      <c r="C10529" s="5" t="s">
        <v>21</v>
      </c>
      <c r="K10529" s="5">
        <v>900.0</v>
      </c>
      <c r="N10529" s="9">
        <v>44541.0</v>
      </c>
    </row>
    <row r="10530">
      <c r="A10530" s="5">
        <v>10529.0</v>
      </c>
      <c r="B10530" s="5" t="s">
        <v>10986</v>
      </c>
      <c r="C10530" s="5" t="s">
        <v>21</v>
      </c>
      <c r="K10530" s="5">
        <v>450.0</v>
      </c>
      <c r="N10530" s="9">
        <v>45080.0</v>
      </c>
    </row>
    <row r="10531">
      <c r="A10531" s="5">
        <v>10530.0</v>
      </c>
      <c r="B10531" s="5" t="s">
        <v>368</v>
      </c>
      <c r="C10531" s="5" t="s">
        <v>21</v>
      </c>
      <c r="K10531" s="5">
        <v>300.0</v>
      </c>
      <c r="N10531" s="9">
        <v>43973.0</v>
      </c>
    </row>
    <row r="10532">
      <c r="A10532" s="5">
        <v>10531.0</v>
      </c>
      <c r="B10532" s="5" t="s">
        <v>10987</v>
      </c>
      <c r="C10532" s="5" t="s">
        <v>21</v>
      </c>
      <c r="N10532" s="9">
        <v>45075.0</v>
      </c>
    </row>
    <row r="10533">
      <c r="A10533" s="5">
        <v>10532.0</v>
      </c>
      <c r="B10533" s="5" t="s">
        <v>10988</v>
      </c>
      <c r="C10533" s="5" t="s">
        <v>21</v>
      </c>
      <c r="K10533" s="5">
        <v>300.0</v>
      </c>
      <c r="N10533" s="9">
        <v>45265.0</v>
      </c>
    </row>
    <row r="10534">
      <c r="A10534" s="5">
        <v>10533.0</v>
      </c>
      <c r="B10534" s="5" t="s">
        <v>10989</v>
      </c>
      <c r="C10534" s="5" t="s">
        <v>21</v>
      </c>
      <c r="K10534" s="5">
        <v>90.0</v>
      </c>
      <c r="N10534" s="9">
        <v>45604.0</v>
      </c>
    </row>
    <row r="10535">
      <c r="A10535" s="5">
        <v>10534.0</v>
      </c>
      <c r="B10535" s="5" t="s">
        <v>10990</v>
      </c>
      <c r="C10535" s="5" t="s">
        <v>21</v>
      </c>
      <c r="K10535" s="5">
        <v>400.0</v>
      </c>
      <c r="N10535" s="9">
        <v>44629.0</v>
      </c>
    </row>
    <row r="10536">
      <c r="A10536" s="5">
        <v>10535.0</v>
      </c>
      <c r="B10536" s="5" t="s">
        <v>10991</v>
      </c>
      <c r="C10536" s="5" t="s">
        <v>21</v>
      </c>
      <c r="K10536" s="5">
        <v>1400.0</v>
      </c>
      <c r="N10536" s="9">
        <v>44542.0</v>
      </c>
    </row>
    <row r="10537">
      <c r="A10537" s="5">
        <v>10536.0</v>
      </c>
      <c r="B10537" s="5" t="s">
        <v>10992</v>
      </c>
      <c r="C10537" s="5" t="s">
        <v>21</v>
      </c>
      <c r="K10537" s="5">
        <v>40.0</v>
      </c>
      <c r="N10537" s="9">
        <v>44160.0</v>
      </c>
    </row>
    <row r="10538">
      <c r="A10538" s="5">
        <v>10537.0</v>
      </c>
      <c r="B10538" s="5" t="s">
        <v>10993</v>
      </c>
      <c r="C10538" s="5" t="s">
        <v>21</v>
      </c>
      <c r="K10538" s="5">
        <v>500.0</v>
      </c>
      <c r="N10538" s="9">
        <v>44722.0</v>
      </c>
    </row>
    <row r="10539">
      <c r="A10539" s="5">
        <v>10538.0</v>
      </c>
      <c r="B10539" s="5" t="s">
        <v>10994</v>
      </c>
      <c r="C10539" s="5" t="s">
        <v>21</v>
      </c>
      <c r="K10539" s="5">
        <v>800.0</v>
      </c>
      <c r="N10539" s="9">
        <v>44650.0</v>
      </c>
    </row>
    <row r="10540">
      <c r="A10540" s="5">
        <v>10539.0</v>
      </c>
      <c r="B10540" s="5" t="s">
        <v>10995</v>
      </c>
      <c r="C10540" s="5" t="s">
        <v>21</v>
      </c>
      <c r="K10540" s="5">
        <v>400.0</v>
      </c>
      <c r="N10540" s="9">
        <v>45198.0</v>
      </c>
    </row>
    <row r="10541">
      <c r="A10541" s="5">
        <v>10540.0</v>
      </c>
      <c r="B10541" s="5" t="s">
        <v>10996</v>
      </c>
      <c r="C10541" s="5" t="s">
        <v>21</v>
      </c>
      <c r="K10541" s="5">
        <v>70.0</v>
      </c>
      <c r="N10541" s="9">
        <v>45300.0</v>
      </c>
    </row>
    <row r="10542">
      <c r="A10542" s="5">
        <v>10541.0</v>
      </c>
      <c r="B10542" s="5" t="s">
        <v>10997</v>
      </c>
      <c r="C10542" s="5" t="s">
        <v>21</v>
      </c>
      <c r="K10542" s="5">
        <v>60.0</v>
      </c>
      <c r="N10542" s="9">
        <v>44391.0</v>
      </c>
    </row>
    <row r="10543">
      <c r="A10543" s="5">
        <v>10542.0</v>
      </c>
      <c r="B10543" s="5" t="s">
        <v>10998</v>
      </c>
      <c r="C10543" s="5" t="s">
        <v>21</v>
      </c>
      <c r="K10543" s="5">
        <v>200.0</v>
      </c>
      <c r="N10543" s="9">
        <v>44624.0</v>
      </c>
    </row>
    <row r="10544">
      <c r="A10544" s="5">
        <v>10543.0</v>
      </c>
      <c r="B10544" s="5" t="s">
        <v>10999</v>
      </c>
      <c r="C10544" s="5" t="s">
        <v>21</v>
      </c>
      <c r="K10544" s="5">
        <v>200.0</v>
      </c>
      <c r="N10544" s="9">
        <v>44585.0</v>
      </c>
    </row>
    <row r="10545">
      <c r="A10545" s="5">
        <v>10544.0</v>
      </c>
      <c r="B10545" s="5" t="s">
        <v>11000</v>
      </c>
      <c r="C10545" s="5" t="s">
        <v>21</v>
      </c>
      <c r="N10545" s="9">
        <v>44532.0</v>
      </c>
    </row>
    <row r="10546">
      <c r="A10546" s="5">
        <v>10545.0</v>
      </c>
      <c r="B10546" s="5" t="s">
        <v>11001</v>
      </c>
      <c r="C10546" s="5" t="s">
        <v>21</v>
      </c>
      <c r="K10546" s="5">
        <v>70.0</v>
      </c>
      <c r="N10546" s="9">
        <v>45088.0</v>
      </c>
    </row>
    <row r="10547">
      <c r="A10547" s="5">
        <v>10546.0</v>
      </c>
      <c r="B10547" s="5" t="s">
        <v>11002</v>
      </c>
      <c r="C10547" s="5" t="s">
        <v>21</v>
      </c>
      <c r="K10547" s="5">
        <v>1400.0</v>
      </c>
      <c r="N10547" s="9">
        <v>43880.0</v>
      </c>
    </row>
    <row r="10548">
      <c r="A10548" s="5">
        <v>10547.0</v>
      </c>
      <c r="B10548" s="5" t="s">
        <v>11003</v>
      </c>
      <c r="C10548" s="5" t="s">
        <v>21</v>
      </c>
      <c r="K10548" s="5">
        <v>1400.0</v>
      </c>
      <c r="N10548" s="9">
        <v>44597.0</v>
      </c>
    </row>
    <row r="10549">
      <c r="A10549" s="5">
        <v>10548.0</v>
      </c>
      <c r="B10549" s="5" t="s">
        <v>11004</v>
      </c>
      <c r="C10549" s="5" t="s">
        <v>21</v>
      </c>
      <c r="K10549" s="5">
        <v>150.0</v>
      </c>
      <c r="N10549" s="9">
        <v>45083.0</v>
      </c>
    </row>
    <row r="10550">
      <c r="A10550" s="5">
        <v>10549.0</v>
      </c>
      <c r="B10550" s="5" t="s">
        <v>11005</v>
      </c>
      <c r="C10550" s="5" t="s">
        <v>21</v>
      </c>
      <c r="K10550" s="5">
        <v>80.0</v>
      </c>
      <c r="N10550" s="9">
        <v>44942.0</v>
      </c>
    </row>
    <row r="10551">
      <c r="A10551" s="5">
        <v>10550.0</v>
      </c>
      <c r="B10551" s="5" t="s">
        <v>11006</v>
      </c>
      <c r="C10551" s="5" t="s">
        <v>21</v>
      </c>
      <c r="K10551" s="5">
        <v>7200.0</v>
      </c>
      <c r="N10551" s="9">
        <v>45293.0</v>
      </c>
    </row>
    <row r="10552">
      <c r="A10552" s="5">
        <v>10551.0</v>
      </c>
      <c r="B10552" s="5" t="s">
        <v>11007</v>
      </c>
      <c r="C10552" s="5" t="s">
        <v>21</v>
      </c>
      <c r="K10552" s="5">
        <v>300.0</v>
      </c>
      <c r="N10552" s="9">
        <v>44947.0</v>
      </c>
    </row>
    <row r="10553">
      <c r="A10553" s="5">
        <v>10552.0</v>
      </c>
      <c r="B10553" s="5" t="s">
        <v>11008</v>
      </c>
      <c r="C10553" s="5" t="s">
        <v>21</v>
      </c>
      <c r="K10553" s="5">
        <v>90.0</v>
      </c>
      <c r="N10553" s="9">
        <v>45089.0</v>
      </c>
    </row>
    <row r="10554">
      <c r="A10554" s="5">
        <v>10553.0</v>
      </c>
      <c r="B10554" s="5" t="s">
        <v>11009</v>
      </c>
      <c r="C10554" s="5" t="s">
        <v>21</v>
      </c>
      <c r="K10554" s="5">
        <v>350.0</v>
      </c>
      <c r="N10554" s="9">
        <v>44323.0</v>
      </c>
    </row>
    <row r="10555">
      <c r="A10555" s="5">
        <v>10554.0</v>
      </c>
      <c r="B10555" s="5" t="s">
        <v>11010</v>
      </c>
      <c r="C10555" s="5" t="s">
        <v>21</v>
      </c>
      <c r="K10555" s="5">
        <v>30.0</v>
      </c>
      <c r="N10555" s="9">
        <v>44313.0</v>
      </c>
    </row>
    <row r="10556">
      <c r="A10556" s="5">
        <v>10555.0</v>
      </c>
      <c r="B10556" s="5" t="s">
        <v>11011</v>
      </c>
      <c r="C10556" s="5" t="s">
        <v>21</v>
      </c>
      <c r="K10556" s="5">
        <v>9800.0</v>
      </c>
      <c r="N10556" s="9">
        <v>43889.0</v>
      </c>
    </row>
    <row r="10557">
      <c r="A10557" s="5">
        <v>10556.0</v>
      </c>
      <c r="B10557" s="5" t="s">
        <v>11012</v>
      </c>
      <c r="C10557" s="5" t="s">
        <v>21</v>
      </c>
      <c r="K10557" s="5">
        <v>3900.0</v>
      </c>
      <c r="N10557" s="9">
        <v>43881.0</v>
      </c>
    </row>
    <row r="10558">
      <c r="A10558" s="5">
        <v>10557.0</v>
      </c>
      <c r="B10558" s="5" t="s">
        <v>11013</v>
      </c>
      <c r="C10558" s="5" t="s">
        <v>21</v>
      </c>
      <c r="K10558" s="5">
        <v>150.0</v>
      </c>
      <c r="N10558" s="9">
        <v>45288.0</v>
      </c>
    </row>
    <row r="10559">
      <c r="A10559" s="5">
        <v>10558.0</v>
      </c>
      <c r="B10559" s="5" t="s">
        <v>11014</v>
      </c>
      <c r="C10559" s="5" t="s">
        <v>21</v>
      </c>
      <c r="K10559" s="5">
        <v>200.0</v>
      </c>
      <c r="N10559" s="9">
        <v>44943.0</v>
      </c>
    </row>
    <row r="10560">
      <c r="A10560" s="5">
        <v>10559.0</v>
      </c>
      <c r="B10560" s="5" t="s">
        <v>11015</v>
      </c>
      <c r="C10560" s="5" t="s">
        <v>21</v>
      </c>
      <c r="K10560" s="5">
        <v>1700.0</v>
      </c>
      <c r="N10560" s="9">
        <v>45344.0</v>
      </c>
    </row>
    <row r="10561">
      <c r="A10561" s="5">
        <v>10560.0</v>
      </c>
      <c r="B10561" s="5" t="s">
        <v>11016</v>
      </c>
      <c r="C10561" s="5" t="s">
        <v>21</v>
      </c>
      <c r="K10561" s="5">
        <v>250.0</v>
      </c>
      <c r="N10561" s="9">
        <v>44533.0</v>
      </c>
    </row>
    <row r="10562">
      <c r="A10562" s="5">
        <v>10561.0</v>
      </c>
      <c r="B10562" s="5" t="s">
        <v>11017</v>
      </c>
      <c r="C10562" s="5" t="s">
        <v>21</v>
      </c>
      <c r="K10562" s="5">
        <v>100.0</v>
      </c>
      <c r="N10562" s="9">
        <v>44571.0</v>
      </c>
    </row>
    <row r="10563">
      <c r="A10563" s="5">
        <v>10562.0</v>
      </c>
      <c r="B10563" s="5" t="s">
        <v>11018</v>
      </c>
      <c r="C10563" s="5" t="s">
        <v>21</v>
      </c>
      <c r="K10563" s="5">
        <v>18000.0</v>
      </c>
      <c r="N10563" s="9">
        <v>46085.0</v>
      </c>
    </row>
    <row r="10564">
      <c r="A10564" s="5">
        <v>10563.0</v>
      </c>
      <c r="B10564" s="5" t="s">
        <v>11019</v>
      </c>
      <c r="C10564" s="5" t="s">
        <v>21</v>
      </c>
      <c r="K10564" s="5">
        <v>350.0</v>
      </c>
      <c r="N10564" s="9">
        <v>44241.0</v>
      </c>
    </row>
    <row r="10565">
      <c r="A10565" s="5">
        <v>10564.0</v>
      </c>
      <c r="B10565" s="5" t="s">
        <v>11020</v>
      </c>
      <c r="C10565" s="5" t="s">
        <v>21</v>
      </c>
      <c r="K10565" s="5">
        <v>1500.0</v>
      </c>
      <c r="N10565" s="9">
        <v>44008.0</v>
      </c>
    </row>
    <row r="10566">
      <c r="A10566" s="5">
        <v>10565.0</v>
      </c>
      <c r="B10566" s="5" t="s">
        <v>11021</v>
      </c>
      <c r="C10566" s="5" t="s">
        <v>21</v>
      </c>
      <c r="K10566" s="5">
        <v>6500.0</v>
      </c>
      <c r="N10566" s="9">
        <v>44712.0</v>
      </c>
    </row>
    <row r="10567">
      <c r="A10567" s="5">
        <v>10566.0</v>
      </c>
      <c r="B10567" s="5" t="s">
        <v>11022</v>
      </c>
      <c r="C10567" s="5" t="s">
        <v>21</v>
      </c>
      <c r="K10567" s="5">
        <v>60.0</v>
      </c>
      <c r="N10567" s="9">
        <v>44221.0</v>
      </c>
    </row>
    <row r="10568">
      <c r="A10568" s="5">
        <v>10567.0</v>
      </c>
      <c r="B10568" s="5" t="s">
        <v>11023</v>
      </c>
      <c r="C10568" s="5" t="s">
        <v>21</v>
      </c>
      <c r="K10568" s="5">
        <v>200.0</v>
      </c>
      <c r="N10568" s="9">
        <v>45412.0</v>
      </c>
    </row>
    <row r="10569">
      <c r="A10569" s="5">
        <v>10568.0</v>
      </c>
      <c r="B10569" s="5" t="s">
        <v>11024</v>
      </c>
      <c r="C10569" s="5" t="s">
        <v>21</v>
      </c>
      <c r="K10569" s="5">
        <v>250.0</v>
      </c>
      <c r="N10569" s="9">
        <v>44827.0</v>
      </c>
    </row>
    <row r="10570">
      <c r="A10570" s="5">
        <v>10569.0</v>
      </c>
      <c r="B10570" s="5" t="s">
        <v>11025</v>
      </c>
      <c r="C10570" s="5" t="s">
        <v>21</v>
      </c>
      <c r="K10570" s="5">
        <v>2000.0</v>
      </c>
      <c r="N10570" s="9">
        <v>44520.0</v>
      </c>
    </row>
    <row r="10571">
      <c r="A10571" s="5">
        <v>10570.0</v>
      </c>
      <c r="B10571" s="5" t="s">
        <v>11026</v>
      </c>
      <c r="C10571" s="5" t="s">
        <v>21</v>
      </c>
      <c r="K10571" s="5">
        <v>450.0</v>
      </c>
      <c r="N10571" s="9">
        <v>44773.0</v>
      </c>
    </row>
    <row r="10572">
      <c r="A10572" s="5">
        <v>10571.0</v>
      </c>
      <c r="B10572" s="5" t="s">
        <v>11027</v>
      </c>
      <c r="C10572" s="5" t="s">
        <v>21</v>
      </c>
      <c r="K10572" s="5">
        <v>80.0</v>
      </c>
      <c r="N10572" s="9">
        <v>44765.0</v>
      </c>
    </row>
    <row r="10573">
      <c r="A10573" s="5">
        <v>10572.0</v>
      </c>
      <c r="B10573" s="5" t="s">
        <v>11028</v>
      </c>
      <c r="C10573" s="5" t="s">
        <v>21</v>
      </c>
      <c r="K10573" s="5">
        <v>700.0</v>
      </c>
      <c r="N10573" s="9">
        <v>44325.0</v>
      </c>
    </row>
    <row r="10574">
      <c r="A10574" s="5">
        <v>10573.0</v>
      </c>
      <c r="B10574" s="5" t="s">
        <v>11029</v>
      </c>
      <c r="C10574" s="5" t="s">
        <v>21</v>
      </c>
      <c r="K10574" s="5">
        <v>450.0</v>
      </c>
      <c r="N10574" s="9">
        <v>44851.0</v>
      </c>
    </row>
    <row r="10575">
      <c r="A10575" s="5">
        <v>10574.0</v>
      </c>
      <c r="B10575" s="5" t="s">
        <v>11030</v>
      </c>
      <c r="C10575" s="5" t="s">
        <v>21</v>
      </c>
      <c r="K10575" s="5">
        <v>80.0</v>
      </c>
      <c r="N10575" s="9">
        <v>44610.0</v>
      </c>
    </row>
    <row r="10576">
      <c r="A10576" s="5">
        <v>10575.0</v>
      </c>
      <c r="B10576" s="5" t="s">
        <v>11031</v>
      </c>
      <c r="C10576" s="5" t="s">
        <v>21</v>
      </c>
      <c r="K10576" s="5">
        <v>900.0</v>
      </c>
      <c r="N10576" s="9">
        <v>44612.0</v>
      </c>
    </row>
    <row r="10577">
      <c r="A10577" s="5">
        <v>10576.0</v>
      </c>
      <c r="B10577" s="5" t="s">
        <v>11032</v>
      </c>
      <c r="C10577" s="5" t="s">
        <v>21</v>
      </c>
      <c r="K10577" s="5">
        <v>30.0</v>
      </c>
      <c r="N10577" s="9">
        <v>44970.0</v>
      </c>
    </row>
    <row r="10578">
      <c r="A10578" s="5">
        <v>10577.0</v>
      </c>
      <c r="B10578" s="5" t="s">
        <v>11033</v>
      </c>
      <c r="C10578" s="5" t="s">
        <v>21</v>
      </c>
      <c r="K10578" s="5">
        <v>3100.0</v>
      </c>
      <c r="N10578" s="9">
        <v>43901.0</v>
      </c>
    </row>
    <row r="10579">
      <c r="A10579" s="5">
        <v>10578.0</v>
      </c>
      <c r="B10579" s="5" t="s">
        <v>11034</v>
      </c>
      <c r="C10579" s="5" t="s">
        <v>21</v>
      </c>
      <c r="K10579" s="5">
        <v>500.0</v>
      </c>
      <c r="N10579" s="9">
        <v>45097.0</v>
      </c>
    </row>
    <row r="10580">
      <c r="A10580" s="5">
        <v>10579.0</v>
      </c>
      <c r="B10580" s="5" t="s">
        <v>11035</v>
      </c>
      <c r="C10580" s="5" t="s">
        <v>21</v>
      </c>
      <c r="K10580" s="5">
        <v>900.0</v>
      </c>
      <c r="N10580" s="9">
        <v>43909.0</v>
      </c>
    </row>
    <row r="10581">
      <c r="A10581" s="5">
        <v>10580.0</v>
      </c>
      <c r="B10581" s="5" t="s">
        <v>11036</v>
      </c>
      <c r="C10581" s="5" t="s">
        <v>21</v>
      </c>
      <c r="K10581" s="5">
        <v>13000.0</v>
      </c>
      <c r="N10581" s="9">
        <v>44075.0</v>
      </c>
    </row>
    <row r="10582">
      <c r="A10582" s="5">
        <v>10581.0</v>
      </c>
      <c r="B10582" s="5" t="s">
        <v>11037</v>
      </c>
      <c r="C10582" s="5" t="s">
        <v>21</v>
      </c>
      <c r="K10582" s="5">
        <v>1500.0</v>
      </c>
      <c r="N10582" s="9">
        <v>44657.0</v>
      </c>
    </row>
    <row r="10583">
      <c r="A10583" s="5">
        <v>10582.0</v>
      </c>
      <c r="B10583" s="5" t="s">
        <v>11038</v>
      </c>
      <c r="C10583" s="5" t="s">
        <v>21</v>
      </c>
      <c r="K10583" s="5">
        <v>2500.0</v>
      </c>
      <c r="N10583" s="9">
        <v>44082.0</v>
      </c>
    </row>
    <row r="10584">
      <c r="A10584" s="5">
        <v>10583.0</v>
      </c>
      <c r="B10584" s="5" t="s">
        <v>11039</v>
      </c>
      <c r="C10584" s="5" t="s">
        <v>21</v>
      </c>
      <c r="K10584" s="5">
        <v>200.0</v>
      </c>
      <c r="N10584" s="9">
        <v>44644.0</v>
      </c>
    </row>
    <row r="10585">
      <c r="A10585" s="5">
        <v>10584.0</v>
      </c>
      <c r="B10585" s="5" t="s">
        <v>11040</v>
      </c>
      <c r="C10585" s="5" t="s">
        <v>21</v>
      </c>
      <c r="K10585" s="5">
        <v>600.0</v>
      </c>
      <c r="N10585" s="9">
        <v>44576.0</v>
      </c>
    </row>
    <row r="10586">
      <c r="A10586" s="5">
        <v>10585.0</v>
      </c>
      <c r="B10586" s="5" t="s">
        <v>11041</v>
      </c>
      <c r="C10586" s="5" t="s">
        <v>21</v>
      </c>
      <c r="K10586" s="5">
        <v>500.0</v>
      </c>
      <c r="N10586" s="9">
        <v>44365.0</v>
      </c>
    </row>
    <row r="10587">
      <c r="A10587" s="5">
        <v>10586.0</v>
      </c>
      <c r="B10587" s="5" t="s">
        <v>11042</v>
      </c>
      <c r="C10587" s="5" t="s">
        <v>21</v>
      </c>
      <c r="K10587" s="5">
        <v>100.0</v>
      </c>
      <c r="N10587" s="9">
        <v>45128.0</v>
      </c>
    </row>
    <row r="10588">
      <c r="A10588" s="5">
        <v>10587.0</v>
      </c>
      <c r="B10588" s="5" t="s">
        <v>11043</v>
      </c>
      <c r="C10588" s="5" t="s">
        <v>21</v>
      </c>
      <c r="K10588" s="5">
        <v>150.0</v>
      </c>
      <c r="N10588" s="9">
        <v>44807.0</v>
      </c>
    </row>
    <row r="10589">
      <c r="A10589" s="5">
        <v>10588.0</v>
      </c>
      <c r="B10589" s="5" t="s">
        <v>11044</v>
      </c>
      <c r="C10589" s="5" t="s">
        <v>21</v>
      </c>
      <c r="K10589" s="5">
        <v>100.0</v>
      </c>
      <c r="N10589" s="9">
        <v>44721.0</v>
      </c>
    </row>
    <row r="10590">
      <c r="A10590" s="5">
        <v>10589.0</v>
      </c>
      <c r="B10590" s="5" t="s">
        <v>11045</v>
      </c>
      <c r="C10590" s="5" t="s">
        <v>21</v>
      </c>
      <c r="K10590" s="5">
        <v>250.0</v>
      </c>
      <c r="N10590" s="9">
        <v>44561.0</v>
      </c>
    </row>
    <row r="10591">
      <c r="A10591" s="5">
        <v>10590.0</v>
      </c>
      <c r="B10591" s="5" t="s">
        <v>11046</v>
      </c>
      <c r="C10591" s="5" t="s">
        <v>21</v>
      </c>
      <c r="K10591" s="5">
        <v>80.0</v>
      </c>
      <c r="N10591" s="9">
        <v>44323.0</v>
      </c>
    </row>
    <row r="10592">
      <c r="A10592" s="5">
        <v>10591.0</v>
      </c>
      <c r="B10592" s="5" t="s">
        <v>11047</v>
      </c>
      <c r="C10592" s="5" t="s">
        <v>21</v>
      </c>
      <c r="K10592" s="5">
        <v>200.0</v>
      </c>
      <c r="N10592" s="9">
        <v>44579.0</v>
      </c>
    </row>
    <row r="10593">
      <c r="A10593" s="5">
        <v>10592.0</v>
      </c>
      <c r="B10593" s="5" t="s">
        <v>11048</v>
      </c>
      <c r="C10593" s="5" t="s">
        <v>21</v>
      </c>
      <c r="K10593" s="5">
        <v>450.0</v>
      </c>
      <c r="N10593" s="9">
        <v>44685.0</v>
      </c>
    </row>
    <row r="10594">
      <c r="A10594" s="5">
        <v>10593.0</v>
      </c>
      <c r="B10594" s="5" t="s">
        <v>11049</v>
      </c>
      <c r="C10594" s="5" t="s">
        <v>21</v>
      </c>
      <c r="K10594" s="5">
        <v>300.0</v>
      </c>
      <c r="N10594" s="9">
        <v>45555.0</v>
      </c>
    </row>
    <row r="10595">
      <c r="A10595" s="5">
        <v>10594.0</v>
      </c>
      <c r="B10595" s="5" t="s">
        <v>11050</v>
      </c>
      <c r="C10595" s="5" t="s">
        <v>21</v>
      </c>
      <c r="K10595" s="5">
        <v>500.0</v>
      </c>
      <c r="N10595" s="9">
        <v>43856.0</v>
      </c>
    </row>
    <row r="10596">
      <c r="A10596" s="5">
        <v>10595.0</v>
      </c>
      <c r="B10596" s="5" t="s">
        <v>11051</v>
      </c>
      <c r="C10596" s="5" t="s">
        <v>21</v>
      </c>
      <c r="K10596" s="5">
        <v>70.0</v>
      </c>
      <c r="N10596" s="9">
        <v>43860.0</v>
      </c>
    </row>
    <row r="10597">
      <c r="A10597" s="5">
        <v>10596.0</v>
      </c>
      <c r="B10597" s="5" t="s">
        <v>11052</v>
      </c>
      <c r="C10597" s="5" t="s">
        <v>21</v>
      </c>
      <c r="K10597" s="5">
        <v>700.0</v>
      </c>
      <c r="N10597" s="9">
        <v>44521.0</v>
      </c>
    </row>
    <row r="10598">
      <c r="A10598" s="5">
        <v>10597.0</v>
      </c>
      <c r="B10598" s="5" t="s">
        <v>11053</v>
      </c>
      <c r="C10598" s="5" t="s">
        <v>21</v>
      </c>
      <c r="K10598" s="5">
        <v>500.0</v>
      </c>
      <c r="N10598" s="9">
        <v>44475.0</v>
      </c>
    </row>
    <row r="10599">
      <c r="A10599" s="5">
        <v>10598.0</v>
      </c>
      <c r="B10599" s="5" t="s">
        <v>11054</v>
      </c>
      <c r="C10599" s="5" t="s">
        <v>21</v>
      </c>
      <c r="K10599" s="5">
        <v>200.0</v>
      </c>
      <c r="N10599" s="9">
        <v>44976.0</v>
      </c>
    </row>
    <row r="10600">
      <c r="A10600" s="5">
        <v>10599.0</v>
      </c>
      <c r="B10600" s="5" t="s">
        <v>11055</v>
      </c>
      <c r="C10600" s="5" t="s">
        <v>21</v>
      </c>
      <c r="K10600" s="5">
        <v>150.0</v>
      </c>
      <c r="N10600" s="9">
        <v>44203.0</v>
      </c>
    </row>
    <row r="10601">
      <c r="A10601" s="5">
        <v>10600.0</v>
      </c>
      <c r="B10601" s="5" t="s">
        <v>11056</v>
      </c>
      <c r="C10601" s="5" t="s">
        <v>21</v>
      </c>
      <c r="K10601" s="5">
        <v>450.0</v>
      </c>
      <c r="N10601" s="9">
        <v>44276.0</v>
      </c>
    </row>
    <row r="10602">
      <c r="A10602" s="5">
        <v>10601.0</v>
      </c>
      <c r="B10602" s="5" t="s">
        <v>11057</v>
      </c>
      <c r="C10602" s="5" t="s">
        <v>21</v>
      </c>
      <c r="K10602" s="5">
        <v>500.0</v>
      </c>
      <c r="N10602" s="9">
        <v>44411.0</v>
      </c>
    </row>
    <row r="10603">
      <c r="A10603" s="5">
        <v>10602.0</v>
      </c>
      <c r="B10603" s="5" t="s">
        <v>11058</v>
      </c>
      <c r="C10603" s="5" t="s">
        <v>21</v>
      </c>
      <c r="K10603" s="5">
        <v>600.0</v>
      </c>
      <c r="N10603" s="9">
        <v>45089.0</v>
      </c>
    </row>
    <row r="10604">
      <c r="A10604" s="5">
        <v>10603.0</v>
      </c>
      <c r="B10604" s="5" t="s">
        <v>11059</v>
      </c>
      <c r="C10604" s="5" t="s">
        <v>21</v>
      </c>
      <c r="K10604" s="5">
        <v>2700.0</v>
      </c>
      <c r="N10604" s="9">
        <v>43930.0</v>
      </c>
    </row>
    <row r="10605">
      <c r="A10605" s="5">
        <v>10604.0</v>
      </c>
      <c r="B10605" s="5" t="s">
        <v>11060</v>
      </c>
      <c r="C10605" s="5" t="s">
        <v>21</v>
      </c>
      <c r="K10605" s="5">
        <v>80.0</v>
      </c>
      <c r="N10605" s="9">
        <v>44324.0</v>
      </c>
    </row>
    <row r="10606">
      <c r="A10606" s="5">
        <v>10605.0</v>
      </c>
      <c r="B10606" s="5" t="s">
        <v>11061</v>
      </c>
      <c r="C10606" s="5" t="s">
        <v>21</v>
      </c>
      <c r="K10606" s="5">
        <v>250.0</v>
      </c>
      <c r="N10606" s="9">
        <v>45042.0</v>
      </c>
    </row>
    <row r="10607">
      <c r="A10607" s="5">
        <v>10606.0</v>
      </c>
      <c r="B10607" s="5" t="s">
        <v>11062</v>
      </c>
      <c r="C10607" s="5" t="s">
        <v>21</v>
      </c>
      <c r="K10607" s="5">
        <v>450.0</v>
      </c>
      <c r="N10607" s="9">
        <v>44603.0</v>
      </c>
    </row>
    <row r="10608">
      <c r="A10608" s="5">
        <v>10607.0</v>
      </c>
      <c r="B10608" s="5" t="s">
        <v>11063</v>
      </c>
      <c r="C10608" s="5" t="s">
        <v>21</v>
      </c>
      <c r="K10608" s="5">
        <v>200.0</v>
      </c>
      <c r="N10608" s="9">
        <v>44715.0</v>
      </c>
    </row>
    <row r="10609">
      <c r="A10609" s="5">
        <v>10608.0</v>
      </c>
      <c r="B10609" s="5" t="s">
        <v>11064</v>
      </c>
      <c r="C10609" s="5" t="s">
        <v>21</v>
      </c>
      <c r="K10609" s="5">
        <v>200.0</v>
      </c>
      <c r="N10609" s="9">
        <v>44752.0</v>
      </c>
    </row>
    <row r="10610">
      <c r="A10610" s="5">
        <v>10609.0</v>
      </c>
      <c r="B10610" s="5" t="s">
        <v>11065</v>
      </c>
      <c r="C10610" s="5" t="s">
        <v>21</v>
      </c>
      <c r="K10610" s="5">
        <v>60.0</v>
      </c>
      <c r="N10610" s="9">
        <v>44895.0</v>
      </c>
    </row>
    <row r="10611">
      <c r="A10611" s="5">
        <v>10610.0</v>
      </c>
      <c r="B10611" s="5" t="s">
        <v>11066</v>
      </c>
      <c r="C10611" s="5" t="s">
        <v>21</v>
      </c>
      <c r="K10611" s="5">
        <v>80.0</v>
      </c>
      <c r="N10611" s="9">
        <v>44293.0</v>
      </c>
    </row>
    <row r="10612">
      <c r="A10612" s="5">
        <v>10611.0</v>
      </c>
      <c r="B10612" s="5" t="s">
        <v>11067</v>
      </c>
      <c r="C10612" s="5" t="s">
        <v>21</v>
      </c>
      <c r="K10612" s="5">
        <v>600.0</v>
      </c>
      <c r="N10612" s="9">
        <v>44905.0</v>
      </c>
    </row>
    <row r="10613">
      <c r="A10613" s="5">
        <v>10612.0</v>
      </c>
      <c r="B10613" s="5" t="s">
        <v>11068</v>
      </c>
      <c r="C10613" s="5" t="s">
        <v>21</v>
      </c>
      <c r="K10613" s="5">
        <v>700.0</v>
      </c>
      <c r="N10613" s="9">
        <v>44388.0</v>
      </c>
    </row>
    <row r="10614">
      <c r="A10614" s="5">
        <v>10613.0</v>
      </c>
      <c r="B10614" s="5" t="s">
        <v>11069</v>
      </c>
      <c r="C10614" s="5" t="s">
        <v>21</v>
      </c>
      <c r="K10614" s="5">
        <v>300.0</v>
      </c>
      <c r="N10614" s="9">
        <v>45310.0</v>
      </c>
    </row>
    <row r="10615">
      <c r="A10615" s="5">
        <v>10614.0</v>
      </c>
      <c r="B10615" s="5" t="s">
        <v>11070</v>
      </c>
      <c r="C10615" s="5" t="s">
        <v>21</v>
      </c>
      <c r="N10615" s="9">
        <v>44519.0</v>
      </c>
    </row>
    <row r="10616">
      <c r="A10616" s="5">
        <v>10615.0</v>
      </c>
      <c r="B10616" s="5" t="s">
        <v>11071</v>
      </c>
      <c r="C10616" s="5" t="s">
        <v>21</v>
      </c>
      <c r="K10616" s="5">
        <v>600.0</v>
      </c>
      <c r="N10616" s="9">
        <v>44428.0</v>
      </c>
    </row>
    <row r="10617">
      <c r="A10617" s="5">
        <v>10616.0</v>
      </c>
      <c r="B10617" s="5" t="s">
        <v>11072</v>
      </c>
      <c r="C10617" s="5" t="s">
        <v>21</v>
      </c>
      <c r="K10617" s="5">
        <v>350.0</v>
      </c>
      <c r="N10617" s="9">
        <v>44342.0</v>
      </c>
    </row>
    <row r="10618">
      <c r="A10618" s="5">
        <v>10617.0</v>
      </c>
      <c r="B10618" s="5" t="s">
        <v>11073</v>
      </c>
      <c r="C10618" s="5" t="s">
        <v>21</v>
      </c>
      <c r="K10618" s="5">
        <v>150.0</v>
      </c>
      <c r="N10618" s="9">
        <v>44582.0</v>
      </c>
    </row>
    <row r="10619">
      <c r="A10619" s="5">
        <v>10618.0</v>
      </c>
      <c r="B10619" s="5" t="s">
        <v>11074</v>
      </c>
      <c r="C10619" s="5" t="s">
        <v>21</v>
      </c>
      <c r="K10619" s="5">
        <v>600.0</v>
      </c>
      <c r="N10619" s="9">
        <v>44444.0</v>
      </c>
    </row>
    <row r="10620">
      <c r="A10620" s="5">
        <v>10619.0</v>
      </c>
      <c r="B10620" s="5" t="s">
        <v>11075</v>
      </c>
      <c r="C10620" s="5" t="s">
        <v>21</v>
      </c>
      <c r="K10620" s="5">
        <v>250.0</v>
      </c>
      <c r="N10620" s="9">
        <v>43909.0</v>
      </c>
    </row>
    <row r="10621">
      <c r="A10621" s="5">
        <v>10620.0</v>
      </c>
      <c r="B10621" s="5" t="s">
        <v>11076</v>
      </c>
      <c r="C10621" s="5" t="s">
        <v>21</v>
      </c>
      <c r="K10621" s="5">
        <v>60.0</v>
      </c>
      <c r="N10621" s="9">
        <v>44866.0</v>
      </c>
    </row>
    <row r="10622">
      <c r="A10622" s="5">
        <v>10621.0</v>
      </c>
      <c r="B10622" s="5" t="s">
        <v>11077</v>
      </c>
      <c r="C10622" s="5" t="s">
        <v>21</v>
      </c>
      <c r="K10622" s="5">
        <v>200.0</v>
      </c>
      <c r="N10622" s="9">
        <v>44540.0</v>
      </c>
    </row>
    <row r="10623">
      <c r="A10623" s="5">
        <v>10622.0</v>
      </c>
      <c r="B10623" s="5" t="s">
        <v>11078</v>
      </c>
      <c r="C10623" s="5" t="s">
        <v>21</v>
      </c>
      <c r="K10623" s="5">
        <v>700.0</v>
      </c>
      <c r="N10623" s="9">
        <v>45469.0</v>
      </c>
    </row>
    <row r="10624">
      <c r="A10624" s="5">
        <v>10623.0</v>
      </c>
      <c r="B10624" s="5" t="s">
        <v>11079</v>
      </c>
      <c r="C10624" s="5" t="s">
        <v>21</v>
      </c>
      <c r="K10624" s="5">
        <v>2800.0</v>
      </c>
      <c r="N10624" s="9">
        <v>44282.0</v>
      </c>
    </row>
    <row r="10625">
      <c r="A10625" s="5">
        <v>10624.0</v>
      </c>
      <c r="B10625" s="5" t="s">
        <v>11080</v>
      </c>
      <c r="C10625" s="5" t="s">
        <v>21</v>
      </c>
      <c r="K10625" s="5">
        <v>90.0</v>
      </c>
      <c r="N10625" s="9">
        <v>44531.0</v>
      </c>
    </row>
    <row r="10626">
      <c r="A10626" s="5">
        <v>10625.0</v>
      </c>
      <c r="B10626" s="5" t="s">
        <v>11081</v>
      </c>
      <c r="C10626" s="5" t="s">
        <v>21</v>
      </c>
      <c r="K10626" s="5">
        <v>2800.0</v>
      </c>
      <c r="N10626" s="9">
        <v>44635.0</v>
      </c>
    </row>
    <row r="10627">
      <c r="A10627" s="5">
        <v>10626.0</v>
      </c>
      <c r="B10627" s="5" t="s">
        <v>11082</v>
      </c>
      <c r="C10627" s="5" t="s">
        <v>21</v>
      </c>
      <c r="K10627" s="5">
        <v>450.0</v>
      </c>
      <c r="N10627" s="9">
        <v>45543.0</v>
      </c>
    </row>
    <row r="10628">
      <c r="A10628" s="5">
        <v>10627.0</v>
      </c>
      <c r="B10628" s="5" t="s">
        <v>11083</v>
      </c>
      <c r="C10628" s="5" t="s">
        <v>21</v>
      </c>
      <c r="K10628" s="5">
        <v>70.0</v>
      </c>
      <c r="N10628" s="9">
        <v>44362.0</v>
      </c>
    </row>
    <row r="10629">
      <c r="A10629" s="5">
        <v>10628.0</v>
      </c>
      <c r="B10629" s="5" t="s">
        <v>11084</v>
      </c>
      <c r="C10629" s="5" t="s">
        <v>21</v>
      </c>
      <c r="K10629" s="5">
        <v>200.0</v>
      </c>
      <c r="N10629" s="9">
        <v>44619.0</v>
      </c>
    </row>
    <row r="10630">
      <c r="A10630" s="5">
        <v>10629.0</v>
      </c>
      <c r="B10630" s="5" t="s">
        <v>11085</v>
      </c>
      <c r="C10630" s="5" t="s">
        <v>21</v>
      </c>
      <c r="K10630" s="5">
        <v>450.0</v>
      </c>
      <c r="N10630" s="9">
        <v>45096.0</v>
      </c>
    </row>
    <row r="10631">
      <c r="A10631" s="5">
        <v>10630.0</v>
      </c>
      <c r="B10631" s="5" t="s">
        <v>11086</v>
      </c>
      <c r="C10631" s="5" t="s">
        <v>21</v>
      </c>
      <c r="K10631" s="5">
        <v>150.0</v>
      </c>
      <c r="N10631" s="9">
        <v>44878.0</v>
      </c>
    </row>
    <row r="10632">
      <c r="A10632" s="5">
        <v>10631.0</v>
      </c>
      <c r="B10632" s="5" t="s">
        <v>11087</v>
      </c>
      <c r="C10632" s="5" t="s">
        <v>21</v>
      </c>
      <c r="K10632" s="5">
        <v>1100.0</v>
      </c>
      <c r="N10632" s="9">
        <v>44895.0</v>
      </c>
    </row>
    <row r="10633">
      <c r="A10633" s="5">
        <v>10632.0</v>
      </c>
      <c r="B10633" s="5" t="s">
        <v>11088</v>
      </c>
      <c r="C10633" s="5" t="s">
        <v>21</v>
      </c>
      <c r="K10633" s="5">
        <v>1000.0</v>
      </c>
      <c r="N10633" s="9">
        <v>44476.0</v>
      </c>
    </row>
    <row r="10634">
      <c r="A10634" s="5">
        <v>10633.0</v>
      </c>
      <c r="B10634" s="5" t="s">
        <v>11089</v>
      </c>
      <c r="C10634" s="5" t="s">
        <v>21</v>
      </c>
      <c r="K10634" s="5">
        <v>100.0</v>
      </c>
      <c r="N10634" s="9">
        <v>44516.0</v>
      </c>
    </row>
    <row r="10635">
      <c r="A10635" s="5">
        <v>10634.0</v>
      </c>
      <c r="B10635" s="5" t="s">
        <v>11090</v>
      </c>
      <c r="C10635" s="5" t="s">
        <v>21</v>
      </c>
      <c r="K10635" s="5">
        <v>350.0</v>
      </c>
      <c r="N10635" s="9">
        <v>44564.0</v>
      </c>
    </row>
    <row r="10636">
      <c r="A10636" s="5">
        <v>10635.0</v>
      </c>
      <c r="B10636" s="5" t="s">
        <v>11091</v>
      </c>
      <c r="C10636" s="5" t="s">
        <v>21</v>
      </c>
      <c r="K10636" s="5">
        <v>250.0</v>
      </c>
      <c r="N10636" s="9">
        <v>43939.0</v>
      </c>
    </row>
    <row r="10637">
      <c r="A10637" s="5">
        <v>10636.0</v>
      </c>
      <c r="B10637" s="5" t="s">
        <v>11092</v>
      </c>
      <c r="C10637" s="5" t="s">
        <v>21</v>
      </c>
      <c r="K10637" s="5">
        <v>300.0</v>
      </c>
      <c r="N10637" s="9">
        <v>45692.0</v>
      </c>
    </row>
    <row r="10638">
      <c r="A10638" s="5">
        <v>10637.0</v>
      </c>
      <c r="B10638" s="5" t="s">
        <v>11093</v>
      </c>
      <c r="C10638" s="5" t="s">
        <v>21</v>
      </c>
      <c r="K10638" s="5">
        <v>150.0</v>
      </c>
      <c r="N10638" s="9">
        <v>43868.0</v>
      </c>
    </row>
    <row r="10639">
      <c r="A10639" s="5">
        <v>10638.0</v>
      </c>
      <c r="B10639" s="5" t="s">
        <v>11094</v>
      </c>
      <c r="C10639" s="5" t="s">
        <v>21</v>
      </c>
      <c r="K10639" s="5">
        <v>26000.0</v>
      </c>
      <c r="N10639" s="9">
        <v>43935.0</v>
      </c>
    </row>
    <row r="10640">
      <c r="A10640" s="5">
        <v>10639.0</v>
      </c>
      <c r="B10640" s="5" t="s">
        <v>11095</v>
      </c>
      <c r="C10640" s="5" t="s">
        <v>21</v>
      </c>
      <c r="K10640" s="5">
        <v>200.0</v>
      </c>
      <c r="N10640" s="9">
        <v>43944.0</v>
      </c>
    </row>
    <row r="10641">
      <c r="A10641" s="5">
        <v>10640.0</v>
      </c>
      <c r="B10641" s="5" t="s">
        <v>11096</v>
      </c>
      <c r="C10641" s="5" t="s">
        <v>21</v>
      </c>
      <c r="K10641" s="5">
        <v>200.0</v>
      </c>
      <c r="N10641" s="9">
        <v>44741.0</v>
      </c>
    </row>
    <row r="10642">
      <c r="A10642" s="5">
        <v>10641.0</v>
      </c>
      <c r="B10642" s="5" t="s">
        <v>11097</v>
      </c>
      <c r="C10642" s="5" t="s">
        <v>21</v>
      </c>
      <c r="K10642" s="5">
        <v>500.0</v>
      </c>
      <c r="N10642" s="9">
        <v>44662.0</v>
      </c>
    </row>
    <row r="10643">
      <c r="A10643" s="5">
        <v>10642.0</v>
      </c>
      <c r="B10643" s="5" t="s">
        <v>11098</v>
      </c>
      <c r="C10643" s="5" t="s">
        <v>21</v>
      </c>
      <c r="K10643" s="5">
        <v>9300.0</v>
      </c>
      <c r="N10643" s="9">
        <v>44331.0</v>
      </c>
    </row>
    <row r="10644">
      <c r="A10644" s="5">
        <v>10643.0</v>
      </c>
      <c r="B10644" s="5" t="s">
        <v>11099</v>
      </c>
      <c r="C10644" s="5" t="s">
        <v>21</v>
      </c>
      <c r="N10644" s="9">
        <v>44518.0</v>
      </c>
    </row>
    <row r="10645">
      <c r="A10645" s="5">
        <v>10644.0</v>
      </c>
      <c r="B10645" s="5" t="s">
        <v>371</v>
      </c>
      <c r="C10645" s="5" t="s">
        <v>21</v>
      </c>
      <c r="K10645" s="5">
        <v>250.0</v>
      </c>
      <c r="N10645" s="9">
        <v>45342.0</v>
      </c>
    </row>
    <row r="10646">
      <c r="A10646" s="5">
        <v>10645.0</v>
      </c>
      <c r="B10646" s="5" t="s">
        <v>11100</v>
      </c>
      <c r="C10646" s="5" t="s">
        <v>21</v>
      </c>
      <c r="K10646" s="5">
        <v>200.0</v>
      </c>
      <c r="N10646" s="9">
        <v>44559.0</v>
      </c>
    </row>
    <row r="10647">
      <c r="A10647" s="5">
        <v>10646.0</v>
      </c>
      <c r="B10647" s="5" t="s">
        <v>11101</v>
      </c>
      <c r="C10647" s="5" t="s">
        <v>21</v>
      </c>
      <c r="K10647" s="5">
        <v>700.0</v>
      </c>
      <c r="N10647" s="9">
        <v>44800.0</v>
      </c>
    </row>
    <row r="10648">
      <c r="A10648" s="5">
        <v>10647.0</v>
      </c>
      <c r="B10648" s="5" t="s">
        <v>11102</v>
      </c>
      <c r="C10648" s="5" t="s">
        <v>21</v>
      </c>
      <c r="K10648" s="5">
        <v>15000.0</v>
      </c>
      <c r="N10648" s="9">
        <v>43926.0</v>
      </c>
    </row>
    <row r="10649">
      <c r="A10649" s="5">
        <v>10648.0</v>
      </c>
      <c r="B10649" s="5" t="s">
        <v>11103</v>
      </c>
      <c r="C10649" s="5" t="s">
        <v>21</v>
      </c>
      <c r="K10649" s="5">
        <v>600.0</v>
      </c>
      <c r="N10649" s="9">
        <v>44532.0</v>
      </c>
    </row>
    <row r="10650">
      <c r="A10650" s="5">
        <v>10649.0</v>
      </c>
      <c r="B10650" s="5" t="s">
        <v>11104</v>
      </c>
      <c r="C10650" s="5" t="s">
        <v>21</v>
      </c>
      <c r="K10650" s="5">
        <v>50.0</v>
      </c>
      <c r="N10650" s="9">
        <v>43976.0</v>
      </c>
    </row>
    <row r="10651">
      <c r="A10651" s="5">
        <v>10650.0</v>
      </c>
      <c r="B10651" s="5" t="s">
        <v>11105</v>
      </c>
      <c r="C10651" s="5" t="s">
        <v>21</v>
      </c>
      <c r="K10651" s="5">
        <v>600.0</v>
      </c>
      <c r="N10651" s="9">
        <v>44515.0</v>
      </c>
    </row>
    <row r="10652">
      <c r="A10652" s="5">
        <v>10651.0</v>
      </c>
      <c r="B10652" s="5" t="s">
        <v>11106</v>
      </c>
      <c r="C10652" s="5" t="s">
        <v>21</v>
      </c>
      <c r="K10652" s="5">
        <v>700.0</v>
      </c>
      <c r="N10652" s="9">
        <v>44336.0</v>
      </c>
    </row>
    <row r="10653">
      <c r="A10653" s="5">
        <v>10652.0</v>
      </c>
      <c r="B10653" s="5" t="s">
        <v>11107</v>
      </c>
      <c r="C10653" s="5" t="s">
        <v>21</v>
      </c>
      <c r="K10653" s="5">
        <v>60.0</v>
      </c>
      <c r="N10653" s="9">
        <v>44792.0</v>
      </c>
    </row>
    <row r="10654">
      <c r="A10654" s="5">
        <v>10653.0</v>
      </c>
      <c r="B10654" s="5" t="s">
        <v>11108</v>
      </c>
      <c r="C10654" s="5" t="s">
        <v>21</v>
      </c>
      <c r="K10654" s="5">
        <v>250.0</v>
      </c>
      <c r="N10654" s="9">
        <v>45692.0</v>
      </c>
    </row>
    <row r="10655">
      <c r="A10655" s="5">
        <v>10654.0</v>
      </c>
      <c r="B10655" s="5" t="s">
        <v>11109</v>
      </c>
      <c r="C10655" s="5" t="s">
        <v>21</v>
      </c>
      <c r="K10655" s="5">
        <v>300.0</v>
      </c>
      <c r="N10655" s="9">
        <v>44385.0</v>
      </c>
    </row>
    <row r="10656">
      <c r="A10656" s="5">
        <v>10655.0</v>
      </c>
      <c r="B10656" s="5" t="s">
        <v>11110</v>
      </c>
      <c r="C10656" s="5" t="s">
        <v>21</v>
      </c>
      <c r="K10656" s="5">
        <v>10.0</v>
      </c>
      <c r="N10656" s="9">
        <v>44539.0</v>
      </c>
    </row>
    <row r="10657">
      <c r="A10657" s="5">
        <v>10656.0</v>
      </c>
      <c r="B10657" s="5" t="s">
        <v>11111</v>
      </c>
      <c r="C10657" s="5" t="s">
        <v>21</v>
      </c>
      <c r="K10657" s="5">
        <v>800.0</v>
      </c>
      <c r="N10657" s="9">
        <v>44297.0</v>
      </c>
    </row>
    <row r="10658">
      <c r="A10658" s="5">
        <v>10657.0</v>
      </c>
      <c r="B10658" s="5" t="s">
        <v>11112</v>
      </c>
      <c r="C10658" s="5" t="s">
        <v>21</v>
      </c>
      <c r="K10658" s="5">
        <v>700.0</v>
      </c>
      <c r="N10658" s="9">
        <v>44834.0</v>
      </c>
    </row>
    <row r="10659">
      <c r="A10659" s="5">
        <v>10658.0</v>
      </c>
      <c r="B10659" s="5" t="s">
        <v>11113</v>
      </c>
      <c r="C10659" s="5" t="s">
        <v>21</v>
      </c>
      <c r="K10659" s="5">
        <v>40.0</v>
      </c>
      <c r="N10659" s="9">
        <v>43952.0</v>
      </c>
    </row>
    <row r="10660">
      <c r="A10660" s="5">
        <v>10659.0</v>
      </c>
      <c r="B10660" s="5" t="s">
        <v>11114</v>
      </c>
      <c r="C10660" s="5" t="s">
        <v>21</v>
      </c>
      <c r="K10660" s="5">
        <v>60.0</v>
      </c>
      <c r="N10660" s="9">
        <v>44293.0</v>
      </c>
    </row>
    <row r="10661">
      <c r="A10661" s="5">
        <v>10660.0</v>
      </c>
      <c r="B10661" s="5" t="s">
        <v>11115</v>
      </c>
      <c r="C10661" s="5" t="s">
        <v>21</v>
      </c>
      <c r="K10661" s="5">
        <v>50.0</v>
      </c>
      <c r="N10661" s="9">
        <v>44560.0</v>
      </c>
    </row>
    <row r="10662">
      <c r="A10662" s="5">
        <v>10661.0</v>
      </c>
      <c r="B10662" s="5" t="s">
        <v>11116</v>
      </c>
      <c r="C10662" s="5" t="s">
        <v>21</v>
      </c>
      <c r="K10662" s="5">
        <v>3900.0</v>
      </c>
      <c r="N10662" s="9">
        <v>45674.0</v>
      </c>
    </row>
    <row r="10663">
      <c r="A10663" s="5">
        <v>10662.0</v>
      </c>
      <c r="B10663" s="5" t="s">
        <v>11117</v>
      </c>
      <c r="C10663" s="5" t="s">
        <v>21</v>
      </c>
      <c r="K10663" s="5">
        <v>350.0</v>
      </c>
      <c r="N10663" s="9">
        <v>44055.0</v>
      </c>
    </row>
    <row r="10664">
      <c r="A10664" s="5">
        <v>10663.0</v>
      </c>
      <c r="B10664" s="5" t="s">
        <v>11118</v>
      </c>
      <c r="C10664" s="5" t="s">
        <v>21</v>
      </c>
      <c r="K10664" s="5">
        <v>350.0</v>
      </c>
      <c r="N10664" s="9">
        <v>44519.0</v>
      </c>
    </row>
    <row r="10665">
      <c r="A10665" s="5">
        <v>10664.0</v>
      </c>
      <c r="B10665" s="5" t="s">
        <v>11119</v>
      </c>
      <c r="C10665" s="5" t="s">
        <v>21</v>
      </c>
      <c r="K10665" s="5">
        <v>1400.0</v>
      </c>
      <c r="N10665" s="9">
        <v>43927.0</v>
      </c>
    </row>
    <row r="10666">
      <c r="A10666" s="5">
        <v>10665.0</v>
      </c>
      <c r="B10666" s="5" t="s">
        <v>11120</v>
      </c>
      <c r="C10666" s="5" t="s">
        <v>21</v>
      </c>
      <c r="K10666" s="5">
        <v>2500.0</v>
      </c>
      <c r="N10666" s="9">
        <v>43885.0</v>
      </c>
    </row>
    <row r="10667">
      <c r="A10667" s="5">
        <v>10666.0</v>
      </c>
      <c r="B10667" s="5" t="s">
        <v>11121</v>
      </c>
      <c r="C10667" s="5" t="s">
        <v>21</v>
      </c>
      <c r="K10667" s="5">
        <v>100.0</v>
      </c>
      <c r="N10667" s="9">
        <v>44540.0</v>
      </c>
    </row>
    <row r="10668">
      <c r="A10668" s="5">
        <v>10667.0</v>
      </c>
      <c r="B10668" s="5" t="s">
        <v>358</v>
      </c>
      <c r="C10668" s="5" t="s">
        <v>21</v>
      </c>
      <c r="K10668" s="5">
        <v>900.0</v>
      </c>
      <c r="N10668" s="9">
        <v>44475.0</v>
      </c>
    </row>
    <row r="10669">
      <c r="A10669" s="5">
        <v>10668.0</v>
      </c>
      <c r="B10669" s="5" t="s">
        <v>11122</v>
      </c>
      <c r="C10669" s="5" t="s">
        <v>21</v>
      </c>
      <c r="K10669" s="5">
        <v>150.0</v>
      </c>
      <c r="N10669" s="9">
        <v>45763.0</v>
      </c>
    </row>
    <row r="10670">
      <c r="A10670" s="5">
        <v>10669.0</v>
      </c>
      <c r="B10670" s="5" t="s">
        <v>11123</v>
      </c>
      <c r="C10670" s="5" t="s">
        <v>21</v>
      </c>
      <c r="K10670" s="5">
        <v>2100.0</v>
      </c>
      <c r="N10670" s="9">
        <v>44567.0</v>
      </c>
    </row>
    <row r="10671">
      <c r="A10671" s="5">
        <v>10670.0</v>
      </c>
      <c r="B10671" s="5" t="s">
        <v>11124</v>
      </c>
      <c r="C10671" s="5" t="s">
        <v>21</v>
      </c>
      <c r="K10671" s="5">
        <v>300.0</v>
      </c>
      <c r="N10671" s="9">
        <v>44689.0</v>
      </c>
    </row>
    <row r="10672">
      <c r="A10672" s="5">
        <v>10671.0</v>
      </c>
      <c r="B10672" s="5" t="s">
        <v>11125</v>
      </c>
      <c r="C10672" s="5" t="s">
        <v>21</v>
      </c>
      <c r="K10672" s="5">
        <v>60.0</v>
      </c>
      <c r="N10672" s="9">
        <v>44715.0</v>
      </c>
    </row>
    <row r="10673">
      <c r="A10673" s="5">
        <v>10672.0</v>
      </c>
      <c r="B10673" s="5" t="s">
        <v>11126</v>
      </c>
      <c r="C10673" s="5" t="s">
        <v>21</v>
      </c>
      <c r="K10673" s="5">
        <v>15000.0</v>
      </c>
      <c r="N10673" s="9">
        <v>45938.0</v>
      </c>
    </row>
    <row r="10674">
      <c r="A10674" s="5">
        <v>10673.0</v>
      </c>
      <c r="B10674" s="5" t="s">
        <v>11127</v>
      </c>
      <c r="C10674" s="5" t="s">
        <v>21</v>
      </c>
      <c r="K10674" s="5">
        <v>60.0</v>
      </c>
      <c r="N10674" s="9">
        <v>44569.0</v>
      </c>
    </row>
    <row r="10675">
      <c r="A10675" s="5">
        <v>10674.0</v>
      </c>
      <c r="B10675" s="5" t="s">
        <v>11128</v>
      </c>
      <c r="C10675" s="5" t="s">
        <v>21</v>
      </c>
      <c r="K10675" s="5">
        <v>400.0</v>
      </c>
      <c r="N10675" s="9">
        <v>45257.0</v>
      </c>
    </row>
    <row r="10676">
      <c r="A10676" s="5">
        <v>10675.0</v>
      </c>
      <c r="B10676" s="5" t="s">
        <v>374</v>
      </c>
      <c r="C10676" s="5" t="s">
        <v>21</v>
      </c>
      <c r="K10676" s="5">
        <v>150.0</v>
      </c>
      <c r="N10676" s="9">
        <v>44723.0</v>
      </c>
    </row>
    <row r="10677">
      <c r="A10677" s="5">
        <v>10676.0</v>
      </c>
      <c r="B10677" s="5" t="s">
        <v>11129</v>
      </c>
      <c r="C10677" s="5" t="s">
        <v>21</v>
      </c>
      <c r="K10677" s="5">
        <v>200.0</v>
      </c>
      <c r="N10677" s="9">
        <v>44516.0</v>
      </c>
    </row>
    <row r="10678">
      <c r="A10678" s="5">
        <v>10677.0</v>
      </c>
      <c r="B10678" s="5" t="s">
        <v>11130</v>
      </c>
      <c r="C10678" s="5" t="s">
        <v>21</v>
      </c>
      <c r="K10678" s="5">
        <v>700.0</v>
      </c>
      <c r="N10678" s="9">
        <v>44367.0</v>
      </c>
    </row>
    <row r="10679">
      <c r="A10679" s="5">
        <v>10678.0</v>
      </c>
      <c r="B10679" s="5" t="s">
        <v>11131</v>
      </c>
      <c r="C10679" s="5" t="s">
        <v>21</v>
      </c>
      <c r="K10679" s="5">
        <v>60.0</v>
      </c>
      <c r="N10679" s="9">
        <v>44647.0</v>
      </c>
    </row>
    <row r="10680">
      <c r="A10680" s="5">
        <v>10679.0</v>
      </c>
      <c r="B10680" s="5" t="s">
        <v>11132</v>
      </c>
      <c r="C10680" s="5" t="s">
        <v>21</v>
      </c>
      <c r="K10680" s="5">
        <v>40.0</v>
      </c>
      <c r="N10680" s="9">
        <v>44959.0</v>
      </c>
    </row>
    <row r="10681">
      <c r="A10681" s="5">
        <v>10680.0</v>
      </c>
      <c r="B10681" s="5" t="s">
        <v>11133</v>
      </c>
      <c r="C10681" s="5" t="s">
        <v>21</v>
      </c>
      <c r="K10681" s="5">
        <v>1100.0</v>
      </c>
      <c r="N10681" s="9">
        <v>44547.0</v>
      </c>
    </row>
    <row r="10682">
      <c r="A10682" s="5">
        <v>10681.0</v>
      </c>
      <c r="B10682" s="5" t="s">
        <v>11134</v>
      </c>
      <c r="C10682" s="5" t="s">
        <v>21</v>
      </c>
      <c r="K10682" s="5">
        <v>800.0</v>
      </c>
      <c r="N10682" s="9">
        <v>44897.0</v>
      </c>
    </row>
    <row r="10683">
      <c r="A10683" s="5">
        <v>10682.0</v>
      </c>
      <c r="B10683" s="5" t="s">
        <v>11135</v>
      </c>
      <c r="C10683" s="5" t="s">
        <v>21</v>
      </c>
      <c r="K10683" s="5">
        <v>800.0</v>
      </c>
      <c r="N10683" s="9">
        <v>44517.0</v>
      </c>
    </row>
    <row r="10684">
      <c r="A10684" s="5">
        <v>10683.0</v>
      </c>
      <c r="B10684" s="5" t="s">
        <v>11136</v>
      </c>
      <c r="C10684" s="5" t="s">
        <v>21</v>
      </c>
      <c r="K10684" s="5">
        <v>800.0</v>
      </c>
      <c r="N10684" s="9">
        <v>44089.0</v>
      </c>
    </row>
    <row r="10685">
      <c r="A10685" s="5">
        <v>10684.0</v>
      </c>
      <c r="B10685" s="5" t="s">
        <v>11137</v>
      </c>
      <c r="C10685" s="5" t="s">
        <v>21</v>
      </c>
      <c r="K10685" s="5">
        <v>400.0</v>
      </c>
      <c r="N10685" s="9">
        <v>44533.0</v>
      </c>
    </row>
    <row r="10686">
      <c r="A10686" s="5">
        <v>10685.0</v>
      </c>
      <c r="B10686" s="5" t="s">
        <v>11138</v>
      </c>
      <c r="C10686" s="5" t="s">
        <v>21</v>
      </c>
      <c r="K10686" s="5">
        <v>150.0</v>
      </c>
      <c r="N10686" s="9">
        <v>44541.0</v>
      </c>
    </row>
    <row r="10687">
      <c r="A10687" s="5">
        <v>10686.0</v>
      </c>
      <c r="B10687" s="5" t="s">
        <v>11139</v>
      </c>
      <c r="C10687" s="5" t="s">
        <v>21</v>
      </c>
      <c r="K10687" s="5">
        <v>150.0</v>
      </c>
      <c r="N10687" s="9">
        <v>44631.0</v>
      </c>
    </row>
    <row r="10688">
      <c r="A10688" s="5">
        <v>10687.0</v>
      </c>
      <c r="B10688" s="5" t="s">
        <v>11140</v>
      </c>
      <c r="C10688" s="5" t="s">
        <v>21</v>
      </c>
      <c r="K10688" s="5">
        <v>150.0</v>
      </c>
      <c r="N10688" s="9">
        <v>44828.0</v>
      </c>
    </row>
    <row r="10689">
      <c r="A10689" s="5">
        <v>10688.0</v>
      </c>
      <c r="B10689" s="5" t="s">
        <v>361</v>
      </c>
      <c r="C10689" s="5" t="s">
        <v>21</v>
      </c>
      <c r="K10689" s="5">
        <v>450.0</v>
      </c>
      <c r="N10689" s="9">
        <v>44519.0</v>
      </c>
    </row>
    <row r="10690">
      <c r="A10690" s="5">
        <v>10689.0</v>
      </c>
      <c r="B10690" s="5" t="s">
        <v>11141</v>
      </c>
      <c r="C10690" s="5" t="s">
        <v>21</v>
      </c>
      <c r="K10690" s="5">
        <v>1200.0</v>
      </c>
      <c r="N10690" s="9">
        <v>43917.0</v>
      </c>
    </row>
    <row r="10691">
      <c r="A10691" s="5">
        <v>10690.0</v>
      </c>
      <c r="B10691" s="5" t="s">
        <v>11142</v>
      </c>
      <c r="C10691" s="5" t="s">
        <v>21</v>
      </c>
      <c r="K10691" s="5">
        <v>70.0</v>
      </c>
      <c r="N10691" s="9">
        <v>43947.0</v>
      </c>
    </row>
    <row r="10692">
      <c r="A10692" s="5">
        <v>10691.0</v>
      </c>
      <c r="B10692" s="5" t="s">
        <v>11143</v>
      </c>
      <c r="C10692" s="5" t="s">
        <v>21</v>
      </c>
      <c r="K10692" s="5">
        <v>900.0</v>
      </c>
      <c r="N10692" s="9">
        <v>44564.0</v>
      </c>
    </row>
    <row r="10693">
      <c r="A10693" s="5">
        <v>10692.0</v>
      </c>
      <c r="B10693" s="5" t="s">
        <v>11144</v>
      </c>
      <c r="C10693" s="5" t="s">
        <v>21</v>
      </c>
      <c r="K10693" s="5">
        <v>500.0</v>
      </c>
      <c r="N10693" s="9">
        <v>44201.0</v>
      </c>
    </row>
    <row r="10694">
      <c r="A10694" s="5">
        <v>10693.0</v>
      </c>
      <c r="B10694" s="5" t="s">
        <v>11145</v>
      </c>
      <c r="C10694" s="5" t="s">
        <v>21</v>
      </c>
      <c r="K10694" s="5">
        <v>150.0</v>
      </c>
      <c r="N10694" s="9">
        <v>44865.0</v>
      </c>
    </row>
    <row r="10695">
      <c r="A10695" s="5">
        <v>10694.0</v>
      </c>
      <c r="B10695" s="5" t="s">
        <v>11146</v>
      </c>
      <c r="C10695" s="5" t="s">
        <v>21</v>
      </c>
      <c r="K10695" s="5">
        <v>250.0</v>
      </c>
      <c r="N10695" s="9">
        <v>43841.0</v>
      </c>
    </row>
    <row r="10696">
      <c r="A10696" s="5">
        <v>10695.0</v>
      </c>
      <c r="B10696" s="5" t="s">
        <v>11147</v>
      </c>
      <c r="C10696" s="5" t="s">
        <v>21</v>
      </c>
      <c r="K10696" s="5">
        <v>90.0</v>
      </c>
      <c r="N10696" s="9">
        <v>45590.0</v>
      </c>
    </row>
    <row r="10697">
      <c r="A10697" s="5">
        <v>10696.0</v>
      </c>
      <c r="B10697" s="5" t="s">
        <v>364</v>
      </c>
      <c r="C10697" s="5" t="s">
        <v>21</v>
      </c>
      <c r="K10697" s="5">
        <v>2500.0</v>
      </c>
      <c r="N10697" s="9">
        <v>44540.0</v>
      </c>
    </row>
    <row r="10698">
      <c r="A10698" s="5">
        <v>10697.0</v>
      </c>
      <c r="B10698" s="5" t="s">
        <v>11148</v>
      </c>
      <c r="C10698" s="5" t="s">
        <v>21</v>
      </c>
      <c r="K10698" s="5">
        <v>700.0</v>
      </c>
      <c r="N10698" s="9">
        <v>44289.0</v>
      </c>
    </row>
    <row r="10699">
      <c r="A10699" s="5">
        <v>10698.0</v>
      </c>
      <c r="B10699" s="5" t="s">
        <v>11149</v>
      </c>
      <c r="C10699" s="5" t="s">
        <v>21</v>
      </c>
      <c r="K10699" s="5">
        <v>30.0</v>
      </c>
      <c r="N10699" s="9">
        <v>44761.0</v>
      </c>
    </row>
    <row r="10700">
      <c r="A10700" s="5">
        <v>10699.0</v>
      </c>
      <c r="B10700" s="5" t="s">
        <v>11150</v>
      </c>
      <c r="C10700" s="5" t="s">
        <v>21</v>
      </c>
      <c r="K10700" s="5">
        <v>60.0</v>
      </c>
      <c r="N10700" s="9">
        <v>44661.0</v>
      </c>
    </row>
    <row r="10701">
      <c r="A10701" s="5">
        <v>10700.0</v>
      </c>
      <c r="B10701" s="5" t="s">
        <v>11151</v>
      </c>
      <c r="C10701" s="5" t="s">
        <v>21</v>
      </c>
      <c r="K10701" s="5">
        <v>100.0</v>
      </c>
      <c r="N10701" s="9">
        <v>44441.0</v>
      </c>
    </row>
    <row r="10702">
      <c r="A10702" s="5">
        <v>10701.0</v>
      </c>
      <c r="B10702" s="5" t="s">
        <v>11152</v>
      </c>
      <c r="C10702" s="5" t="s">
        <v>21</v>
      </c>
      <c r="K10702" s="5">
        <v>2300.0</v>
      </c>
      <c r="N10702" s="9">
        <v>44211.0</v>
      </c>
    </row>
    <row r="10703">
      <c r="A10703" s="5">
        <v>10702.0</v>
      </c>
      <c r="B10703" s="5" t="s">
        <v>11153</v>
      </c>
      <c r="C10703" s="5" t="s">
        <v>21</v>
      </c>
      <c r="K10703" s="5">
        <v>1100.0</v>
      </c>
      <c r="N10703" s="9">
        <v>44004.0</v>
      </c>
    </row>
    <row r="10704">
      <c r="A10704" s="5">
        <v>10703.0</v>
      </c>
      <c r="B10704" s="5" t="s">
        <v>11154</v>
      </c>
      <c r="C10704" s="5" t="s">
        <v>21</v>
      </c>
      <c r="K10704" s="5">
        <v>450.0</v>
      </c>
      <c r="N10704" s="9">
        <v>44164.0</v>
      </c>
    </row>
    <row r="10705">
      <c r="A10705" s="5">
        <v>10704.0</v>
      </c>
      <c r="B10705" s="5" t="s">
        <v>11155</v>
      </c>
      <c r="C10705" s="5" t="s">
        <v>21</v>
      </c>
      <c r="K10705" s="5">
        <v>150.0</v>
      </c>
      <c r="N10705" s="9">
        <v>44587.0</v>
      </c>
    </row>
    <row r="10706">
      <c r="A10706" s="5">
        <v>10705.0</v>
      </c>
      <c r="B10706" s="5" t="s">
        <v>11156</v>
      </c>
      <c r="C10706" s="5" t="s">
        <v>21</v>
      </c>
      <c r="K10706" s="5">
        <v>150.0</v>
      </c>
      <c r="N10706" s="9">
        <v>44799.0</v>
      </c>
    </row>
    <row r="10707">
      <c r="A10707" s="5">
        <v>10706.0</v>
      </c>
      <c r="B10707" s="5" t="s">
        <v>11157</v>
      </c>
      <c r="C10707" s="5" t="s">
        <v>21</v>
      </c>
      <c r="K10707" s="5">
        <v>10.0</v>
      </c>
      <c r="N10707" s="9">
        <v>44991.0</v>
      </c>
    </row>
    <row r="10708">
      <c r="A10708" s="5">
        <v>10707.0</v>
      </c>
      <c r="B10708" s="5" t="s">
        <v>11158</v>
      </c>
      <c r="C10708" s="5" t="s">
        <v>21</v>
      </c>
      <c r="K10708" s="5">
        <v>800.0</v>
      </c>
      <c r="N10708" s="9">
        <v>43977.0</v>
      </c>
    </row>
    <row r="10709">
      <c r="A10709" s="5">
        <v>10708.0</v>
      </c>
      <c r="B10709" s="5" t="s">
        <v>11159</v>
      </c>
      <c r="C10709" s="5" t="s">
        <v>21</v>
      </c>
      <c r="K10709" s="5">
        <v>100.0</v>
      </c>
      <c r="N10709" s="9">
        <v>43879.0</v>
      </c>
    </row>
    <row r="10710">
      <c r="A10710" s="5">
        <v>10709.0</v>
      </c>
      <c r="B10710" s="5" t="s">
        <v>11160</v>
      </c>
      <c r="C10710" s="5" t="s">
        <v>21</v>
      </c>
      <c r="N10710" s="9">
        <v>44260.0</v>
      </c>
    </row>
    <row r="10711">
      <c r="A10711" s="5">
        <v>10710.0</v>
      </c>
      <c r="B10711" s="5" t="s">
        <v>11161</v>
      </c>
      <c r="C10711" s="5" t="s">
        <v>21</v>
      </c>
      <c r="K10711" s="5">
        <v>100.0</v>
      </c>
      <c r="N10711" s="9">
        <v>44592.0</v>
      </c>
    </row>
    <row r="10712">
      <c r="A10712" s="5">
        <v>10711.0</v>
      </c>
      <c r="B10712" s="5" t="s">
        <v>11162</v>
      </c>
      <c r="C10712" s="5" t="s">
        <v>21</v>
      </c>
      <c r="K10712" s="5">
        <v>300.0</v>
      </c>
      <c r="N10712" s="9">
        <v>44615.0</v>
      </c>
    </row>
    <row r="10713">
      <c r="A10713" s="5">
        <v>10712.0</v>
      </c>
      <c r="B10713" s="5" t="s">
        <v>11163</v>
      </c>
      <c r="C10713" s="5" t="s">
        <v>21</v>
      </c>
      <c r="K10713" s="5">
        <v>450.0</v>
      </c>
      <c r="N10713" s="9">
        <v>44179.0</v>
      </c>
    </row>
    <row r="10714">
      <c r="A10714" s="5">
        <v>10713.0</v>
      </c>
      <c r="B10714" s="5" t="s">
        <v>11164</v>
      </c>
      <c r="C10714" s="5" t="s">
        <v>21</v>
      </c>
      <c r="K10714" s="5">
        <v>400.0</v>
      </c>
      <c r="N10714" s="9">
        <v>45269.0</v>
      </c>
    </row>
    <row r="10715">
      <c r="A10715" s="5">
        <v>10714.0</v>
      </c>
      <c r="B10715" s="5" t="s">
        <v>11165</v>
      </c>
      <c r="C10715" s="5" t="s">
        <v>21</v>
      </c>
      <c r="K10715" s="5">
        <v>150.0</v>
      </c>
      <c r="N10715" s="9">
        <v>44062.0</v>
      </c>
    </row>
    <row r="10716">
      <c r="A10716" s="5">
        <v>10715.0</v>
      </c>
      <c r="B10716" s="5" t="s">
        <v>11166</v>
      </c>
      <c r="C10716" s="5" t="s">
        <v>21</v>
      </c>
      <c r="K10716" s="5">
        <v>1700.0</v>
      </c>
      <c r="N10716" s="9">
        <v>43859.0</v>
      </c>
    </row>
    <row r="10717">
      <c r="A10717" s="5">
        <v>10716.0</v>
      </c>
      <c r="B10717" s="5" t="s">
        <v>11167</v>
      </c>
      <c r="C10717" s="5" t="s">
        <v>21</v>
      </c>
      <c r="K10717" s="5">
        <v>150.0</v>
      </c>
      <c r="N10717" s="9">
        <v>45117.0</v>
      </c>
    </row>
    <row r="10718">
      <c r="A10718" s="5">
        <v>10717.0</v>
      </c>
      <c r="B10718" s="5" t="s">
        <v>11168</v>
      </c>
      <c r="C10718" s="5" t="s">
        <v>21</v>
      </c>
      <c r="K10718" s="5">
        <v>250.0</v>
      </c>
      <c r="N10718" s="9">
        <v>44619.0</v>
      </c>
    </row>
    <row r="10719">
      <c r="A10719" s="5">
        <v>10718.0</v>
      </c>
      <c r="B10719" s="5" t="s">
        <v>11169</v>
      </c>
      <c r="C10719" s="5" t="s">
        <v>21</v>
      </c>
      <c r="K10719" s="5">
        <v>200.0</v>
      </c>
      <c r="N10719" s="9">
        <v>44584.0</v>
      </c>
    </row>
    <row r="10720">
      <c r="A10720" s="5">
        <v>10719.0</v>
      </c>
      <c r="B10720" s="5" t="s">
        <v>11170</v>
      </c>
      <c r="C10720" s="5" t="s">
        <v>21</v>
      </c>
      <c r="K10720" s="5">
        <v>3100.0</v>
      </c>
      <c r="N10720" s="9">
        <v>44208.0</v>
      </c>
    </row>
    <row r="10721">
      <c r="A10721" s="5">
        <v>10720.0</v>
      </c>
      <c r="B10721" s="5" t="s">
        <v>11171</v>
      </c>
      <c r="C10721" s="5" t="s">
        <v>21</v>
      </c>
      <c r="K10721" s="5">
        <v>200.0</v>
      </c>
      <c r="N10721" s="9">
        <v>45451.0</v>
      </c>
    </row>
    <row r="10722">
      <c r="A10722" s="5">
        <v>10721.0</v>
      </c>
      <c r="B10722" s="5" t="s">
        <v>11172</v>
      </c>
      <c r="C10722" s="5" t="s">
        <v>21</v>
      </c>
      <c r="K10722" s="5">
        <v>100.0</v>
      </c>
      <c r="N10722" s="9">
        <v>45580.0</v>
      </c>
    </row>
    <row r="10723">
      <c r="A10723" s="5">
        <v>10722.0</v>
      </c>
      <c r="B10723" s="5" t="s">
        <v>11173</v>
      </c>
      <c r="C10723" s="5" t="s">
        <v>21</v>
      </c>
      <c r="K10723" s="5">
        <v>450.0</v>
      </c>
      <c r="N10723" s="9">
        <v>45346.0</v>
      </c>
    </row>
    <row r="10724">
      <c r="A10724" s="5">
        <v>10723.0</v>
      </c>
      <c r="B10724" s="5" t="s">
        <v>11174</v>
      </c>
      <c r="C10724" s="5" t="s">
        <v>21</v>
      </c>
      <c r="K10724" s="5">
        <v>1000.0</v>
      </c>
      <c r="N10724" s="9">
        <v>44037.0</v>
      </c>
    </row>
    <row r="10725">
      <c r="A10725" s="5">
        <v>10724.0</v>
      </c>
      <c r="B10725" s="5" t="s">
        <v>11175</v>
      </c>
      <c r="C10725" s="5" t="s">
        <v>21</v>
      </c>
      <c r="K10725" s="5">
        <v>150.0</v>
      </c>
      <c r="N10725" s="9">
        <v>45174.0</v>
      </c>
    </row>
    <row r="10726">
      <c r="A10726" s="5">
        <v>10725.0</v>
      </c>
      <c r="B10726" s="5" t="s">
        <v>11176</v>
      </c>
      <c r="C10726" s="5" t="s">
        <v>21</v>
      </c>
      <c r="K10726" s="5">
        <v>200.0</v>
      </c>
      <c r="N10726" s="9">
        <v>44617.0</v>
      </c>
    </row>
    <row r="10727">
      <c r="A10727" s="5">
        <v>10726.0</v>
      </c>
      <c r="B10727" s="5" t="s">
        <v>11177</v>
      </c>
      <c r="C10727" s="5" t="s">
        <v>21</v>
      </c>
      <c r="K10727" s="5">
        <v>1000.0</v>
      </c>
      <c r="N10727" s="9">
        <v>44529.0</v>
      </c>
    </row>
    <row r="10728">
      <c r="A10728" s="5">
        <v>10727.0</v>
      </c>
      <c r="B10728" s="5" t="s">
        <v>11178</v>
      </c>
      <c r="C10728" s="5" t="s">
        <v>21</v>
      </c>
      <c r="K10728" s="5">
        <v>1500.0</v>
      </c>
      <c r="N10728" s="9">
        <v>44573.0</v>
      </c>
    </row>
    <row r="10729">
      <c r="A10729" s="5">
        <v>10728.0</v>
      </c>
      <c r="B10729" s="5" t="s">
        <v>11179</v>
      </c>
      <c r="C10729" s="5" t="s">
        <v>21</v>
      </c>
      <c r="K10729" s="5">
        <v>20.0</v>
      </c>
      <c r="N10729" s="9">
        <v>45846.0</v>
      </c>
    </row>
    <row r="10730">
      <c r="A10730" s="5">
        <v>10729.0</v>
      </c>
      <c r="B10730" s="5" t="s">
        <v>11180</v>
      </c>
      <c r="C10730" s="5" t="s">
        <v>21</v>
      </c>
      <c r="K10730" s="5">
        <v>900.0</v>
      </c>
      <c r="N10730" s="9">
        <v>44635.0</v>
      </c>
    </row>
    <row r="10731">
      <c r="A10731" s="5">
        <v>10730.0</v>
      </c>
      <c r="B10731" s="5" t="s">
        <v>11181</v>
      </c>
      <c r="C10731" s="5" t="s">
        <v>21</v>
      </c>
      <c r="K10731" s="5">
        <v>450.0</v>
      </c>
      <c r="N10731" s="9">
        <v>45360.0</v>
      </c>
    </row>
    <row r="10732">
      <c r="A10732" s="5">
        <v>10731.0</v>
      </c>
      <c r="B10732" s="5" t="s">
        <v>11182</v>
      </c>
      <c r="C10732" s="5" t="s">
        <v>21</v>
      </c>
      <c r="K10732" s="5">
        <v>450.0</v>
      </c>
      <c r="N10732" s="9">
        <v>45545.0</v>
      </c>
    </row>
    <row r="10733">
      <c r="A10733" s="5">
        <v>10732.0</v>
      </c>
      <c r="B10733" s="5" t="s">
        <v>11183</v>
      </c>
      <c r="C10733" s="5" t="s">
        <v>21</v>
      </c>
      <c r="K10733" s="5">
        <v>200.0</v>
      </c>
      <c r="N10733" s="9">
        <v>44531.0</v>
      </c>
    </row>
    <row r="10734">
      <c r="A10734" s="5">
        <v>10733.0</v>
      </c>
      <c r="B10734" s="5" t="s">
        <v>11184</v>
      </c>
      <c r="C10734" s="5" t="s">
        <v>21</v>
      </c>
      <c r="K10734" s="5">
        <v>1000.0</v>
      </c>
      <c r="N10734" s="9">
        <v>44567.0</v>
      </c>
    </row>
    <row r="10735">
      <c r="A10735" s="5">
        <v>10734.0</v>
      </c>
      <c r="B10735" s="5" t="s">
        <v>11185</v>
      </c>
      <c r="C10735" s="5" t="s">
        <v>21</v>
      </c>
      <c r="K10735" s="5">
        <v>150.0</v>
      </c>
      <c r="N10735" s="9">
        <v>44564.0</v>
      </c>
    </row>
    <row r="10736">
      <c r="A10736" s="5">
        <v>10735.0</v>
      </c>
      <c r="B10736" s="5" t="s">
        <v>11186</v>
      </c>
      <c r="C10736" s="5" t="s">
        <v>21</v>
      </c>
      <c r="K10736" s="5">
        <v>800.0</v>
      </c>
      <c r="N10736" s="9">
        <v>44581.0</v>
      </c>
    </row>
    <row r="10737">
      <c r="A10737" s="5">
        <v>10736.0</v>
      </c>
      <c r="B10737" s="5" t="s">
        <v>11187</v>
      </c>
      <c r="C10737" s="5" t="s">
        <v>21</v>
      </c>
      <c r="K10737" s="5">
        <v>3400.0</v>
      </c>
      <c r="N10737" s="9">
        <v>44477.0</v>
      </c>
    </row>
    <row r="10738">
      <c r="A10738" s="5">
        <v>10737.0</v>
      </c>
      <c r="B10738" s="5" t="s">
        <v>11188</v>
      </c>
      <c r="C10738" s="5" t="s">
        <v>21</v>
      </c>
      <c r="K10738" s="5">
        <v>150.0</v>
      </c>
      <c r="N10738" s="9">
        <v>44565.0</v>
      </c>
    </row>
    <row r="10739">
      <c r="A10739" s="5">
        <v>10738.0</v>
      </c>
      <c r="B10739" s="5" t="s">
        <v>11189</v>
      </c>
      <c r="C10739" s="5" t="s">
        <v>21</v>
      </c>
      <c r="K10739" s="5">
        <v>300.0</v>
      </c>
      <c r="N10739" s="9">
        <v>44650.0</v>
      </c>
    </row>
    <row r="10740">
      <c r="A10740" s="5">
        <v>10739.0</v>
      </c>
      <c r="B10740" s="5" t="s">
        <v>11190</v>
      </c>
      <c r="C10740" s="5" t="s">
        <v>21</v>
      </c>
      <c r="K10740" s="5">
        <v>600.0</v>
      </c>
      <c r="N10740" s="9">
        <v>44969.0</v>
      </c>
    </row>
    <row r="10741">
      <c r="A10741" s="5">
        <v>10740.0</v>
      </c>
      <c r="B10741" s="5" t="s">
        <v>11191</v>
      </c>
      <c r="C10741" s="5" t="s">
        <v>21</v>
      </c>
      <c r="K10741" s="5">
        <v>150.0</v>
      </c>
      <c r="N10741" s="9">
        <v>44603.0</v>
      </c>
    </row>
    <row r="10742">
      <c r="A10742" s="5">
        <v>10741.0</v>
      </c>
      <c r="B10742" s="5" t="s">
        <v>11192</v>
      </c>
      <c r="C10742" s="5" t="s">
        <v>21</v>
      </c>
      <c r="K10742" s="5">
        <v>30.0</v>
      </c>
      <c r="N10742" s="9">
        <v>44565.0</v>
      </c>
    </row>
    <row r="10743">
      <c r="A10743" s="5">
        <v>10742.0</v>
      </c>
      <c r="B10743" s="5" t="s">
        <v>11193</v>
      </c>
      <c r="C10743" s="5" t="s">
        <v>21</v>
      </c>
      <c r="K10743" s="5">
        <v>4700.0</v>
      </c>
      <c r="N10743" s="9">
        <v>43930.0</v>
      </c>
    </row>
    <row r="10744">
      <c r="A10744" s="5">
        <v>10743.0</v>
      </c>
      <c r="B10744" s="5" t="s">
        <v>11194</v>
      </c>
      <c r="C10744" s="5" t="s">
        <v>21</v>
      </c>
      <c r="K10744" s="5">
        <v>200.0</v>
      </c>
      <c r="N10744" s="9">
        <v>45462.0</v>
      </c>
    </row>
    <row r="10745">
      <c r="A10745" s="5">
        <v>10744.0</v>
      </c>
      <c r="B10745" s="5" t="s">
        <v>11195</v>
      </c>
      <c r="C10745" s="5" t="s">
        <v>21</v>
      </c>
      <c r="K10745" s="5">
        <v>1000.0</v>
      </c>
      <c r="N10745" s="9">
        <v>44532.0</v>
      </c>
    </row>
    <row r="10746">
      <c r="A10746" s="5">
        <v>10745.0</v>
      </c>
      <c r="B10746" s="5" t="s">
        <v>11196</v>
      </c>
      <c r="C10746" s="5" t="s">
        <v>21</v>
      </c>
      <c r="K10746" s="5">
        <v>400.0</v>
      </c>
      <c r="N10746" s="9">
        <v>44032.0</v>
      </c>
    </row>
    <row r="10747">
      <c r="A10747" s="5">
        <v>10746.0</v>
      </c>
      <c r="B10747" s="5" t="s">
        <v>11197</v>
      </c>
      <c r="C10747" s="5" t="s">
        <v>21</v>
      </c>
      <c r="K10747" s="5">
        <v>150.0</v>
      </c>
      <c r="N10747" s="9">
        <v>44532.0</v>
      </c>
    </row>
    <row r="10748">
      <c r="A10748" s="5">
        <v>10747.0</v>
      </c>
      <c r="B10748" s="5" t="s">
        <v>11198</v>
      </c>
      <c r="C10748" s="5" t="s">
        <v>21</v>
      </c>
      <c r="K10748" s="5">
        <v>200.0</v>
      </c>
      <c r="N10748" s="9">
        <v>44531.0</v>
      </c>
    </row>
    <row r="10749">
      <c r="A10749" s="5">
        <v>10748.0</v>
      </c>
      <c r="B10749" s="5" t="s">
        <v>11199</v>
      </c>
      <c r="C10749" s="5" t="s">
        <v>21</v>
      </c>
      <c r="K10749" s="5">
        <v>30.0</v>
      </c>
      <c r="N10749" s="9">
        <v>44543.0</v>
      </c>
    </row>
    <row r="10750">
      <c r="A10750" s="5">
        <v>10749.0</v>
      </c>
      <c r="B10750" s="5" t="s">
        <v>11200</v>
      </c>
      <c r="C10750" s="5" t="s">
        <v>21</v>
      </c>
      <c r="K10750" s="5">
        <v>1700.0</v>
      </c>
      <c r="N10750" s="9">
        <v>44574.0</v>
      </c>
    </row>
    <row r="10751">
      <c r="A10751" s="5">
        <v>10750.0</v>
      </c>
      <c r="B10751" s="5" t="s">
        <v>11201</v>
      </c>
      <c r="C10751" s="5" t="s">
        <v>21</v>
      </c>
      <c r="K10751" s="5">
        <v>150.0</v>
      </c>
      <c r="N10751" s="9">
        <v>44406.0</v>
      </c>
    </row>
    <row r="10752">
      <c r="A10752" s="5">
        <v>10751.0</v>
      </c>
      <c r="B10752" s="5" t="s">
        <v>11202</v>
      </c>
      <c r="C10752" s="5" t="s">
        <v>21</v>
      </c>
      <c r="K10752" s="5">
        <v>800.0</v>
      </c>
      <c r="N10752" s="9">
        <v>45098.0</v>
      </c>
    </row>
    <row r="10753">
      <c r="A10753" s="5">
        <v>10752.0</v>
      </c>
      <c r="B10753" s="5" t="s">
        <v>11203</v>
      </c>
      <c r="C10753" s="5" t="s">
        <v>21</v>
      </c>
      <c r="K10753" s="5">
        <v>800.0</v>
      </c>
      <c r="N10753" s="9">
        <v>44575.0</v>
      </c>
    </row>
    <row r="10754">
      <c r="A10754" s="5">
        <v>10753.0</v>
      </c>
      <c r="B10754" s="5" t="s">
        <v>11204</v>
      </c>
      <c r="C10754" s="5" t="s">
        <v>21</v>
      </c>
      <c r="K10754" s="5">
        <v>3600.0</v>
      </c>
      <c r="N10754" s="9">
        <v>44365.0</v>
      </c>
    </row>
    <row r="10755">
      <c r="A10755" s="5">
        <v>10754.0</v>
      </c>
      <c r="B10755" s="5" t="s">
        <v>11205</v>
      </c>
      <c r="C10755" s="5" t="s">
        <v>21</v>
      </c>
      <c r="K10755" s="5">
        <v>350.0</v>
      </c>
      <c r="N10755" s="9">
        <v>45059.0</v>
      </c>
    </row>
    <row r="10756">
      <c r="A10756" s="5">
        <v>10755.0</v>
      </c>
      <c r="B10756" s="5" t="s">
        <v>11206</v>
      </c>
      <c r="C10756" s="5" t="s">
        <v>21</v>
      </c>
      <c r="K10756" s="5">
        <v>250.0</v>
      </c>
      <c r="N10756" s="9">
        <v>44732.0</v>
      </c>
    </row>
    <row r="10757">
      <c r="A10757" s="5">
        <v>10756.0</v>
      </c>
      <c r="B10757" s="5" t="s">
        <v>11207</v>
      </c>
      <c r="C10757" s="5" t="s">
        <v>21</v>
      </c>
      <c r="K10757" s="5">
        <v>150.0</v>
      </c>
      <c r="N10757" s="9">
        <v>45391.0</v>
      </c>
    </row>
    <row r="10758">
      <c r="A10758" s="5">
        <v>10757.0</v>
      </c>
      <c r="B10758" s="5" t="s">
        <v>11208</v>
      </c>
      <c r="C10758" s="5" t="s">
        <v>21</v>
      </c>
      <c r="K10758" s="5">
        <v>200.0</v>
      </c>
      <c r="N10758" s="9">
        <v>44968.0</v>
      </c>
    </row>
    <row r="10759">
      <c r="A10759" s="5">
        <v>10758.0</v>
      </c>
      <c r="B10759" s="5" t="s">
        <v>11209</v>
      </c>
      <c r="C10759" s="5" t="s">
        <v>21</v>
      </c>
      <c r="K10759" s="5">
        <v>20.0</v>
      </c>
      <c r="N10759" s="9">
        <v>44545.0</v>
      </c>
    </row>
    <row r="10760">
      <c r="A10760" s="5">
        <v>10759.0</v>
      </c>
      <c r="B10760" s="5" t="s">
        <v>11210</v>
      </c>
      <c r="C10760" s="5" t="s">
        <v>21</v>
      </c>
      <c r="K10760" s="5">
        <v>90.0</v>
      </c>
      <c r="N10760" s="9">
        <v>44260.0</v>
      </c>
    </row>
    <row r="10761">
      <c r="A10761" s="5">
        <v>10760.0</v>
      </c>
      <c r="B10761" s="5" t="s">
        <v>11211</v>
      </c>
      <c r="C10761" s="5" t="s">
        <v>21</v>
      </c>
      <c r="K10761" s="5">
        <v>350.0</v>
      </c>
      <c r="N10761" s="9">
        <v>45580.0</v>
      </c>
    </row>
    <row r="10762">
      <c r="A10762" s="5">
        <v>10761.0</v>
      </c>
      <c r="B10762" s="5" t="s">
        <v>11212</v>
      </c>
      <c r="C10762" s="5" t="s">
        <v>21</v>
      </c>
      <c r="K10762" s="5">
        <v>250.0</v>
      </c>
      <c r="N10762" s="9">
        <v>43868.0</v>
      </c>
    </row>
    <row r="10763">
      <c r="A10763" s="5">
        <v>10762.0</v>
      </c>
      <c r="B10763" s="5" t="s">
        <v>11213</v>
      </c>
      <c r="C10763" s="5" t="s">
        <v>21</v>
      </c>
      <c r="K10763" s="5">
        <v>1500.0</v>
      </c>
      <c r="N10763" s="9">
        <v>43949.0</v>
      </c>
    </row>
    <row r="10764">
      <c r="A10764" s="5">
        <v>10763.0</v>
      </c>
      <c r="B10764" s="5" t="s">
        <v>11214</v>
      </c>
      <c r="C10764" s="5" t="s">
        <v>21</v>
      </c>
      <c r="K10764" s="5">
        <v>1000.0</v>
      </c>
      <c r="N10764" s="9">
        <v>44532.0</v>
      </c>
    </row>
    <row r="10765">
      <c r="A10765" s="5">
        <v>10764.0</v>
      </c>
      <c r="B10765" s="5" t="s">
        <v>11215</v>
      </c>
      <c r="C10765" s="5" t="s">
        <v>21</v>
      </c>
      <c r="K10765" s="5">
        <v>250.0</v>
      </c>
      <c r="N10765" s="9">
        <v>45096.0</v>
      </c>
    </row>
    <row r="10766">
      <c r="A10766" s="5">
        <v>10765.0</v>
      </c>
      <c r="B10766" s="5" t="s">
        <v>11216</v>
      </c>
      <c r="C10766" s="5" t="s">
        <v>21</v>
      </c>
      <c r="K10766" s="5">
        <v>150.0</v>
      </c>
      <c r="N10766" s="9">
        <v>44516.0</v>
      </c>
    </row>
    <row r="10767">
      <c r="A10767" s="5">
        <v>10766.0</v>
      </c>
      <c r="B10767" s="5" t="s">
        <v>11217</v>
      </c>
      <c r="C10767" s="5" t="s">
        <v>21</v>
      </c>
      <c r="K10767" s="5">
        <v>700.0</v>
      </c>
      <c r="N10767" s="9">
        <v>44710.0</v>
      </c>
    </row>
    <row r="10768">
      <c r="A10768" s="5">
        <v>10767.0</v>
      </c>
      <c r="B10768" s="5" t="s">
        <v>11218</v>
      </c>
      <c r="C10768" s="5" t="s">
        <v>21</v>
      </c>
      <c r="N10768" s="9">
        <v>44518.0</v>
      </c>
    </row>
    <row r="10769">
      <c r="A10769" s="5">
        <v>10768.0</v>
      </c>
      <c r="B10769" s="5" t="s">
        <v>11219</v>
      </c>
      <c r="C10769" s="5" t="s">
        <v>21</v>
      </c>
      <c r="K10769" s="5">
        <v>300.0</v>
      </c>
      <c r="N10769" s="9">
        <v>44521.0</v>
      </c>
    </row>
    <row r="10770">
      <c r="A10770" s="5">
        <v>10769.0</v>
      </c>
      <c r="B10770" s="5" t="s">
        <v>11220</v>
      </c>
      <c r="C10770" s="5" t="s">
        <v>21</v>
      </c>
      <c r="K10770" s="5">
        <v>200.0</v>
      </c>
      <c r="N10770" s="9">
        <v>44517.0</v>
      </c>
    </row>
    <row r="10771">
      <c r="A10771" s="5">
        <v>10770.0</v>
      </c>
      <c r="B10771" s="5" t="s">
        <v>11221</v>
      </c>
      <c r="C10771" s="5" t="s">
        <v>21</v>
      </c>
      <c r="K10771" s="5">
        <v>300.0</v>
      </c>
      <c r="N10771" s="9">
        <v>44736.0</v>
      </c>
    </row>
    <row r="10772">
      <c r="A10772" s="5">
        <v>10771.0</v>
      </c>
      <c r="B10772" s="5" t="s">
        <v>11222</v>
      </c>
      <c r="C10772" s="5" t="s">
        <v>21</v>
      </c>
      <c r="K10772" s="5">
        <v>200.0</v>
      </c>
      <c r="N10772" s="9">
        <v>44484.0</v>
      </c>
    </row>
    <row r="10773">
      <c r="A10773" s="5">
        <v>10772.0</v>
      </c>
      <c r="B10773" s="5" t="s">
        <v>11223</v>
      </c>
      <c r="C10773" s="5" t="s">
        <v>21</v>
      </c>
      <c r="K10773" s="5">
        <v>150.0</v>
      </c>
      <c r="N10773" s="9">
        <v>45039.0</v>
      </c>
    </row>
    <row r="10774">
      <c r="A10774" s="5">
        <v>10773.0</v>
      </c>
      <c r="B10774" s="5" t="s">
        <v>11224</v>
      </c>
      <c r="C10774" s="5" t="s">
        <v>21</v>
      </c>
      <c r="K10774" s="5">
        <v>3600.0</v>
      </c>
      <c r="N10774" s="9">
        <v>44598.0</v>
      </c>
    </row>
    <row r="10775">
      <c r="A10775" s="5">
        <v>10774.0</v>
      </c>
      <c r="B10775" s="5" t="s">
        <v>11225</v>
      </c>
      <c r="C10775" s="5" t="s">
        <v>21</v>
      </c>
      <c r="K10775" s="5">
        <v>2700.0</v>
      </c>
      <c r="N10775" s="9">
        <v>44309.0</v>
      </c>
    </row>
    <row r="10776">
      <c r="A10776" s="5">
        <v>10775.0</v>
      </c>
      <c r="B10776" s="5" t="s">
        <v>11226</v>
      </c>
      <c r="C10776" s="5" t="s">
        <v>21</v>
      </c>
      <c r="K10776" s="5">
        <v>1200.0</v>
      </c>
      <c r="N10776" s="9">
        <v>45639.0</v>
      </c>
    </row>
    <row r="10777">
      <c r="A10777" s="5">
        <v>10776.0</v>
      </c>
      <c r="B10777" s="5" t="s">
        <v>377</v>
      </c>
      <c r="C10777" s="5" t="s">
        <v>21</v>
      </c>
      <c r="K10777" s="5">
        <v>150.0</v>
      </c>
      <c r="N10777" s="9">
        <v>45068.0</v>
      </c>
    </row>
    <row r="10778">
      <c r="A10778" s="5">
        <v>10777.0</v>
      </c>
      <c r="B10778" s="5" t="s">
        <v>11227</v>
      </c>
      <c r="C10778" s="5" t="s">
        <v>21</v>
      </c>
      <c r="K10778" s="5">
        <v>8800.0</v>
      </c>
      <c r="N10778" s="9">
        <v>44466.0</v>
      </c>
    </row>
    <row r="10779">
      <c r="A10779" s="5">
        <v>10778.0</v>
      </c>
      <c r="B10779" s="5" t="s">
        <v>11228</v>
      </c>
      <c r="C10779" s="5" t="s">
        <v>21</v>
      </c>
      <c r="K10779" s="5">
        <v>500.0</v>
      </c>
      <c r="N10779" s="9">
        <v>44595.0</v>
      </c>
    </row>
    <row r="10780">
      <c r="A10780" s="5">
        <v>10779.0</v>
      </c>
      <c r="B10780" s="5" t="s">
        <v>11229</v>
      </c>
      <c r="C10780" s="5" t="s">
        <v>21</v>
      </c>
      <c r="K10780" s="5">
        <v>900.0</v>
      </c>
      <c r="N10780" s="9">
        <v>44420.0</v>
      </c>
    </row>
    <row r="10781">
      <c r="A10781" s="5">
        <v>10780.0</v>
      </c>
      <c r="B10781" s="5" t="s">
        <v>11230</v>
      </c>
      <c r="C10781" s="5" t="s">
        <v>21</v>
      </c>
      <c r="K10781" s="5">
        <v>800.0</v>
      </c>
      <c r="N10781" s="9">
        <v>43905.0</v>
      </c>
    </row>
    <row r="10782">
      <c r="A10782" s="5">
        <v>10781.0</v>
      </c>
      <c r="B10782" s="5" t="s">
        <v>11231</v>
      </c>
      <c r="C10782" s="5" t="s">
        <v>21</v>
      </c>
      <c r="K10782" s="5">
        <v>700.0</v>
      </c>
      <c r="N10782" s="9">
        <v>44588.0</v>
      </c>
    </row>
    <row r="10783">
      <c r="A10783" s="5">
        <v>10782.0</v>
      </c>
      <c r="B10783" s="5" t="s">
        <v>11232</v>
      </c>
      <c r="C10783" s="5" t="s">
        <v>21</v>
      </c>
      <c r="K10783" s="5">
        <v>150.0</v>
      </c>
      <c r="N10783" s="9">
        <v>44492.0</v>
      </c>
    </row>
    <row r="10784">
      <c r="A10784" s="5">
        <v>10783.0</v>
      </c>
      <c r="B10784" s="5" t="s">
        <v>11233</v>
      </c>
      <c r="C10784" s="5" t="s">
        <v>21</v>
      </c>
      <c r="K10784" s="5">
        <v>250.0</v>
      </c>
      <c r="N10784" s="9">
        <v>44755.0</v>
      </c>
    </row>
    <row r="10785">
      <c r="A10785" s="5">
        <v>10784.0</v>
      </c>
      <c r="B10785" s="5" t="s">
        <v>11234</v>
      </c>
      <c r="C10785" s="5" t="s">
        <v>21</v>
      </c>
      <c r="K10785" s="5">
        <v>600.0</v>
      </c>
      <c r="N10785" s="9">
        <v>44545.0</v>
      </c>
    </row>
    <row r="10786">
      <c r="A10786" s="5">
        <v>10785.0</v>
      </c>
      <c r="B10786" s="5" t="s">
        <v>11235</v>
      </c>
      <c r="C10786" s="5" t="s">
        <v>21</v>
      </c>
      <c r="K10786" s="5">
        <v>700.0</v>
      </c>
      <c r="N10786" s="9">
        <v>45002.0</v>
      </c>
    </row>
    <row r="10787">
      <c r="A10787" s="5">
        <v>10786.0</v>
      </c>
      <c r="B10787" s="5" t="s">
        <v>11236</v>
      </c>
      <c r="C10787" s="5" t="s">
        <v>21</v>
      </c>
      <c r="N10787" s="9">
        <v>44575.0</v>
      </c>
    </row>
    <row r="10788">
      <c r="A10788" s="5">
        <v>10787.0</v>
      </c>
      <c r="B10788" s="5" t="s">
        <v>11237</v>
      </c>
      <c r="C10788" s="5" t="s">
        <v>21</v>
      </c>
      <c r="K10788" s="5">
        <v>900.0</v>
      </c>
      <c r="N10788" s="9">
        <v>44104.0</v>
      </c>
    </row>
    <row r="10789">
      <c r="A10789" s="5">
        <v>10788.0</v>
      </c>
      <c r="B10789" s="5" t="s">
        <v>11238</v>
      </c>
      <c r="C10789" s="5" t="s">
        <v>21</v>
      </c>
      <c r="K10789" s="5">
        <v>350.0</v>
      </c>
      <c r="N10789" s="9">
        <v>44584.0</v>
      </c>
    </row>
    <row r="10790">
      <c r="A10790" s="5">
        <v>10789.0</v>
      </c>
      <c r="B10790" s="5" t="s">
        <v>11239</v>
      </c>
      <c r="C10790" s="5" t="s">
        <v>21</v>
      </c>
      <c r="K10790" s="5">
        <v>3300.0</v>
      </c>
      <c r="N10790" s="9">
        <v>43861.0</v>
      </c>
    </row>
    <row r="10791">
      <c r="A10791" s="5">
        <v>10790.0</v>
      </c>
      <c r="B10791" s="5" t="s">
        <v>11240</v>
      </c>
      <c r="C10791" s="5" t="s">
        <v>21</v>
      </c>
      <c r="K10791" s="5">
        <v>150.0</v>
      </c>
      <c r="N10791" s="9">
        <v>45104.0</v>
      </c>
    </row>
    <row r="10792">
      <c r="A10792" s="5">
        <v>10791.0</v>
      </c>
      <c r="B10792" s="5" t="s">
        <v>11241</v>
      </c>
      <c r="C10792" s="5" t="s">
        <v>21</v>
      </c>
      <c r="K10792" s="5">
        <v>350.0</v>
      </c>
      <c r="N10792" s="9">
        <v>44557.0</v>
      </c>
    </row>
    <row r="10793">
      <c r="A10793" s="5">
        <v>10792.0</v>
      </c>
      <c r="B10793" s="5" t="s">
        <v>11242</v>
      </c>
      <c r="C10793" s="5" t="s">
        <v>21</v>
      </c>
      <c r="K10793" s="5">
        <v>200.0</v>
      </c>
      <c r="N10793" s="9">
        <v>45355.0</v>
      </c>
    </row>
    <row r="10794">
      <c r="A10794" s="5">
        <v>10793.0</v>
      </c>
      <c r="B10794" s="5" t="s">
        <v>11243</v>
      </c>
      <c r="C10794" s="5" t="s">
        <v>21</v>
      </c>
      <c r="K10794" s="5">
        <v>350.0</v>
      </c>
      <c r="N10794" s="9">
        <v>44164.0</v>
      </c>
    </row>
    <row r="10795">
      <c r="A10795" s="5">
        <v>10794.0</v>
      </c>
      <c r="B10795" s="5" t="s">
        <v>11244</v>
      </c>
      <c r="C10795" s="5" t="s">
        <v>21</v>
      </c>
      <c r="K10795" s="5">
        <v>150.0</v>
      </c>
      <c r="N10795" s="9">
        <v>44470.0</v>
      </c>
    </row>
    <row r="10796">
      <c r="A10796" s="5">
        <v>10795.0</v>
      </c>
      <c r="B10796" s="5" t="s">
        <v>11245</v>
      </c>
      <c r="C10796" s="5" t="s">
        <v>21</v>
      </c>
      <c r="K10796" s="5">
        <v>150.0</v>
      </c>
      <c r="N10796" s="9">
        <v>44557.0</v>
      </c>
    </row>
    <row r="10797">
      <c r="A10797" s="5">
        <v>10796.0</v>
      </c>
      <c r="B10797" s="5" t="s">
        <v>11246</v>
      </c>
      <c r="C10797" s="5" t="s">
        <v>21</v>
      </c>
      <c r="K10797" s="5">
        <v>500.0</v>
      </c>
      <c r="N10797" s="9">
        <v>44613.0</v>
      </c>
    </row>
    <row r="10798">
      <c r="A10798" s="5">
        <v>10797.0</v>
      </c>
      <c r="B10798" s="5" t="s">
        <v>11247</v>
      </c>
      <c r="C10798" s="5" t="s">
        <v>21</v>
      </c>
      <c r="K10798" s="5">
        <v>17000.0</v>
      </c>
      <c r="N10798" s="9">
        <v>46085.0</v>
      </c>
    </row>
    <row r="10799">
      <c r="A10799" s="5">
        <v>10798.0</v>
      </c>
      <c r="B10799" s="5" t="s">
        <v>11248</v>
      </c>
      <c r="C10799" s="5" t="s">
        <v>21</v>
      </c>
      <c r="K10799" s="5">
        <v>300.0</v>
      </c>
      <c r="N10799" s="9">
        <v>45172.0</v>
      </c>
    </row>
    <row r="10800">
      <c r="A10800" s="5">
        <v>10799.0</v>
      </c>
      <c r="B10800" s="5" t="s">
        <v>11249</v>
      </c>
      <c r="C10800" s="5" t="s">
        <v>21</v>
      </c>
      <c r="K10800" s="5">
        <v>2300.0</v>
      </c>
      <c r="N10800" s="9">
        <v>44096.0</v>
      </c>
    </row>
    <row r="10801">
      <c r="A10801" s="5">
        <v>10800.0</v>
      </c>
      <c r="B10801" s="5" t="s">
        <v>11250</v>
      </c>
      <c r="C10801" s="5" t="s">
        <v>21</v>
      </c>
      <c r="K10801" s="5">
        <v>350.0</v>
      </c>
      <c r="N10801" s="9">
        <v>45295.0</v>
      </c>
    </row>
    <row r="10802">
      <c r="A10802" s="5">
        <v>10801.0</v>
      </c>
      <c r="B10802" s="5" t="s">
        <v>11251</v>
      </c>
      <c r="C10802" s="5" t="s">
        <v>21</v>
      </c>
      <c r="K10802" s="5">
        <v>800.0</v>
      </c>
      <c r="N10802" s="9">
        <v>44543.0</v>
      </c>
    </row>
    <row r="10803">
      <c r="A10803" s="5">
        <v>10802.0</v>
      </c>
      <c r="B10803" s="5" t="s">
        <v>11252</v>
      </c>
      <c r="C10803" s="5" t="s">
        <v>21</v>
      </c>
      <c r="K10803" s="5">
        <v>200.0</v>
      </c>
      <c r="N10803" s="9">
        <v>44539.0</v>
      </c>
    </row>
    <row r="10804">
      <c r="A10804" s="5">
        <v>10803.0</v>
      </c>
      <c r="B10804" s="5" t="s">
        <v>11253</v>
      </c>
      <c r="C10804" s="5" t="s">
        <v>21</v>
      </c>
      <c r="K10804" s="5">
        <v>30.0</v>
      </c>
      <c r="N10804" s="9">
        <v>44589.0</v>
      </c>
    </row>
    <row r="10805">
      <c r="A10805" s="5">
        <v>10804.0</v>
      </c>
      <c r="B10805" s="5" t="s">
        <v>11254</v>
      </c>
      <c r="C10805" s="5" t="s">
        <v>21</v>
      </c>
      <c r="K10805" s="5">
        <v>400.0</v>
      </c>
      <c r="N10805" s="9">
        <v>44319.0</v>
      </c>
    </row>
    <row r="10806">
      <c r="A10806" s="5">
        <v>10805.0</v>
      </c>
      <c r="B10806" s="5" t="s">
        <v>11255</v>
      </c>
      <c r="C10806" s="5" t="s">
        <v>21</v>
      </c>
      <c r="K10806" s="5">
        <v>500.0</v>
      </c>
      <c r="N10806" s="9">
        <v>44532.0</v>
      </c>
    </row>
    <row r="10807">
      <c r="A10807" s="5">
        <v>10806.0</v>
      </c>
      <c r="B10807" s="5" t="s">
        <v>11256</v>
      </c>
      <c r="C10807" s="5" t="s">
        <v>21</v>
      </c>
      <c r="K10807" s="5">
        <v>100.0</v>
      </c>
      <c r="N10807" s="9">
        <v>44596.0</v>
      </c>
    </row>
    <row r="10808">
      <c r="A10808" s="5">
        <v>10807.0</v>
      </c>
      <c r="B10808" s="5" t="s">
        <v>11257</v>
      </c>
      <c r="C10808" s="5" t="s">
        <v>21</v>
      </c>
      <c r="K10808" s="5">
        <v>1100.0</v>
      </c>
      <c r="N10808" s="9">
        <v>44029.0</v>
      </c>
    </row>
    <row r="10809">
      <c r="A10809" s="5">
        <v>10808.0</v>
      </c>
      <c r="B10809" s="5" t="s">
        <v>11258</v>
      </c>
      <c r="C10809" s="5" t="s">
        <v>21</v>
      </c>
      <c r="K10809" s="5">
        <v>50.0</v>
      </c>
      <c r="N10809" s="9">
        <v>44403.0</v>
      </c>
    </row>
    <row r="10810">
      <c r="A10810" s="5">
        <v>10809.0</v>
      </c>
      <c r="B10810" s="5" t="s">
        <v>11259</v>
      </c>
      <c r="C10810" s="5" t="s">
        <v>21</v>
      </c>
      <c r="K10810" s="5">
        <v>250.0</v>
      </c>
      <c r="N10810" s="9">
        <v>44413.0</v>
      </c>
    </row>
    <row r="10811">
      <c r="A10811" s="5">
        <v>10810.0</v>
      </c>
      <c r="B10811" s="5" t="s">
        <v>11260</v>
      </c>
      <c r="C10811" s="5" t="s">
        <v>21</v>
      </c>
      <c r="K10811" s="5">
        <v>350.0</v>
      </c>
      <c r="N10811" s="9">
        <v>44120.0</v>
      </c>
    </row>
    <row r="10812">
      <c r="A10812" s="5">
        <v>10811.0</v>
      </c>
      <c r="B10812" s="5" t="s">
        <v>11261</v>
      </c>
      <c r="C10812" s="5" t="s">
        <v>21</v>
      </c>
      <c r="K10812" s="5">
        <v>600.0</v>
      </c>
      <c r="N10812" s="9">
        <v>44267.0</v>
      </c>
    </row>
    <row r="10813">
      <c r="A10813" s="5">
        <v>10812.0</v>
      </c>
      <c r="B10813" s="5" t="s">
        <v>11262</v>
      </c>
      <c r="C10813" s="5" t="s">
        <v>21</v>
      </c>
      <c r="K10813" s="5">
        <v>90.0</v>
      </c>
      <c r="N10813" s="9">
        <v>44563.0</v>
      </c>
    </row>
    <row r="10814">
      <c r="A10814" s="5">
        <v>10813.0</v>
      </c>
      <c r="B10814" s="5" t="s">
        <v>11263</v>
      </c>
      <c r="C10814" s="5" t="s">
        <v>21</v>
      </c>
      <c r="K10814" s="5">
        <v>1600.0</v>
      </c>
      <c r="N10814" s="9">
        <v>44535.0</v>
      </c>
    </row>
    <row r="10815">
      <c r="A10815" s="5">
        <v>10814.0</v>
      </c>
      <c r="B10815" s="5" t="s">
        <v>11264</v>
      </c>
      <c r="C10815" s="5" t="s">
        <v>21</v>
      </c>
      <c r="K10815" s="5">
        <v>30.0</v>
      </c>
      <c r="N10815" s="9">
        <v>43842.0</v>
      </c>
    </row>
    <row r="10816">
      <c r="A10816" s="5">
        <v>10815.0</v>
      </c>
      <c r="B10816" s="5" t="s">
        <v>11265</v>
      </c>
      <c r="C10816" s="5" t="s">
        <v>21</v>
      </c>
      <c r="K10816" s="5">
        <v>150.0</v>
      </c>
      <c r="N10816" s="9">
        <v>45158.0</v>
      </c>
    </row>
    <row r="10817">
      <c r="A10817" s="5">
        <v>10816.0</v>
      </c>
      <c r="B10817" s="5" t="s">
        <v>11266</v>
      </c>
      <c r="C10817" s="5" t="s">
        <v>21</v>
      </c>
      <c r="K10817" s="5">
        <v>350.0</v>
      </c>
      <c r="N10817" s="9">
        <v>44201.0</v>
      </c>
    </row>
    <row r="10818">
      <c r="A10818" s="5">
        <v>10817.0</v>
      </c>
      <c r="B10818" s="5" t="s">
        <v>11267</v>
      </c>
      <c r="C10818" s="5" t="s">
        <v>21</v>
      </c>
      <c r="K10818" s="5">
        <v>150.0</v>
      </c>
      <c r="N10818" s="9">
        <v>45485.0</v>
      </c>
    </row>
    <row r="10819">
      <c r="A10819" s="5">
        <v>10818.0</v>
      </c>
      <c r="B10819" s="5" t="s">
        <v>11268</v>
      </c>
      <c r="C10819" s="5" t="s">
        <v>21</v>
      </c>
      <c r="K10819" s="5">
        <v>500.0</v>
      </c>
      <c r="N10819" s="9">
        <v>45205.0</v>
      </c>
    </row>
    <row r="10820">
      <c r="A10820" s="5">
        <v>10819.0</v>
      </c>
      <c r="B10820" s="5" t="s">
        <v>11269</v>
      </c>
      <c r="C10820" s="5" t="s">
        <v>21</v>
      </c>
      <c r="N10820" s="9">
        <v>44363.0</v>
      </c>
    </row>
    <row r="10821">
      <c r="A10821" s="5">
        <v>10820.0</v>
      </c>
      <c r="B10821" s="5" t="s">
        <v>11270</v>
      </c>
      <c r="C10821" s="5" t="s">
        <v>21</v>
      </c>
      <c r="K10821" s="5">
        <v>2100.0</v>
      </c>
      <c r="N10821" s="9">
        <v>44612.0</v>
      </c>
    </row>
    <row r="10822">
      <c r="A10822" s="5">
        <v>10821.0</v>
      </c>
      <c r="B10822" s="5" t="s">
        <v>11271</v>
      </c>
      <c r="C10822" s="5" t="s">
        <v>21</v>
      </c>
      <c r="K10822" s="5">
        <v>200.0</v>
      </c>
      <c r="N10822" s="9">
        <v>45327.0</v>
      </c>
    </row>
    <row r="10823">
      <c r="A10823" s="5">
        <v>10822.0</v>
      </c>
      <c r="B10823" s="5" t="s">
        <v>11272</v>
      </c>
      <c r="C10823" s="5" t="s">
        <v>21</v>
      </c>
      <c r="K10823" s="5">
        <v>60.0</v>
      </c>
      <c r="N10823" s="9">
        <v>44586.0</v>
      </c>
    </row>
    <row r="10824">
      <c r="A10824" s="5">
        <v>10823.0</v>
      </c>
      <c r="B10824" s="5" t="s">
        <v>11273</v>
      </c>
      <c r="C10824" s="5" t="s">
        <v>21</v>
      </c>
      <c r="K10824" s="5">
        <v>200.0</v>
      </c>
      <c r="N10824" s="9">
        <v>44755.0</v>
      </c>
    </row>
    <row r="10825">
      <c r="A10825" s="5">
        <v>10824.0</v>
      </c>
      <c r="B10825" s="5" t="s">
        <v>11274</v>
      </c>
      <c r="C10825" s="5" t="s">
        <v>21</v>
      </c>
      <c r="N10825" s="9">
        <v>44590.0</v>
      </c>
    </row>
    <row r="10826">
      <c r="A10826" s="5">
        <v>10825.0</v>
      </c>
      <c r="B10826" s="5" t="s">
        <v>11275</v>
      </c>
      <c r="C10826" s="5" t="s">
        <v>21</v>
      </c>
      <c r="K10826" s="5">
        <v>10.0</v>
      </c>
      <c r="N10826" s="9">
        <v>44752.0</v>
      </c>
    </row>
    <row r="10827">
      <c r="A10827" s="5">
        <v>10826.0</v>
      </c>
      <c r="B10827" s="5" t="s">
        <v>11276</v>
      </c>
      <c r="C10827" s="5" t="s">
        <v>21</v>
      </c>
      <c r="K10827" s="5">
        <v>300.0</v>
      </c>
      <c r="N10827" s="9">
        <v>44564.0</v>
      </c>
    </row>
    <row r="10828">
      <c r="A10828" s="5">
        <v>10827.0</v>
      </c>
      <c r="B10828" s="5" t="s">
        <v>11277</v>
      </c>
      <c r="C10828" s="5" t="s">
        <v>21</v>
      </c>
      <c r="K10828" s="5">
        <v>1600.0</v>
      </c>
      <c r="N10828" s="9">
        <v>44399.0</v>
      </c>
    </row>
    <row r="10829">
      <c r="A10829" s="5">
        <v>10828.0</v>
      </c>
      <c r="B10829" s="5" t="s">
        <v>11278</v>
      </c>
      <c r="C10829" s="5" t="s">
        <v>21</v>
      </c>
      <c r="K10829" s="5">
        <v>350.0</v>
      </c>
      <c r="N10829" s="9">
        <v>44683.0</v>
      </c>
    </row>
    <row r="10830">
      <c r="A10830" s="5">
        <v>10829.0</v>
      </c>
      <c r="B10830" s="5" t="s">
        <v>11279</v>
      </c>
      <c r="C10830" s="5" t="s">
        <v>21</v>
      </c>
      <c r="K10830" s="5">
        <v>350.0</v>
      </c>
      <c r="N10830" s="9">
        <v>44638.0</v>
      </c>
    </row>
    <row r="10831">
      <c r="A10831" s="5">
        <v>10830.0</v>
      </c>
      <c r="B10831" s="5" t="s">
        <v>11280</v>
      </c>
      <c r="C10831" s="5" t="s">
        <v>21</v>
      </c>
      <c r="K10831" s="5">
        <v>400.0</v>
      </c>
      <c r="N10831" s="9">
        <v>44045.0</v>
      </c>
    </row>
    <row r="10832">
      <c r="A10832" s="5">
        <v>10831.0</v>
      </c>
      <c r="B10832" s="5" t="s">
        <v>11281</v>
      </c>
      <c r="C10832" s="5" t="s">
        <v>21</v>
      </c>
      <c r="N10832" s="9">
        <v>44621.0</v>
      </c>
    </row>
    <row r="10833">
      <c r="A10833" s="5">
        <v>10832.0</v>
      </c>
      <c r="B10833" s="5" t="s">
        <v>11282</v>
      </c>
      <c r="C10833" s="5" t="s">
        <v>21</v>
      </c>
      <c r="K10833" s="5">
        <v>50.0</v>
      </c>
      <c r="N10833" s="9">
        <v>44608.0</v>
      </c>
    </row>
    <row r="10834">
      <c r="A10834" s="5">
        <v>10833.0</v>
      </c>
      <c r="B10834" s="5" t="s">
        <v>11283</v>
      </c>
      <c r="C10834" s="5" t="s">
        <v>21</v>
      </c>
      <c r="K10834" s="5">
        <v>4800.0</v>
      </c>
      <c r="N10834" s="9">
        <v>43883.0</v>
      </c>
      <c r="O10834" s="5" t="s">
        <v>69</v>
      </c>
      <c r="P10834" s="5" t="s">
        <v>26</v>
      </c>
      <c r="S10834" s="5" t="s">
        <v>29</v>
      </c>
    </row>
    <row r="10835">
      <c r="A10835" s="5">
        <v>10834.0</v>
      </c>
      <c r="B10835" s="5" t="s">
        <v>11284</v>
      </c>
      <c r="C10835" s="5" t="s">
        <v>21</v>
      </c>
      <c r="K10835" s="5">
        <v>7900.0</v>
      </c>
      <c r="N10835" s="9">
        <v>43891.0</v>
      </c>
    </row>
    <row r="10836">
      <c r="A10836" s="5">
        <v>10835.0</v>
      </c>
      <c r="B10836" s="5" t="s">
        <v>11285</v>
      </c>
      <c r="C10836" s="5" t="s">
        <v>21</v>
      </c>
      <c r="K10836" s="5">
        <v>30.0</v>
      </c>
      <c r="N10836" s="9">
        <v>42444.0</v>
      </c>
    </row>
    <row r="10837">
      <c r="A10837" s="5">
        <v>10836.0</v>
      </c>
      <c r="B10837" s="5" t="s">
        <v>11286</v>
      </c>
      <c r="C10837" s="5" t="s">
        <v>21</v>
      </c>
      <c r="K10837" s="5">
        <v>300.0</v>
      </c>
      <c r="N10837" s="9">
        <v>44959.0</v>
      </c>
    </row>
    <row r="10838">
      <c r="A10838" s="5">
        <v>10837.0</v>
      </c>
      <c r="B10838" s="5" t="s">
        <v>11287</v>
      </c>
      <c r="C10838" s="5" t="s">
        <v>21</v>
      </c>
      <c r="K10838" s="5">
        <v>450.0</v>
      </c>
      <c r="N10838" s="9">
        <v>44542.0</v>
      </c>
    </row>
    <row r="10839">
      <c r="A10839" s="5">
        <v>10838.0</v>
      </c>
      <c r="B10839" s="5" t="s">
        <v>11288</v>
      </c>
      <c r="C10839" s="5" t="s">
        <v>21</v>
      </c>
      <c r="K10839" s="5">
        <v>300.0</v>
      </c>
      <c r="N10839" s="9">
        <v>44236.0</v>
      </c>
    </row>
    <row r="10840">
      <c r="A10840" s="5">
        <v>10839.0</v>
      </c>
      <c r="B10840" s="5" t="s">
        <v>11289</v>
      </c>
      <c r="C10840" s="5" t="s">
        <v>21</v>
      </c>
      <c r="K10840" s="5">
        <v>1500.0</v>
      </c>
      <c r="N10840" s="9">
        <v>43970.0</v>
      </c>
    </row>
    <row r="10841">
      <c r="A10841" s="5">
        <v>10840.0</v>
      </c>
      <c r="B10841" s="5" t="s">
        <v>11290</v>
      </c>
      <c r="C10841" s="5" t="s">
        <v>21</v>
      </c>
      <c r="N10841" s="9">
        <v>44582.0</v>
      </c>
    </row>
    <row r="10842">
      <c r="A10842" s="5">
        <v>10841.0</v>
      </c>
      <c r="B10842" s="5" t="s">
        <v>11291</v>
      </c>
      <c r="C10842" s="5" t="s">
        <v>21</v>
      </c>
      <c r="K10842" s="5">
        <v>6400.0</v>
      </c>
      <c r="N10842" s="9">
        <v>44402.0</v>
      </c>
    </row>
    <row r="10843">
      <c r="A10843" s="5">
        <v>10842.0</v>
      </c>
      <c r="B10843" s="5" t="s">
        <v>11292</v>
      </c>
      <c r="C10843" s="5" t="s">
        <v>21</v>
      </c>
      <c r="K10843" s="5">
        <v>150.0</v>
      </c>
      <c r="N10843" s="9">
        <v>44509.0</v>
      </c>
    </row>
    <row r="10844">
      <c r="A10844" s="5">
        <v>10843.0</v>
      </c>
      <c r="B10844" s="5" t="s">
        <v>11293</v>
      </c>
      <c r="C10844" s="5" t="s">
        <v>21</v>
      </c>
      <c r="K10844" s="5">
        <v>300.0</v>
      </c>
      <c r="N10844" s="9">
        <v>44787.0</v>
      </c>
    </row>
    <row r="10845">
      <c r="A10845" s="5">
        <v>10844.0</v>
      </c>
      <c r="B10845" s="5" t="s">
        <v>11294</v>
      </c>
      <c r="C10845" s="5" t="s">
        <v>21</v>
      </c>
      <c r="K10845" s="5">
        <v>10.0</v>
      </c>
      <c r="N10845" s="9">
        <v>44537.0</v>
      </c>
    </row>
    <row r="10846">
      <c r="A10846" s="5">
        <v>10845.0</v>
      </c>
      <c r="B10846" s="5" t="s">
        <v>11295</v>
      </c>
      <c r="C10846" s="5" t="s">
        <v>21</v>
      </c>
      <c r="K10846" s="5">
        <v>150.0</v>
      </c>
      <c r="N10846" s="9">
        <v>44983.0</v>
      </c>
    </row>
    <row r="10847">
      <c r="A10847" s="5">
        <v>10846.0</v>
      </c>
      <c r="B10847" s="5" t="s">
        <v>11296</v>
      </c>
      <c r="C10847" s="5" t="s">
        <v>21</v>
      </c>
      <c r="K10847" s="5">
        <v>600.0</v>
      </c>
      <c r="N10847" s="9">
        <v>44406.0</v>
      </c>
    </row>
    <row r="10848">
      <c r="A10848" s="5">
        <v>10847.0</v>
      </c>
      <c r="B10848" s="5" t="s">
        <v>11297</v>
      </c>
      <c r="C10848" s="5" t="s">
        <v>21</v>
      </c>
      <c r="K10848" s="5">
        <v>350.0</v>
      </c>
      <c r="N10848" s="9">
        <v>45613.0</v>
      </c>
    </row>
    <row r="10849">
      <c r="A10849" s="5">
        <v>10848.0</v>
      </c>
      <c r="B10849" s="5" t="s">
        <v>11298</v>
      </c>
      <c r="C10849" s="5" t="s">
        <v>21</v>
      </c>
      <c r="K10849" s="5">
        <v>300.0</v>
      </c>
      <c r="N10849" s="9">
        <v>43848.0</v>
      </c>
    </row>
    <row r="10850">
      <c r="A10850" s="5">
        <v>10849.0</v>
      </c>
      <c r="B10850" s="5" t="s">
        <v>11299</v>
      </c>
      <c r="C10850" s="5" t="s">
        <v>21</v>
      </c>
      <c r="K10850" s="5">
        <v>30.0</v>
      </c>
      <c r="N10850" s="9">
        <v>44909.0</v>
      </c>
    </row>
    <row r="10851">
      <c r="A10851" s="5">
        <v>10850.0</v>
      </c>
      <c r="B10851" s="5" t="s">
        <v>11300</v>
      </c>
      <c r="C10851" s="5" t="s">
        <v>21</v>
      </c>
      <c r="K10851" s="5">
        <v>60.0</v>
      </c>
      <c r="N10851" s="9">
        <v>44553.0</v>
      </c>
    </row>
    <row r="10852">
      <c r="A10852" s="5">
        <v>10851.0</v>
      </c>
      <c r="B10852" s="5" t="s">
        <v>11301</v>
      </c>
      <c r="C10852" s="5" t="s">
        <v>21</v>
      </c>
      <c r="K10852" s="5">
        <v>350.0</v>
      </c>
      <c r="N10852" s="9">
        <v>44614.0</v>
      </c>
    </row>
    <row r="10853">
      <c r="A10853" s="5">
        <v>10852.0</v>
      </c>
      <c r="B10853" s="5" t="s">
        <v>11302</v>
      </c>
      <c r="C10853" s="5" t="s">
        <v>21</v>
      </c>
      <c r="K10853" s="5">
        <v>700.0</v>
      </c>
      <c r="N10853" s="9">
        <v>44519.0</v>
      </c>
    </row>
    <row r="10854">
      <c r="A10854" s="5">
        <v>10853.0</v>
      </c>
      <c r="B10854" s="5" t="s">
        <v>11303</v>
      </c>
      <c r="C10854" s="5" t="s">
        <v>21</v>
      </c>
      <c r="K10854" s="5">
        <v>900.0</v>
      </c>
      <c r="N10854" s="9">
        <v>44596.0</v>
      </c>
    </row>
    <row r="10855">
      <c r="A10855" s="5">
        <v>10854.0</v>
      </c>
      <c r="B10855" s="5" t="s">
        <v>11304</v>
      </c>
      <c r="C10855" s="5" t="s">
        <v>21</v>
      </c>
      <c r="K10855" s="5">
        <v>350.0</v>
      </c>
      <c r="N10855" s="9">
        <v>44344.0</v>
      </c>
    </row>
    <row r="10856">
      <c r="A10856" s="5">
        <v>10855.0</v>
      </c>
      <c r="B10856" s="5" t="s">
        <v>11305</v>
      </c>
      <c r="C10856" s="5" t="s">
        <v>21</v>
      </c>
      <c r="K10856" s="5">
        <v>200.0</v>
      </c>
      <c r="N10856" s="9">
        <v>45760.0</v>
      </c>
    </row>
    <row r="10857">
      <c r="A10857" s="5">
        <v>10856.0</v>
      </c>
      <c r="B10857" s="5" t="s">
        <v>11306</v>
      </c>
      <c r="C10857" s="5" t="s">
        <v>21</v>
      </c>
      <c r="K10857" s="5">
        <v>80.0</v>
      </c>
      <c r="N10857" s="9">
        <v>44635.0</v>
      </c>
    </row>
    <row r="10858">
      <c r="A10858" s="5">
        <v>10857.0</v>
      </c>
      <c r="B10858" s="5" t="s">
        <v>11307</v>
      </c>
      <c r="C10858" s="5" t="s">
        <v>21</v>
      </c>
      <c r="K10858" s="5">
        <v>150.0</v>
      </c>
      <c r="N10858" s="9">
        <v>44536.0</v>
      </c>
    </row>
    <row r="10859">
      <c r="A10859" s="5">
        <v>10858.0</v>
      </c>
      <c r="B10859" s="5" t="s">
        <v>11308</v>
      </c>
      <c r="C10859" s="5" t="s">
        <v>21</v>
      </c>
      <c r="K10859" s="5">
        <v>200.0</v>
      </c>
      <c r="N10859" s="9">
        <v>44566.0</v>
      </c>
    </row>
    <row r="10860">
      <c r="A10860" s="5">
        <v>10859.0</v>
      </c>
      <c r="B10860" s="5" t="s">
        <v>11309</v>
      </c>
      <c r="C10860" s="5" t="s">
        <v>21</v>
      </c>
      <c r="K10860" s="5">
        <v>200.0</v>
      </c>
      <c r="N10860" s="9">
        <v>43993.0</v>
      </c>
    </row>
    <row r="10861">
      <c r="A10861" s="5">
        <v>10860.0</v>
      </c>
      <c r="B10861" s="5" t="s">
        <v>11310</v>
      </c>
      <c r="C10861" s="5" t="s">
        <v>21</v>
      </c>
      <c r="K10861" s="5">
        <v>60.0</v>
      </c>
      <c r="N10861" s="9">
        <v>44856.0</v>
      </c>
    </row>
    <row r="10862">
      <c r="A10862" s="5">
        <v>10861.0</v>
      </c>
      <c r="B10862" s="5" t="s">
        <v>11311</v>
      </c>
      <c r="C10862" s="5" t="s">
        <v>21</v>
      </c>
      <c r="K10862" s="5">
        <v>200.0</v>
      </c>
      <c r="N10862" s="9">
        <v>44988.0</v>
      </c>
    </row>
    <row r="10863">
      <c r="A10863" s="5">
        <v>10862.0</v>
      </c>
      <c r="B10863" s="5" t="s">
        <v>11312</v>
      </c>
      <c r="C10863" s="5" t="s">
        <v>21</v>
      </c>
      <c r="K10863" s="5">
        <v>100.0</v>
      </c>
      <c r="N10863" s="9">
        <v>44583.0</v>
      </c>
    </row>
    <row r="10864">
      <c r="A10864" s="5">
        <v>10863.0</v>
      </c>
      <c r="B10864" s="5" t="s">
        <v>11313</v>
      </c>
      <c r="C10864" s="5" t="s">
        <v>21</v>
      </c>
      <c r="K10864" s="5">
        <v>400.0</v>
      </c>
      <c r="N10864" s="9">
        <v>44273.0</v>
      </c>
    </row>
    <row r="10865">
      <c r="A10865" s="5">
        <v>10864.0</v>
      </c>
      <c r="B10865" s="5" t="s">
        <v>11314</v>
      </c>
      <c r="C10865" s="5" t="s">
        <v>21</v>
      </c>
      <c r="K10865" s="5">
        <v>100.0</v>
      </c>
      <c r="N10865" s="9">
        <v>44453.0</v>
      </c>
    </row>
    <row r="10866">
      <c r="A10866" s="5">
        <v>10865.0</v>
      </c>
      <c r="B10866" s="5" t="s">
        <v>11315</v>
      </c>
      <c r="C10866" s="5" t="s">
        <v>21</v>
      </c>
      <c r="K10866" s="5">
        <v>1500.0</v>
      </c>
      <c r="N10866" s="9">
        <v>43844.0</v>
      </c>
    </row>
    <row r="10867">
      <c r="A10867" s="5">
        <v>10866.0</v>
      </c>
      <c r="B10867" s="5" t="s">
        <v>11316</v>
      </c>
      <c r="C10867" s="5" t="s">
        <v>21</v>
      </c>
      <c r="K10867" s="5">
        <v>20.0</v>
      </c>
      <c r="N10867" s="9">
        <v>44035.0</v>
      </c>
    </row>
    <row r="10868">
      <c r="A10868" s="5">
        <v>10867.0</v>
      </c>
      <c r="B10868" s="5" t="s">
        <v>11317</v>
      </c>
      <c r="C10868" s="5" t="s">
        <v>21</v>
      </c>
      <c r="K10868" s="5">
        <v>70.0</v>
      </c>
      <c r="N10868" s="9">
        <v>44201.0</v>
      </c>
    </row>
    <row r="10869">
      <c r="A10869" s="5">
        <v>10868.0</v>
      </c>
      <c r="B10869" s="5" t="s">
        <v>11318</v>
      </c>
      <c r="C10869" s="5" t="s">
        <v>21</v>
      </c>
      <c r="K10869" s="5">
        <v>500.0</v>
      </c>
      <c r="N10869" s="9">
        <v>44452.0</v>
      </c>
    </row>
    <row r="10870">
      <c r="A10870" s="5">
        <v>10869.0</v>
      </c>
      <c r="B10870" s="5" t="s">
        <v>11319</v>
      </c>
      <c r="C10870" s="5" t="s">
        <v>21</v>
      </c>
      <c r="K10870" s="5">
        <v>3900.0</v>
      </c>
      <c r="N10870" s="9">
        <v>43855.0</v>
      </c>
    </row>
    <row r="10871">
      <c r="A10871" s="5">
        <v>10870.0</v>
      </c>
      <c r="B10871" s="5" t="s">
        <v>11320</v>
      </c>
      <c r="C10871" s="5" t="s">
        <v>21</v>
      </c>
      <c r="N10871" s="9">
        <v>44569.0</v>
      </c>
    </row>
    <row r="10872">
      <c r="A10872" s="5">
        <v>10871.0</v>
      </c>
      <c r="B10872" s="5" t="s">
        <v>11321</v>
      </c>
      <c r="C10872" s="5" t="s">
        <v>21</v>
      </c>
      <c r="K10872" s="5">
        <v>350.0</v>
      </c>
      <c r="N10872" s="9">
        <v>45064.0</v>
      </c>
    </row>
    <row r="10873">
      <c r="A10873" s="5">
        <v>10872.0</v>
      </c>
      <c r="B10873" s="5" t="s">
        <v>11322</v>
      </c>
      <c r="C10873" s="5" t="s">
        <v>21</v>
      </c>
      <c r="K10873" s="5">
        <v>100.0</v>
      </c>
      <c r="N10873" s="9">
        <v>45096.0</v>
      </c>
    </row>
    <row r="10874">
      <c r="A10874" s="5">
        <v>10873.0</v>
      </c>
      <c r="B10874" s="5" t="s">
        <v>11323</v>
      </c>
      <c r="C10874" s="5" t="s">
        <v>21</v>
      </c>
      <c r="K10874" s="5">
        <v>500.0</v>
      </c>
      <c r="N10874" s="9">
        <v>44864.0</v>
      </c>
    </row>
    <row r="10875">
      <c r="A10875" s="5">
        <v>10874.0</v>
      </c>
      <c r="B10875" s="5" t="s">
        <v>11324</v>
      </c>
      <c r="C10875" s="5" t="s">
        <v>21</v>
      </c>
      <c r="K10875" s="5">
        <v>200.0</v>
      </c>
      <c r="N10875" s="9">
        <v>44563.0</v>
      </c>
    </row>
    <row r="10876">
      <c r="A10876" s="5">
        <v>10875.0</v>
      </c>
      <c r="B10876" s="5" t="s">
        <v>11325</v>
      </c>
      <c r="C10876" s="5" t="s">
        <v>21</v>
      </c>
      <c r="K10876" s="5">
        <v>800.0</v>
      </c>
      <c r="N10876" s="9">
        <v>44524.0</v>
      </c>
    </row>
    <row r="10877">
      <c r="A10877" s="5">
        <v>10876.0</v>
      </c>
      <c r="B10877" s="5" t="s">
        <v>11326</v>
      </c>
      <c r="C10877" s="5" t="s">
        <v>21</v>
      </c>
      <c r="K10877" s="5">
        <v>900.0</v>
      </c>
      <c r="N10877" s="9">
        <v>44150.0</v>
      </c>
    </row>
    <row r="10878">
      <c r="A10878" s="5">
        <v>10877.0</v>
      </c>
      <c r="B10878" s="5" t="s">
        <v>11327</v>
      </c>
      <c r="C10878" s="5" t="s">
        <v>21</v>
      </c>
      <c r="K10878" s="5">
        <v>600.0</v>
      </c>
      <c r="N10878" s="9">
        <v>44618.0</v>
      </c>
    </row>
    <row r="10879">
      <c r="A10879" s="5">
        <v>10878.0</v>
      </c>
      <c r="B10879" s="5" t="s">
        <v>11328</v>
      </c>
      <c r="C10879" s="5" t="s">
        <v>21</v>
      </c>
      <c r="K10879" s="5">
        <v>150.0</v>
      </c>
      <c r="N10879" s="9">
        <v>45674.0</v>
      </c>
    </row>
    <row r="10880">
      <c r="A10880" s="5">
        <v>10879.0</v>
      </c>
      <c r="B10880" s="5" t="s">
        <v>11329</v>
      </c>
      <c r="C10880" s="5" t="s">
        <v>21</v>
      </c>
      <c r="K10880" s="5">
        <v>250.0</v>
      </c>
      <c r="N10880" s="9">
        <v>44604.0</v>
      </c>
    </row>
    <row r="10881">
      <c r="A10881" s="5">
        <v>10880.0</v>
      </c>
      <c r="B10881" s="5" t="s">
        <v>11330</v>
      </c>
      <c r="C10881" s="5" t="s">
        <v>21</v>
      </c>
      <c r="K10881" s="5">
        <v>400.0</v>
      </c>
      <c r="N10881" s="9">
        <v>44589.0</v>
      </c>
    </row>
    <row r="10882">
      <c r="A10882" s="5">
        <v>10881.0</v>
      </c>
      <c r="B10882" s="5" t="s">
        <v>11331</v>
      </c>
      <c r="C10882" s="5" t="s">
        <v>21</v>
      </c>
      <c r="K10882" s="5">
        <v>250.0</v>
      </c>
      <c r="N10882" s="9">
        <v>44958.0</v>
      </c>
    </row>
    <row r="10883">
      <c r="A10883" s="5">
        <v>10882.0</v>
      </c>
      <c r="B10883" s="5" t="s">
        <v>11332</v>
      </c>
      <c r="C10883" s="5" t="s">
        <v>21</v>
      </c>
      <c r="K10883" s="5">
        <v>700.0</v>
      </c>
      <c r="N10883" s="9">
        <v>45725.0</v>
      </c>
    </row>
    <row r="10884">
      <c r="A10884" s="5">
        <v>10883.0</v>
      </c>
      <c r="B10884" s="5" t="s">
        <v>11333</v>
      </c>
      <c r="C10884" s="5" t="s">
        <v>21</v>
      </c>
      <c r="K10884" s="5">
        <v>350.0</v>
      </c>
      <c r="N10884" s="9">
        <v>44716.0</v>
      </c>
    </row>
    <row r="10885">
      <c r="A10885" s="5">
        <v>10884.0</v>
      </c>
      <c r="B10885" s="5" t="s">
        <v>11334</v>
      </c>
      <c r="C10885" s="5" t="s">
        <v>21</v>
      </c>
      <c r="K10885" s="5">
        <v>2600.0</v>
      </c>
      <c r="N10885" s="9">
        <v>45372.0</v>
      </c>
    </row>
    <row r="10886">
      <c r="A10886" s="5">
        <v>10885.0</v>
      </c>
      <c r="B10886" s="5" t="s">
        <v>11335</v>
      </c>
      <c r="C10886" s="5" t="s">
        <v>21</v>
      </c>
      <c r="K10886" s="5">
        <v>600.0</v>
      </c>
      <c r="N10886" s="9">
        <v>44835.0</v>
      </c>
    </row>
    <row r="10887">
      <c r="A10887" s="5">
        <v>10886.0</v>
      </c>
      <c r="B10887" s="5" t="s">
        <v>11336</v>
      </c>
      <c r="C10887" s="5" t="s">
        <v>21</v>
      </c>
      <c r="K10887" s="5">
        <v>90.0</v>
      </c>
      <c r="N10887" s="9">
        <v>44148.0</v>
      </c>
    </row>
    <row r="10888">
      <c r="A10888" s="5">
        <v>10887.0</v>
      </c>
      <c r="B10888" s="5" t="s">
        <v>11337</v>
      </c>
      <c r="C10888" s="5" t="s">
        <v>21</v>
      </c>
      <c r="K10888" s="5">
        <v>250.0</v>
      </c>
      <c r="N10888" s="9">
        <v>44118.0</v>
      </c>
    </row>
    <row r="10889">
      <c r="A10889" s="5">
        <v>10888.0</v>
      </c>
      <c r="B10889" s="5" t="s">
        <v>11338</v>
      </c>
      <c r="C10889" s="5" t="s">
        <v>21</v>
      </c>
      <c r="K10889" s="5">
        <v>150.0</v>
      </c>
      <c r="N10889" s="9">
        <v>44929.0</v>
      </c>
    </row>
    <row r="10890">
      <c r="A10890" s="5">
        <v>10889.0</v>
      </c>
      <c r="B10890" s="5" t="s">
        <v>11339</v>
      </c>
      <c r="C10890" s="5" t="s">
        <v>21</v>
      </c>
      <c r="K10890" s="5">
        <v>10.0</v>
      </c>
      <c r="N10890" s="9">
        <v>44168.0</v>
      </c>
    </row>
    <row r="10891">
      <c r="A10891" s="5">
        <v>10890.0</v>
      </c>
      <c r="B10891" s="5" t="s">
        <v>11340</v>
      </c>
      <c r="C10891" s="5" t="s">
        <v>21</v>
      </c>
      <c r="K10891" s="5">
        <v>500.0</v>
      </c>
      <c r="N10891" s="9">
        <v>44106.0</v>
      </c>
    </row>
    <row r="10892">
      <c r="A10892" s="5">
        <v>10891.0</v>
      </c>
      <c r="B10892" s="5" t="s">
        <v>11341</v>
      </c>
      <c r="C10892" s="5" t="s">
        <v>21</v>
      </c>
      <c r="K10892" s="5">
        <v>3000.0</v>
      </c>
      <c r="N10892" s="9">
        <v>43857.0</v>
      </c>
    </row>
    <row r="10893">
      <c r="A10893" s="5">
        <v>10892.0</v>
      </c>
      <c r="B10893" s="5" t="s">
        <v>11342</v>
      </c>
      <c r="C10893" s="5" t="s">
        <v>21</v>
      </c>
      <c r="K10893" s="5">
        <v>1700.0</v>
      </c>
      <c r="N10893" s="9">
        <v>45473.0</v>
      </c>
    </row>
    <row r="10894">
      <c r="A10894" s="5">
        <v>10893.0</v>
      </c>
      <c r="B10894" s="5" t="s">
        <v>11343</v>
      </c>
      <c r="C10894" s="5" t="s">
        <v>21</v>
      </c>
      <c r="K10894" s="5">
        <v>90.0</v>
      </c>
      <c r="N10894" s="9">
        <v>44723.0</v>
      </c>
    </row>
    <row r="10895">
      <c r="A10895" s="5">
        <v>10894.0</v>
      </c>
      <c r="B10895" s="5" t="s">
        <v>11344</v>
      </c>
      <c r="C10895" s="5" t="s">
        <v>21</v>
      </c>
      <c r="K10895" s="5">
        <v>400.0</v>
      </c>
      <c r="N10895" s="9">
        <v>44519.0</v>
      </c>
    </row>
    <row r="10896">
      <c r="A10896" s="5">
        <v>10895.0</v>
      </c>
      <c r="B10896" s="5" t="s">
        <v>11345</v>
      </c>
      <c r="C10896" s="5" t="s">
        <v>21</v>
      </c>
      <c r="K10896" s="5">
        <v>11000.0</v>
      </c>
      <c r="N10896" s="9">
        <v>44037.0</v>
      </c>
    </row>
    <row r="10897">
      <c r="A10897" s="5">
        <v>10896.0</v>
      </c>
      <c r="B10897" s="5" t="s">
        <v>11346</v>
      </c>
      <c r="C10897" s="5" t="s">
        <v>21</v>
      </c>
      <c r="K10897" s="5">
        <v>70.0</v>
      </c>
      <c r="N10897" s="9">
        <v>44068.0</v>
      </c>
    </row>
    <row r="10898">
      <c r="A10898" s="5">
        <v>10897.0</v>
      </c>
      <c r="B10898" s="5" t="s">
        <v>11347</v>
      </c>
      <c r="C10898" s="5" t="s">
        <v>21</v>
      </c>
      <c r="K10898" s="5">
        <v>250.0</v>
      </c>
      <c r="N10898" s="9">
        <v>44581.0</v>
      </c>
    </row>
    <row r="10899">
      <c r="A10899" s="5">
        <v>10898.0</v>
      </c>
      <c r="B10899" s="5" t="s">
        <v>11348</v>
      </c>
      <c r="C10899" s="5" t="s">
        <v>21</v>
      </c>
      <c r="K10899" s="5">
        <v>700.0</v>
      </c>
      <c r="N10899" s="9">
        <v>44500.0</v>
      </c>
    </row>
    <row r="10900">
      <c r="A10900" s="5">
        <v>10899.0</v>
      </c>
      <c r="B10900" s="5" t="s">
        <v>11349</v>
      </c>
      <c r="C10900" s="5" t="s">
        <v>21</v>
      </c>
      <c r="K10900" s="5">
        <v>60.0</v>
      </c>
      <c r="N10900" s="9">
        <v>44863.0</v>
      </c>
    </row>
    <row r="10901">
      <c r="A10901" s="5">
        <v>10900.0</v>
      </c>
      <c r="B10901" s="5" t="s">
        <v>11350</v>
      </c>
      <c r="C10901" s="5" t="s">
        <v>21</v>
      </c>
      <c r="K10901" s="5">
        <v>1400.0</v>
      </c>
      <c r="N10901" s="9">
        <v>43845.0</v>
      </c>
    </row>
    <row r="10902">
      <c r="A10902" s="5">
        <v>10901.0</v>
      </c>
      <c r="B10902" s="5" t="s">
        <v>11351</v>
      </c>
      <c r="C10902" s="5" t="s">
        <v>21</v>
      </c>
      <c r="N10902" s="9">
        <v>44567.0</v>
      </c>
    </row>
    <row r="10903">
      <c r="A10903" s="5">
        <v>10902.0</v>
      </c>
      <c r="B10903" s="5" t="s">
        <v>11352</v>
      </c>
      <c r="C10903" s="5" t="s">
        <v>21</v>
      </c>
      <c r="K10903" s="5">
        <v>500.0</v>
      </c>
      <c r="N10903" s="9">
        <v>44228.0</v>
      </c>
    </row>
    <row r="10904">
      <c r="A10904" s="5">
        <v>10903.0</v>
      </c>
      <c r="B10904" s="5" t="s">
        <v>11353</v>
      </c>
      <c r="C10904" s="5" t="s">
        <v>21</v>
      </c>
      <c r="K10904" s="5">
        <v>600.0</v>
      </c>
      <c r="N10904" s="9">
        <v>44203.0</v>
      </c>
    </row>
    <row r="10905">
      <c r="A10905" s="5">
        <v>10904.0</v>
      </c>
      <c r="B10905" s="5" t="s">
        <v>11354</v>
      </c>
      <c r="C10905" s="5" t="s">
        <v>21</v>
      </c>
      <c r="K10905" s="5">
        <v>350.0</v>
      </c>
      <c r="N10905" s="9">
        <v>45404.0</v>
      </c>
    </row>
    <row r="10906">
      <c r="A10906" s="5">
        <v>10905.0</v>
      </c>
      <c r="B10906" s="5" t="s">
        <v>11355</v>
      </c>
      <c r="C10906" s="5" t="s">
        <v>21</v>
      </c>
      <c r="K10906" s="5">
        <v>200.0</v>
      </c>
      <c r="N10906" s="9">
        <v>44627.0</v>
      </c>
    </row>
    <row r="10907">
      <c r="A10907" s="5">
        <v>10906.0</v>
      </c>
      <c r="B10907" s="5" t="s">
        <v>11356</v>
      </c>
      <c r="C10907" s="5" t="s">
        <v>21</v>
      </c>
      <c r="K10907" s="5">
        <v>1500.0</v>
      </c>
      <c r="N10907" s="9">
        <v>44546.0</v>
      </c>
    </row>
    <row r="10908">
      <c r="A10908" s="5">
        <v>10907.0</v>
      </c>
      <c r="B10908" s="5" t="s">
        <v>11357</v>
      </c>
      <c r="C10908" s="5" t="s">
        <v>21</v>
      </c>
      <c r="K10908" s="5">
        <v>250.0</v>
      </c>
      <c r="N10908" s="9">
        <v>44266.0</v>
      </c>
    </row>
    <row r="10909">
      <c r="A10909" s="5">
        <v>10908.0</v>
      </c>
      <c r="B10909" s="5" t="s">
        <v>11358</v>
      </c>
      <c r="C10909" s="5" t="s">
        <v>21</v>
      </c>
      <c r="K10909" s="5">
        <v>80.0</v>
      </c>
      <c r="N10909" s="9">
        <v>44711.0</v>
      </c>
    </row>
    <row r="10910">
      <c r="A10910" s="5">
        <v>10909.0</v>
      </c>
      <c r="B10910" s="5" t="s">
        <v>11359</v>
      </c>
      <c r="C10910" s="5" t="s">
        <v>21</v>
      </c>
      <c r="K10910" s="5">
        <v>900.0</v>
      </c>
      <c r="N10910" s="9">
        <v>44386.0</v>
      </c>
    </row>
    <row r="10911">
      <c r="A10911" s="5">
        <v>10910.0</v>
      </c>
      <c r="B10911" s="5" t="s">
        <v>11360</v>
      </c>
      <c r="C10911" s="5" t="s">
        <v>21</v>
      </c>
      <c r="K10911" s="5">
        <v>450.0</v>
      </c>
      <c r="N10911" s="9">
        <v>44630.0</v>
      </c>
    </row>
    <row r="10912">
      <c r="A10912" s="5">
        <v>10911.0</v>
      </c>
      <c r="B10912" s="5" t="s">
        <v>11361</v>
      </c>
      <c r="C10912" s="5" t="s">
        <v>21</v>
      </c>
      <c r="K10912" s="5">
        <v>200.0</v>
      </c>
      <c r="N10912" s="9">
        <v>43943.0</v>
      </c>
    </row>
    <row r="10913">
      <c r="A10913" s="5">
        <v>10912.0</v>
      </c>
      <c r="B10913" s="5" t="s">
        <v>11362</v>
      </c>
      <c r="C10913" s="5" t="s">
        <v>21</v>
      </c>
      <c r="K10913" s="5">
        <v>250.0</v>
      </c>
      <c r="N10913" s="9">
        <v>44514.0</v>
      </c>
    </row>
    <row r="10914">
      <c r="A10914" s="5">
        <v>10913.0</v>
      </c>
      <c r="B10914" s="5" t="s">
        <v>11363</v>
      </c>
      <c r="C10914" s="5" t="s">
        <v>21</v>
      </c>
      <c r="K10914" s="5">
        <v>1200.0</v>
      </c>
      <c r="N10914" s="9">
        <v>44112.0</v>
      </c>
    </row>
    <row r="10915">
      <c r="A10915" s="5">
        <v>10914.0</v>
      </c>
      <c r="B10915" s="5" t="s">
        <v>11364</v>
      </c>
      <c r="C10915" s="5" t="s">
        <v>21</v>
      </c>
      <c r="K10915" s="5">
        <v>250.0</v>
      </c>
      <c r="N10915" s="9">
        <v>44975.0</v>
      </c>
    </row>
    <row r="10916">
      <c r="A10916" s="5">
        <v>10915.0</v>
      </c>
      <c r="B10916" s="5" t="s">
        <v>11365</v>
      </c>
      <c r="C10916" s="5" t="s">
        <v>21</v>
      </c>
      <c r="K10916" s="5">
        <v>250.0</v>
      </c>
      <c r="N10916" s="9">
        <v>45595.0</v>
      </c>
    </row>
    <row r="10917">
      <c r="A10917" s="5">
        <v>10916.0</v>
      </c>
      <c r="B10917" s="5" t="s">
        <v>11366</v>
      </c>
      <c r="C10917" s="5" t="s">
        <v>21</v>
      </c>
      <c r="K10917" s="5">
        <v>500.0</v>
      </c>
      <c r="N10917" s="9">
        <v>44390.0</v>
      </c>
    </row>
    <row r="10918">
      <c r="A10918" s="5">
        <v>10917.0</v>
      </c>
      <c r="B10918" s="5" t="s">
        <v>11367</v>
      </c>
      <c r="C10918" s="5" t="s">
        <v>21</v>
      </c>
      <c r="K10918" s="5">
        <v>250.0</v>
      </c>
      <c r="N10918" s="9">
        <v>44542.0</v>
      </c>
    </row>
    <row r="10919">
      <c r="A10919" s="5">
        <v>10918.0</v>
      </c>
      <c r="B10919" s="5" t="s">
        <v>11368</v>
      </c>
      <c r="C10919" s="5" t="s">
        <v>21</v>
      </c>
      <c r="K10919" s="5">
        <v>400.0</v>
      </c>
      <c r="N10919" s="9">
        <v>44532.0</v>
      </c>
    </row>
    <row r="10920">
      <c r="A10920" s="5">
        <v>10919.0</v>
      </c>
      <c r="B10920" s="5" t="s">
        <v>11369</v>
      </c>
      <c r="C10920" s="5" t="s">
        <v>21</v>
      </c>
      <c r="K10920" s="5">
        <v>450.0</v>
      </c>
      <c r="N10920" s="9">
        <v>45104.0</v>
      </c>
    </row>
    <row r="10921">
      <c r="A10921" s="5">
        <v>10920.0</v>
      </c>
      <c r="B10921" s="5" t="s">
        <v>11370</v>
      </c>
      <c r="C10921" s="5" t="s">
        <v>21</v>
      </c>
      <c r="K10921" s="5">
        <v>800.0</v>
      </c>
      <c r="N10921" s="9">
        <v>44384.0</v>
      </c>
    </row>
    <row r="10922">
      <c r="A10922" s="5">
        <v>10921.0</v>
      </c>
      <c r="B10922" s="5" t="s">
        <v>11371</v>
      </c>
      <c r="C10922" s="5" t="s">
        <v>21</v>
      </c>
      <c r="K10922" s="5">
        <v>800.0</v>
      </c>
      <c r="N10922" s="9">
        <v>44934.0</v>
      </c>
    </row>
    <row r="10923">
      <c r="A10923" s="5">
        <v>10922.0</v>
      </c>
      <c r="B10923" s="5" t="s">
        <v>11372</v>
      </c>
      <c r="C10923" s="5" t="s">
        <v>21</v>
      </c>
      <c r="K10923" s="5">
        <v>30.0</v>
      </c>
      <c r="N10923" s="9">
        <v>44542.0</v>
      </c>
    </row>
    <row r="10924">
      <c r="A10924" s="5">
        <v>10923.0</v>
      </c>
      <c r="B10924" s="5" t="s">
        <v>11373</v>
      </c>
      <c r="C10924" s="5" t="s">
        <v>21</v>
      </c>
      <c r="K10924" s="5">
        <v>50.0</v>
      </c>
      <c r="N10924" s="9">
        <v>43939.0</v>
      </c>
    </row>
    <row r="10925">
      <c r="A10925" s="5">
        <v>10924.0</v>
      </c>
      <c r="B10925" s="5" t="s">
        <v>11374</v>
      </c>
      <c r="C10925" s="5" t="s">
        <v>21</v>
      </c>
      <c r="K10925" s="5">
        <v>10.0</v>
      </c>
      <c r="N10925" s="9">
        <v>44538.0</v>
      </c>
    </row>
    <row r="10926">
      <c r="A10926" s="5">
        <v>10925.0</v>
      </c>
      <c r="B10926" s="5" t="s">
        <v>11375</v>
      </c>
      <c r="C10926" s="5" t="s">
        <v>21</v>
      </c>
      <c r="K10926" s="5">
        <v>80.0</v>
      </c>
      <c r="N10926" s="9">
        <v>44884.0</v>
      </c>
    </row>
    <row r="10927">
      <c r="A10927" s="5">
        <v>10926.0</v>
      </c>
      <c r="B10927" s="5" t="s">
        <v>11376</v>
      </c>
      <c r="C10927" s="5" t="s">
        <v>21</v>
      </c>
      <c r="K10927" s="5">
        <v>200.0</v>
      </c>
      <c r="N10927" s="9">
        <v>44577.0</v>
      </c>
    </row>
    <row r="10928">
      <c r="A10928" s="5">
        <v>10927.0</v>
      </c>
      <c r="B10928" s="5" t="s">
        <v>11377</v>
      </c>
      <c r="C10928" s="5" t="s">
        <v>21</v>
      </c>
      <c r="K10928" s="5">
        <v>3100.0</v>
      </c>
      <c r="N10928" s="9">
        <v>43942.0</v>
      </c>
    </row>
    <row r="10929">
      <c r="A10929" s="5">
        <v>10928.0</v>
      </c>
      <c r="B10929" s="5" t="s">
        <v>11378</v>
      </c>
      <c r="C10929" s="5" t="s">
        <v>21</v>
      </c>
      <c r="K10929" s="5">
        <v>90.0</v>
      </c>
      <c r="N10929" s="9">
        <v>43936.0</v>
      </c>
    </row>
    <row r="10930">
      <c r="A10930" s="5">
        <v>10929.0</v>
      </c>
      <c r="B10930" s="5" t="s">
        <v>11379</v>
      </c>
      <c r="C10930" s="5" t="s">
        <v>21</v>
      </c>
      <c r="K10930" s="5">
        <v>100.0</v>
      </c>
      <c r="N10930" s="9">
        <v>44473.0</v>
      </c>
    </row>
    <row r="10931">
      <c r="A10931" s="5">
        <v>10930.0</v>
      </c>
      <c r="B10931" s="5" t="s">
        <v>11380</v>
      </c>
      <c r="C10931" s="5" t="s">
        <v>21</v>
      </c>
      <c r="K10931" s="5">
        <v>200.0</v>
      </c>
      <c r="N10931" s="9">
        <v>44343.0</v>
      </c>
    </row>
    <row r="10932">
      <c r="A10932" s="5">
        <v>10931.0</v>
      </c>
      <c r="B10932" s="5" t="s">
        <v>11381</v>
      </c>
      <c r="C10932" s="5" t="s">
        <v>21</v>
      </c>
      <c r="K10932" s="5">
        <v>1000.0</v>
      </c>
      <c r="N10932" s="9">
        <v>44597.0</v>
      </c>
    </row>
    <row r="10933">
      <c r="A10933" s="5">
        <v>10932.0</v>
      </c>
      <c r="B10933" s="5" t="s">
        <v>11382</v>
      </c>
      <c r="C10933" s="5" t="s">
        <v>21</v>
      </c>
      <c r="K10933" s="5">
        <v>450.0</v>
      </c>
      <c r="N10933" s="9">
        <v>44118.0</v>
      </c>
    </row>
    <row r="10934">
      <c r="A10934" s="5">
        <v>10933.0</v>
      </c>
      <c r="B10934" s="5" t="s">
        <v>11383</v>
      </c>
      <c r="C10934" s="5" t="s">
        <v>21</v>
      </c>
      <c r="K10934" s="5">
        <v>700.0</v>
      </c>
      <c r="N10934" s="9">
        <v>45329.0</v>
      </c>
    </row>
    <row r="10935">
      <c r="A10935" s="5">
        <v>10934.0</v>
      </c>
      <c r="B10935" s="5" t="s">
        <v>11384</v>
      </c>
      <c r="C10935" s="5" t="s">
        <v>21</v>
      </c>
      <c r="K10935" s="5">
        <v>1300.0</v>
      </c>
      <c r="N10935" s="9">
        <v>44131.0</v>
      </c>
    </row>
    <row r="10936">
      <c r="A10936" s="5">
        <v>10935.0</v>
      </c>
      <c r="B10936" s="5" t="s">
        <v>11385</v>
      </c>
      <c r="C10936" s="5" t="s">
        <v>21</v>
      </c>
      <c r="K10936" s="5">
        <v>400.0</v>
      </c>
      <c r="N10936" s="9">
        <v>44525.0</v>
      </c>
    </row>
    <row r="10937">
      <c r="A10937" s="5">
        <v>10936.0</v>
      </c>
      <c r="B10937" s="5" t="s">
        <v>11386</v>
      </c>
      <c r="C10937" s="5" t="s">
        <v>21</v>
      </c>
      <c r="K10937" s="5">
        <v>100.0</v>
      </c>
      <c r="N10937" s="9">
        <v>44503.0</v>
      </c>
    </row>
    <row r="10938">
      <c r="A10938" s="5">
        <v>10937.0</v>
      </c>
      <c r="B10938" s="5" t="s">
        <v>11387</v>
      </c>
      <c r="C10938" s="5" t="s">
        <v>21</v>
      </c>
      <c r="K10938" s="5">
        <v>400.0</v>
      </c>
      <c r="N10938" s="9">
        <v>44326.0</v>
      </c>
    </row>
    <row r="10939">
      <c r="A10939" s="5">
        <v>10938.0</v>
      </c>
      <c r="B10939" s="5" t="s">
        <v>11388</v>
      </c>
      <c r="C10939" s="5" t="s">
        <v>21</v>
      </c>
      <c r="K10939" s="5">
        <v>40.0</v>
      </c>
      <c r="N10939" s="9">
        <v>44255.0</v>
      </c>
    </row>
    <row r="10940">
      <c r="A10940" s="5">
        <v>10939.0</v>
      </c>
      <c r="B10940" s="5" t="s">
        <v>11389</v>
      </c>
      <c r="C10940" s="5" t="s">
        <v>21</v>
      </c>
      <c r="K10940" s="5">
        <v>20.0</v>
      </c>
      <c r="N10940" s="9">
        <v>45201.0</v>
      </c>
    </row>
    <row r="10941">
      <c r="A10941" s="5">
        <v>10940.0</v>
      </c>
      <c r="B10941" s="5" t="s">
        <v>11390</v>
      </c>
      <c r="C10941" s="5" t="s">
        <v>21</v>
      </c>
      <c r="N10941" s="9">
        <v>44605.0</v>
      </c>
    </row>
    <row r="10942">
      <c r="A10942" s="5">
        <v>10941.0</v>
      </c>
      <c r="B10942" s="5" t="s">
        <v>11391</v>
      </c>
      <c r="C10942" s="5" t="s">
        <v>21</v>
      </c>
      <c r="K10942" s="5">
        <v>1100.0</v>
      </c>
      <c r="N10942" s="9">
        <v>44516.0</v>
      </c>
    </row>
    <row r="10943">
      <c r="A10943" s="5">
        <v>10942.0</v>
      </c>
      <c r="B10943" s="5" t="s">
        <v>11392</v>
      </c>
      <c r="C10943" s="5" t="s">
        <v>21</v>
      </c>
      <c r="K10943" s="5">
        <v>350.0</v>
      </c>
      <c r="N10943" s="9">
        <v>44656.0</v>
      </c>
    </row>
    <row r="10944">
      <c r="A10944" s="5">
        <v>10943.0</v>
      </c>
      <c r="B10944" s="5" t="s">
        <v>11393</v>
      </c>
      <c r="C10944" s="5" t="s">
        <v>21</v>
      </c>
      <c r="K10944" s="5">
        <v>90.0</v>
      </c>
      <c r="N10944" s="9">
        <v>44513.0</v>
      </c>
    </row>
    <row r="10945">
      <c r="A10945" s="5">
        <v>10944.0</v>
      </c>
      <c r="B10945" s="5" t="s">
        <v>11394</v>
      </c>
      <c r="C10945" s="5" t="s">
        <v>21</v>
      </c>
      <c r="K10945" s="5">
        <v>200.0</v>
      </c>
      <c r="N10945" s="9">
        <v>45340.0</v>
      </c>
    </row>
    <row r="10946">
      <c r="A10946" s="5">
        <v>10945.0</v>
      </c>
      <c r="B10946" s="5" t="s">
        <v>11395</v>
      </c>
      <c r="C10946" s="5" t="s">
        <v>21</v>
      </c>
      <c r="K10946" s="5">
        <v>150.0</v>
      </c>
      <c r="N10946" s="9">
        <v>44034.0</v>
      </c>
    </row>
    <row r="10947">
      <c r="A10947" s="5">
        <v>10946.0</v>
      </c>
      <c r="B10947" s="5" t="s">
        <v>11396</v>
      </c>
      <c r="C10947" s="5" t="s">
        <v>21</v>
      </c>
      <c r="K10947" s="5">
        <v>200.0</v>
      </c>
      <c r="N10947" s="9">
        <v>44755.0</v>
      </c>
    </row>
    <row r="10948">
      <c r="A10948" s="5">
        <v>10947.0</v>
      </c>
      <c r="B10948" s="5" t="s">
        <v>11397</v>
      </c>
      <c r="C10948" s="5" t="s">
        <v>21</v>
      </c>
      <c r="K10948" s="5">
        <v>200.0</v>
      </c>
      <c r="N10948" s="9">
        <v>44061.0</v>
      </c>
    </row>
    <row r="10949">
      <c r="A10949" s="5">
        <v>10948.0</v>
      </c>
      <c r="B10949" s="5" t="s">
        <v>11398</v>
      </c>
      <c r="C10949" s="5" t="s">
        <v>21</v>
      </c>
      <c r="K10949" s="5">
        <v>200.0</v>
      </c>
      <c r="N10949" s="9">
        <v>44460.0</v>
      </c>
    </row>
    <row r="10950">
      <c r="A10950" s="5">
        <v>10949.0</v>
      </c>
      <c r="B10950" s="5" t="s">
        <v>11399</v>
      </c>
      <c r="C10950" s="5" t="s">
        <v>21</v>
      </c>
      <c r="K10950" s="5">
        <v>300.0</v>
      </c>
      <c r="N10950" s="9">
        <v>44532.0</v>
      </c>
    </row>
    <row r="10951">
      <c r="A10951" s="5">
        <v>10950.0</v>
      </c>
      <c r="B10951" s="5" t="s">
        <v>11400</v>
      </c>
      <c r="C10951" s="5" t="s">
        <v>21</v>
      </c>
      <c r="K10951" s="5">
        <v>150.0</v>
      </c>
      <c r="N10951" s="9">
        <v>44950.0</v>
      </c>
    </row>
    <row r="10952">
      <c r="A10952" s="5">
        <v>10951.0</v>
      </c>
      <c r="B10952" s="5" t="s">
        <v>11401</v>
      </c>
      <c r="C10952" s="5" t="s">
        <v>21</v>
      </c>
      <c r="K10952" s="5">
        <v>5400.0</v>
      </c>
      <c r="N10952" s="9">
        <v>44447.0</v>
      </c>
    </row>
    <row r="10953">
      <c r="A10953" s="5">
        <v>10952.0</v>
      </c>
      <c r="B10953" s="5" t="s">
        <v>11402</v>
      </c>
      <c r="C10953" s="5" t="s">
        <v>21</v>
      </c>
      <c r="K10953" s="5">
        <v>150.0</v>
      </c>
      <c r="N10953" s="9">
        <v>44479.0</v>
      </c>
    </row>
    <row r="10954">
      <c r="A10954" s="5">
        <v>10953.0</v>
      </c>
      <c r="B10954" s="5" t="s">
        <v>11403</v>
      </c>
      <c r="C10954" s="5" t="s">
        <v>21</v>
      </c>
      <c r="K10954" s="5">
        <v>30.0</v>
      </c>
      <c r="N10954" s="9">
        <v>44551.0</v>
      </c>
    </row>
    <row r="10955">
      <c r="A10955" s="5">
        <v>10954.0</v>
      </c>
      <c r="B10955" s="5" t="s">
        <v>11404</v>
      </c>
      <c r="C10955" s="5" t="s">
        <v>21</v>
      </c>
      <c r="K10955" s="5">
        <v>100.0</v>
      </c>
      <c r="N10955" s="9">
        <v>45072.0</v>
      </c>
    </row>
    <row r="10956">
      <c r="A10956" s="5">
        <v>10955.0</v>
      </c>
      <c r="B10956" s="5" t="s">
        <v>11405</v>
      </c>
      <c r="C10956" s="5" t="s">
        <v>21</v>
      </c>
      <c r="K10956" s="5">
        <v>200.0</v>
      </c>
      <c r="N10956" s="9">
        <v>45329.0</v>
      </c>
    </row>
    <row r="10957">
      <c r="A10957" s="5">
        <v>10956.0</v>
      </c>
      <c r="B10957" s="5" t="s">
        <v>11406</v>
      </c>
      <c r="C10957" s="5" t="s">
        <v>21</v>
      </c>
      <c r="K10957" s="5">
        <v>10.0</v>
      </c>
      <c r="N10957" s="9">
        <v>44532.0</v>
      </c>
    </row>
    <row r="10958">
      <c r="A10958" s="5">
        <v>10957.0</v>
      </c>
      <c r="B10958" s="5" t="s">
        <v>11407</v>
      </c>
      <c r="C10958" s="5" t="s">
        <v>21</v>
      </c>
      <c r="K10958" s="5">
        <v>400.0</v>
      </c>
      <c r="N10958" s="9">
        <v>44505.0</v>
      </c>
    </row>
    <row r="10959">
      <c r="A10959" s="5">
        <v>10958.0</v>
      </c>
      <c r="B10959" s="5" t="s">
        <v>11408</v>
      </c>
      <c r="C10959" s="5" t="s">
        <v>21</v>
      </c>
      <c r="K10959" s="5">
        <v>150.0</v>
      </c>
      <c r="N10959" s="9">
        <v>45353.0</v>
      </c>
    </row>
    <row r="10960">
      <c r="A10960" s="5">
        <v>10959.0</v>
      </c>
      <c r="B10960" s="5" t="s">
        <v>11409</v>
      </c>
      <c r="C10960" s="5" t="s">
        <v>21</v>
      </c>
      <c r="K10960" s="5">
        <v>200.0</v>
      </c>
      <c r="N10960" s="9">
        <v>44611.0</v>
      </c>
    </row>
    <row r="10961">
      <c r="A10961" s="5">
        <v>10960.0</v>
      </c>
      <c r="B10961" s="5" t="s">
        <v>11410</v>
      </c>
      <c r="C10961" s="5" t="s">
        <v>21</v>
      </c>
      <c r="K10961" s="5">
        <v>900.0</v>
      </c>
      <c r="N10961" s="9">
        <v>43920.0</v>
      </c>
    </row>
    <row r="10962">
      <c r="A10962" s="5">
        <v>10961.0</v>
      </c>
      <c r="B10962" s="5" t="s">
        <v>11411</v>
      </c>
      <c r="C10962" s="5" t="s">
        <v>21</v>
      </c>
      <c r="K10962" s="5">
        <v>100.0</v>
      </c>
      <c r="N10962" s="9">
        <v>44543.0</v>
      </c>
    </row>
    <row r="10963">
      <c r="A10963" s="5">
        <v>10962.0</v>
      </c>
      <c r="B10963" s="5" t="s">
        <v>11412</v>
      </c>
      <c r="C10963" s="5" t="s">
        <v>21</v>
      </c>
      <c r="K10963" s="5">
        <v>40.0</v>
      </c>
      <c r="N10963" s="9">
        <v>44841.0</v>
      </c>
    </row>
    <row r="10964">
      <c r="A10964" s="5">
        <v>10963.0</v>
      </c>
      <c r="B10964" s="5" t="s">
        <v>11413</v>
      </c>
      <c r="C10964" s="5" t="s">
        <v>21</v>
      </c>
      <c r="K10964" s="5">
        <v>500.0</v>
      </c>
      <c r="N10964" s="9">
        <v>44628.0</v>
      </c>
    </row>
    <row r="10965">
      <c r="A10965" s="5">
        <v>10964.0</v>
      </c>
      <c r="B10965" s="5" t="s">
        <v>11414</v>
      </c>
      <c r="C10965" s="5" t="s">
        <v>21</v>
      </c>
      <c r="K10965" s="5">
        <v>50.0</v>
      </c>
      <c r="N10965" s="9">
        <v>45501.0</v>
      </c>
    </row>
    <row r="10966">
      <c r="A10966" s="5">
        <v>10965.0</v>
      </c>
      <c r="B10966" s="5" t="s">
        <v>11415</v>
      </c>
      <c r="C10966" s="5" t="s">
        <v>21</v>
      </c>
      <c r="K10966" s="5">
        <v>50.0</v>
      </c>
      <c r="N10966" s="9">
        <v>45255.0</v>
      </c>
    </row>
    <row r="10967">
      <c r="A10967" s="5">
        <v>10966.0</v>
      </c>
      <c r="B10967" s="5" t="s">
        <v>380</v>
      </c>
      <c r="C10967" s="5" t="s">
        <v>21</v>
      </c>
      <c r="K10967" s="5">
        <v>800.0</v>
      </c>
      <c r="N10967" s="9">
        <v>44733.0</v>
      </c>
    </row>
    <row r="10968">
      <c r="A10968" s="5">
        <v>10967.0</v>
      </c>
      <c r="B10968" s="5" t="s">
        <v>11416</v>
      </c>
      <c r="C10968" s="5" t="s">
        <v>21</v>
      </c>
      <c r="K10968" s="5">
        <v>5900.0</v>
      </c>
      <c r="N10968" s="9">
        <v>43984.0</v>
      </c>
    </row>
    <row r="10969">
      <c r="A10969" s="5">
        <v>10968.0</v>
      </c>
      <c r="B10969" s="5" t="s">
        <v>11417</v>
      </c>
      <c r="C10969" s="5" t="s">
        <v>21</v>
      </c>
      <c r="K10969" s="5">
        <v>350.0</v>
      </c>
      <c r="N10969" s="9">
        <v>45193.0</v>
      </c>
    </row>
    <row r="10970">
      <c r="A10970" s="5">
        <v>10969.0</v>
      </c>
      <c r="B10970" s="5" t="s">
        <v>11418</v>
      </c>
      <c r="C10970" s="5" t="s">
        <v>21</v>
      </c>
      <c r="K10970" s="5">
        <v>400.0</v>
      </c>
      <c r="N10970" s="9">
        <v>45071.0</v>
      </c>
    </row>
    <row r="10971">
      <c r="A10971" s="5">
        <v>10970.0</v>
      </c>
      <c r="B10971" s="5" t="s">
        <v>11419</v>
      </c>
      <c r="C10971" s="5" t="s">
        <v>21</v>
      </c>
      <c r="K10971" s="5">
        <v>10.0</v>
      </c>
      <c r="N10971" s="9">
        <v>44734.0</v>
      </c>
    </row>
    <row r="10972">
      <c r="A10972" s="5">
        <v>10971.0</v>
      </c>
      <c r="B10972" s="5" t="s">
        <v>383</v>
      </c>
      <c r="C10972" s="5" t="s">
        <v>21</v>
      </c>
      <c r="K10972" s="5">
        <v>90.0</v>
      </c>
      <c r="N10972" s="9">
        <v>44190.0</v>
      </c>
    </row>
    <row r="10973">
      <c r="A10973" s="5">
        <v>10972.0</v>
      </c>
      <c r="B10973" s="5" t="s">
        <v>11420</v>
      </c>
      <c r="C10973" s="5" t="s">
        <v>21</v>
      </c>
      <c r="K10973" s="5">
        <v>4800.0</v>
      </c>
      <c r="N10973" s="9">
        <v>44556.0</v>
      </c>
    </row>
    <row r="10974">
      <c r="A10974" s="5">
        <v>10973.0</v>
      </c>
      <c r="B10974" s="5" t="s">
        <v>11421</v>
      </c>
      <c r="C10974" s="5" t="s">
        <v>21</v>
      </c>
      <c r="K10974" s="5">
        <v>1800.0</v>
      </c>
      <c r="N10974" s="9">
        <v>44018.0</v>
      </c>
    </row>
    <row r="10975">
      <c r="A10975" s="5">
        <v>10974.0</v>
      </c>
      <c r="B10975" s="5" t="s">
        <v>11422</v>
      </c>
      <c r="C10975" s="5" t="s">
        <v>21</v>
      </c>
      <c r="K10975" s="5">
        <v>700.0</v>
      </c>
      <c r="N10975" s="9">
        <v>44764.0</v>
      </c>
    </row>
    <row r="10976">
      <c r="A10976" s="5">
        <v>10975.0</v>
      </c>
      <c r="B10976" s="5" t="s">
        <v>11423</v>
      </c>
      <c r="C10976" s="5" t="s">
        <v>21</v>
      </c>
      <c r="K10976" s="5">
        <v>400.0</v>
      </c>
      <c r="N10976" s="9">
        <v>45180.0</v>
      </c>
    </row>
    <row r="10977">
      <c r="A10977" s="5">
        <v>10976.0</v>
      </c>
      <c r="B10977" s="5" t="s">
        <v>11424</v>
      </c>
      <c r="C10977" s="5" t="s">
        <v>21</v>
      </c>
      <c r="K10977" s="5">
        <v>300.0</v>
      </c>
      <c r="N10977" s="9">
        <v>44271.0</v>
      </c>
    </row>
    <row r="10978">
      <c r="A10978" s="5">
        <v>10977.0</v>
      </c>
      <c r="B10978" s="5" t="s">
        <v>11425</v>
      </c>
      <c r="C10978" s="5" t="s">
        <v>21</v>
      </c>
      <c r="K10978" s="5">
        <v>70.0</v>
      </c>
      <c r="N10978" s="9">
        <v>44492.0</v>
      </c>
    </row>
    <row r="10979">
      <c r="A10979" s="5">
        <v>10978.0</v>
      </c>
      <c r="B10979" s="5" t="s">
        <v>11426</v>
      </c>
      <c r="C10979" s="5" t="s">
        <v>21</v>
      </c>
      <c r="K10979" s="5">
        <v>150.0</v>
      </c>
      <c r="N10979" s="9">
        <v>45059.0</v>
      </c>
    </row>
    <row r="10980">
      <c r="A10980" s="5">
        <v>10979.0</v>
      </c>
      <c r="B10980" s="5" t="s">
        <v>11427</v>
      </c>
      <c r="C10980" s="5" t="s">
        <v>21</v>
      </c>
      <c r="K10980" s="5">
        <v>1400.0</v>
      </c>
      <c r="N10980" s="9">
        <v>44866.0</v>
      </c>
    </row>
    <row r="10981">
      <c r="A10981" s="5">
        <v>10980.0</v>
      </c>
      <c r="B10981" s="5" t="s">
        <v>11428</v>
      </c>
      <c r="C10981" s="5" t="s">
        <v>21</v>
      </c>
      <c r="K10981" s="5">
        <v>400.0</v>
      </c>
      <c r="N10981" s="9">
        <v>44896.0</v>
      </c>
    </row>
    <row r="10982">
      <c r="A10982" s="5">
        <v>10981.0</v>
      </c>
      <c r="B10982" s="5" t="s">
        <v>11429</v>
      </c>
      <c r="C10982" s="5" t="s">
        <v>21</v>
      </c>
      <c r="K10982" s="5">
        <v>100.0</v>
      </c>
      <c r="N10982" s="9">
        <v>44662.0</v>
      </c>
    </row>
    <row r="10983">
      <c r="A10983" s="5">
        <v>10982.0</v>
      </c>
      <c r="B10983" s="5" t="s">
        <v>11430</v>
      </c>
      <c r="C10983" s="5" t="s">
        <v>21</v>
      </c>
      <c r="K10983" s="5">
        <v>4400.0</v>
      </c>
      <c r="N10983" s="9">
        <v>44102.0</v>
      </c>
    </row>
    <row r="10984">
      <c r="A10984" s="5">
        <v>10983.0</v>
      </c>
      <c r="B10984" s="5" t="s">
        <v>11431</v>
      </c>
      <c r="C10984" s="5" t="s">
        <v>21</v>
      </c>
      <c r="K10984" s="5">
        <v>400.0</v>
      </c>
      <c r="N10984" s="9">
        <v>45070.0</v>
      </c>
    </row>
    <row r="10985">
      <c r="A10985" s="5">
        <v>10984.0</v>
      </c>
      <c r="B10985" s="5" t="s">
        <v>11432</v>
      </c>
      <c r="C10985" s="5" t="s">
        <v>21</v>
      </c>
      <c r="K10985" s="5">
        <v>250.0</v>
      </c>
      <c r="N10985" s="9">
        <v>44679.0</v>
      </c>
    </row>
    <row r="10986">
      <c r="A10986" s="5">
        <v>10985.0</v>
      </c>
      <c r="B10986" s="5" t="s">
        <v>11433</v>
      </c>
      <c r="C10986" s="5" t="s">
        <v>21</v>
      </c>
      <c r="K10986" s="5">
        <v>700.0</v>
      </c>
      <c r="N10986" s="9">
        <v>43953.0</v>
      </c>
    </row>
    <row r="10987">
      <c r="A10987" s="5">
        <v>10986.0</v>
      </c>
      <c r="B10987" s="5" t="s">
        <v>11434</v>
      </c>
      <c r="C10987" s="5" t="s">
        <v>21</v>
      </c>
      <c r="K10987" s="5">
        <v>400.0</v>
      </c>
      <c r="N10987" s="9">
        <v>44579.0</v>
      </c>
    </row>
    <row r="10988">
      <c r="A10988" s="5">
        <v>10987.0</v>
      </c>
      <c r="B10988" s="5" t="s">
        <v>11435</v>
      </c>
      <c r="C10988" s="5" t="s">
        <v>21</v>
      </c>
      <c r="K10988" s="5">
        <v>100.0</v>
      </c>
      <c r="N10988" s="9">
        <v>44545.0</v>
      </c>
    </row>
    <row r="10989">
      <c r="A10989" s="5">
        <v>10988.0</v>
      </c>
      <c r="B10989" s="5" t="s">
        <v>11436</v>
      </c>
      <c r="C10989" s="5" t="s">
        <v>21</v>
      </c>
      <c r="K10989" s="5">
        <v>200.0</v>
      </c>
      <c r="N10989" s="9">
        <v>44756.0</v>
      </c>
    </row>
    <row r="10990">
      <c r="A10990" s="5">
        <v>10989.0</v>
      </c>
      <c r="B10990" s="5" t="s">
        <v>11437</v>
      </c>
      <c r="C10990" s="5" t="s">
        <v>21</v>
      </c>
      <c r="K10990" s="5">
        <v>400.0</v>
      </c>
      <c r="N10990" s="9">
        <v>44773.0</v>
      </c>
    </row>
    <row r="10991">
      <c r="A10991" s="5">
        <v>10990.0</v>
      </c>
      <c r="B10991" s="5" t="s">
        <v>11438</v>
      </c>
      <c r="C10991" s="5" t="s">
        <v>21</v>
      </c>
      <c r="K10991" s="5">
        <v>20.0</v>
      </c>
      <c r="N10991" s="9">
        <v>45027.0</v>
      </c>
    </row>
    <row r="10992">
      <c r="A10992" s="5">
        <v>10991.0</v>
      </c>
      <c r="B10992" s="5" t="s">
        <v>11439</v>
      </c>
      <c r="C10992" s="5" t="s">
        <v>21</v>
      </c>
      <c r="K10992" s="5">
        <v>250.0</v>
      </c>
      <c r="N10992" s="9">
        <v>45025.0</v>
      </c>
    </row>
    <row r="10993">
      <c r="A10993" s="5">
        <v>10992.0</v>
      </c>
      <c r="B10993" s="5" t="s">
        <v>11440</v>
      </c>
      <c r="C10993" s="5" t="s">
        <v>21</v>
      </c>
      <c r="K10993" s="5">
        <v>60.0</v>
      </c>
      <c r="N10993" s="9">
        <v>44719.0</v>
      </c>
    </row>
    <row r="10994">
      <c r="A10994" s="5">
        <v>10993.0</v>
      </c>
      <c r="B10994" s="5" t="s">
        <v>11441</v>
      </c>
      <c r="C10994" s="5" t="s">
        <v>21</v>
      </c>
      <c r="K10994" s="5">
        <v>40.0</v>
      </c>
      <c r="N10994" s="9">
        <v>44106.0</v>
      </c>
    </row>
    <row r="10995">
      <c r="A10995" s="5">
        <v>10994.0</v>
      </c>
      <c r="B10995" s="5" t="s">
        <v>11442</v>
      </c>
      <c r="C10995" s="5" t="s">
        <v>21</v>
      </c>
      <c r="K10995" s="5">
        <v>600.0</v>
      </c>
      <c r="N10995" s="9">
        <v>44257.0</v>
      </c>
    </row>
    <row r="10996">
      <c r="A10996" s="5">
        <v>10995.0</v>
      </c>
      <c r="B10996" s="5" t="s">
        <v>11443</v>
      </c>
      <c r="C10996" s="5" t="s">
        <v>21</v>
      </c>
      <c r="N10996" s="9">
        <v>44358.0</v>
      </c>
    </row>
    <row r="10997">
      <c r="A10997" s="5">
        <v>10996.0</v>
      </c>
      <c r="B10997" s="5" t="s">
        <v>11444</v>
      </c>
      <c r="C10997" s="5" t="s">
        <v>21</v>
      </c>
      <c r="K10997" s="5">
        <v>250.0</v>
      </c>
      <c r="N10997" s="9">
        <v>44512.0</v>
      </c>
    </row>
    <row r="10998">
      <c r="A10998" s="5">
        <v>10997.0</v>
      </c>
      <c r="B10998" s="5" t="s">
        <v>11445</v>
      </c>
      <c r="C10998" s="5" t="s">
        <v>21</v>
      </c>
      <c r="K10998" s="5">
        <v>90.0</v>
      </c>
      <c r="N10998" s="9">
        <v>44154.0</v>
      </c>
    </row>
    <row r="10999">
      <c r="A10999" s="5">
        <v>10998.0</v>
      </c>
      <c r="B10999" s="5" t="s">
        <v>11446</v>
      </c>
      <c r="C10999" s="5" t="s">
        <v>21</v>
      </c>
      <c r="K10999" s="5">
        <v>300.0</v>
      </c>
      <c r="N10999" s="9">
        <v>44246.0</v>
      </c>
    </row>
    <row r="11000">
      <c r="A11000" s="5">
        <v>10999.0</v>
      </c>
      <c r="B11000" s="5" t="s">
        <v>11447</v>
      </c>
      <c r="C11000" s="5" t="s">
        <v>21</v>
      </c>
      <c r="K11000" s="5">
        <v>2700.0</v>
      </c>
      <c r="N11000" s="9">
        <v>43947.0</v>
      </c>
    </row>
    <row r="11001">
      <c r="A11001" s="5">
        <v>11000.0</v>
      </c>
      <c r="B11001" s="5" t="s">
        <v>11448</v>
      </c>
      <c r="C11001" s="5" t="s">
        <v>21</v>
      </c>
      <c r="K11001" s="5">
        <v>450.0</v>
      </c>
      <c r="N11001" s="9">
        <v>45777.0</v>
      </c>
    </row>
    <row r="11002">
      <c r="A11002" s="5">
        <v>11001.0</v>
      </c>
      <c r="B11002" s="5" t="s">
        <v>11449</v>
      </c>
      <c r="C11002" s="5" t="s">
        <v>21</v>
      </c>
      <c r="K11002" s="5">
        <v>100.0</v>
      </c>
      <c r="N11002" s="9">
        <v>44608.0</v>
      </c>
    </row>
    <row r="11003">
      <c r="A11003" s="5">
        <v>11002.0</v>
      </c>
      <c r="B11003" s="5" t="s">
        <v>11450</v>
      </c>
      <c r="C11003" s="5" t="s">
        <v>21</v>
      </c>
      <c r="K11003" s="5">
        <v>1400.0</v>
      </c>
      <c r="N11003" s="9">
        <v>44517.0</v>
      </c>
    </row>
    <row r="11004">
      <c r="A11004" s="5">
        <v>11003.0</v>
      </c>
      <c r="B11004" s="5" t="s">
        <v>11451</v>
      </c>
      <c r="C11004" s="5" t="s">
        <v>21</v>
      </c>
      <c r="K11004" s="5">
        <v>700.0</v>
      </c>
      <c r="N11004" s="9">
        <v>43954.0</v>
      </c>
    </row>
    <row r="11005">
      <c r="A11005" s="5">
        <v>11004.0</v>
      </c>
      <c r="B11005" s="5" t="s">
        <v>11452</v>
      </c>
      <c r="C11005" s="5" t="s">
        <v>21</v>
      </c>
      <c r="K11005" s="5">
        <v>40.0</v>
      </c>
      <c r="N11005" s="9">
        <v>44374.0</v>
      </c>
    </row>
    <row r="11006">
      <c r="A11006" s="5">
        <v>11005.0</v>
      </c>
      <c r="B11006" s="5" t="s">
        <v>11453</v>
      </c>
      <c r="C11006" s="5" t="s">
        <v>21</v>
      </c>
      <c r="K11006" s="5">
        <v>700.0</v>
      </c>
      <c r="N11006" s="9">
        <v>44536.0</v>
      </c>
    </row>
    <row r="11007">
      <c r="A11007" s="5">
        <v>11006.0</v>
      </c>
      <c r="B11007" s="5" t="s">
        <v>11454</v>
      </c>
      <c r="C11007" s="5" t="s">
        <v>21</v>
      </c>
      <c r="K11007" s="5">
        <v>150.0</v>
      </c>
      <c r="N11007" s="9">
        <v>45179.0</v>
      </c>
    </row>
    <row r="11008">
      <c r="A11008" s="5">
        <v>11007.0</v>
      </c>
      <c r="B11008" s="5" t="s">
        <v>11455</v>
      </c>
      <c r="C11008" s="5" t="s">
        <v>21</v>
      </c>
      <c r="K11008" s="5">
        <v>400.0</v>
      </c>
      <c r="N11008" s="9">
        <v>44882.0</v>
      </c>
    </row>
    <row r="11009">
      <c r="A11009" s="5">
        <v>11008.0</v>
      </c>
      <c r="B11009" s="5" t="s">
        <v>11456</v>
      </c>
      <c r="C11009" s="5" t="s">
        <v>21</v>
      </c>
      <c r="K11009" s="5">
        <v>400.0</v>
      </c>
      <c r="N11009" s="9">
        <v>44562.0</v>
      </c>
    </row>
    <row r="11010">
      <c r="A11010" s="5">
        <v>11009.0</v>
      </c>
      <c r="B11010" s="5" t="s">
        <v>11457</v>
      </c>
      <c r="C11010" s="5" t="s">
        <v>21</v>
      </c>
      <c r="K11010" s="5">
        <v>250.0</v>
      </c>
      <c r="N11010" s="9">
        <v>43853.0</v>
      </c>
    </row>
    <row r="11011">
      <c r="A11011" s="5">
        <v>11010.0</v>
      </c>
      <c r="B11011" s="5" t="s">
        <v>11458</v>
      </c>
      <c r="C11011" s="5" t="s">
        <v>21</v>
      </c>
      <c r="K11011" s="5">
        <v>3200.0</v>
      </c>
      <c r="N11011" s="9">
        <v>44600.0</v>
      </c>
    </row>
    <row r="11012">
      <c r="A11012" s="5">
        <v>11011.0</v>
      </c>
      <c r="B11012" s="5" t="s">
        <v>11459</v>
      </c>
      <c r="C11012" s="5" t="s">
        <v>21</v>
      </c>
      <c r="K11012" s="5">
        <v>150.0</v>
      </c>
      <c r="N11012" s="9">
        <v>44950.0</v>
      </c>
    </row>
    <row r="11013">
      <c r="A11013" s="5">
        <v>11012.0</v>
      </c>
      <c r="B11013" s="5" t="s">
        <v>11460</v>
      </c>
      <c r="C11013" s="5" t="s">
        <v>21</v>
      </c>
      <c r="K11013" s="5">
        <v>300.0</v>
      </c>
      <c r="N11013" s="9">
        <v>44492.0</v>
      </c>
    </row>
    <row r="11014">
      <c r="A11014" s="5">
        <v>11013.0</v>
      </c>
      <c r="B11014" s="5" t="s">
        <v>11461</v>
      </c>
      <c r="C11014" s="5" t="s">
        <v>21</v>
      </c>
      <c r="K11014" s="5">
        <v>450.0</v>
      </c>
      <c r="N11014" s="9">
        <v>44835.0</v>
      </c>
    </row>
    <row r="11015">
      <c r="A11015" s="5">
        <v>11014.0</v>
      </c>
      <c r="B11015" s="5" t="s">
        <v>11462</v>
      </c>
      <c r="C11015" s="5" t="s">
        <v>21</v>
      </c>
      <c r="K11015" s="5">
        <v>1000.0</v>
      </c>
      <c r="N11015" s="9">
        <v>44596.0</v>
      </c>
    </row>
    <row r="11016">
      <c r="A11016" s="5">
        <v>11015.0</v>
      </c>
      <c r="B11016" s="5" t="s">
        <v>11463</v>
      </c>
      <c r="C11016" s="5" t="s">
        <v>21</v>
      </c>
      <c r="K11016" s="5">
        <v>11000.0</v>
      </c>
      <c r="N11016" s="9">
        <v>44094.0</v>
      </c>
    </row>
    <row r="11017">
      <c r="A11017" s="5">
        <v>11016.0</v>
      </c>
      <c r="B11017" s="5" t="s">
        <v>11464</v>
      </c>
      <c r="C11017" s="5" t="s">
        <v>21</v>
      </c>
      <c r="K11017" s="5">
        <v>450.0</v>
      </c>
      <c r="N11017" s="9">
        <v>44859.0</v>
      </c>
    </row>
    <row r="11018">
      <c r="A11018" s="5">
        <v>11017.0</v>
      </c>
      <c r="B11018" s="5" t="s">
        <v>11465</v>
      </c>
      <c r="C11018" s="5" t="s">
        <v>21</v>
      </c>
      <c r="K11018" s="5">
        <v>300.0</v>
      </c>
      <c r="N11018" s="9">
        <v>44572.0</v>
      </c>
    </row>
    <row r="11019">
      <c r="A11019" s="5">
        <v>11018.0</v>
      </c>
      <c r="B11019" s="5" t="s">
        <v>11466</v>
      </c>
      <c r="C11019" s="5" t="s">
        <v>21</v>
      </c>
      <c r="K11019" s="5">
        <v>400.0</v>
      </c>
      <c r="N11019" s="9">
        <v>45387.0</v>
      </c>
    </row>
    <row r="11020">
      <c r="A11020" s="5">
        <v>11019.0</v>
      </c>
      <c r="B11020" s="5" t="s">
        <v>11467</v>
      </c>
      <c r="C11020" s="5" t="s">
        <v>21</v>
      </c>
      <c r="K11020" s="5">
        <v>700.0</v>
      </c>
      <c r="N11020" s="9">
        <v>45098.0</v>
      </c>
    </row>
    <row r="11021">
      <c r="A11021" s="5">
        <v>11020.0</v>
      </c>
      <c r="B11021" s="5" t="s">
        <v>11468</v>
      </c>
      <c r="C11021" s="5" t="s">
        <v>21</v>
      </c>
      <c r="K11021" s="5">
        <v>500.0</v>
      </c>
      <c r="N11021" s="9">
        <v>44672.0</v>
      </c>
    </row>
    <row r="11022">
      <c r="A11022" s="5">
        <v>11021.0</v>
      </c>
      <c r="B11022" s="5" t="s">
        <v>11469</v>
      </c>
      <c r="C11022" s="5" t="s">
        <v>21</v>
      </c>
      <c r="K11022" s="5">
        <v>300.0</v>
      </c>
      <c r="N11022" s="9">
        <v>45607.0</v>
      </c>
    </row>
    <row r="11023">
      <c r="A11023" s="5">
        <v>11022.0</v>
      </c>
      <c r="B11023" s="5" t="s">
        <v>11470</v>
      </c>
      <c r="C11023" s="5" t="s">
        <v>21</v>
      </c>
      <c r="K11023" s="5">
        <v>1400.0</v>
      </c>
      <c r="N11023" s="9">
        <v>45357.0</v>
      </c>
    </row>
    <row r="11024">
      <c r="A11024" s="5">
        <v>11023.0</v>
      </c>
      <c r="B11024" s="5" t="s">
        <v>11471</v>
      </c>
      <c r="C11024" s="5" t="s">
        <v>21</v>
      </c>
      <c r="K11024" s="5">
        <v>80.0</v>
      </c>
      <c r="N11024" s="9">
        <v>45328.0</v>
      </c>
    </row>
    <row r="11025">
      <c r="A11025" s="5">
        <v>11024.0</v>
      </c>
      <c r="B11025" s="5" t="s">
        <v>11472</v>
      </c>
      <c r="C11025" s="5" t="s">
        <v>21</v>
      </c>
      <c r="K11025" s="5">
        <v>1500.0</v>
      </c>
      <c r="N11025" s="9">
        <v>44537.0</v>
      </c>
    </row>
    <row r="11026">
      <c r="A11026" s="5">
        <v>11025.0</v>
      </c>
      <c r="B11026" s="5" t="s">
        <v>11473</v>
      </c>
      <c r="C11026" s="5" t="s">
        <v>21</v>
      </c>
      <c r="K11026" s="5">
        <v>200.0</v>
      </c>
      <c r="N11026" s="9">
        <v>44973.0</v>
      </c>
    </row>
    <row r="11027">
      <c r="A11027" s="5">
        <v>11026.0</v>
      </c>
      <c r="B11027" s="5" t="s">
        <v>11474</v>
      </c>
      <c r="C11027" s="5" t="s">
        <v>21</v>
      </c>
      <c r="K11027" s="5">
        <v>450.0</v>
      </c>
      <c r="N11027" s="9">
        <v>44502.0</v>
      </c>
    </row>
    <row r="11028">
      <c r="A11028" s="5">
        <v>11027.0</v>
      </c>
      <c r="B11028" s="5" t="s">
        <v>11475</v>
      </c>
      <c r="C11028" s="5" t="s">
        <v>21</v>
      </c>
      <c r="K11028" s="5">
        <v>80.0</v>
      </c>
      <c r="N11028" s="9">
        <v>44545.0</v>
      </c>
    </row>
    <row r="11029">
      <c r="A11029" s="5">
        <v>11028.0</v>
      </c>
      <c r="B11029" s="5" t="s">
        <v>11476</v>
      </c>
      <c r="C11029" s="5" t="s">
        <v>21</v>
      </c>
      <c r="K11029" s="5">
        <v>500.0</v>
      </c>
      <c r="N11029" s="9">
        <v>44508.0</v>
      </c>
    </row>
    <row r="11030">
      <c r="A11030" s="5">
        <v>11029.0</v>
      </c>
      <c r="B11030" s="5" t="s">
        <v>11477</v>
      </c>
      <c r="C11030" s="5" t="s">
        <v>21</v>
      </c>
      <c r="K11030" s="5">
        <v>100.0</v>
      </c>
      <c r="N11030" s="9">
        <v>44605.0</v>
      </c>
    </row>
    <row r="11031">
      <c r="A11031" s="5">
        <v>11030.0</v>
      </c>
      <c r="B11031" s="5" t="s">
        <v>11478</v>
      </c>
      <c r="C11031" s="5" t="s">
        <v>21</v>
      </c>
      <c r="K11031" s="5">
        <v>1900.0</v>
      </c>
      <c r="N11031" s="9">
        <v>44678.0</v>
      </c>
    </row>
    <row r="11032">
      <c r="A11032" s="5">
        <v>11031.0</v>
      </c>
      <c r="B11032" s="5" t="s">
        <v>11479</v>
      </c>
      <c r="C11032" s="5" t="s">
        <v>21</v>
      </c>
      <c r="K11032" s="5">
        <v>100.0</v>
      </c>
      <c r="N11032" s="9">
        <v>44524.0</v>
      </c>
    </row>
    <row r="11033">
      <c r="A11033" s="5">
        <v>11032.0</v>
      </c>
      <c r="B11033" s="5" t="s">
        <v>11480</v>
      </c>
      <c r="C11033" s="5" t="s">
        <v>21</v>
      </c>
      <c r="K11033" s="5">
        <v>700.0</v>
      </c>
      <c r="N11033" s="9">
        <v>44531.0</v>
      </c>
    </row>
    <row r="11034">
      <c r="A11034" s="5">
        <v>11033.0</v>
      </c>
      <c r="B11034" s="5" t="s">
        <v>11481</v>
      </c>
      <c r="C11034" s="5" t="s">
        <v>21</v>
      </c>
      <c r="K11034" s="5">
        <v>600.0</v>
      </c>
      <c r="N11034" s="9">
        <v>44523.0</v>
      </c>
    </row>
    <row r="11035">
      <c r="A11035" s="5">
        <v>11034.0</v>
      </c>
      <c r="B11035" s="5" t="s">
        <v>11482</v>
      </c>
      <c r="C11035" s="5" t="s">
        <v>21</v>
      </c>
      <c r="K11035" s="5">
        <v>4000.0</v>
      </c>
      <c r="N11035" s="9">
        <v>44301.0</v>
      </c>
    </row>
    <row r="11036">
      <c r="A11036" s="5">
        <v>11035.0</v>
      </c>
      <c r="B11036" s="5" t="s">
        <v>11483</v>
      </c>
      <c r="C11036" s="5" t="s">
        <v>21</v>
      </c>
      <c r="K11036" s="5">
        <v>800.0</v>
      </c>
      <c r="N11036" s="9">
        <v>45655.0</v>
      </c>
    </row>
    <row r="11037">
      <c r="A11037" s="5">
        <v>11036.0</v>
      </c>
      <c r="B11037" s="5" t="s">
        <v>11484</v>
      </c>
      <c r="C11037" s="5" t="s">
        <v>21</v>
      </c>
      <c r="K11037" s="5">
        <v>1000.0</v>
      </c>
      <c r="N11037" s="9">
        <v>44549.0</v>
      </c>
    </row>
    <row r="11038">
      <c r="A11038" s="5">
        <v>11037.0</v>
      </c>
      <c r="B11038" s="5" t="s">
        <v>11485</v>
      </c>
      <c r="C11038" s="5" t="s">
        <v>21</v>
      </c>
      <c r="K11038" s="5">
        <v>50.0</v>
      </c>
      <c r="N11038" s="9">
        <v>44334.0</v>
      </c>
    </row>
    <row r="11039">
      <c r="A11039" s="5">
        <v>11038.0</v>
      </c>
      <c r="B11039" s="5" t="s">
        <v>11486</v>
      </c>
      <c r="C11039" s="5" t="s">
        <v>21</v>
      </c>
      <c r="K11039" s="5">
        <v>1200.0</v>
      </c>
      <c r="N11039" s="9">
        <v>44533.0</v>
      </c>
    </row>
    <row r="11040">
      <c r="A11040" s="5">
        <v>11039.0</v>
      </c>
      <c r="B11040" s="5" t="s">
        <v>11487</v>
      </c>
      <c r="C11040" s="5" t="s">
        <v>21</v>
      </c>
      <c r="K11040" s="5">
        <v>450.0</v>
      </c>
      <c r="N11040" s="9">
        <v>43939.0</v>
      </c>
    </row>
    <row r="11041">
      <c r="A11041" s="5">
        <v>11040.0</v>
      </c>
      <c r="B11041" s="5" t="s">
        <v>11488</v>
      </c>
      <c r="C11041" s="5" t="s">
        <v>21</v>
      </c>
      <c r="K11041" s="5">
        <v>20.0</v>
      </c>
      <c r="N11041" s="9">
        <v>45383.0</v>
      </c>
    </row>
    <row r="11042">
      <c r="A11042" s="5">
        <v>11041.0</v>
      </c>
      <c r="B11042" s="5" t="s">
        <v>11489</v>
      </c>
      <c r="C11042" s="5" t="s">
        <v>21</v>
      </c>
      <c r="K11042" s="5">
        <v>200.0</v>
      </c>
      <c r="N11042" s="9">
        <v>44573.0</v>
      </c>
    </row>
    <row r="11043">
      <c r="A11043" s="5">
        <v>11042.0</v>
      </c>
      <c r="B11043" s="5" t="s">
        <v>11490</v>
      </c>
      <c r="C11043" s="5" t="s">
        <v>21</v>
      </c>
      <c r="K11043" s="5">
        <v>800.0</v>
      </c>
      <c r="N11043" s="9">
        <v>44568.0</v>
      </c>
    </row>
    <row r="11044">
      <c r="A11044" s="5">
        <v>11043.0</v>
      </c>
      <c r="B11044" s="5" t="s">
        <v>11491</v>
      </c>
      <c r="C11044" s="5" t="s">
        <v>21</v>
      </c>
      <c r="K11044" s="5">
        <v>1800.0</v>
      </c>
      <c r="N11044" s="9">
        <v>43890.0</v>
      </c>
    </row>
    <row r="11045">
      <c r="A11045" s="5">
        <v>11044.0</v>
      </c>
      <c r="B11045" s="5" t="s">
        <v>11492</v>
      </c>
      <c r="C11045" s="5" t="s">
        <v>21</v>
      </c>
      <c r="K11045" s="5">
        <v>100.0</v>
      </c>
      <c r="N11045" s="9">
        <v>44518.0</v>
      </c>
    </row>
    <row r="11046">
      <c r="A11046" s="5">
        <v>11045.0</v>
      </c>
      <c r="B11046" s="5" t="s">
        <v>11493</v>
      </c>
      <c r="C11046" s="5" t="s">
        <v>21</v>
      </c>
      <c r="K11046" s="5">
        <v>1100.0</v>
      </c>
      <c r="N11046" s="9">
        <v>44555.0</v>
      </c>
    </row>
    <row r="11047">
      <c r="A11047" s="5">
        <v>11046.0</v>
      </c>
      <c r="B11047" s="5" t="s">
        <v>11494</v>
      </c>
      <c r="C11047" s="5" t="s">
        <v>21</v>
      </c>
      <c r="K11047" s="5">
        <v>70.0</v>
      </c>
      <c r="N11047" s="9">
        <v>44582.0</v>
      </c>
    </row>
    <row r="11048">
      <c r="A11048" s="5">
        <v>11047.0</v>
      </c>
      <c r="B11048" s="5" t="s">
        <v>11495</v>
      </c>
      <c r="C11048" s="5" t="s">
        <v>21</v>
      </c>
      <c r="K11048" s="5">
        <v>200.0</v>
      </c>
      <c r="N11048" s="9">
        <v>44584.0</v>
      </c>
    </row>
    <row r="11049">
      <c r="A11049" s="5">
        <v>11048.0</v>
      </c>
      <c r="B11049" s="5" t="s">
        <v>11496</v>
      </c>
      <c r="C11049" s="5" t="s">
        <v>21</v>
      </c>
      <c r="N11049" s="9">
        <v>44049.0</v>
      </c>
    </row>
    <row r="11050">
      <c r="A11050" s="5">
        <v>11049.0</v>
      </c>
      <c r="B11050" s="5" t="s">
        <v>11497</v>
      </c>
      <c r="C11050" s="5" t="s">
        <v>21</v>
      </c>
      <c r="K11050" s="5">
        <v>200.0</v>
      </c>
      <c r="N11050" s="9">
        <v>44621.0</v>
      </c>
    </row>
    <row r="11051">
      <c r="A11051" s="5">
        <v>11050.0</v>
      </c>
      <c r="B11051" s="5" t="s">
        <v>11498</v>
      </c>
      <c r="C11051" s="5" t="s">
        <v>21</v>
      </c>
      <c r="K11051" s="5">
        <v>350.0</v>
      </c>
      <c r="N11051" s="9">
        <v>44635.0</v>
      </c>
    </row>
    <row r="11052">
      <c r="A11052" s="5">
        <v>11051.0</v>
      </c>
      <c r="B11052" s="5" t="s">
        <v>11499</v>
      </c>
      <c r="C11052" s="5" t="s">
        <v>21</v>
      </c>
      <c r="K11052" s="5">
        <v>500.0</v>
      </c>
      <c r="N11052" s="9">
        <v>44418.0</v>
      </c>
    </row>
    <row r="11053">
      <c r="A11053" s="5">
        <v>11052.0</v>
      </c>
      <c r="B11053" s="5" t="s">
        <v>11500</v>
      </c>
      <c r="C11053" s="5" t="s">
        <v>21</v>
      </c>
      <c r="K11053" s="5">
        <v>1100.0</v>
      </c>
      <c r="N11053" s="9">
        <v>43846.0</v>
      </c>
    </row>
    <row r="11054">
      <c r="A11054" s="5">
        <v>11053.0</v>
      </c>
      <c r="B11054" s="5" t="s">
        <v>11501</v>
      </c>
      <c r="C11054" s="5" t="s">
        <v>21</v>
      </c>
      <c r="K11054" s="5">
        <v>70.0</v>
      </c>
      <c r="N11054" s="9">
        <v>44259.0</v>
      </c>
    </row>
    <row r="11055">
      <c r="A11055" s="5">
        <v>11054.0</v>
      </c>
      <c r="B11055" s="5" t="s">
        <v>11502</v>
      </c>
      <c r="C11055" s="5" t="s">
        <v>21</v>
      </c>
      <c r="K11055" s="5">
        <v>100.0</v>
      </c>
      <c r="N11055" s="9">
        <v>44914.0</v>
      </c>
    </row>
    <row r="11056">
      <c r="A11056" s="5">
        <v>11055.0</v>
      </c>
      <c r="B11056" s="5" t="s">
        <v>11503</v>
      </c>
      <c r="C11056" s="5" t="s">
        <v>21</v>
      </c>
      <c r="K11056" s="5">
        <v>150.0</v>
      </c>
      <c r="N11056" s="9">
        <v>43897.0</v>
      </c>
    </row>
    <row r="11057">
      <c r="A11057" s="5">
        <v>11056.0</v>
      </c>
      <c r="B11057" s="5" t="s">
        <v>11504</v>
      </c>
      <c r="C11057" s="5" t="s">
        <v>21</v>
      </c>
      <c r="K11057" s="5">
        <v>900.0</v>
      </c>
      <c r="N11057" s="9">
        <v>44533.0</v>
      </c>
    </row>
    <row r="11058">
      <c r="A11058" s="5">
        <v>11057.0</v>
      </c>
      <c r="B11058" s="5" t="s">
        <v>11505</v>
      </c>
      <c r="C11058" s="5" t="s">
        <v>21</v>
      </c>
      <c r="K11058" s="5">
        <v>1000.0</v>
      </c>
      <c r="N11058" s="9">
        <v>45155.0</v>
      </c>
    </row>
    <row r="11059">
      <c r="A11059" s="5">
        <v>11058.0</v>
      </c>
      <c r="B11059" s="5" t="s">
        <v>11506</v>
      </c>
      <c r="C11059" s="5" t="s">
        <v>21</v>
      </c>
      <c r="K11059" s="5">
        <v>1700.0</v>
      </c>
      <c r="N11059" s="9">
        <v>44573.0</v>
      </c>
    </row>
    <row r="11060">
      <c r="A11060" s="5">
        <v>11059.0</v>
      </c>
      <c r="B11060" s="5" t="s">
        <v>11507</v>
      </c>
      <c r="C11060" s="5" t="s">
        <v>21</v>
      </c>
      <c r="K11060" s="5">
        <v>1600.0</v>
      </c>
      <c r="N11060" s="9">
        <v>45489.0</v>
      </c>
    </row>
    <row r="11061">
      <c r="A11061" s="5">
        <v>11060.0</v>
      </c>
      <c r="B11061" s="5" t="s">
        <v>11508</v>
      </c>
      <c r="C11061" s="5" t="s">
        <v>21</v>
      </c>
      <c r="K11061" s="5">
        <v>200.0</v>
      </c>
      <c r="N11061" s="9">
        <v>44912.0</v>
      </c>
    </row>
    <row r="11062">
      <c r="A11062" s="5">
        <v>11061.0</v>
      </c>
      <c r="B11062" s="5" t="s">
        <v>11509</v>
      </c>
      <c r="C11062" s="5" t="s">
        <v>21</v>
      </c>
      <c r="K11062" s="5">
        <v>40.0</v>
      </c>
      <c r="N11062" s="9">
        <v>45414.0</v>
      </c>
    </row>
    <row r="11063">
      <c r="A11063" s="5">
        <v>11062.0</v>
      </c>
      <c r="B11063" s="5" t="s">
        <v>11510</v>
      </c>
      <c r="C11063" s="5" t="s">
        <v>21</v>
      </c>
      <c r="K11063" s="5">
        <v>600.0</v>
      </c>
      <c r="N11063" s="9">
        <v>44853.0</v>
      </c>
    </row>
    <row r="11064">
      <c r="A11064" s="5">
        <v>11063.0</v>
      </c>
      <c r="B11064" s="5" t="s">
        <v>11511</v>
      </c>
      <c r="C11064" s="5" t="s">
        <v>21</v>
      </c>
      <c r="K11064" s="5">
        <v>600.0</v>
      </c>
      <c r="N11064" s="9">
        <v>44531.0</v>
      </c>
    </row>
    <row r="11065">
      <c r="A11065" s="5">
        <v>11064.0</v>
      </c>
      <c r="B11065" s="5" t="s">
        <v>11512</v>
      </c>
      <c r="C11065" s="5" t="s">
        <v>21</v>
      </c>
      <c r="K11065" s="5">
        <v>500.0</v>
      </c>
      <c r="N11065" s="9">
        <v>44808.0</v>
      </c>
    </row>
    <row r="11066">
      <c r="A11066" s="5">
        <v>11065.0</v>
      </c>
      <c r="B11066" s="5" t="s">
        <v>11513</v>
      </c>
      <c r="C11066" s="5" t="s">
        <v>21</v>
      </c>
      <c r="K11066" s="5">
        <v>7900.0</v>
      </c>
      <c r="N11066" s="9">
        <v>43856.0</v>
      </c>
    </row>
    <row r="11067">
      <c r="A11067" s="5">
        <v>11066.0</v>
      </c>
      <c r="B11067" s="5" t="s">
        <v>11514</v>
      </c>
      <c r="C11067" s="5" t="s">
        <v>21</v>
      </c>
      <c r="K11067" s="5">
        <v>450.0</v>
      </c>
      <c r="N11067" s="9">
        <v>44560.0</v>
      </c>
    </row>
    <row r="11068">
      <c r="A11068" s="5">
        <v>11067.0</v>
      </c>
      <c r="B11068" s="5" t="s">
        <v>11515</v>
      </c>
      <c r="C11068" s="5" t="s">
        <v>21</v>
      </c>
      <c r="K11068" s="5">
        <v>350.0</v>
      </c>
      <c r="N11068" s="9">
        <v>44647.0</v>
      </c>
    </row>
    <row r="11069">
      <c r="A11069" s="5">
        <v>11068.0</v>
      </c>
      <c r="B11069" s="5" t="s">
        <v>388</v>
      </c>
      <c r="C11069" s="5" t="s">
        <v>21</v>
      </c>
      <c r="K11069" s="5">
        <v>40.0</v>
      </c>
      <c r="N11069" s="9">
        <v>44108.0</v>
      </c>
    </row>
    <row r="11070">
      <c r="A11070" s="5">
        <v>11069.0</v>
      </c>
      <c r="B11070" s="5" t="s">
        <v>11516</v>
      </c>
      <c r="C11070" s="5" t="s">
        <v>21</v>
      </c>
      <c r="K11070" s="5">
        <v>80.0</v>
      </c>
      <c r="N11070" s="9">
        <v>44523.0</v>
      </c>
    </row>
    <row r="11071">
      <c r="A11071" s="5">
        <v>11070.0</v>
      </c>
      <c r="B11071" s="5" t="s">
        <v>11517</v>
      </c>
      <c r="C11071" s="5" t="s">
        <v>21</v>
      </c>
      <c r="K11071" s="5">
        <v>600.0</v>
      </c>
      <c r="N11071" s="9">
        <v>43565.0</v>
      </c>
    </row>
    <row r="11072">
      <c r="A11072" s="5">
        <v>11071.0</v>
      </c>
      <c r="B11072" s="5" t="s">
        <v>11518</v>
      </c>
      <c r="C11072" s="5" t="s">
        <v>21</v>
      </c>
      <c r="K11072" s="5">
        <v>4300.0</v>
      </c>
      <c r="N11072" s="9">
        <v>44042.0</v>
      </c>
    </row>
    <row r="11073">
      <c r="A11073" s="5">
        <v>11072.0</v>
      </c>
      <c r="B11073" s="5" t="s">
        <v>11519</v>
      </c>
      <c r="C11073" s="5" t="s">
        <v>21</v>
      </c>
      <c r="K11073" s="5">
        <v>500.0</v>
      </c>
      <c r="N11073" s="9">
        <v>44548.0</v>
      </c>
    </row>
    <row r="11074">
      <c r="A11074" s="5">
        <v>11073.0</v>
      </c>
      <c r="B11074" s="5" t="s">
        <v>11520</v>
      </c>
      <c r="C11074" s="5" t="s">
        <v>21</v>
      </c>
      <c r="K11074" s="5">
        <v>500.0</v>
      </c>
      <c r="N11074" s="9">
        <v>45804.0</v>
      </c>
    </row>
    <row r="11075">
      <c r="A11075" s="5">
        <v>11074.0</v>
      </c>
      <c r="B11075" s="5" t="s">
        <v>11521</v>
      </c>
      <c r="C11075" s="5" t="s">
        <v>21</v>
      </c>
      <c r="K11075" s="5">
        <v>250.0</v>
      </c>
      <c r="N11075" s="9">
        <v>44847.0</v>
      </c>
    </row>
    <row r="11076">
      <c r="A11076" s="5">
        <v>11075.0</v>
      </c>
      <c r="B11076" s="5" t="s">
        <v>11522</v>
      </c>
      <c r="C11076" s="5" t="s">
        <v>21</v>
      </c>
      <c r="K11076" s="5">
        <v>80.0</v>
      </c>
      <c r="N11076" s="9">
        <v>43853.0</v>
      </c>
    </row>
    <row r="11077">
      <c r="A11077" s="5">
        <v>11076.0</v>
      </c>
      <c r="B11077" s="5" t="s">
        <v>11523</v>
      </c>
      <c r="C11077" s="5" t="s">
        <v>21</v>
      </c>
      <c r="K11077" s="5">
        <v>2200.0</v>
      </c>
      <c r="N11077" s="9">
        <v>44661.0</v>
      </c>
    </row>
    <row r="11078">
      <c r="A11078" s="5">
        <v>11077.0</v>
      </c>
      <c r="B11078" s="5" t="s">
        <v>11524</v>
      </c>
      <c r="C11078" s="5" t="s">
        <v>21</v>
      </c>
      <c r="K11078" s="5">
        <v>150.0</v>
      </c>
      <c r="N11078" s="9">
        <v>44912.0</v>
      </c>
    </row>
    <row r="11079">
      <c r="A11079" s="5">
        <v>11078.0</v>
      </c>
      <c r="B11079" s="5" t="s">
        <v>11525</v>
      </c>
      <c r="C11079" s="5" t="s">
        <v>21</v>
      </c>
      <c r="K11079" s="5">
        <v>250.0</v>
      </c>
      <c r="N11079" s="9">
        <v>44595.0</v>
      </c>
    </row>
    <row r="11080">
      <c r="A11080" s="5">
        <v>11079.0</v>
      </c>
      <c r="B11080" s="5" t="s">
        <v>11526</v>
      </c>
      <c r="C11080" s="5" t="s">
        <v>21</v>
      </c>
      <c r="K11080" s="5">
        <v>300.0</v>
      </c>
      <c r="N11080" s="9">
        <v>44575.0</v>
      </c>
    </row>
    <row r="11081">
      <c r="A11081" s="5">
        <v>11080.0</v>
      </c>
      <c r="B11081" s="5" t="s">
        <v>11527</v>
      </c>
      <c r="C11081" s="5" t="s">
        <v>21</v>
      </c>
      <c r="K11081" s="5">
        <v>40.0</v>
      </c>
      <c r="N11081" s="9">
        <v>44260.0</v>
      </c>
    </row>
    <row r="11082">
      <c r="A11082" s="5">
        <v>11081.0</v>
      </c>
      <c r="B11082" s="5" t="s">
        <v>11528</v>
      </c>
      <c r="C11082" s="5" t="s">
        <v>21</v>
      </c>
      <c r="K11082" s="5">
        <v>300.0</v>
      </c>
      <c r="N11082" s="9">
        <v>45121.0</v>
      </c>
    </row>
    <row r="11083">
      <c r="A11083" s="5">
        <v>11082.0</v>
      </c>
      <c r="B11083" s="5" t="s">
        <v>11529</v>
      </c>
      <c r="C11083" s="5" t="s">
        <v>21</v>
      </c>
      <c r="K11083" s="5">
        <v>450.0</v>
      </c>
      <c r="N11083" s="9">
        <v>44280.0</v>
      </c>
    </row>
    <row r="11084">
      <c r="A11084" s="5">
        <v>11083.0</v>
      </c>
      <c r="B11084" s="5" t="s">
        <v>11530</v>
      </c>
      <c r="C11084" s="5" t="s">
        <v>21</v>
      </c>
      <c r="N11084" s="9">
        <v>44523.0</v>
      </c>
    </row>
    <row r="11085">
      <c r="A11085" s="5">
        <v>11084.0</v>
      </c>
      <c r="B11085" s="5" t="s">
        <v>11531</v>
      </c>
      <c r="C11085" s="5" t="s">
        <v>21</v>
      </c>
      <c r="K11085" s="5">
        <v>500.0</v>
      </c>
      <c r="N11085" s="9">
        <v>44560.0</v>
      </c>
    </row>
    <row r="11086">
      <c r="A11086" s="5">
        <v>11085.0</v>
      </c>
      <c r="B11086" s="5" t="s">
        <v>11532</v>
      </c>
      <c r="C11086" s="5" t="s">
        <v>21</v>
      </c>
      <c r="K11086" s="5">
        <v>1800.0</v>
      </c>
      <c r="N11086" s="9">
        <v>45083.0</v>
      </c>
    </row>
    <row r="11087">
      <c r="A11087" s="5">
        <v>11086.0</v>
      </c>
      <c r="B11087" s="5" t="s">
        <v>11533</v>
      </c>
      <c r="C11087" s="5" t="s">
        <v>21</v>
      </c>
      <c r="K11087" s="5">
        <v>600.0</v>
      </c>
      <c r="N11087" s="9">
        <v>44854.0</v>
      </c>
    </row>
    <row r="11088">
      <c r="A11088" s="5">
        <v>11087.0</v>
      </c>
      <c r="B11088" s="5" t="s">
        <v>11534</v>
      </c>
      <c r="C11088" s="5" t="s">
        <v>21</v>
      </c>
      <c r="K11088" s="5">
        <v>50.0</v>
      </c>
      <c r="N11088" s="9">
        <v>44149.0</v>
      </c>
    </row>
    <row r="11089">
      <c r="A11089" s="5">
        <v>11088.0</v>
      </c>
      <c r="B11089" s="5" t="s">
        <v>11535</v>
      </c>
      <c r="C11089" s="5" t="s">
        <v>21</v>
      </c>
      <c r="K11089" s="5">
        <v>300.0</v>
      </c>
      <c r="N11089" s="9">
        <v>44034.0</v>
      </c>
    </row>
    <row r="11090">
      <c r="A11090" s="5">
        <v>11089.0</v>
      </c>
      <c r="B11090" s="5" t="s">
        <v>11536</v>
      </c>
      <c r="C11090" s="5" t="s">
        <v>21</v>
      </c>
      <c r="K11090" s="5">
        <v>100.0</v>
      </c>
      <c r="N11090" s="9">
        <v>44535.0</v>
      </c>
    </row>
    <row r="11091">
      <c r="A11091" s="5">
        <v>11090.0</v>
      </c>
      <c r="B11091" s="5" t="s">
        <v>11537</v>
      </c>
      <c r="C11091" s="5" t="s">
        <v>21</v>
      </c>
      <c r="K11091" s="5">
        <v>2000.0</v>
      </c>
      <c r="N11091" s="9">
        <v>45182.0</v>
      </c>
    </row>
    <row r="11092">
      <c r="A11092" s="5">
        <v>11091.0</v>
      </c>
      <c r="B11092" s="5" t="s">
        <v>11538</v>
      </c>
      <c r="C11092" s="5" t="s">
        <v>21</v>
      </c>
      <c r="K11092" s="5">
        <v>600.0</v>
      </c>
      <c r="N11092" s="9">
        <v>44641.0</v>
      </c>
    </row>
    <row r="11093">
      <c r="A11093" s="5">
        <v>11092.0</v>
      </c>
      <c r="B11093" s="5" t="s">
        <v>11539</v>
      </c>
      <c r="C11093" s="5" t="s">
        <v>21</v>
      </c>
      <c r="K11093" s="5">
        <v>350.0</v>
      </c>
      <c r="N11093" s="9">
        <v>44779.0</v>
      </c>
    </row>
    <row r="11094">
      <c r="A11094" s="5">
        <v>11093.0</v>
      </c>
      <c r="B11094" s="5" t="s">
        <v>11540</v>
      </c>
      <c r="C11094" s="5" t="s">
        <v>21</v>
      </c>
      <c r="K11094" s="5">
        <v>200.0</v>
      </c>
      <c r="N11094" s="9">
        <v>43867.0</v>
      </c>
    </row>
    <row r="11095">
      <c r="A11095" s="5">
        <v>11094.0</v>
      </c>
      <c r="B11095" s="5" t="s">
        <v>11541</v>
      </c>
      <c r="C11095" s="5" t="s">
        <v>21</v>
      </c>
      <c r="K11095" s="5">
        <v>800.0</v>
      </c>
      <c r="N11095" s="9">
        <v>44675.0</v>
      </c>
    </row>
    <row r="11096">
      <c r="A11096" s="5">
        <v>11095.0</v>
      </c>
      <c r="B11096" s="5" t="s">
        <v>11542</v>
      </c>
      <c r="C11096" s="5" t="s">
        <v>21</v>
      </c>
      <c r="K11096" s="5">
        <v>3600.0</v>
      </c>
      <c r="N11096" s="9">
        <v>44645.0</v>
      </c>
    </row>
    <row r="11097">
      <c r="A11097" s="5">
        <v>11096.0</v>
      </c>
      <c r="B11097" s="5" t="s">
        <v>11543</v>
      </c>
      <c r="C11097" s="5" t="s">
        <v>21</v>
      </c>
      <c r="K11097" s="5">
        <v>250.0</v>
      </c>
      <c r="N11097" s="9">
        <v>44781.0</v>
      </c>
    </row>
    <row r="11098">
      <c r="A11098" s="5">
        <v>11097.0</v>
      </c>
      <c r="B11098" s="5" t="s">
        <v>11544</v>
      </c>
      <c r="C11098" s="5" t="s">
        <v>21</v>
      </c>
      <c r="K11098" s="5">
        <v>1800.0</v>
      </c>
      <c r="N11098" s="9">
        <v>44321.0</v>
      </c>
    </row>
    <row r="11099">
      <c r="A11099" s="5">
        <v>11098.0</v>
      </c>
      <c r="B11099" s="5" t="s">
        <v>11545</v>
      </c>
      <c r="C11099" s="5" t="s">
        <v>21</v>
      </c>
      <c r="N11099" s="9">
        <v>44528.0</v>
      </c>
    </row>
    <row r="11100">
      <c r="A11100" s="5">
        <v>11099.0</v>
      </c>
      <c r="B11100" s="5" t="s">
        <v>11546</v>
      </c>
      <c r="C11100" s="5" t="s">
        <v>21</v>
      </c>
      <c r="K11100" s="5">
        <v>500.0</v>
      </c>
      <c r="N11100" s="9">
        <v>45325.0</v>
      </c>
    </row>
    <row r="11101">
      <c r="A11101" s="5">
        <v>11100.0</v>
      </c>
      <c r="B11101" s="5" t="s">
        <v>11547</v>
      </c>
      <c r="C11101" s="5" t="s">
        <v>21</v>
      </c>
      <c r="K11101" s="5">
        <v>3700.0</v>
      </c>
      <c r="N11101" s="9">
        <v>43849.0</v>
      </c>
    </row>
    <row r="11102">
      <c r="A11102" s="5">
        <v>11101.0</v>
      </c>
      <c r="B11102" s="5" t="s">
        <v>11548</v>
      </c>
      <c r="C11102" s="5" t="s">
        <v>21</v>
      </c>
      <c r="K11102" s="5">
        <v>20.0</v>
      </c>
      <c r="N11102" s="9">
        <v>44595.0</v>
      </c>
    </row>
    <row r="11103">
      <c r="A11103" s="5">
        <v>11102.0</v>
      </c>
      <c r="B11103" s="5" t="s">
        <v>11549</v>
      </c>
      <c r="C11103" s="5" t="s">
        <v>21</v>
      </c>
      <c r="K11103" s="5">
        <v>1000.0</v>
      </c>
      <c r="N11103" s="9">
        <v>44751.0</v>
      </c>
    </row>
    <row r="11104">
      <c r="A11104" s="5">
        <v>11103.0</v>
      </c>
      <c r="B11104" s="5" t="s">
        <v>11550</v>
      </c>
      <c r="C11104" s="5" t="s">
        <v>21</v>
      </c>
      <c r="K11104" s="5">
        <v>300.0</v>
      </c>
      <c r="N11104" s="9">
        <v>44858.0</v>
      </c>
    </row>
    <row r="11105">
      <c r="A11105" s="5">
        <v>11104.0</v>
      </c>
      <c r="B11105" s="5" t="s">
        <v>11551</v>
      </c>
      <c r="C11105" s="5" t="s">
        <v>21</v>
      </c>
      <c r="K11105" s="5">
        <v>600.0</v>
      </c>
      <c r="N11105" s="9">
        <v>44547.0</v>
      </c>
    </row>
    <row r="11106">
      <c r="A11106" s="5">
        <v>11105.0</v>
      </c>
      <c r="B11106" s="5" t="s">
        <v>11552</v>
      </c>
      <c r="C11106" s="5" t="s">
        <v>21</v>
      </c>
      <c r="K11106" s="5">
        <v>200.0</v>
      </c>
      <c r="N11106" s="9">
        <v>45383.0</v>
      </c>
    </row>
    <row r="11107">
      <c r="A11107" s="5">
        <v>11106.0</v>
      </c>
      <c r="B11107" s="5" t="s">
        <v>11553</v>
      </c>
      <c r="C11107" s="5" t="s">
        <v>21</v>
      </c>
      <c r="K11107" s="5">
        <v>70.0</v>
      </c>
      <c r="N11107" s="9">
        <v>44473.0</v>
      </c>
    </row>
    <row r="11108">
      <c r="A11108" s="5">
        <v>11107.0</v>
      </c>
      <c r="B11108" s="5" t="s">
        <v>11554</v>
      </c>
      <c r="C11108" s="5" t="s">
        <v>21</v>
      </c>
      <c r="K11108" s="5">
        <v>350.0</v>
      </c>
      <c r="N11108" s="9">
        <v>43928.0</v>
      </c>
    </row>
    <row r="11109">
      <c r="A11109" s="5">
        <v>11108.0</v>
      </c>
      <c r="B11109" s="5" t="s">
        <v>11555</v>
      </c>
      <c r="C11109" s="5" t="s">
        <v>21</v>
      </c>
      <c r="K11109" s="5">
        <v>300.0</v>
      </c>
      <c r="N11109" s="9">
        <v>44698.0</v>
      </c>
    </row>
    <row r="11110">
      <c r="A11110" s="5">
        <v>11109.0</v>
      </c>
      <c r="B11110" s="5" t="s">
        <v>11556</v>
      </c>
      <c r="C11110" s="5" t="s">
        <v>21</v>
      </c>
      <c r="K11110" s="5">
        <v>250.0</v>
      </c>
      <c r="N11110" s="9">
        <v>45616.0</v>
      </c>
    </row>
    <row r="11111">
      <c r="A11111" s="5">
        <v>11110.0</v>
      </c>
      <c r="B11111" s="5" t="s">
        <v>11557</v>
      </c>
      <c r="C11111" s="5" t="s">
        <v>21</v>
      </c>
      <c r="K11111" s="5">
        <v>400.0</v>
      </c>
      <c r="N11111" s="9">
        <v>45043.0</v>
      </c>
    </row>
    <row r="11112">
      <c r="A11112" s="5">
        <v>11111.0</v>
      </c>
      <c r="B11112" s="5" t="s">
        <v>11558</v>
      </c>
      <c r="C11112" s="5" t="s">
        <v>21</v>
      </c>
      <c r="K11112" s="5">
        <v>1800.0</v>
      </c>
      <c r="N11112" s="9">
        <v>44572.0</v>
      </c>
    </row>
    <row r="11113">
      <c r="A11113" s="5">
        <v>11112.0</v>
      </c>
      <c r="B11113" s="5" t="s">
        <v>11559</v>
      </c>
      <c r="C11113" s="5" t="s">
        <v>21</v>
      </c>
      <c r="K11113" s="5">
        <v>800.0</v>
      </c>
      <c r="N11113" s="9">
        <v>44291.0</v>
      </c>
    </row>
    <row r="11114">
      <c r="A11114" s="5">
        <v>11113.0</v>
      </c>
      <c r="B11114" s="5" t="s">
        <v>11560</v>
      </c>
      <c r="C11114" s="5" t="s">
        <v>21</v>
      </c>
      <c r="K11114" s="5">
        <v>40.0</v>
      </c>
      <c r="N11114" s="9">
        <v>44462.0</v>
      </c>
    </row>
    <row r="11115">
      <c r="A11115" s="5">
        <v>11114.0</v>
      </c>
      <c r="B11115" s="5" t="s">
        <v>11561</v>
      </c>
      <c r="C11115" s="5" t="s">
        <v>21</v>
      </c>
      <c r="K11115" s="5">
        <v>7900.0</v>
      </c>
      <c r="N11115" s="9">
        <v>44040.0</v>
      </c>
    </row>
    <row r="11116">
      <c r="A11116" s="5">
        <v>11115.0</v>
      </c>
      <c r="B11116" s="5" t="s">
        <v>11562</v>
      </c>
      <c r="C11116" s="5" t="s">
        <v>21</v>
      </c>
      <c r="K11116" s="5">
        <v>250.0</v>
      </c>
      <c r="N11116" s="9">
        <v>44595.0</v>
      </c>
    </row>
    <row r="11117">
      <c r="A11117" s="5">
        <v>11116.0</v>
      </c>
      <c r="B11117" s="5" t="s">
        <v>11563</v>
      </c>
      <c r="C11117" s="5" t="s">
        <v>21</v>
      </c>
      <c r="K11117" s="5">
        <v>1000.0</v>
      </c>
      <c r="N11117" s="9">
        <v>44479.0</v>
      </c>
    </row>
    <row r="11118">
      <c r="A11118" s="5">
        <v>11117.0</v>
      </c>
      <c r="B11118" s="5" t="s">
        <v>11564</v>
      </c>
      <c r="C11118" s="5" t="s">
        <v>21</v>
      </c>
      <c r="N11118" s="9">
        <v>44479.0</v>
      </c>
    </row>
    <row r="11119">
      <c r="A11119" s="5">
        <v>11118.0</v>
      </c>
      <c r="B11119" s="5" t="s">
        <v>11565</v>
      </c>
      <c r="C11119" s="5" t="s">
        <v>21</v>
      </c>
      <c r="K11119" s="5">
        <v>250.0</v>
      </c>
      <c r="N11119" s="9">
        <v>45397.0</v>
      </c>
    </row>
    <row r="11120">
      <c r="A11120" s="5">
        <v>11119.0</v>
      </c>
      <c r="B11120" s="5" t="s">
        <v>11566</v>
      </c>
      <c r="C11120" s="5" t="s">
        <v>21</v>
      </c>
      <c r="K11120" s="5">
        <v>10.0</v>
      </c>
      <c r="N11120" s="9">
        <v>44197.0</v>
      </c>
    </row>
    <row r="11121">
      <c r="A11121" s="5">
        <v>11120.0</v>
      </c>
      <c r="B11121" s="5" t="s">
        <v>11567</v>
      </c>
      <c r="C11121" s="5" t="s">
        <v>21</v>
      </c>
      <c r="K11121" s="5">
        <v>300.0</v>
      </c>
      <c r="N11121" s="9">
        <v>44948.0</v>
      </c>
    </row>
    <row r="11122">
      <c r="A11122" s="5">
        <v>11121.0</v>
      </c>
      <c r="B11122" s="5" t="s">
        <v>11568</v>
      </c>
      <c r="C11122" s="5" t="s">
        <v>21</v>
      </c>
      <c r="K11122" s="5">
        <v>1000.0</v>
      </c>
      <c r="N11122" s="9">
        <v>44770.0</v>
      </c>
    </row>
    <row r="11123">
      <c r="A11123" s="5">
        <v>11122.0</v>
      </c>
      <c r="B11123" s="5" t="s">
        <v>11569</v>
      </c>
      <c r="C11123" s="5" t="s">
        <v>21</v>
      </c>
      <c r="K11123" s="5">
        <v>150.0</v>
      </c>
      <c r="N11123" s="9">
        <v>45094.0</v>
      </c>
    </row>
    <row r="11124">
      <c r="A11124" s="5">
        <v>11123.0</v>
      </c>
      <c r="B11124" s="5" t="s">
        <v>11570</v>
      </c>
      <c r="C11124" s="5" t="s">
        <v>21</v>
      </c>
      <c r="K11124" s="5">
        <v>1600.0</v>
      </c>
      <c r="N11124" s="9">
        <v>44280.0</v>
      </c>
    </row>
    <row r="11125">
      <c r="A11125" s="5">
        <v>11124.0</v>
      </c>
      <c r="B11125" s="5" t="s">
        <v>11571</v>
      </c>
      <c r="C11125" s="5" t="s">
        <v>21</v>
      </c>
      <c r="K11125" s="5">
        <v>150.0</v>
      </c>
      <c r="N11125" s="9">
        <v>44648.0</v>
      </c>
    </row>
    <row r="11126">
      <c r="A11126" s="5">
        <v>11125.0</v>
      </c>
      <c r="B11126" s="5" t="s">
        <v>11572</v>
      </c>
      <c r="C11126" s="5" t="s">
        <v>21</v>
      </c>
      <c r="K11126" s="5">
        <v>12000.0</v>
      </c>
      <c r="N11126" s="9">
        <v>46085.0</v>
      </c>
    </row>
    <row r="11127">
      <c r="A11127" s="5">
        <v>11126.0</v>
      </c>
      <c r="B11127" s="5" t="s">
        <v>11573</v>
      </c>
      <c r="C11127" s="5" t="s">
        <v>21</v>
      </c>
      <c r="K11127" s="5">
        <v>700.0</v>
      </c>
      <c r="N11127" s="9">
        <v>45046.0</v>
      </c>
    </row>
    <row r="11128">
      <c r="A11128" s="5">
        <v>11127.0</v>
      </c>
      <c r="B11128" s="5" t="s">
        <v>11574</v>
      </c>
      <c r="C11128" s="5" t="s">
        <v>21</v>
      </c>
      <c r="K11128" s="5">
        <v>250.0</v>
      </c>
      <c r="N11128" s="9">
        <v>44588.0</v>
      </c>
    </row>
    <row r="11129">
      <c r="A11129" s="5">
        <v>11128.0</v>
      </c>
      <c r="B11129" s="5" t="s">
        <v>11575</v>
      </c>
      <c r="C11129" s="5" t="s">
        <v>21</v>
      </c>
      <c r="K11129" s="5">
        <v>50.0</v>
      </c>
      <c r="N11129" s="9">
        <v>45393.0</v>
      </c>
    </row>
    <row r="11130">
      <c r="A11130" s="5">
        <v>11129.0</v>
      </c>
      <c r="B11130" s="5" t="s">
        <v>11576</v>
      </c>
      <c r="C11130" s="5" t="s">
        <v>21</v>
      </c>
      <c r="K11130" s="5">
        <v>800.0</v>
      </c>
      <c r="N11130" s="9">
        <v>44958.0</v>
      </c>
    </row>
    <row r="11131">
      <c r="A11131" s="5">
        <v>11130.0</v>
      </c>
      <c r="B11131" s="5" t="s">
        <v>11577</v>
      </c>
      <c r="C11131" s="5" t="s">
        <v>21</v>
      </c>
      <c r="K11131" s="5">
        <v>450.0</v>
      </c>
      <c r="N11131" s="9">
        <v>44550.0</v>
      </c>
    </row>
    <row r="11132">
      <c r="A11132" s="5">
        <v>11131.0</v>
      </c>
      <c r="B11132" s="5" t="s">
        <v>11578</v>
      </c>
      <c r="C11132" s="5" t="s">
        <v>21</v>
      </c>
      <c r="K11132" s="5">
        <v>900.0</v>
      </c>
      <c r="N11132" s="9">
        <v>44521.0</v>
      </c>
    </row>
    <row r="11133">
      <c r="A11133" s="5">
        <v>11132.0</v>
      </c>
      <c r="B11133" s="5" t="s">
        <v>11579</v>
      </c>
      <c r="C11133" s="5" t="s">
        <v>21</v>
      </c>
      <c r="K11133" s="5">
        <v>300.0</v>
      </c>
      <c r="N11133" s="9">
        <v>44011.0</v>
      </c>
    </row>
    <row r="11134">
      <c r="A11134" s="5">
        <v>11133.0</v>
      </c>
      <c r="B11134" s="5" t="s">
        <v>11580</v>
      </c>
      <c r="C11134" s="5" t="s">
        <v>21</v>
      </c>
      <c r="K11134" s="5">
        <v>70.0</v>
      </c>
      <c r="N11134" s="9">
        <v>44554.0</v>
      </c>
    </row>
    <row r="11135">
      <c r="A11135" s="5">
        <v>11134.0</v>
      </c>
      <c r="B11135" s="5" t="s">
        <v>11581</v>
      </c>
      <c r="C11135" s="5" t="s">
        <v>21</v>
      </c>
      <c r="K11135" s="5">
        <v>400.0</v>
      </c>
      <c r="N11135" s="9">
        <v>43885.0</v>
      </c>
    </row>
    <row r="11136">
      <c r="A11136" s="5">
        <v>11135.0</v>
      </c>
      <c r="B11136" s="5" t="s">
        <v>11582</v>
      </c>
      <c r="C11136" s="5" t="s">
        <v>21</v>
      </c>
      <c r="K11136" s="5">
        <v>2500.0</v>
      </c>
      <c r="N11136" s="9">
        <v>44540.0</v>
      </c>
    </row>
    <row r="11137">
      <c r="A11137" s="5">
        <v>11136.0</v>
      </c>
      <c r="B11137" s="5" t="s">
        <v>11583</v>
      </c>
      <c r="C11137" s="5" t="s">
        <v>21</v>
      </c>
      <c r="K11137" s="5">
        <v>250.0</v>
      </c>
      <c r="N11137" s="9">
        <v>44487.0</v>
      </c>
    </row>
    <row r="11138">
      <c r="A11138" s="5">
        <v>11137.0</v>
      </c>
      <c r="B11138" s="5" t="s">
        <v>11584</v>
      </c>
      <c r="C11138" s="5" t="s">
        <v>21</v>
      </c>
      <c r="K11138" s="5">
        <v>300.0</v>
      </c>
      <c r="N11138" s="9">
        <v>44614.0</v>
      </c>
    </row>
    <row r="11139">
      <c r="A11139" s="5">
        <v>11138.0</v>
      </c>
      <c r="B11139" s="5" t="s">
        <v>11585</v>
      </c>
      <c r="C11139" s="5" t="s">
        <v>21</v>
      </c>
      <c r="K11139" s="5">
        <v>500.0</v>
      </c>
      <c r="N11139" s="9">
        <v>45480.0</v>
      </c>
    </row>
    <row r="11140">
      <c r="A11140" s="5">
        <v>11139.0</v>
      </c>
      <c r="B11140" s="5" t="s">
        <v>11586</v>
      </c>
      <c r="C11140" s="5" t="s">
        <v>21</v>
      </c>
      <c r="K11140" s="5">
        <v>250.0</v>
      </c>
      <c r="N11140" s="9">
        <v>44608.0</v>
      </c>
    </row>
    <row r="11141">
      <c r="A11141" s="5">
        <v>11140.0</v>
      </c>
      <c r="B11141" s="5" t="s">
        <v>11587</v>
      </c>
      <c r="C11141" s="5" t="s">
        <v>21</v>
      </c>
      <c r="N11141" s="9">
        <v>44687.0</v>
      </c>
    </row>
    <row r="11142">
      <c r="A11142" s="5">
        <v>11141.0</v>
      </c>
      <c r="B11142" s="5" t="s">
        <v>11588</v>
      </c>
      <c r="C11142" s="5" t="s">
        <v>21</v>
      </c>
      <c r="K11142" s="5">
        <v>1000.0</v>
      </c>
      <c r="N11142" s="9">
        <v>44513.0</v>
      </c>
    </row>
    <row r="11143">
      <c r="A11143" s="5">
        <v>11142.0</v>
      </c>
      <c r="B11143" s="5" t="s">
        <v>11589</v>
      </c>
      <c r="C11143" s="5" t="s">
        <v>21</v>
      </c>
      <c r="K11143" s="5">
        <v>500.0</v>
      </c>
      <c r="N11143" s="9">
        <v>44794.0</v>
      </c>
    </row>
    <row r="11144">
      <c r="A11144" s="5">
        <v>11143.0</v>
      </c>
      <c r="B11144" s="5" t="s">
        <v>11590</v>
      </c>
      <c r="C11144" s="5" t="s">
        <v>21</v>
      </c>
      <c r="K11144" s="5">
        <v>50.0</v>
      </c>
      <c r="N11144" s="9">
        <v>44558.0</v>
      </c>
    </row>
    <row r="11145">
      <c r="A11145" s="5">
        <v>11144.0</v>
      </c>
      <c r="B11145" s="5" t="s">
        <v>11591</v>
      </c>
      <c r="C11145" s="5" t="s">
        <v>21</v>
      </c>
      <c r="K11145" s="5">
        <v>200.0</v>
      </c>
      <c r="N11145" s="9">
        <v>45709.0</v>
      </c>
    </row>
    <row r="11146">
      <c r="A11146" s="5">
        <v>11145.0</v>
      </c>
      <c r="B11146" s="5" t="s">
        <v>11592</v>
      </c>
      <c r="C11146" s="5" t="s">
        <v>21</v>
      </c>
      <c r="K11146" s="5">
        <v>70.0</v>
      </c>
      <c r="N11146" s="9">
        <v>44653.0</v>
      </c>
    </row>
    <row r="11147">
      <c r="A11147" s="5">
        <v>11146.0</v>
      </c>
      <c r="B11147" s="5" t="s">
        <v>11593</v>
      </c>
      <c r="C11147" s="5" t="s">
        <v>21</v>
      </c>
      <c r="K11147" s="5">
        <v>350.0</v>
      </c>
      <c r="N11147" s="9">
        <v>44320.0</v>
      </c>
    </row>
    <row r="11148">
      <c r="A11148" s="5">
        <v>11147.0</v>
      </c>
      <c r="B11148" s="5" t="s">
        <v>11594</v>
      </c>
      <c r="C11148" s="5" t="s">
        <v>21</v>
      </c>
      <c r="K11148" s="5">
        <v>250.0</v>
      </c>
      <c r="N11148" s="9">
        <v>44933.0</v>
      </c>
    </row>
    <row r="11149">
      <c r="A11149" s="5">
        <v>11148.0</v>
      </c>
      <c r="B11149" s="5" t="s">
        <v>11595</v>
      </c>
      <c r="C11149" s="5" t="s">
        <v>21</v>
      </c>
      <c r="K11149" s="5">
        <v>1200.0</v>
      </c>
      <c r="N11149" s="9">
        <v>44549.0</v>
      </c>
    </row>
    <row r="11150">
      <c r="A11150" s="5">
        <v>11149.0</v>
      </c>
      <c r="B11150" s="5" t="s">
        <v>11596</v>
      </c>
      <c r="C11150" s="5" t="s">
        <v>21</v>
      </c>
      <c r="K11150" s="5">
        <v>30.0</v>
      </c>
      <c r="N11150" s="9">
        <v>44282.0</v>
      </c>
    </row>
    <row r="11151">
      <c r="A11151" s="5">
        <v>11150.0</v>
      </c>
      <c r="B11151" s="5" t="s">
        <v>11597</v>
      </c>
      <c r="C11151" s="5" t="s">
        <v>21</v>
      </c>
      <c r="K11151" s="5">
        <v>40.0</v>
      </c>
      <c r="N11151" s="9">
        <v>44217.0</v>
      </c>
    </row>
    <row r="11152">
      <c r="A11152" s="5">
        <v>11151.0</v>
      </c>
      <c r="B11152" s="5" t="s">
        <v>11598</v>
      </c>
      <c r="C11152" s="5" t="s">
        <v>21</v>
      </c>
      <c r="K11152" s="5">
        <v>90.0</v>
      </c>
      <c r="N11152" s="9">
        <v>45490.0</v>
      </c>
    </row>
    <row r="11153">
      <c r="A11153" s="5">
        <v>11152.0</v>
      </c>
      <c r="B11153" s="5" t="s">
        <v>11599</v>
      </c>
      <c r="C11153" s="5" t="s">
        <v>21</v>
      </c>
      <c r="K11153" s="5">
        <v>70.0</v>
      </c>
      <c r="N11153" s="9">
        <v>44695.0</v>
      </c>
    </row>
    <row r="11154">
      <c r="A11154" s="5">
        <v>11153.0</v>
      </c>
      <c r="B11154" s="5" t="s">
        <v>11600</v>
      </c>
      <c r="C11154" s="5" t="s">
        <v>21</v>
      </c>
      <c r="K11154" s="5">
        <v>40.0</v>
      </c>
      <c r="N11154" s="9">
        <v>45213.0</v>
      </c>
    </row>
    <row r="11155">
      <c r="A11155" s="5">
        <v>11154.0</v>
      </c>
      <c r="B11155" s="5" t="s">
        <v>11601</v>
      </c>
      <c r="C11155" s="5" t="s">
        <v>21</v>
      </c>
      <c r="K11155" s="5">
        <v>300.0</v>
      </c>
      <c r="N11155" s="9">
        <v>44603.0</v>
      </c>
    </row>
    <row r="11156">
      <c r="A11156" s="5">
        <v>11155.0</v>
      </c>
      <c r="B11156" s="5" t="s">
        <v>11602</v>
      </c>
      <c r="C11156" s="5" t="s">
        <v>21</v>
      </c>
      <c r="K11156" s="5">
        <v>400.0</v>
      </c>
      <c r="N11156" s="9">
        <v>44736.0</v>
      </c>
    </row>
    <row r="11157">
      <c r="A11157" s="5">
        <v>11156.0</v>
      </c>
      <c r="B11157" s="5" t="s">
        <v>11603</v>
      </c>
      <c r="C11157" s="5" t="s">
        <v>21</v>
      </c>
      <c r="K11157" s="5">
        <v>90.0</v>
      </c>
      <c r="N11157" s="9">
        <v>44656.0</v>
      </c>
    </row>
    <row r="11158">
      <c r="A11158" s="5">
        <v>11157.0</v>
      </c>
      <c r="B11158" s="5" t="s">
        <v>393</v>
      </c>
      <c r="C11158" s="5" t="s">
        <v>21</v>
      </c>
      <c r="K11158" s="5">
        <v>1200.0</v>
      </c>
      <c r="N11158" s="9">
        <v>44330.0</v>
      </c>
    </row>
    <row r="11159">
      <c r="A11159" s="5">
        <v>11158.0</v>
      </c>
      <c r="B11159" s="5" t="s">
        <v>11604</v>
      </c>
      <c r="C11159" s="5" t="s">
        <v>21</v>
      </c>
      <c r="K11159" s="5">
        <v>200.0</v>
      </c>
      <c r="N11159" s="9">
        <v>44357.0</v>
      </c>
    </row>
    <row r="11160">
      <c r="A11160" s="5">
        <v>11159.0</v>
      </c>
      <c r="B11160" s="5" t="s">
        <v>11605</v>
      </c>
      <c r="C11160" s="5" t="s">
        <v>21</v>
      </c>
      <c r="K11160" s="5">
        <v>300.0</v>
      </c>
      <c r="N11160" s="9">
        <v>44512.0</v>
      </c>
    </row>
    <row r="11161">
      <c r="A11161" s="5">
        <v>11160.0</v>
      </c>
      <c r="B11161" s="5" t="s">
        <v>11606</v>
      </c>
      <c r="C11161" s="5" t="s">
        <v>21</v>
      </c>
      <c r="K11161" s="5">
        <v>300.0</v>
      </c>
      <c r="N11161" s="9">
        <v>44522.0</v>
      </c>
    </row>
    <row r="11162">
      <c r="A11162" s="5">
        <v>11161.0</v>
      </c>
      <c r="B11162" s="5" t="s">
        <v>11607</v>
      </c>
      <c r="C11162" s="5" t="s">
        <v>21</v>
      </c>
      <c r="K11162" s="5">
        <v>150.0</v>
      </c>
      <c r="N11162" s="9">
        <v>44564.0</v>
      </c>
    </row>
    <row r="11163">
      <c r="A11163" s="5">
        <v>11162.0</v>
      </c>
      <c r="B11163" s="5" t="s">
        <v>11608</v>
      </c>
      <c r="C11163" s="5" t="s">
        <v>21</v>
      </c>
      <c r="K11163" s="5">
        <v>20.0</v>
      </c>
      <c r="N11163" s="9">
        <v>44521.0</v>
      </c>
    </row>
    <row r="11164">
      <c r="A11164" s="5">
        <v>11163.0</v>
      </c>
      <c r="B11164" s="5" t="s">
        <v>11609</v>
      </c>
      <c r="C11164" s="5" t="s">
        <v>21</v>
      </c>
      <c r="K11164" s="5">
        <v>100.0</v>
      </c>
      <c r="N11164" s="9">
        <v>45084.0</v>
      </c>
    </row>
    <row r="11165">
      <c r="A11165" s="5">
        <v>11164.0</v>
      </c>
      <c r="B11165" s="5" t="s">
        <v>11610</v>
      </c>
      <c r="C11165" s="5" t="s">
        <v>21</v>
      </c>
      <c r="K11165" s="5">
        <v>20.0</v>
      </c>
      <c r="N11165" s="9">
        <v>45548.0</v>
      </c>
    </row>
    <row r="11166">
      <c r="A11166" s="5">
        <v>11165.0</v>
      </c>
      <c r="B11166" s="5" t="s">
        <v>11611</v>
      </c>
      <c r="C11166" s="5" t="s">
        <v>21</v>
      </c>
      <c r="N11166" s="9">
        <v>44549.0</v>
      </c>
    </row>
    <row r="11167">
      <c r="A11167" s="5">
        <v>11166.0</v>
      </c>
      <c r="B11167" s="5" t="s">
        <v>11612</v>
      </c>
      <c r="C11167" s="5" t="s">
        <v>21</v>
      </c>
      <c r="K11167" s="5">
        <v>60.0</v>
      </c>
      <c r="N11167" s="9">
        <v>43871.0</v>
      </c>
    </row>
    <row r="11168">
      <c r="A11168" s="5">
        <v>11167.0</v>
      </c>
      <c r="B11168" s="5" t="s">
        <v>11613</v>
      </c>
      <c r="C11168" s="5" t="s">
        <v>21</v>
      </c>
      <c r="K11168" s="5">
        <v>500.0</v>
      </c>
      <c r="N11168" s="9">
        <v>44829.0</v>
      </c>
    </row>
    <row r="11169">
      <c r="A11169" s="5">
        <v>11168.0</v>
      </c>
      <c r="B11169" s="5" t="s">
        <v>11614</v>
      </c>
      <c r="C11169" s="5" t="s">
        <v>21</v>
      </c>
      <c r="K11169" s="5">
        <v>500.0</v>
      </c>
      <c r="N11169" s="9">
        <v>44702.0</v>
      </c>
    </row>
    <row r="11170">
      <c r="A11170" s="5">
        <v>11169.0</v>
      </c>
      <c r="B11170" s="5" t="s">
        <v>11615</v>
      </c>
      <c r="C11170" s="5" t="s">
        <v>21</v>
      </c>
      <c r="K11170" s="5">
        <v>150.0</v>
      </c>
      <c r="N11170" s="9">
        <v>44658.0</v>
      </c>
    </row>
    <row r="11171">
      <c r="A11171" s="5">
        <v>11170.0</v>
      </c>
      <c r="B11171" s="5" t="s">
        <v>11616</v>
      </c>
      <c r="C11171" s="5" t="s">
        <v>21</v>
      </c>
      <c r="K11171" s="5">
        <v>200.0</v>
      </c>
      <c r="N11171" s="9">
        <v>44248.0</v>
      </c>
    </row>
    <row r="11172">
      <c r="A11172" s="5">
        <v>11171.0</v>
      </c>
      <c r="B11172" s="5" t="s">
        <v>11617</v>
      </c>
      <c r="C11172" s="5" t="s">
        <v>21</v>
      </c>
      <c r="K11172" s="5">
        <v>250.0</v>
      </c>
      <c r="N11172" s="9">
        <v>44812.0</v>
      </c>
    </row>
    <row r="11173">
      <c r="A11173" s="5">
        <v>11172.0</v>
      </c>
      <c r="B11173" s="5" t="s">
        <v>11618</v>
      </c>
      <c r="C11173" s="5" t="s">
        <v>21</v>
      </c>
      <c r="K11173" s="5">
        <v>250.0</v>
      </c>
      <c r="N11173" s="9">
        <v>44629.0</v>
      </c>
    </row>
    <row r="11174">
      <c r="A11174" s="5">
        <v>11173.0</v>
      </c>
      <c r="B11174" s="5" t="s">
        <v>11619</v>
      </c>
      <c r="C11174" s="5" t="s">
        <v>21</v>
      </c>
      <c r="K11174" s="5">
        <v>7400.0</v>
      </c>
      <c r="N11174" s="9">
        <v>43895.0</v>
      </c>
    </row>
    <row r="11175">
      <c r="A11175" s="5">
        <v>11174.0</v>
      </c>
      <c r="B11175" s="5" t="s">
        <v>11620</v>
      </c>
      <c r="C11175" s="5" t="s">
        <v>21</v>
      </c>
      <c r="K11175" s="5">
        <v>30.0</v>
      </c>
      <c r="N11175" s="9">
        <v>45581.0</v>
      </c>
    </row>
    <row r="11176">
      <c r="A11176" s="5">
        <v>11175.0</v>
      </c>
      <c r="B11176" s="5" t="s">
        <v>11621</v>
      </c>
      <c r="C11176" s="5" t="s">
        <v>21</v>
      </c>
      <c r="K11176" s="5">
        <v>20.0</v>
      </c>
      <c r="N11176" s="9">
        <v>44546.0</v>
      </c>
    </row>
    <row r="11177">
      <c r="A11177" s="5">
        <v>11176.0</v>
      </c>
      <c r="B11177" s="5" t="s">
        <v>11622</v>
      </c>
      <c r="C11177" s="5" t="s">
        <v>21</v>
      </c>
      <c r="K11177" s="5">
        <v>200.0</v>
      </c>
      <c r="N11177" s="9">
        <v>44295.0</v>
      </c>
    </row>
    <row r="11178">
      <c r="A11178" s="5">
        <v>11177.0</v>
      </c>
      <c r="B11178" s="5" t="s">
        <v>11623</v>
      </c>
      <c r="C11178" s="5" t="s">
        <v>21</v>
      </c>
      <c r="K11178" s="5">
        <v>60.0</v>
      </c>
      <c r="N11178" s="9">
        <v>44540.0</v>
      </c>
    </row>
    <row r="11179">
      <c r="A11179" s="5">
        <v>11178.0</v>
      </c>
      <c r="B11179" s="5" t="s">
        <v>11624</v>
      </c>
      <c r="C11179" s="5" t="s">
        <v>21</v>
      </c>
      <c r="K11179" s="5">
        <v>800.0</v>
      </c>
      <c r="N11179" s="9">
        <v>44705.0</v>
      </c>
    </row>
    <row r="11180">
      <c r="A11180" s="5">
        <v>11179.0</v>
      </c>
      <c r="B11180" s="5" t="s">
        <v>11625</v>
      </c>
      <c r="C11180" s="5" t="s">
        <v>21</v>
      </c>
      <c r="N11180" s="9">
        <v>44638.0</v>
      </c>
    </row>
    <row r="11181">
      <c r="A11181" s="5">
        <v>11180.0</v>
      </c>
      <c r="B11181" s="5" t="s">
        <v>11626</v>
      </c>
      <c r="C11181" s="5" t="s">
        <v>21</v>
      </c>
      <c r="K11181" s="5">
        <v>1100.0</v>
      </c>
      <c r="N11181" s="9">
        <v>44616.0</v>
      </c>
    </row>
    <row r="11182">
      <c r="A11182" s="5">
        <v>11181.0</v>
      </c>
      <c r="B11182" s="5" t="s">
        <v>11627</v>
      </c>
      <c r="C11182" s="5" t="s">
        <v>21</v>
      </c>
      <c r="K11182" s="5">
        <v>20.0</v>
      </c>
      <c r="N11182" s="9">
        <v>45404.0</v>
      </c>
    </row>
    <row r="11183">
      <c r="A11183" s="5">
        <v>11182.0</v>
      </c>
      <c r="B11183" s="5" t="s">
        <v>11628</v>
      </c>
      <c r="C11183" s="5" t="s">
        <v>21</v>
      </c>
      <c r="K11183" s="5">
        <v>250.0</v>
      </c>
      <c r="N11183" s="9">
        <v>45476.0</v>
      </c>
    </row>
    <row r="11184">
      <c r="A11184" s="5">
        <v>11183.0</v>
      </c>
      <c r="B11184" s="5" t="s">
        <v>11629</v>
      </c>
      <c r="C11184" s="5" t="s">
        <v>21</v>
      </c>
      <c r="K11184" s="5">
        <v>200.0</v>
      </c>
      <c r="N11184" s="9">
        <v>44012.0</v>
      </c>
    </row>
    <row r="11185">
      <c r="A11185" s="5">
        <v>11184.0</v>
      </c>
      <c r="B11185" s="5" t="s">
        <v>11630</v>
      </c>
      <c r="C11185" s="5" t="s">
        <v>21</v>
      </c>
      <c r="K11185" s="5">
        <v>100.0</v>
      </c>
      <c r="N11185" s="9">
        <v>44558.0</v>
      </c>
    </row>
    <row r="11186">
      <c r="A11186" s="5">
        <v>11185.0</v>
      </c>
      <c r="B11186" s="5" t="s">
        <v>11631</v>
      </c>
      <c r="C11186" s="5" t="s">
        <v>21</v>
      </c>
      <c r="K11186" s="5">
        <v>200.0</v>
      </c>
      <c r="N11186" s="9">
        <v>45077.0</v>
      </c>
    </row>
    <row r="11187">
      <c r="A11187" s="5">
        <v>11186.0</v>
      </c>
      <c r="B11187" s="5" t="s">
        <v>11632</v>
      </c>
      <c r="C11187" s="5" t="s">
        <v>21</v>
      </c>
      <c r="K11187" s="5">
        <v>2900.0</v>
      </c>
      <c r="N11187" s="9">
        <v>44694.0</v>
      </c>
    </row>
    <row r="11188">
      <c r="A11188" s="5">
        <v>11187.0</v>
      </c>
      <c r="B11188" s="5" t="s">
        <v>11633</v>
      </c>
      <c r="C11188" s="5" t="s">
        <v>21</v>
      </c>
      <c r="K11188" s="5">
        <v>800.0</v>
      </c>
      <c r="N11188" s="9">
        <v>44415.0</v>
      </c>
    </row>
    <row r="11189">
      <c r="A11189" s="5">
        <v>11188.0</v>
      </c>
      <c r="B11189" s="5" t="s">
        <v>11634</v>
      </c>
      <c r="C11189" s="5" t="s">
        <v>21</v>
      </c>
      <c r="K11189" s="5">
        <v>300.0</v>
      </c>
      <c r="N11189" s="9">
        <v>44544.0</v>
      </c>
    </row>
    <row r="11190">
      <c r="A11190" s="5">
        <v>11189.0</v>
      </c>
      <c r="B11190" s="5" t="s">
        <v>11635</v>
      </c>
      <c r="C11190" s="5" t="s">
        <v>21</v>
      </c>
      <c r="K11190" s="5">
        <v>10.0</v>
      </c>
      <c r="N11190" s="9">
        <v>44934.0</v>
      </c>
    </row>
    <row r="11191">
      <c r="A11191" s="5">
        <v>11190.0</v>
      </c>
      <c r="B11191" s="5" t="s">
        <v>11636</v>
      </c>
      <c r="C11191" s="5" t="s">
        <v>21</v>
      </c>
      <c r="K11191" s="5">
        <v>350.0</v>
      </c>
      <c r="N11191" s="9">
        <v>45551.0</v>
      </c>
    </row>
    <row r="11192">
      <c r="A11192" s="5">
        <v>11191.0</v>
      </c>
      <c r="B11192" s="5" t="s">
        <v>11637</v>
      </c>
      <c r="C11192" s="5" t="s">
        <v>21</v>
      </c>
      <c r="K11192" s="5">
        <v>250.0</v>
      </c>
      <c r="N11192" s="9">
        <v>43967.0</v>
      </c>
    </row>
    <row r="11193">
      <c r="A11193" s="5">
        <v>11192.0</v>
      </c>
      <c r="B11193" s="5" t="s">
        <v>11638</v>
      </c>
      <c r="C11193" s="5" t="s">
        <v>21</v>
      </c>
      <c r="K11193" s="5">
        <v>900.0</v>
      </c>
      <c r="N11193" s="9">
        <v>44528.0</v>
      </c>
    </row>
    <row r="11194">
      <c r="A11194" s="5">
        <v>11193.0</v>
      </c>
      <c r="B11194" s="5" t="s">
        <v>11639</v>
      </c>
      <c r="C11194" s="5" t="s">
        <v>21</v>
      </c>
      <c r="K11194" s="5">
        <v>250.0</v>
      </c>
      <c r="N11194" s="9">
        <v>45291.0</v>
      </c>
    </row>
    <row r="11195">
      <c r="A11195" s="5">
        <v>11194.0</v>
      </c>
      <c r="B11195" s="5" t="s">
        <v>11640</v>
      </c>
      <c r="C11195" s="5" t="s">
        <v>21</v>
      </c>
      <c r="K11195" s="5">
        <v>250.0</v>
      </c>
      <c r="N11195" s="9">
        <v>44535.0</v>
      </c>
    </row>
    <row r="11196">
      <c r="A11196" s="5">
        <v>11195.0</v>
      </c>
      <c r="B11196" s="5" t="s">
        <v>11641</v>
      </c>
      <c r="C11196" s="5" t="s">
        <v>21</v>
      </c>
      <c r="K11196" s="5">
        <v>600.0</v>
      </c>
      <c r="N11196" s="9">
        <v>44597.0</v>
      </c>
    </row>
    <row r="11197">
      <c r="A11197" s="5">
        <v>11196.0</v>
      </c>
      <c r="B11197" s="5" t="s">
        <v>11642</v>
      </c>
      <c r="C11197" s="5" t="s">
        <v>21</v>
      </c>
      <c r="K11197" s="5">
        <v>800.0</v>
      </c>
      <c r="N11197" s="9">
        <v>44705.0</v>
      </c>
    </row>
    <row r="11198">
      <c r="A11198" s="5">
        <v>11197.0</v>
      </c>
      <c r="B11198" s="5" t="s">
        <v>11643</v>
      </c>
      <c r="C11198" s="5" t="s">
        <v>21</v>
      </c>
      <c r="K11198" s="5">
        <v>2700.0</v>
      </c>
      <c r="N11198" s="9">
        <v>43868.0</v>
      </c>
    </row>
    <row r="11199">
      <c r="A11199" s="5">
        <v>11198.0</v>
      </c>
      <c r="B11199" s="5" t="s">
        <v>11644</v>
      </c>
      <c r="C11199" s="5" t="s">
        <v>21</v>
      </c>
      <c r="K11199" s="5">
        <v>100.0</v>
      </c>
      <c r="N11199" s="9">
        <v>44341.0</v>
      </c>
    </row>
    <row r="11200">
      <c r="A11200" s="5">
        <v>11199.0</v>
      </c>
      <c r="B11200" s="5" t="s">
        <v>11645</v>
      </c>
      <c r="C11200" s="5" t="s">
        <v>21</v>
      </c>
      <c r="K11200" s="5">
        <v>400.0</v>
      </c>
      <c r="N11200" s="9">
        <v>44770.0</v>
      </c>
    </row>
    <row r="11201">
      <c r="A11201" s="5">
        <v>11200.0</v>
      </c>
      <c r="B11201" s="5" t="s">
        <v>11646</v>
      </c>
      <c r="C11201" s="5" t="s">
        <v>21</v>
      </c>
      <c r="K11201" s="5">
        <v>350.0</v>
      </c>
      <c r="N11201" s="9">
        <v>44133.0</v>
      </c>
    </row>
    <row r="11202">
      <c r="A11202" s="5">
        <v>11201.0</v>
      </c>
      <c r="B11202" s="5" t="s">
        <v>11647</v>
      </c>
      <c r="C11202" s="5" t="s">
        <v>21</v>
      </c>
      <c r="K11202" s="5">
        <v>350.0</v>
      </c>
      <c r="N11202" s="9">
        <v>44536.0</v>
      </c>
    </row>
    <row r="11203">
      <c r="A11203" s="5">
        <v>11202.0</v>
      </c>
      <c r="B11203" s="5" t="s">
        <v>11648</v>
      </c>
      <c r="C11203" s="5" t="s">
        <v>21</v>
      </c>
      <c r="K11203" s="5">
        <v>80.0</v>
      </c>
      <c r="N11203" s="9">
        <v>44536.0</v>
      </c>
    </row>
    <row r="11204">
      <c r="A11204" s="5">
        <v>11203.0</v>
      </c>
      <c r="B11204" s="5" t="s">
        <v>11649</v>
      </c>
      <c r="C11204" s="5" t="s">
        <v>21</v>
      </c>
      <c r="K11204" s="5">
        <v>250.0</v>
      </c>
      <c r="N11204" s="9">
        <v>46124.0</v>
      </c>
    </row>
    <row r="11205">
      <c r="A11205" s="5">
        <v>11204.0</v>
      </c>
      <c r="B11205" s="5" t="s">
        <v>11650</v>
      </c>
      <c r="C11205" s="5" t="s">
        <v>21</v>
      </c>
      <c r="K11205" s="5">
        <v>20.0</v>
      </c>
      <c r="N11205" s="9">
        <v>44713.0</v>
      </c>
    </row>
    <row r="11206">
      <c r="A11206" s="5">
        <v>11205.0</v>
      </c>
      <c r="B11206" s="5" t="s">
        <v>11651</v>
      </c>
      <c r="C11206" s="5" t="s">
        <v>21</v>
      </c>
      <c r="K11206" s="5">
        <v>1000.0</v>
      </c>
      <c r="N11206" s="9">
        <v>44614.0</v>
      </c>
    </row>
    <row r="11207">
      <c r="A11207" s="5">
        <v>11206.0</v>
      </c>
      <c r="B11207" s="5" t="s">
        <v>11652</v>
      </c>
      <c r="C11207" s="5" t="s">
        <v>21</v>
      </c>
      <c r="K11207" s="5">
        <v>2100.0</v>
      </c>
      <c r="N11207" s="9">
        <v>44511.0</v>
      </c>
    </row>
    <row r="11208">
      <c r="A11208" s="5">
        <v>11207.0</v>
      </c>
      <c r="B11208" s="5" t="s">
        <v>11653</v>
      </c>
      <c r="C11208" s="5" t="s">
        <v>21</v>
      </c>
      <c r="K11208" s="5">
        <v>700.0</v>
      </c>
      <c r="N11208" s="9">
        <v>44783.0</v>
      </c>
    </row>
    <row r="11209">
      <c r="A11209" s="5">
        <v>11208.0</v>
      </c>
      <c r="B11209" s="5" t="s">
        <v>11654</v>
      </c>
      <c r="C11209" s="5" t="s">
        <v>21</v>
      </c>
      <c r="K11209" s="5">
        <v>600.0</v>
      </c>
      <c r="N11209" s="9">
        <v>44698.0</v>
      </c>
    </row>
    <row r="11210">
      <c r="A11210" s="5">
        <v>11209.0</v>
      </c>
      <c r="B11210" s="5" t="s">
        <v>11655</v>
      </c>
      <c r="C11210" s="5" t="s">
        <v>21</v>
      </c>
      <c r="N11210" s="9">
        <v>45319.0</v>
      </c>
    </row>
    <row r="11211">
      <c r="A11211" s="5">
        <v>11210.0</v>
      </c>
      <c r="B11211" s="5" t="s">
        <v>11656</v>
      </c>
      <c r="C11211" s="5" t="s">
        <v>21</v>
      </c>
      <c r="K11211" s="5">
        <v>1700.0</v>
      </c>
      <c r="N11211" s="9">
        <v>44067.0</v>
      </c>
    </row>
    <row r="11212">
      <c r="A11212" s="5">
        <v>11211.0</v>
      </c>
      <c r="B11212" s="5" t="s">
        <v>11657</v>
      </c>
      <c r="C11212" s="5" t="s">
        <v>21</v>
      </c>
      <c r="K11212" s="5">
        <v>250.0</v>
      </c>
      <c r="N11212" s="9">
        <v>45625.0</v>
      </c>
    </row>
    <row r="11213">
      <c r="A11213" s="5">
        <v>11212.0</v>
      </c>
      <c r="B11213" s="5" t="s">
        <v>11658</v>
      </c>
      <c r="C11213" s="5" t="s">
        <v>21</v>
      </c>
      <c r="K11213" s="5">
        <v>50.0</v>
      </c>
      <c r="N11213" s="9">
        <v>45185.0</v>
      </c>
    </row>
    <row r="11214">
      <c r="A11214" s="5">
        <v>11213.0</v>
      </c>
      <c r="B11214" s="5" t="s">
        <v>11659</v>
      </c>
      <c r="C11214" s="5" t="s">
        <v>21</v>
      </c>
      <c r="K11214" s="5">
        <v>700.0</v>
      </c>
      <c r="N11214" s="9">
        <v>44518.0</v>
      </c>
    </row>
    <row r="11215">
      <c r="A11215" s="5">
        <v>11214.0</v>
      </c>
      <c r="B11215" s="5" t="s">
        <v>11660</v>
      </c>
      <c r="C11215" s="5" t="s">
        <v>21</v>
      </c>
      <c r="K11215" s="5">
        <v>200.0</v>
      </c>
      <c r="N11215" s="9">
        <v>44696.0</v>
      </c>
    </row>
    <row r="11216">
      <c r="A11216" s="5">
        <v>11215.0</v>
      </c>
      <c r="B11216" s="5" t="s">
        <v>11661</v>
      </c>
      <c r="C11216" s="5" t="s">
        <v>21</v>
      </c>
      <c r="K11216" s="5">
        <v>200.0</v>
      </c>
      <c r="N11216" s="9">
        <v>45096.0</v>
      </c>
    </row>
    <row r="11217">
      <c r="A11217" s="5">
        <v>11216.0</v>
      </c>
      <c r="B11217" s="5" t="s">
        <v>11662</v>
      </c>
      <c r="C11217" s="5" t="s">
        <v>21</v>
      </c>
      <c r="K11217" s="5">
        <v>700.0</v>
      </c>
      <c r="N11217" s="9">
        <v>44138.0</v>
      </c>
    </row>
    <row r="11218">
      <c r="A11218" s="5">
        <v>11217.0</v>
      </c>
      <c r="B11218" s="5" t="s">
        <v>11663</v>
      </c>
      <c r="C11218" s="5" t="s">
        <v>21</v>
      </c>
      <c r="K11218" s="5">
        <v>200.0</v>
      </c>
      <c r="N11218" s="9">
        <v>44543.0</v>
      </c>
    </row>
    <row r="11219">
      <c r="A11219" s="5">
        <v>11218.0</v>
      </c>
      <c r="B11219" s="5" t="s">
        <v>11664</v>
      </c>
      <c r="C11219" s="5" t="s">
        <v>21</v>
      </c>
      <c r="K11219" s="5">
        <v>150.0</v>
      </c>
      <c r="N11219" s="9">
        <v>45143.0</v>
      </c>
    </row>
    <row r="11220">
      <c r="A11220" s="5">
        <v>11219.0</v>
      </c>
      <c r="B11220" s="5" t="s">
        <v>11665</v>
      </c>
      <c r="C11220" s="5" t="s">
        <v>21</v>
      </c>
      <c r="K11220" s="5">
        <v>10.0</v>
      </c>
      <c r="N11220" s="9">
        <v>44244.0</v>
      </c>
    </row>
    <row r="11221">
      <c r="A11221" s="5">
        <v>11220.0</v>
      </c>
      <c r="B11221" s="5" t="s">
        <v>11666</v>
      </c>
      <c r="C11221" s="5" t="s">
        <v>21</v>
      </c>
      <c r="K11221" s="5">
        <v>250.0</v>
      </c>
      <c r="N11221" s="9">
        <v>44665.0</v>
      </c>
    </row>
    <row r="11222">
      <c r="A11222" s="5">
        <v>11221.0</v>
      </c>
      <c r="B11222" s="5" t="s">
        <v>11667</v>
      </c>
      <c r="C11222" s="5" t="s">
        <v>21</v>
      </c>
      <c r="K11222" s="5">
        <v>200.0</v>
      </c>
      <c r="N11222" s="9">
        <v>45387.0</v>
      </c>
    </row>
    <row r="11223">
      <c r="A11223" s="5">
        <v>11222.0</v>
      </c>
      <c r="B11223" s="5" t="s">
        <v>11668</v>
      </c>
      <c r="C11223" s="5" t="s">
        <v>21</v>
      </c>
      <c r="K11223" s="5">
        <v>90.0</v>
      </c>
      <c r="N11223" s="9">
        <v>44548.0</v>
      </c>
    </row>
    <row r="11224">
      <c r="A11224" s="5">
        <v>11223.0</v>
      </c>
      <c r="B11224" s="5" t="s">
        <v>11669</v>
      </c>
      <c r="C11224" s="5" t="s">
        <v>21</v>
      </c>
      <c r="K11224" s="5">
        <v>80.0</v>
      </c>
      <c r="N11224" s="9">
        <v>44711.0</v>
      </c>
    </row>
    <row r="11225">
      <c r="A11225" s="5">
        <v>11224.0</v>
      </c>
      <c r="B11225" s="5" t="s">
        <v>11670</v>
      </c>
      <c r="C11225" s="5" t="s">
        <v>21</v>
      </c>
      <c r="K11225" s="5">
        <v>250.0</v>
      </c>
      <c r="N11225" s="9">
        <v>45441.0</v>
      </c>
    </row>
    <row r="11226">
      <c r="A11226" s="5">
        <v>11225.0</v>
      </c>
      <c r="B11226" s="5" t="s">
        <v>11671</v>
      </c>
      <c r="C11226" s="5" t="s">
        <v>21</v>
      </c>
      <c r="K11226" s="5">
        <v>250.0</v>
      </c>
      <c r="N11226" s="9">
        <v>44519.0</v>
      </c>
    </row>
    <row r="11227">
      <c r="A11227" s="5">
        <v>11226.0</v>
      </c>
      <c r="B11227" s="5" t="s">
        <v>11672</v>
      </c>
      <c r="C11227" s="5" t="s">
        <v>21</v>
      </c>
      <c r="K11227" s="5">
        <v>700.0</v>
      </c>
      <c r="N11227" s="9">
        <v>44153.0</v>
      </c>
    </row>
    <row r="11228">
      <c r="A11228" s="5">
        <v>11227.0</v>
      </c>
      <c r="B11228" s="5" t="s">
        <v>11673</v>
      </c>
      <c r="C11228" s="5" t="s">
        <v>21</v>
      </c>
      <c r="K11228" s="5">
        <v>60.0</v>
      </c>
      <c r="N11228" s="9">
        <v>44667.0</v>
      </c>
    </row>
    <row r="11229">
      <c r="A11229" s="5">
        <v>11228.0</v>
      </c>
      <c r="B11229" s="5" t="s">
        <v>11674</v>
      </c>
      <c r="C11229" s="5" t="s">
        <v>21</v>
      </c>
      <c r="N11229" s="9">
        <v>45577.0</v>
      </c>
    </row>
    <row r="11230">
      <c r="A11230" s="5">
        <v>11229.0</v>
      </c>
      <c r="B11230" s="5" t="s">
        <v>11675</v>
      </c>
      <c r="C11230" s="5" t="s">
        <v>21</v>
      </c>
      <c r="K11230" s="5">
        <v>300.0</v>
      </c>
      <c r="N11230" s="9">
        <v>44047.0</v>
      </c>
    </row>
    <row r="11231">
      <c r="A11231" s="5">
        <v>11230.0</v>
      </c>
      <c r="B11231" s="5" t="s">
        <v>11676</v>
      </c>
      <c r="C11231" s="5" t="s">
        <v>21</v>
      </c>
      <c r="K11231" s="5">
        <v>150.0</v>
      </c>
      <c r="N11231" s="9">
        <v>44561.0</v>
      </c>
    </row>
    <row r="11232">
      <c r="A11232" s="5">
        <v>11231.0</v>
      </c>
      <c r="B11232" s="5" t="s">
        <v>11677</v>
      </c>
      <c r="C11232" s="5" t="s">
        <v>21</v>
      </c>
      <c r="K11232" s="5">
        <v>200.0</v>
      </c>
      <c r="N11232" s="9">
        <v>44334.0</v>
      </c>
    </row>
    <row r="11233">
      <c r="A11233" s="5">
        <v>11232.0</v>
      </c>
      <c r="B11233" s="5" t="s">
        <v>11678</v>
      </c>
      <c r="C11233" s="5" t="s">
        <v>21</v>
      </c>
      <c r="K11233" s="5">
        <v>200.0</v>
      </c>
      <c r="N11233" s="9">
        <v>45409.0</v>
      </c>
    </row>
    <row r="11234">
      <c r="A11234" s="5">
        <v>11233.0</v>
      </c>
      <c r="B11234" s="5" t="s">
        <v>11679</v>
      </c>
      <c r="C11234" s="5" t="s">
        <v>21</v>
      </c>
      <c r="K11234" s="5">
        <v>700.0</v>
      </c>
      <c r="N11234" s="9">
        <v>44159.0</v>
      </c>
    </row>
    <row r="11235">
      <c r="A11235" s="5">
        <v>11234.0</v>
      </c>
      <c r="B11235" s="5" t="s">
        <v>11680</v>
      </c>
      <c r="C11235" s="5" t="s">
        <v>21</v>
      </c>
      <c r="K11235" s="5">
        <v>200.0</v>
      </c>
      <c r="N11235" s="9">
        <v>44572.0</v>
      </c>
    </row>
    <row r="11236">
      <c r="A11236" s="5">
        <v>11235.0</v>
      </c>
      <c r="B11236" s="5" t="s">
        <v>11681</v>
      </c>
      <c r="C11236" s="5" t="s">
        <v>21</v>
      </c>
      <c r="K11236" s="5">
        <v>300.0</v>
      </c>
      <c r="N11236" s="9">
        <v>44822.0</v>
      </c>
    </row>
    <row r="11237">
      <c r="A11237" s="5">
        <v>11236.0</v>
      </c>
      <c r="B11237" s="5" t="s">
        <v>11682</v>
      </c>
      <c r="C11237" s="5" t="s">
        <v>21</v>
      </c>
      <c r="K11237" s="5">
        <v>500.0</v>
      </c>
      <c r="N11237" s="9">
        <v>45656.0</v>
      </c>
    </row>
    <row r="11238">
      <c r="A11238" s="5">
        <v>11237.0</v>
      </c>
      <c r="B11238" s="5" t="s">
        <v>11683</v>
      </c>
      <c r="C11238" s="5" t="s">
        <v>21</v>
      </c>
      <c r="K11238" s="5">
        <v>250.0</v>
      </c>
      <c r="N11238" s="9">
        <v>44575.0</v>
      </c>
    </row>
    <row r="11239">
      <c r="A11239" s="5">
        <v>11238.0</v>
      </c>
      <c r="B11239" s="5" t="s">
        <v>11684</v>
      </c>
      <c r="C11239" s="5" t="s">
        <v>21</v>
      </c>
      <c r="K11239" s="5">
        <v>60.0</v>
      </c>
      <c r="N11239" s="9">
        <v>44529.0</v>
      </c>
    </row>
    <row r="11240">
      <c r="A11240" s="5">
        <v>11239.0</v>
      </c>
      <c r="B11240" s="5" t="s">
        <v>11685</v>
      </c>
      <c r="C11240" s="5" t="s">
        <v>21</v>
      </c>
      <c r="K11240" s="5">
        <v>150.0</v>
      </c>
      <c r="N11240" s="9">
        <v>44622.0</v>
      </c>
    </row>
    <row r="11241">
      <c r="A11241" s="5">
        <v>11240.0</v>
      </c>
      <c r="B11241" s="5" t="s">
        <v>11686</v>
      </c>
      <c r="C11241" s="5" t="s">
        <v>21</v>
      </c>
      <c r="K11241" s="5">
        <v>200.0</v>
      </c>
      <c r="N11241" s="9">
        <v>45618.0</v>
      </c>
    </row>
    <row r="11242">
      <c r="A11242" s="5">
        <v>11241.0</v>
      </c>
      <c r="B11242" s="5" t="s">
        <v>11687</v>
      </c>
      <c r="C11242" s="5" t="s">
        <v>21</v>
      </c>
      <c r="N11242" s="9">
        <v>44518.0</v>
      </c>
    </row>
    <row r="11243">
      <c r="A11243" s="5">
        <v>11242.0</v>
      </c>
      <c r="B11243" s="5" t="s">
        <v>11688</v>
      </c>
      <c r="C11243" s="5" t="s">
        <v>21</v>
      </c>
      <c r="K11243" s="5">
        <v>350.0</v>
      </c>
      <c r="N11243" s="9">
        <v>44273.0</v>
      </c>
    </row>
    <row r="11244">
      <c r="A11244" s="5">
        <v>11243.0</v>
      </c>
      <c r="B11244" s="5" t="s">
        <v>11689</v>
      </c>
      <c r="C11244" s="5" t="s">
        <v>21</v>
      </c>
      <c r="K11244" s="5">
        <v>400.0</v>
      </c>
      <c r="N11244" s="9">
        <v>44736.0</v>
      </c>
    </row>
    <row r="11245">
      <c r="A11245" s="5">
        <v>11244.0</v>
      </c>
      <c r="B11245" s="5" t="s">
        <v>11690</v>
      </c>
      <c r="C11245" s="5" t="s">
        <v>21</v>
      </c>
      <c r="K11245" s="5">
        <v>450.0</v>
      </c>
      <c r="N11245" s="9">
        <v>44567.0</v>
      </c>
    </row>
    <row r="11246">
      <c r="A11246" s="5">
        <v>11245.0</v>
      </c>
      <c r="B11246" s="5" t="s">
        <v>11691</v>
      </c>
      <c r="C11246" s="5" t="s">
        <v>21</v>
      </c>
      <c r="K11246" s="5">
        <v>1300.0</v>
      </c>
      <c r="N11246" s="9">
        <v>43924.0</v>
      </c>
    </row>
    <row r="11247">
      <c r="A11247" s="5">
        <v>11246.0</v>
      </c>
      <c r="B11247" s="5" t="s">
        <v>11692</v>
      </c>
      <c r="C11247" s="5" t="s">
        <v>21</v>
      </c>
      <c r="K11247" s="5">
        <v>1200.0</v>
      </c>
      <c r="N11247" s="9">
        <v>44525.0</v>
      </c>
    </row>
    <row r="11248">
      <c r="A11248" s="5">
        <v>11247.0</v>
      </c>
      <c r="B11248" s="5" t="s">
        <v>11693</v>
      </c>
      <c r="C11248" s="5" t="s">
        <v>21</v>
      </c>
      <c r="K11248" s="5">
        <v>100.0</v>
      </c>
      <c r="N11248" s="9">
        <v>45073.0</v>
      </c>
    </row>
    <row r="11249">
      <c r="A11249" s="5">
        <v>11248.0</v>
      </c>
      <c r="B11249" s="5" t="s">
        <v>11694</v>
      </c>
      <c r="C11249" s="5" t="s">
        <v>21</v>
      </c>
      <c r="K11249" s="5">
        <v>450.0</v>
      </c>
      <c r="N11249" s="9">
        <v>45151.0</v>
      </c>
    </row>
    <row r="11250">
      <c r="A11250" s="5">
        <v>11249.0</v>
      </c>
      <c r="B11250" s="5" t="s">
        <v>396</v>
      </c>
      <c r="C11250" s="5" t="s">
        <v>21</v>
      </c>
      <c r="K11250" s="5">
        <v>50.0</v>
      </c>
      <c r="N11250" s="9">
        <v>44055.0</v>
      </c>
    </row>
    <row r="11251">
      <c r="A11251" s="5">
        <v>11250.0</v>
      </c>
      <c r="B11251" s="5" t="s">
        <v>11695</v>
      </c>
      <c r="C11251" s="5" t="s">
        <v>21</v>
      </c>
      <c r="K11251" s="5">
        <v>20.0</v>
      </c>
      <c r="N11251" s="9">
        <v>44585.0</v>
      </c>
    </row>
    <row r="11252">
      <c r="A11252" s="5">
        <v>11251.0</v>
      </c>
      <c r="B11252" s="5" t="s">
        <v>11696</v>
      </c>
      <c r="C11252" s="5" t="s">
        <v>21</v>
      </c>
      <c r="K11252" s="5">
        <v>200.0</v>
      </c>
      <c r="N11252" s="9">
        <v>44683.0</v>
      </c>
    </row>
    <row r="11253">
      <c r="A11253" s="5">
        <v>11252.0</v>
      </c>
      <c r="B11253" s="5" t="s">
        <v>11697</v>
      </c>
      <c r="C11253" s="5" t="s">
        <v>21</v>
      </c>
      <c r="K11253" s="5">
        <v>50.0</v>
      </c>
      <c r="N11253" s="9">
        <v>44235.0</v>
      </c>
    </row>
    <row r="11254">
      <c r="A11254" s="5">
        <v>11253.0</v>
      </c>
      <c r="B11254" s="5" t="s">
        <v>11698</v>
      </c>
      <c r="C11254" s="5" t="s">
        <v>21</v>
      </c>
      <c r="K11254" s="5">
        <v>3300.0</v>
      </c>
      <c r="N11254" s="9">
        <v>44782.0</v>
      </c>
    </row>
    <row r="11255">
      <c r="A11255" s="5">
        <v>11254.0</v>
      </c>
      <c r="B11255" s="5" t="s">
        <v>11699</v>
      </c>
      <c r="C11255" s="5" t="s">
        <v>21</v>
      </c>
      <c r="K11255" s="5">
        <v>350.0</v>
      </c>
      <c r="N11255" s="9">
        <v>44608.0</v>
      </c>
    </row>
    <row r="11256">
      <c r="A11256" s="5">
        <v>11255.0</v>
      </c>
      <c r="B11256" s="5" t="s">
        <v>11700</v>
      </c>
      <c r="C11256" s="5" t="s">
        <v>21</v>
      </c>
      <c r="N11256" s="9">
        <v>44179.0</v>
      </c>
    </row>
    <row r="11257">
      <c r="A11257" s="5">
        <v>11256.0</v>
      </c>
      <c r="B11257" s="5" t="s">
        <v>11701</v>
      </c>
      <c r="C11257" s="5" t="s">
        <v>21</v>
      </c>
      <c r="K11257" s="5">
        <v>500.0</v>
      </c>
      <c r="N11257" s="9">
        <v>45697.0</v>
      </c>
    </row>
    <row r="11258">
      <c r="A11258" s="5">
        <v>11257.0</v>
      </c>
      <c r="B11258" s="5" t="s">
        <v>11702</v>
      </c>
      <c r="C11258" s="5" t="s">
        <v>21</v>
      </c>
      <c r="K11258" s="5">
        <v>350.0</v>
      </c>
      <c r="N11258" s="9">
        <v>44098.0</v>
      </c>
    </row>
    <row r="11259">
      <c r="A11259" s="5">
        <v>11258.0</v>
      </c>
      <c r="B11259" s="5" t="s">
        <v>11703</v>
      </c>
      <c r="C11259" s="5" t="s">
        <v>21</v>
      </c>
      <c r="K11259" s="5">
        <v>40.0</v>
      </c>
      <c r="N11259" s="9">
        <v>44543.0</v>
      </c>
    </row>
    <row r="11260">
      <c r="A11260" s="5">
        <v>11259.0</v>
      </c>
      <c r="B11260" s="5" t="s">
        <v>11704</v>
      </c>
      <c r="C11260" s="5" t="s">
        <v>21</v>
      </c>
      <c r="K11260" s="5">
        <v>20.0</v>
      </c>
      <c r="N11260" s="9">
        <v>44701.0</v>
      </c>
    </row>
    <row r="11261">
      <c r="A11261" s="5">
        <v>11260.0</v>
      </c>
      <c r="B11261" s="5" t="s">
        <v>11705</v>
      </c>
      <c r="C11261" s="5" t="s">
        <v>21</v>
      </c>
      <c r="K11261" s="5">
        <v>70.0</v>
      </c>
      <c r="N11261" s="9">
        <v>44915.0</v>
      </c>
    </row>
    <row r="11262">
      <c r="A11262" s="5">
        <v>11261.0</v>
      </c>
      <c r="B11262" s="5" t="s">
        <v>11706</v>
      </c>
      <c r="C11262" s="5" t="s">
        <v>21</v>
      </c>
      <c r="K11262" s="5">
        <v>600.0</v>
      </c>
      <c r="N11262" s="9">
        <v>43901.0</v>
      </c>
    </row>
    <row r="11263">
      <c r="A11263" s="5">
        <v>11262.0</v>
      </c>
      <c r="B11263" s="5" t="s">
        <v>11707</v>
      </c>
      <c r="C11263" s="5" t="s">
        <v>21</v>
      </c>
      <c r="K11263" s="5">
        <v>9900.0</v>
      </c>
      <c r="N11263" s="9">
        <v>44695.0</v>
      </c>
    </row>
    <row r="11264">
      <c r="A11264" s="5">
        <v>11263.0</v>
      </c>
      <c r="B11264" s="5" t="s">
        <v>11708</v>
      </c>
      <c r="C11264" s="5" t="s">
        <v>21</v>
      </c>
      <c r="K11264" s="5">
        <v>800.0</v>
      </c>
      <c r="N11264" s="9">
        <v>44692.0</v>
      </c>
    </row>
    <row r="11265">
      <c r="A11265" s="5">
        <v>11264.0</v>
      </c>
      <c r="B11265" s="5" t="s">
        <v>11709</v>
      </c>
      <c r="C11265" s="5" t="s">
        <v>21</v>
      </c>
      <c r="K11265" s="5">
        <v>60.0</v>
      </c>
      <c r="N11265" s="9">
        <v>44224.0</v>
      </c>
    </row>
    <row r="11266">
      <c r="A11266" s="5">
        <v>11265.0</v>
      </c>
      <c r="B11266" s="5" t="s">
        <v>11710</v>
      </c>
      <c r="C11266" s="5" t="s">
        <v>21</v>
      </c>
      <c r="K11266" s="5">
        <v>2100.0</v>
      </c>
      <c r="N11266" s="9">
        <v>44062.0</v>
      </c>
    </row>
    <row r="11267">
      <c r="A11267" s="5">
        <v>11266.0</v>
      </c>
      <c r="B11267" s="5" t="s">
        <v>370</v>
      </c>
      <c r="C11267" s="5" t="s">
        <v>21</v>
      </c>
      <c r="K11267" s="5">
        <v>2700.0</v>
      </c>
      <c r="N11267" s="9">
        <v>44227.0</v>
      </c>
    </row>
    <row r="11268">
      <c r="A11268" s="5">
        <v>11267.0</v>
      </c>
      <c r="B11268" s="5" t="s">
        <v>11711</v>
      </c>
      <c r="C11268" s="5" t="s">
        <v>21</v>
      </c>
      <c r="K11268" s="5">
        <v>200.0</v>
      </c>
      <c r="N11268" s="9">
        <v>44921.0</v>
      </c>
    </row>
    <row r="11269">
      <c r="A11269" s="5">
        <v>11268.0</v>
      </c>
      <c r="B11269" s="5" t="s">
        <v>11712</v>
      </c>
      <c r="C11269" s="5" t="s">
        <v>21</v>
      </c>
      <c r="K11269" s="5">
        <v>20.0</v>
      </c>
      <c r="N11269" s="9">
        <v>44291.0</v>
      </c>
    </row>
    <row r="11270">
      <c r="A11270" s="5">
        <v>11269.0</v>
      </c>
      <c r="B11270" s="5" t="s">
        <v>11713</v>
      </c>
      <c r="C11270" s="5" t="s">
        <v>21</v>
      </c>
      <c r="K11270" s="5">
        <v>100.0</v>
      </c>
      <c r="N11270" s="9">
        <v>45053.0</v>
      </c>
    </row>
    <row r="11271">
      <c r="A11271" s="5">
        <v>11270.0</v>
      </c>
      <c r="B11271" s="5" t="s">
        <v>11714</v>
      </c>
      <c r="C11271" s="5" t="s">
        <v>21</v>
      </c>
      <c r="K11271" s="5">
        <v>5300.0</v>
      </c>
      <c r="N11271" s="9">
        <v>43998.0</v>
      </c>
    </row>
    <row r="11272">
      <c r="A11272" s="5">
        <v>11271.0</v>
      </c>
      <c r="B11272" s="5" t="s">
        <v>11715</v>
      </c>
      <c r="C11272" s="5" t="s">
        <v>21</v>
      </c>
      <c r="K11272" s="5">
        <v>500.0</v>
      </c>
      <c r="N11272" s="9">
        <v>44301.0</v>
      </c>
    </row>
    <row r="11273">
      <c r="A11273" s="5">
        <v>11272.0</v>
      </c>
      <c r="B11273" s="5" t="s">
        <v>11716</v>
      </c>
      <c r="C11273" s="5" t="s">
        <v>21</v>
      </c>
      <c r="K11273" s="5">
        <v>80.0</v>
      </c>
      <c r="N11273" s="9">
        <v>45114.0</v>
      </c>
    </row>
    <row r="11274">
      <c r="A11274" s="5">
        <v>11273.0</v>
      </c>
      <c r="B11274" s="5" t="s">
        <v>11717</v>
      </c>
      <c r="C11274" s="5" t="s">
        <v>21</v>
      </c>
      <c r="K11274" s="5">
        <v>500.0</v>
      </c>
      <c r="N11274" s="9">
        <v>44746.0</v>
      </c>
    </row>
    <row r="11275">
      <c r="A11275" s="5">
        <v>11274.0</v>
      </c>
      <c r="B11275" s="5" t="s">
        <v>11718</v>
      </c>
      <c r="C11275" s="5" t="s">
        <v>21</v>
      </c>
      <c r="K11275" s="5">
        <v>20.0</v>
      </c>
      <c r="N11275" s="9">
        <v>44548.0</v>
      </c>
    </row>
    <row r="11276">
      <c r="A11276" s="5">
        <v>11275.0</v>
      </c>
      <c r="B11276" s="5" t="s">
        <v>11719</v>
      </c>
      <c r="C11276" s="5" t="s">
        <v>21</v>
      </c>
      <c r="K11276" s="5">
        <v>500.0</v>
      </c>
      <c r="N11276" s="9">
        <v>45379.0</v>
      </c>
    </row>
    <row r="11277">
      <c r="A11277" s="5">
        <v>11276.0</v>
      </c>
      <c r="B11277" s="5" t="s">
        <v>11720</v>
      </c>
      <c r="C11277" s="5" t="s">
        <v>21</v>
      </c>
      <c r="K11277" s="5">
        <v>300.0</v>
      </c>
      <c r="N11277" s="9">
        <v>44690.0</v>
      </c>
    </row>
    <row r="11278">
      <c r="A11278" s="5">
        <v>11277.0</v>
      </c>
      <c r="B11278" s="5" t="s">
        <v>11721</v>
      </c>
      <c r="C11278" s="5" t="s">
        <v>21</v>
      </c>
      <c r="K11278" s="5">
        <v>150.0</v>
      </c>
      <c r="N11278" s="9">
        <v>44691.0</v>
      </c>
    </row>
    <row r="11279">
      <c r="A11279" s="5">
        <v>11278.0</v>
      </c>
      <c r="B11279" s="5" t="s">
        <v>11722</v>
      </c>
      <c r="C11279" s="5" t="s">
        <v>21</v>
      </c>
      <c r="K11279" s="5">
        <v>200.0</v>
      </c>
      <c r="N11279" s="9">
        <v>44640.0</v>
      </c>
    </row>
    <row r="11280">
      <c r="A11280" s="5">
        <v>11279.0</v>
      </c>
      <c r="B11280" s="5" t="s">
        <v>11723</v>
      </c>
      <c r="C11280" s="5" t="s">
        <v>21</v>
      </c>
      <c r="K11280" s="5">
        <v>600.0</v>
      </c>
      <c r="N11280" s="9">
        <v>43879.0</v>
      </c>
    </row>
    <row r="11281">
      <c r="A11281" s="5">
        <v>11280.0</v>
      </c>
      <c r="B11281" s="5" t="s">
        <v>11724</v>
      </c>
      <c r="C11281" s="5" t="s">
        <v>21</v>
      </c>
      <c r="K11281" s="5">
        <v>1600.0</v>
      </c>
      <c r="N11281" s="9">
        <v>44589.0</v>
      </c>
    </row>
    <row r="11282">
      <c r="A11282" s="5">
        <v>11281.0</v>
      </c>
      <c r="B11282" s="5" t="s">
        <v>11725</v>
      </c>
      <c r="C11282" s="5" t="s">
        <v>21</v>
      </c>
      <c r="K11282" s="5">
        <v>10.0</v>
      </c>
      <c r="N11282" s="9">
        <v>43860.0</v>
      </c>
    </row>
    <row r="11283">
      <c r="A11283" s="5">
        <v>11282.0</v>
      </c>
      <c r="B11283" s="5" t="s">
        <v>11726</v>
      </c>
      <c r="C11283" s="5" t="s">
        <v>21</v>
      </c>
      <c r="K11283" s="5">
        <v>250.0</v>
      </c>
      <c r="N11283" s="9">
        <v>44477.0</v>
      </c>
    </row>
    <row r="11284">
      <c r="A11284" s="5">
        <v>11283.0</v>
      </c>
      <c r="B11284" s="5" t="s">
        <v>11727</v>
      </c>
      <c r="C11284" s="5" t="s">
        <v>21</v>
      </c>
      <c r="K11284" s="5">
        <v>70.0</v>
      </c>
      <c r="N11284" s="9">
        <v>44329.0</v>
      </c>
    </row>
    <row r="11285">
      <c r="A11285" s="5">
        <v>11284.0</v>
      </c>
      <c r="B11285" s="5" t="s">
        <v>11728</v>
      </c>
      <c r="C11285" s="5" t="s">
        <v>21</v>
      </c>
      <c r="K11285" s="5">
        <v>600.0</v>
      </c>
      <c r="N11285" s="9">
        <v>44584.0</v>
      </c>
    </row>
    <row r="11286">
      <c r="A11286" s="5">
        <v>11285.0</v>
      </c>
      <c r="B11286" s="5" t="s">
        <v>11729</v>
      </c>
      <c r="C11286" s="5" t="s">
        <v>21</v>
      </c>
      <c r="K11286" s="5">
        <v>9000.0</v>
      </c>
      <c r="N11286" s="9">
        <v>46092.0</v>
      </c>
    </row>
    <row r="11287">
      <c r="A11287" s="5">
        <v>11286.0</v>
      </c>
      <c r="B11287" s="5" t="s">
        <v>11730</v>
      </c>
      <c r="C11287" s="5" t="s">
        <v>21</v>
      </c>
      <c r="K11287" s="5">
        <v>150.0</v>
      </c>
      <c r="N11287" s="9">
        <v>45590.0</v>
      </c>
    </row>
    <row r="11288">
      <c r="A11288" s="5">
        <v>11287.0</v>
      </c>
      <c r="B11288" s="5" t="s">
        <v>11731</v>
      </c>
      <c r="C11288" s="5" t="s">
        <v>21</v>
      </c>
      <c r="K11288" s="5">
        <v>200.0</v>
      </c>
      <c r="N11288" s="9">
        <v>44362.0</v>
      </c>
    </row>
    <row r="11289">
      <c r="A11289" s="5">
        <v>11288.0</v>
      </c>
      <c r="B11289" s="5" t="s">
        <v>11732</v>
      </c>
      <c r="C11289" s="5" t="s">
        <v>21</v>
      </c>
      <c r="K11289" s="5">
        <v>8100.0</v>
      </c>
      <c r="N11289" s="9">
        <v>44890.0</v>
      </c>
    </row>
    <row r="11290">
      <c r="A11290" s="5">
        <v>11289.0</v>
      </c>
      <c r="B11290" s="5" t="s">
        <v>11733</v>
      </c>
      <c r="C11290" s="5" t="s">
        <v>21</v>
      </c>
      <c r="N11290" s="9">
        <v>44632.0</v>
      </c>
    </row>
    <row r="11291">
      <c r="A11291" s="5">
        <v>11290.0</v>
      </c>
      <c r="B11291" s="5" t="s">
        <v>11734</v>
      </c>
      <c r="C11291" s="5" t="s">
        <v>21</v>
      </c>
      <c r="K11291" s="5">
        <v>350.0</v>
      </c>
      <c r="N11291" s="9">
        <v>44611.0</v>
      </c>
    </row>
    <row r="11292">
      <c r="A11292" s="5">
        <v>11291.0</v>
      </c>
      <c r="B11292" s="5" t="s">
        <v>11735</v>
      </c>
      <c r="C11292" s="5" t="s">
        <v>21</v>
      </c>
      <c r="K11292" s="5">
        <v>250.0</v>
      </c>
      <c r="N11292" s="9">
        <v>44526.0</v>
      </c>
    </row>
    <row r="11293">
      <c r="A11293" s="5">
        <v>11292.0</v>
      </c>
      <c r="B11293" s="5" t="s">
        <v>11736</v>
      </c>
      <c r="C11293" s="5" t="s">
        <v>21</v>
      </c>
      <c r="K11293" s="5">
        <v>800.0</v>
      </c>
      <c r="N11293" s="9">
        <v>44479.0</v>
      </c>
    </row>
    <row r="11294">
      <c r="A11294" s="5">
        <v>11293.0</v>
      </c>
      <c r="B11294" s="5" t="s">
        <v>11737</v>
      </c>
      <c r="C11294" s="5" t="s">
        <v>21</v>
      </c>
      <c r="K11294" s="5">
        <v>200.0</v>
      </c>
      <c r="N11294" s="9">
        <v>45559.0</v>
      </c>
    </row>
    <row r="11295">
      <c r="A11295" s="5">
        <v>11294.0</v>
      </c>
      <c r="B11295" s="5" t="s">
        <v>11738</v>
      </c>
      <c r="C11295" s="5" t="s">
        <v>21</v>
      </c>
      <c r="K11295" s="5">
        <v>700.0</v>
      </c>
      <c r="N11295" s="9">
        <v>44394.0</v>
      </c>
    </row>
    <row r="11296">
      <c r="A11296" s="5">
        <v>11295.0</v>
      </c>
      <c r="B11296" s="5" t="s">
        <v>11739</v>
      </c>
      <c r="C11296" s="5" t="s">
        <v>21</v>
      </c>
      <c r="N11296" s="9">
        <v>44963.0</v>
      </c>
    </row>
    <row r="11297">
      <c r="A11297" s="5">
        <v>11296.0</v>
      </c>
      <c r="B11297" s="5" t="s">
        <v>11740</v>
      </c>
      <c r="C11297" s="5" t="s">
        <v>21</v>
      </c>
      <c r="K11297" s="5">
        <v>40.0</v>
      </c>
      <c r="N11297" s="9">
        <v>44600.0</v>
      </c>
    </row>
    <row r="11298">
      <c r="A11298" s="5">
        <v>11297.0</v>
      </c>
      <c r="B11298" s="5" t="s">
        <v>11741</v>
      </c>
      <c r="C11298" s="5" t="s">
        <v>21</v>
      </c>
      <c r="K11298" s="5">
        <v>1100.0</v>
      </c>
      <c r="N11298" s="9">
        <v>44370.0</v>
      </c>
    </row>
    <row r="11299">
      <c r="A11299" s="5">
        <v>11298.0</v>
      </c>
      <c r="B11299" s="5" t="s">
        <v>11742</v>
      </c>
      <c r="C11299" s="5" t="s">
        <v>21</v>
      </c>
      <c r="K11299" s="5">
        <v>2000.0</v>
      </c>
      <c r="N11299" s="9">
        <v>43880.0</v>
      </c>
    </row>
    <row r="11300">
      <c r="A11300" s="5">
        <v>11299.0</v>
      </c>
      <c r="B11300" s="5" t="s">
        <v>11743</v>
      </c>
      <c r="C11300" s="5" t="s">
        <v>21</v>
      </c>
      <c r="K11300" s="5">
        <v>400.0</v>
      </c>
      <c r="N11300" s="9">
        <v>44693.0</v>
      </c>
    </row>
    <row r="11301">
      <c r="A11301" s="5">
        <v>11300.0</v>
      </c>
      <c r="B11301" s="5" t="s">
        <v>11744</v>
      </c>
      <c r="C11301" s="5" t="s">
        <v>21</v>
      </c>
      <c r="K11301" s="5">
        <v>100.0</v>
      </c>
      <c r="N11301" s="9">
        <v>44525.0</v>
      </c>
    </row>
    <row r="11302">
      <c r="A11302" s="5">
        <v>11301.0</v>
      </c>
      <c r="B11302" s="5" t="s">
        <v>11745</v>
      </c>
      <c r="C11302" s="5" t="s">
        <v>21</v>
      </c>
      <c r="K11302" s="5">
        <v>250.0</v>
      </c>
      <c r="N11302" s="9">
        <v>44902.0</v>
      </c>
    </row>
    <row r="11303">
      <c r="A11303" s="5">
        <v>11302.0</v>
      </c>
      <c r="B11303" s="5" t="s">
        <v>11746</v>
      </c>
      <c r="C11303" s="5" t="s">
        <v>21</v>
      </c>
      <c r="K11303" s="5">
        <v>2200.0</v>
      </c>
      <c r="N11303" s="9">
        <v>44253.0</v>
      </c>
    </row>
    <row r="11304">
      <c r="A11304" s="5">
        <v>11303.0</v>
      </c>
      <c r="B11304" s="5" t="s">
        <v>11747</v>
      </c>
      <c r="C11304" s="5" t="s">
        <v>21</v>
      </c>
      <c r="K11304" s="5">
        <v>300.0</v>
      </c>
      <c r="N11304" s="9">
        <v>44519.0</v>
      </c>
    </row>
    <row r="11305">
      <c r="A11305" s="5">
        <v>11304.0</v>
      </c>
      <c r="B11305" s="5" t="s">
        <v>11748</v>
      </c>
      <c r="C11305" s="5" t="s">
        <v>21</v>
      </c>
      <c r="K11305" s="5">
        <v>60.0</v>
      </c>
      <c r="N11305" s="9">
        <v>44755.0</v>
      </c>
    </row>
    <row r="11306">
      <c r="A11306" s="5">
        <v>11305.0</v>
      </c>
      <c r="B11306" s="5" t="s">
        <v>11749</v>
      </c>
      <c r="C11306" s="5" t="s">
        <v>21</v>
      </c>
      <c r="K11306" s="5">
        <v>600.0</v>
      </c>
      <c r="N11306" s="9">
        <v>45412.0</v>
      </c>
    </row>
    <row r="11307">
      <c r="A11307" s="5">
        <v>11306.0</v>
      </c>
      <c r="B11307" s="5" t="s">
        <v>11750</v>
      </c>
      <c r="C11307" s="5" t="s">
        <v>21</v>
      </c>
      <c r="K11307" s="5">
        <v>1100.0</v>
      </c>
      <c r="N11307" s="9">
        <v>45674.0</v>
      </c>
    </row>
    <row r="11308">
      <c r="A11308" s="5">
        <v>11307.0</v>
      </c>
      <c r="B11308" s="5" t="s">
        <v>11751</v>
      </c>
      <c r="C11308" s="5" t="s">
        <v>21</v>
      </c>
      <c r="K11308" s="5">
        <v>150.0</v>
      </c>
      <c r="N11308" s="9">
        <v>44450.0</v>
      </c>
    </row>
    <row r="11309">
      <c r="A11309" s="5">
        <v>11308.0</v>
      </c>
      <c r="B11309" s="5" t="s">
        <v>11752</v>
      </c>
      <c r="C11309" s="5" t="s">
        <v>21</v>
      </c>
      <c r="K11309" s="5">
        <v>800.0</v>
      </c>
      <c r="N11309" s="9">
        <v>45095.0</v>
      </c>
    </row>
    <row r="11310">
      <c r="A11310" s="5">
        <v>11309.0</v>
      </c>
      <c r="B11310" s="5" t="s">
        <v>11753</v>
      </c>
      <c r="C11310" s="5" t="s">
        <v>21</v>
      </c>
      <c r="K11310" s="5">
        <v>50.0</v>
      </c>
      <c r="N11310" s="9">
        <v>44324.0</v>
      </c>
    </row>
    <row r="11311">
      <c r="A11311" s="5">
        <v>11310.0</v>
      </c>
      <c r="B11311" s="5" t="s">
        <v>11754</v>
      </c>
      <c r="C11311" s="5" t="s">
        <v>21</v>
      </c>
      <c r="K11311" s="5">
        <v>600.0</v>
      </c>
      <c r="N11311" s="9">
        <v>44543.0</v>
      </c>
    </row>
    <row r="11312">
      <c r="A11312" s="5">
        <v>11311.0</v>
      </c>
      <c r="B11312" s="5" t="s">
        <v>11755</v>
      </c>
      <c r="C11312" s="5" t="s">
        <v>21</v>
      </c>
      <c r="K11312" s="5">
        <v>4200.0</v>
      </c>
      <c r="N11312" s="9">
        <v>44267.0</v>
      </c>
    </row>
    <row r="11313">
      <c r="A11313" s="5">
        <v>11312.0</v>
      </c>
      <c r="B11313" s="5" t="s">
        <v>11756</v>
      </c>
      <c r="C11313" s="5" t="s">
        <v>21</v>
      </c>
      <c r="K11313" s="5">
        <v>1300.0</v>
      </c>
      <c r="N11313" s="9">
        <v>44878.0</v>
      </c>
    </row>
    <row r="11314">
      <c r="A11314" s="5">
        <v>11313.0</v>
      </c>
      <c r="B11314" s="5" t="s">
        <v>11757</v>
      </c>
      <c r="C11314" s="5" t="s">
        <v>21</v>
      </c>
      <c r="K11314" s="5">
        <v>12000.0</v>
      </c>
      <c r="N11314" s="9">
        <v>44727.0</v>
      </c>
    </row>
    <row r="11315">
      <c r="A11315" s="5">
        <v>11314.0</v>
      </c>
      <c r="B11315" s="5" t="s">
        <v>11758</v>
      </c>
      <c r="C11315" s="5" t="s">
        <v>21</v>
      </c>
      <c r="K11315" s="5">
        <v>350.0</v>
      </c>
      <c r="N11315" s="9">
        <v>44542.0</v>
      </c>
    </row>
    <row r="11316">
      <c r="A11316" s="5">
        <v>11315.0</v>
      </c>
      <c r="B11316" s="5" t="s">
        <v>11759</v>
      </c>
      <c r="C11316" s="5" t="s">
        <v>21</v>
      </c>
      <c r="K11316" s="5">
        <v>300.0</v>
      </c>
      <c r="N11316" s="9">
        <v>45298.0</v>
      </c>
    </row>
    <row r="11317">
      <c r="A11317" s="5">
        <v>11316.0</v>
      </c>
      <c r="B11317" s="5" t="s">
        <v>11760</v>
      </c>
      <c r="C11317" s="5" t="s">
        <v>21</v>
      </c>
      <c r="K11317" s="5">
        <v>300.0</v>
      </c>
      <c r="N11317" s="9">
        <v>44590.0</v>
      </c>
    </row>
    <row r="11318">
      <c r="A11318" s="5">
        <v>11317.0</v>
      </c>
      <c r="B11318" s="5" t="s">
        <v>11761</v>
      </c>
      <c r="C11318" s="5" t="s">
        <v>21</v>
      </c>
      <c r="K11318" s="5">
        <v>150.0</v>
      </c>
      <c r="N11318" s="9">
        <v>44369.0</v>
      </c>
    </row>
    <row r="11319">
      <c r="A11319" s="5">
        <v>11318.0</v>
      </c>
      <c r="B11319" s="5" t="s">
        <v>11762</v>
      </c>
      <c r="C11319" s="5" t="s">
        <v>21</v>
      </c>
      <c r="K11319" s="5">
        <v>700.0</v>
      </c>
      <c r="N11319" s="9">
        <v>43847.0</v>
      </c>
    </row>
    <row r="11320">
      <c r="A11320" s="5">
        <v>11319.0</v>
      </c>
      <c r="B11320" s="5" t="s">
        <v>11763</v>
      </c>
      <c r="C11320" s="5" t="s">
        <v>21</v>
      </c>
      <c r="K11320" s="5">
        <v>70.0</v>
      </c>
      <c r="N11320" s="9">
        <v>44619.0</v>
      </c>
    </row>
    <row r="11321">
      <c r="A11321" s="5">
        <v>11320.0</v>
      </c>
      <c r="B11321" s="5" t="s">
        <v>11764</v>
      </c>
      <c r="C11321" s="5" t="s">
        <v>21</v>
      </c>
      <c r="K11321" s="5">
        <v>60.0</v>
      </c>
      <c r="N11321" s="9">
        <v>44589.0</v>
      </c>
    </row>
    <row r="11322">
      <c r="A11322" s="5">
        <v>11321.0</v>
      </c>
      <c r="B11322" s="5" t="s">
        <v>11765</v>
      </c>
      <c r="C11322" s="5" t="s">
        <v>21</v>
      </c>
      <c r="K11322" s="5">
        <v>100.0</v>
      </c>
      <c r="N11322" s="9">
        <v>45043.0</v>
      </c>
    </row>
    <row r="11323">
      <c r="A11323" s="5">
        <v>11322.0</v>
      </c>
      <c r="B11323" s="5" t="s">
        <v>11766</v>
      </c>
      <c r="C11323" s="5" t="s">
        <v>21</v>
      </c>
      <c r="K11323" s="5">
        <v>100.0</v>
      </c>
      <c r="N11323" s="9">
        <v>44418.0</v>
      </c>
    </row>
    <row r="11324">
      <c r="A11324" s="5">
        <v>11323.0</v>
      </c>
      <c r="B11324" s="5" t="s">
        <v>11767</v>
      </c>
      <c r="C11324" s="5" t="s">
        <v>21</v>
      </c>
      <c r="K11324" s="5">
        <v>1600.0</v>
      </c>
      <c r="N11324" s="9">
        <v>44526.0</v>
      </c>
    </row>
    <row r="11325">
      <c r="A11325" s="5">
        <v>11324.0</v>
      </c>
      <c r="B11325" s="5" t="s">
        <v>11768</v>
      </c>
      <c r="C11325" s="5" t="s">
        <v>21</v>
      </c>
      <c r="K11325" s="5">
        <v>1200.0</v>
      </c>
      <c r="N11325" s="9">
        <v>44257.0</v>
      </c>
    </row>
    <row r="11326">
      <c r="A11326" s="5">
        <v>11325.0</v>
      </c>
      <c r="B11326" s="5" t="s">
        <v>11769</v>
      </c>
      <c r="C11326" s="5" t="s">
        <v>21</v>
      </c>
      <c r="K11326" s="5">
        <v>300.0</v>
      </c>
      <c r="N11326" s="9">
        <v>44517.0</v>
      </c>
    </row>
    <row r="11327">
      <c r="A11327" s="5">
        <v>11326.0</v>
      </c>
      <c r="B11327" s="5" t="s">
        <v>11770</v>
      </c>
      <c r="C11327" s="5" t="s">
        <v>21</v>
      </c>
      <c r="K11327" s="5">
        <v>1500.0</v>
      </c>
      <c r="N11327" s="9">
        <v>44447.0</v>
      </c>
    </row>
    <row r="11328">
      <c r="A11328" s="5">
        <v>11327.0</v>
      </c>
      <c r="B11328" s="5" t="s">
        <v>11771</v>
      </c>
      <c r="C11328" s="5" t="s">
        <v>21</v>
      </c>
      <c r="K11328" s="5">
        <v>250.0</v>
      </c>
      <c r="N11328" s="9">
        <v>44596.0</v>
      </c>
    </row>
    <row r="11329">
      <c r="A11329" s="5">
        <v>11328.0</v>
      </c>
      <c r="B11329" s="5" t="s">
        <v>11772</v>
      </c>
      <c r="C11329" s="5" t="s">
        <v>21</v>
      </c>
      <c r="K11329" s="5">
        <v>500.0</v>
      </c>
      <c r="N11329" s="9">
        <v>44546.0</v>
      </c>
    </row>
    <row r="11330">
      <c r="A11330" s="5">
        <v>11329.0</v>
      </c>
      <c r="B11330" s="5" t="s">
        <v>11773</v>
      </c>
      <c r="C11330" s="5" t="s">
        <v>21</v>
      </c>
      <c r="K11330" s="5">
        <v>2600.0</v>
      </c>
      <c r="N11330" s="9">
        <v>43867.0</v>
      </c>
    </row>
    <row r="11331">
      <c r="A11331" s="5">
        <v>11330.0</v>
      </c>
      <c r="B11331" s="5" t="s">
        <v>373</v>
      </c>
      <c r="C11331" s="5" t="s">
        <v>21</v>
      </c>
      <c r="K11331" s="5">
        <v>500.0</v>
      </c>
      <c r="N11331" s="9">
        <v>44957.0</v>
      </c>
    </row>
    <row r="11332">
      <c r="A11332" s="5">
        <v>11331.0</v>
      </c>
      <c r="B11332" s="5" t="s">
        <v>11774</v>
      </c>
      <c r="C11332" s="5" t="s">
        <v>21</v>
      </c>
      <c r="K11332" s="5">
        <v>30.0</v>
      </c>
      <c r="N11332" s="9">
        <v>45201.0</v>
      </c>
    </row>
    <row r="11333">
      <c r="A11333" s="5">
        <v>11332.0</v>
      </c>
      <c r="B11333" s="5" t="s">
        <v>11775</v>
      </c>
      <c r="C11333" s="5" t="s">
        <v>21</v>
      </c>
      <c r="K11333" s="5">
        <v>200.0</v>
      </c>
      <c r="N11333" s="9">
        <v>44194.0</v>
      </c>
    </row>
    <row r="11334">
      <c r="A11334" s="5">
        <v>11333.0</v>
      </c>
      <c r="B11334" s="5" t="s">
        <v>398</v>
      </c>
      <c r="C11334" s="5" t="s">
        <v>21</v>
      </c>
      <c r="K11334" s="5">
        <v>350.0</v>
      </c>
      <c r="N11334" s="9">
        <v>43999.0</v>
      </c>
    </row>
    <row r="11335">
      <c r="A11335" s="5">
        <v>11334.0</v>
      </c>
      <c r="B11335" s="5" t="s">
        <v>11776</v>
      </c>
      <c r="C11335" s="5" t="s">
        <v>21</v>
      </c>
      <c r="K11335" s="5">
        <v>1000.0</v>
      </c>
      <c r="N11335" s="9">
        <v>44922.0</v>
      </c>
    </row>
    <row r="11336">
      <c r="A11336" s="5">
        <v>11335.0</v>
      </c>
      <c r="B11336" s="5" t="s">
        <v>11777</v>
      </c>
      <c r="C11336" s="5" t="s">
        <v>21</v>
      </c>
      <c r="K11336" s="5">
        <v>10.0</v>
      </c>
      <c r="N11336" s="9">
        <v>44841.0</v>
      </c>
    </row>
    <row r="11337">
      <c r="A11337" s="5">
        <v>11336.0</v>
      </c>
      <c r="B11337" s="5" t="s">
        <v>11778</v>
      </c>
      <c r="C11337" s="5" t="s">
        <v>21</v>
      </c>
      <c r="K11337" s="5">
        <v>150.0</v>
      </c>
      <c r="N11337" s="9">
        <v>44796.0</v>
      </c>
    </row>
    <row r="11338">
      <c r="A11338" s="5">
        <v>11337.0</v>
      </c>
      <c r="B11338" s="5" t="s">
        <v>11779</v>
      </c>
      <c r="C11338" s="5" t="s">
        <v>21</v>
      </c>
      <c r="K11338" s="5">
        <v>3800.0</v>
      </c>
      <c r="N11338" s="9">
        <v>43843.0</v>
      </c>
    </row>
    <row r="11339">
      <c r="A11339" s="5">
        <v>11338.0</v>
      </c>
      <c r="B11339" s="5" t="s">
        <v>11780</v>
      </c>
      <c r="C11339" s="5" t="s">
        <v>21</v>
      </c>
      <c r="K11339" s="5">
        <v>700.0</v>
      </c>
      <c r="N11339" s="9">
        <v>44897.0</v>
      </c>
    </row>
    <row r="11340">
      <c r="A11340" s="5">
        <v>11339.0</v>
      </c>
      <c r="B11340" s="5" t="s">
        <v>11781</v>
      </c>
      <c r="C11340" s="5" t="s">
        <v>21</v>
      </c>
      <c r="K11340" s="5">
        <v>100.0</v>
      </c>
      <c r="N11340" s="9">
        <v>45256.0</v>
      </c>
    </row>
    <row r="11341">
      <c r="A11341" s="5">
        <v>11340.0</v>
      </c>
      <c r="B11341" s="5" t="s">
        <v>11782</v>
      </c>
      <c r="C11341" s="5" t="s">
        <v>21</v>
      </c>
      <c r="K11341" s="5">
        <v>1600.0</v>
      </c>
      <c r="N11341" s="9">
        <v>44534.0</v>
      </c>
    </row>
    <row r="11342">
      <c r="A11342" s="5">
        <v>11341.0</v>
      </c>
      <c r="B11342" s="5" t="s">
        <v>11783</v>
      </c>
      <c r="C11342" s="5" t="s">
        <v>21</v>
      </c>
      <c r="K11342" s="5">
        <v>600.0</v>
      </c>
      <c r="N11342" s="9">
        <v>44906.0</v>
      </c>
    </row>
    <row r="11343">
      <c r="A11343" s="5">
        <v>11342.0</v>
      </c>
      <c r="B11343" s="5" t="s">
        <v>11784</v>
      </c>
      <c r="C11343" s="5" t="s">
        <v>21</v>
      </c>
      <c r="K11343" s="5">
        <v>1400.0</v>
      </c>
      <c r="N11343" s="9">
        <v>44336.0</v>
      </c>
    </row>
    <row r="11344">
      <c r="A11344" s="5">
        <v>11343.0</v>
      </c>
      <c r="B11344" s="5" t="s">
        <v>11785</v>
      </c>
      <c r="C11344" s="5" t="s">
        <v>21</v>
      </c>
      <c r="K11344" s="5">
        <v>150.0</v>
      </c>
      <c r="N11344" s="9">
        <v>44835.0</v>
      </c>
    </row>
    <row r="11345">
      <c r="A11345" s="5">
        <v>11344.0</v>
      </c>
      <c r="B11345" s="5" t="s">
        <v>11786</v>
      </c>
      <c r="C11345" s="5" t="s">
        <v>21</v>
      </c>
      <c r="K11345" s="5">
        <v>30.0</v>
      </c>
      <c r="N11345" s="9">
        <v>44683.0</v>
      </c>
    </row>
    <row r="11346">
      <c r="A11346" s="5">
        <v>11345.0</v>
      </c>
      <c r="B11346" s="5" t="s">
        <v>11787</v>
      </c>
      <c r="C11346" s="5" t="s">
        <v>21</v>
      </c>
      <c r="K11346" s="5">
        <v>3300.0</v>
      </c>
      <c r="N11346" s="9">
        <v>44570.0</v>
      </c>
    </row>
    <row r="11347">
      <c r="A11347" s="5">
        <v>11346.0</v>
      </c>
      <c r="B11347" s="5" t="s">
        <v>11788</v>
      </c>
      <c r="C11347" s="5" t="s">
        <v>21</v>
      </c>
      <c r="K11347" s="5">
        <v>150.0</v>
      </c>
      <c r="N11347" s="9">
        <v>44747.0</v>
      </c>
    </row>
    <row r="11348">
      <c r="A11348" s="5">
        <v>11347.0</v>
      </c>
      <c r="B11348" s="5" t="s">
        <v>11789</v>
      </c>
      <c r="C11348" s="5" t="s">
        <v>21</v>
      </c>
      <c r="K11348" s="5">
        <v>30.0</v>
      </c>
      <c r="N11348" s="9">
        <v>44536.0</v>
      </c>
    </row>
    <row r="11349">
      <c r="A11349" s="5">
        <v>11348.0</v>
      </c>
      <c r="B11349" s="5" t="s">
        <v>11790</v>
      </c>
      <c r="C11349" s="5" t="s">
        <v>21</v>
      </c>
      <c r="K11349" s="5">
        <v>700.0</v>
      </c>
      <c r="N11349" s="9">
        <v>44421.0</v>
      </c>
    </row>
    <row r="11350">
      <c r="A11350" s="5">
        <v>11349.0</v>
      </c>
      <c r="B11350" s="5" t="s">
        <v>11791</v>
      </c>
      <c r="C11350" s="5" t="s">
        <v>21</v>
      </c>
      <c r="K11350" s="5">
        <v>500.0</v>
      </c>
      <c r="N11350" s="9">
        <v>44669.0</v>
      </c>
    </row>
    <row r="11351">
      <c r="A11351" s="5">
        <v>11350.0</v>
      </c>
      <c r="B11351" s="5" t="s">
        <v>11792</v>
      </c>
      <c r="C11351" s="5" t="s">
        <v>21</v>
      </c>
      <c r="K11351" s="5">
        <v>250.0</v>
      </c>
      <c r="N11351" s="9">
        <v>44607.0</v>
      </c>
    </row>
    <row r="11352">
      <c r="A11352" s="5">
        <v>11351.0</v>
      </c>
      <c r="B11352" s="5" t="s">
        <v>11793</v>
      </c>
      <c r="C11352" s="5" t="s">
        <v>21</v>
      </c>
      <c r="K11352" s="5">
        <v>150.0</v>
      </c>
      <c r="N11352" s="9">
        <v>44732.0</v>
      </c>
    </row>
    <row r="11353">
      <c r="A11353" s="5">
        <v>11352.0</v>
      </c>
      <c r="B11353" s="5" t="s">
        <v>11794</v>
      </c>
      <c r="C11353" s="5" t="s">
        <v>21</v>
      </c>
      <c r="K11353" s="5">
        <v>40.0</v>
      </c>
      <c r="N11353" s="9">
        <v>44776.0</v>
      </c>
    </row>
    <row r="11354">
      <c r="A11354" s="5">
        <v>11353.0</v>
      </c>
      <c r="B11354" s="5" t="s">
        <v>11795</v>
      </c>
      <c r="C11354" s="5" t="s">
        <v>21</v>
      </c>
      <c r="K11354" s="5">
        <v>900.0</v>
      </c>
      <c r="N11354" s="9">
        <v>44343.0</v>
      </c>
    </row>
    <row r="11355">
      <c r="A11355" s="5">
        <v>11354.0</v>
      </c>
      <c r="B11355" s="5" t="s">
        <v>11796</v>
      </c>
      <c r="C11355" s="5" t="s">
        <v>21</v>
      </c>
      <c r="K11355" s="5">
        <v>4800.0</v>
      </c>
      <c r="N11355" s="9">
        <v>43918.0</v>
      </c>
    </row>
    <row r="11356">
      <c r="A11356" s="5">
        <v>11355.0</v>
      </c>
      <c r="B11356" s="5" t="s">
        <v>11797</v>
      </c>
      <c r="C11356" s="5" t="s">
        <v>21</v>
      </c>
      <c r="K11356" s="5">
        <v>300.0</v>
      </c>
      <c r="N11356" s="9">
        <v>44949.0</v>
      </c>
    </row>
    <row r="11357">
      <c r="A11357" s="5">
        <v>11356.0</v>
      </c>
      <c r="B11357" s="5" t="s">
        <v>11798</v>
      </c>
      <c r="C11357" s="5" t="s">
        <v>21</v>
      </c>
      <c r="K11357" s="5">
        <v>300.0</v>
      </c>
      <c r="N11357" s="9">
        <v>44984.0</v>
      </c>
    </row>
    <row r="11358">
      <c r="A11358" s="5">
        <v>11357.0</v>
      </c>
      <c r="B11358" s="5" t="s">
        <v>11799</v>
      </c>
      <c r="C11358" s="5" t="s">
        <v>21</v>
      </c>
      <c r="K11358" s="5">
        <v>70.0</v>
      </c>
      <c r="N11358" s="9">
        <v>44057.0</v>
      </c>
    </row>
    <row r="11359">
      <c r="A11359" s="5">
        <v>11358.0</v>
      </c>
      <c r="B11359" s="5" t="s">
        <v>11800</v>
      </c>
      <c r="C11359" s="5" t="s">
        <v>21</v>
      </c>
      <c r="K11359" s="5">
        <v>800.0</v>
      </c>
      <c r="N11359" s="9">
        <v>44614.0</v>
      </c>
    </row>
    <row r="11360">
      <c r="A11360" s="5">
        <v>11359.0</v>
      </c>
      <c r="B11360" s="5" t="s">
        <v>11801</v>
      </c>
      <c r="C11360" s="5" t="s">
        <v>21</v>
      </c>
      <c r="K11360" s="5">
        <v>400.0</v>
      </c>
      <c r="N11360" s="9">
        <v>44558.0</v>
      </c>
    </row>
    <row r="11361">
      <c r="A11361" s="5">
        <v>11360.0</v>
      </c>
      <c r="B11361" s="5" t="s">
        <v>11802</v>
      </c>
      <c r="C11361" s="5" t="s">
        <v>21</v>
      </c>
      <c r="K11361" s="5">
        <v>150.0</v>
      </c>
      <c r="N11361" s="9">
        <v>44550.0</v>
      </c>
    </row>
    <row r="11362">
      <c r="A11362" s="5">
        <v>11361.0</v>
      </c>
      <c r="B11362" s="5" t="s">
        <v>11803</v>
      </c>
      <c r="C11362" s="5" t="s">
        <v>21</v>
      </c>
      <c r="K11362" s="5">
        <v>1800.0</v>
      </c>
      <c r="N11362" s="9">
        <v>43879.0</v>
      </c>
    </row>
    <row r="11363">
      <c r="A11363" s="5">
        <v>11362.0</v>
      </c>
      <c r="B11363" s="5" t="s">
        <v>11804</v>
      </c>
      <c r="C11363" s="5" t="s">
        <v>21</v>
      </c>
      <c r="K11363" s="5">
        <v>300.0</v>
      </c>
      <c r="N11363" s="9">
        <v>44637.0</v>
      </c>
    </row>
    <row r="11364">
      <c r="A11364" s="5">
        <v>11363.0</v>
      </c>
      <c r="B11364" s="5" t="s">
        <v>11805</v>
      </c>
      <c r="C11364" s="5" t="s">
        <v>21</v>
      </c>
      <c r="K11364" s="5">
        <v>400.0</v>
      </c>
      <c r="N11364" s="9">
        <v>45409.0</v>
      </c>
    </row>
    <row r="11365">
      <c r="A11365" s="5">
        <v>11364.0</v>
      </c>
      <c r="B11365" s="5" t="s">
        <v>11806</v>
      </c>
      <c r="C11365" s="5" t="s">
        <v>21</v>
      </c>
      <c r="K11365" s="5">
        <v>1000.0</v>
      </c>
      <c r="N11365" s="9">
        <v>45211.0</v>
      </c>
    </row>
    <row r="11366">
      <c r="A11366" s="5">
        <v>11365.0</v>
      </c>
      <c r="B11366" s="5" t="s">
        <v>11807</v>
      </c>
      <c r="C11366" s="5" t="s">
        <v>21</v>
      </c>
      <c r="K11366" s="5">
        <v>800.0</v>
      </c>
      <c r="N11366" s="9">
        <v>45099.0</v>
      </c>
    </row>
    <row r="11367">
      <c r="A11367" s="5">
        <v>11366.0</v>
      </c>
      <c r="B11367" s="5" t="s">
        <v>11808</v>
      </c>
      <c r="C11367" s="5" t="s">
        <v>21</v>
      </c>
      <c r="K11367" s="5">
        <v>800.0</v>
      </c>
      <c r="N11367" s="9">
        <v>44598.0</v>
      </c>
    </row>
    <row r="11368">
      <c r="A11368" s="5">
        <v>11367.0</v>
      </c>
      <c r="B11368" s="5" t="s">
        <v>11809</v>
      </c>
      <c r="C11368" s="5" t="s">
        <v>21</v>
      </c>
      <c r="K11368" s="5">
        <v>350.0</v>
      </c>
      <c r="N11368" s="9">
        <v>45055.0</v>
      </c>
    </row>
    <row r="11369">
      <c r="A11369" s="5">
        <v>11368.0</v>
      </c>
      <c r="B11369" s="5" t="s">
        <v>11810</v>
      </c>
      <c r="C11369" s="5" t="s">
        <v>21</v>
      </c>
      <c r="K11369" s="5">
        <v>14000.0</v>
      </c>
      <c r="N11369" s="9">
        <v>43916.0</v>
      </c>
    </row>
    <row r="11370">
      <c r="A11370" s="5">
        <v>11369.0</v>
      </c>
      <c r="B11370" s="5" t="s">
        <v>11811</v>
      </c>
      <c r="C11370" s="5" t="s">
        <v>21</v>
      </c>
      <c r="K11370" s="5">
        <v>20.0</v>
      </c>
      <c r="N11370" s="9">
        <v>44236.0</v>
      </c>
    </row>
    <row r="11371">
      <c r="A11371" s="5">
        <v>11370.0</v>
      </c>
      <c r="B11371" s="5" t="s">
        <v>11812</v>
      </c>
      <c r="C11371" s="5" t="s">
        <v>21</v>
      </c>
      <c r="K11371" s="5">
        <v>300.0</v>
      </c>
      <c r="N11371" s="9">
        <v>44509.0</v>
      </c>
    </row>
    <row r="11372">
      <c r="A11372" s="5">
        <v>11371.0</v>
      </c>
      <c r="B11372" s="5" t="s">
        <v>11813</v>
      </c>
      <c r="C11372" s="5" t="s">
        <v>21</v>
      </c>
      <c r="K11372" s="5">
        <v>1500.0</v>
      </c>
      <c r="N11372" s="9">
        <v>43956.0</v>
      </c>
    </row>
    <row r="11373">
      <c r="A11373" s="5">
        <v>11372.0</v>
      </c>
      <c r="B11373" s="5" t="s">
        <v>11814</v>
      </c>
      <c r="C11373" s="5" t="s">
        <v>21</v>
      </c>
      <c r="K11373" s="5">
        <v>350.0</v>
      </c>
      <c r="N11373" s="9">
        <v>44662.0</v>
      </c>
    </row>
    <row r="11374">
      <c r="A11374" s="5">
        <v>11373.0</v>
      </c>
      <c r="B11374" s="5" t="s">
        <v>11815</v>
      </c>
      <c r="C11374" s="5" t="s">
        <v>21</v>
      </c>
      <c r="K11374" s="5">
        <v>700.0</v>
      </c>
      <c r="N11374" s="9">
        <v>44516.0</v>
      </c>
    </row>
    <row r="11375">
      <c r="A11375" s="5">
        <v>11374.0</v>
      </c>
      <c r="B11375" s="5" t="s">
        <v>11816</v>
      </c>
      <c r="C11375" s="5" t="s">
        <v>21</v>
      </c>
      <c r="K11375" s="5">
        <v>100.0</v>
      </c>
      <c r="N11375" s="9">
        <v>45431.0</v>
      </c>
    </row>
    <row r="11376">
      <c r="A11376" s="5">
        <v>11375.0</v>
      </c>
      <c r="B11376" s="5" t="s">
        <v>11817</v>
      </c>
      <c r="C11376" s="5" t="s">
        <v>21</v>
      </c>
      <c r="K11376" s="5">
        <v>250.0</v>
      </c>
      <c r="N11376" s="9">
        <v>44612.0</v>
      </c>
    </row>
    <row r="11377">
      <c r="A11377" s="5">
        <v>11376.0</v>
      </c>
      <c r="B11377" s="5" t="s">
        <v>11818</v>
      </c>
      <c r="C11377" s="5" t="s">
        <v>21</v>
      </c>
      <c r="K11377" s="5">
        <v>30.0</v>
      </c>
      <c r="N11377" s="9">
        <v>44710.0</v>
      </c>
    </row>
    <row r="11378">
      <c r="A11378" s="5">
        <v>11377.0</v>
      </c>
      <c r="B11378" s="5" t="s">
        <v>11819</v>
      </c>
      <c r="C11378" s="5" t="s">
        <v>21</v>
      </c>
      <c r="K11378" s="5">
        <v>300.0</v>
      </c>
      <c r="N11378" s="9">
        <v>44309.0</v>
      </c>
    </row>
    <row r="11379">
      <c r="A11379" s="5">
        <v>11378.0</v>
      </c>
      <c r="B11379" s="5" t="s">
        <v>11820</v>
      </c>
      <c r="C11379" s="5" t="s">
        <v>21</v>
      </c>
      <c r="K11379" s="5">
        <v>60.0</v>
      </c>
      <c r="N11379" s="9">
        <v>44572.0</v>
      </c>
    </row>
    <row r="11380">
      <c r="A11380" s="5">
        <v>11379.0</v>
      </c>
      <c r="B11380" s="5" t="s">
        <v>11821</v>
      </c>
      <c r="C11380" s="5" t="s">
        <v>21</v>
      </c>
      <c r="K11380" s="5">
        <v>2500.0</v>
      </c>
      <c r="N11380" s="9">
        <v>44645.0</v>
      </c>
    </row>
    <row r="11381">
      <c r="A11381" s="5">
        <v>11380.0</v>
      </c>
      <c r="B11381" s="5" t="s">
        <v>11822</v>
      </c>
      <c r="C11381" s="5" t="s">
        <v>21</v>
      </c>
      <c r="K11381" s="5">
        <v>90.0</v>
      </c>
      <c r="N11381" s="9">
        <v>44343.0</v>
      </c>
    </row>
    <row r="11382">
      <c r="A11382" s="5">
        <v>11381.0</v>
      </c>
      <c r="B11382" s="5" t="s">
        <v>11823</v>
      </c>
      <c r="C11382" s="5" t="s">
        <v>21</v>
      </c>
      <c r="K11382" s="5">
        <v>150.0</v>
      </c>
      <c r="N11382" s="9">
        <v>45094.0</v>
      </c>
    </row>
    <row r="11383">
      <c r="A11383" s="5">
        <v>11382.0</v>
      </c>
      <c r="B11383" s="5" t="s">
        <v>11824</v>
      </c>
      <c r="C11383" s="5" t="s">
        <v>21</v>
      </c>
      <c r="K11383" s="5">
        <v>200.0</v>
      </c>
      <c r="N11383" s="9">
        <v>44702.0</v>
      </c>
    </row>
    <row r="11384">
      <c r="A11384" s="5">
        <v>11383.0</v>
      </c>
      <c r="B11384" s="5" t="s">
        <v>11825</v>
      </c>
      <c r="C11384" s="5" t="s">
        <v>21</v>
      </c>
      <c r="K11384" s="5">
        <v>1600.0</v>
      </c>
      <c r="N11384" s="9">
        <v>44526.0</v>
      </c>
    </row>
    <row r="11385">
      <c r="A11385" s="5">
        <v>11384.0</v>
      </c>
      <c r="B11385" s="5" t="s">
        <v>11826</v>
      </c>
      <c r="C11385" s="5" t="s">
        <v>21</v>
      </c>
      <c r="N11385" s="9">
        <v>44611.0</v>
      </c>
    </row>
    <row r="11386">
      <c r="A11386" s="5">
        <v>11385.0</v>
      </c>
      <c r="B11386" s="5" t="s">
        <v>11827</v>
      </c>
      <c r="C11386" s="5" t="s">
        <v>21</v>
      </c>
      <c r="K11386" s="5">
        <v>100.0</v>
      </c>
      <c r="N11386" s="9">
        <v>45059.0</v>
      </c>
    </row>
    <row r="11387">
      <c r="A11387" s="5">
        <v>11386.0</v>
      </c>
      <c r="B11387" s="5" t="s">
        <v>11828</v>
      </c>
      <c r="C11387" s="5" t="s">
        <v>21</v>
      </c>
      <c r="K11387" s="5">
        <v>150.0</v>
      </c>
      <c r="N11387" s="9">
        <v>44543.0</v>
      </c>
    </row>
    <row r="11388">
      <c r="A11388" s="5">
        <v>11387.0</v>
      </c>
      <c r="B11388" s="5" t="s">
        <v>11829</v>
      </c>
      <c r="C11388" s="5" t="s">
        <v>21</v>
      </c>
      <c r="K11388" s="5">
        <v>600.0</v>
      </c>
      <c r="N11388" s="9">
        <v>44902.0</v>
      </c>
    </row>
    <row r="11389">
      <c r="A11389" s="5">
        <v>11388.0</v>
      </c>
      <c r="B11389" s="5" t="s">
        <v>11830</v>
      </c>
      <c r="C11389" s="5" t="s">
        <v>21</v>
      </c>
      <c r="K11389" s="5">
        <v>70.0</v>
      </c>
      <c r="N11389" s="9">
        <v>44551.0</v>
      </c>
    </row>
    <row r="11390">
      <c r="A11390" s="5">
        <v>11389.0</v>
      </c>
      <c r="B11390" s="5" t="s">
        <v>11831</v>
      </c>
      <c r="C11390" s="5" t="s">
        <v>21</v>
      </c>
      <c r="K11390" s="5">
        <v>50.0</v>
      </c>
      <c r="N11390" s="9">
        <v>44728.0</v>
      </c>
    </row>
    <row r="11391">
      <c r="A11391" s="5">
        <v>11390.0</v>
      </c>
      <c r="B11391" s="5" t="s">
        <v>11832</v>
      </c>
      <c r="C11391" s="5" t="s">
        <v>21</v>
      </c>
      <c r="K11391" s="5">
        <v>250.0</v>
      </c>
      <c r="N11391" s="9">
        <v>44600.0</v>
      </c>
    </row>
    <row r="11392">
      <c r="A11392" s="5">
        <v>11391.0</v>
      </c>
      <c r="B11392" s="5" t="s">
        <v>11833</v>
      </c>
      <c r="C11392" s="5" t="s">
        <v>21</v>
      </c>
      <c r="K11392" s="5">
        <v>80.0</v>
      </c>
      <c r="N11392" s="9">
        <v>45437.0</v>
      </c>
    </row>
    <row r="11393">
      <c r="A11393" s="5">
        <v>11392.0</v>
      </c>
      <c r="B11393" s="5" t="s">
        <v>11834</v>
      </c>
      <c r="C11393" s="5" t="s">
        <v>21</v>
      </c>
      <c r="K11393" s="5">
        <v>150.0</v>
      </c>
      <c r="N11393" s="9">
        <v>44118.0</v>
      </c>
    </row>
    <row r="11394">
      <c r="A11394" s="5">
        <v>11393.0</v>
      </c>
      <c r="B11394" s="5" t="s">
        <v>11835</v>
      </c>
      <c r="C11394" s="5" t="s">
        <v>21</v>
      </c>
      <c r="K11394" s="5">
        <v>1200.0</v>
      </c>
      <c r="N11394" s="9">
        <v>43955.0</v>
      </c>
    </row>
    <row r="11395">
      <c r="A11395" s="5">
        <v>11394.0</v>
      </c>
      <c r="B11395" s="5" t="s">
        <v>11836</v>
      </c>
      <c r="C11395" s="5" t="s">
        <v>21</v>
      </c>
      <c r="K11395" s="5">
        <v>30.0</v>
      </c>
      <c r="N11395" s="9">
        <v>44894.0</v>
      </c>
    </row>
    <row r="11396">
      <c r="A11396" s="5">
        <v>11395.0</v>
      </c>
      <c r="B11396" s="5" t="s">
        <v>11837</v>
      </c>
      <c r="C11396" s="5" t="s">
        <v>21</v>
      </c>
      <c r="N11396" s="9">
        <v>44603.0</v>
      </c>
    </row>
    <row r="11397">
      <c r="A11397" s="5">
        <v>11396.0</v>
      </c>
      <c r="B11397" s="5" t="s">
        <v>11838</v>
      </c>
      <c r="C11397" s="5" t="s">
        <v>21</v>
      </c>
      <c r="K11397" s="5">
        <v>800.0</v>
      </c>
      <c r="N11397" s="9">
        <v>44166.0</v>
      </c>
    </row>
    <row r="11398">
      <c r="A11398" s="5">
        <v>11397.0</v>
      </c>
      <c r="B11398" s="5" t="s">
        <v>11839</v>
      </c>
      <c r="C11398" s="5" t="s">
        <v>21</v>
      </c>
      <c r="K11398" s="5">
        <v>500.0</v>
      </c>
      <c r="N11398" s="9">
        <v>45114.0</v>
      </c>
    </row>
    <row r="11399">
      <c r="A11399" s="5">
        <v>11398.0</v>
      </c>
      <c r="B11399" s="5" t="s">
        <v>11840</v>
      </c>
      <c r="C11399" s="5" t="s">
        <v>21</v>
      </c>
      <c r="K11399" s="5">
        <v>200.0</v>
      </c>
      <c r="N11399" s="9">
        <v>44697.0</v>
      </c>
    </row>
    <row r="11400">
      <c r="A11400" s="5">
        <v>11399.0</v>
      </c>
      <c r="B11400" s="5" t="s">
        <v>11841</v>
      </c>
      <c r="C11400" s="5" t="s">
        <v>21</v>
      </c>
      <c r="K11400" s="5">
        <v>200.0</v>
      </c>
      <c r="N11400" s="9">
        <v>44245.0</v>
      </c>
    </row>
    <row r="11401">
      <c r="A11401" s="5">
        <v>11400.0</v>
      </c>
      <c r="B11401" s="5" t="s">
        <v>11842</v>
      </c>
      <c r="C11401" s="5" t="s">
        <v>21</v>
      </c>
      <c r="K11401" s="5">
        <v>400.0</v>
      </c>
      <c r="N11401" s="9">
        <v>45052.0</v>
      </c>
    </row>
    <row r="11402">
      <c r="A11402" s="5">
        <v>11401.0</v>
      </c>
      <c r="B11402" s="5" t="s">
        <v>11843</v>
      </c>
      <c r="C11402" s="5" t="s">
        <v>21</v>
      </c>
      <c r="K11402" s="5">
        <v>3400.0</v>
      </c>
      <c r="N11402" s="9">
        <v>43855.0</v>
      </c>
    </row>
    <row r="11403">
      <c r="A11403" s="5">
        <v>11402.0</v>
      </c>
      <c r="B11403" s="5" t="s">
        <v>11844</v>
      </c>
      <c r="C11403" s="5" t="s">
        <v>21</v>
      </c>
      <c r="K11403" s="5">
        <v>300.0</v>
      </c>
      <c r="N11403" s="9">
        <v>45271.0</v>
      </c>
    </row>
    <row r="11404">
      <c r="A11404" s="5">
        <v>11403.0</v>
      </c>
      <c r="B11404" s="5" t="s">
        <v>11845</v>
      </c>
      <c r="C11404" s="5" t="s">
        <v>21</v>
      </c>
      <c r="K11404" s="5">
        <v>9000.0</v>
      </c>
      <c r="N11404" s="9">
        <v>44025.0</v>
      </c>
    </row>
    <row r="11405">
      <c r="A11405" s="5">
        <v>11404.0</v>
      </c>
      <c r="B11405" s="5" t="s">
        <v>11846</v>
      </c>
      <c r="C11405" s="5" t="s">
        <v>21</v>
      </c>
      <c r="K11405" s="5">
        <v>450.0</v>
      </c>
      <c r="N11405" s="9">
        <v>45041.0</v>
      </c>
    </row>
    <row r="11406">
      <c r="A11406" s="5">
        <v>11405.0</v>
      </c>
      <c r="B11406" s="5" t="s">
        <v>11847</v>
      </c>
      <c r="C11406" s="5" t="s">
        <v>21</v>
      </c>
      <c r="K11406" s="5">
        <v>200.0</v>
      </c>
      <c r="N11406" s="9">
        <v>44997.0</v>
      </c>
    </row>
    <row r="11407">
      <c r="A11407" s="5">
        <v>11406.0</v>
      </c>
      <c r="B11407" s="5" t="s">
        <v>11848</v>
      </c>
      <c r="C11407" s="5" t="s">
        <v>21</v>
      </c>
      <c r="K11407" s="5">
        <v>50.0</v>
      </c>
      <c r="N11407" s="9">
        <v>44331.0</v>
      </c>
    </row>
    <row r="11408">
      <c r="A11408" s="5">
        <v>11407.0</v>
      </c>
      <c r="B11408" s="5" t="s">
        <v>11849</v>
      </c>
      <c r="C11408" s="5" t="s">
        <v>21</v>
      </c>
      <c r="K11408" s="5">
        <v>500.0</v>
      </c>
      <c r="N11408" s="9">
        <v>44518.0</v>
      </c>
    </row>
    <row r="11409">
      <c r="A11409" s="5">
        <v>11408.0</v>
      </c>
      <c r="B11409" s="5" t="s">
        <v>11850</v>
      </c>
      <c r="C11409" s="5" t="s">
        <v>21</v>
      </c>
      <c r="K11409" s="5">
        <v>40.0</v>
      </c>
      <c r="N11409" s="9">
        <v>44538.0</v>
      </c>
    </row>
    <row r="11410">
      <c r="A11410" s="5">
        <v>11409.0</v>
      </c>
      <c r="B11410" s="5" t="s">
        <v>11851</v>
      </c>
      <c r="C11410" s="5" t="s">
        <v>21</v>
      </c>
      <c r="K11410" s="5">
        <v>350.0</v>
      </c>
      <c r="N11410" s="9">
        <v>44112.0</v>
      </c>
    </row>
    <row r="11411">
      <c r="A11411" s="5">
        <v>11410.0</v>
      </c>
      <c r="B11411" s="5" t="s">
        <v>11852</v>
      </c>
      <c r="C11411" s="5" t="s">
        <v>21</v>
      </c>
      <c r="K11411" s="5">
        <v>200.0</v>
      </c>
      <c r="N11411" s="9">
        <v>44965.0</v>
      </c>
    </row>
    <row r="11412">
      <c r="A11412" s="5">
        <v>11411.0</v>
      </c>
      <c r="B11412" s="5" t="s">
        <v>11853</v>
      </c>
      <c r="C11412" s="5" t="s">
        <v>21</v>
      </c>
      <c r="K11412" s="5">
        <v>200.0</v>
      </c>
      <c r="N11412" s="9">
        <v>44654.0</v>
      </c>
    </row>
    <row r="11413">
      <c r="A11413" s="5">
        <v>11412.0</v>
      </c>
      <c r="B11413" s="5" t="s">
        <v>11854</v>
      </c>
      <c r="C11413" s="5" t="s">
        <v>21</v>
      </c>
      <c r="K11413" s="5">
        <v>500.0</v>
      </c>
      <c r="N11413" s="9">
        <v>43952.0</v>
      </c>
    </row>
    <row r="11414">
      <c r="A11414" s="5">
        <v>11413.0</v>
      </c>
      <c r="B11414" s="5" t="s">
        <v>11855</v>
      </c>
      <c r="C11414" s="5" t="s">
        <v>21</v>
      </c>
      <c r="K11414" s="5">
        <v>2500.0</v>
      </c>
      <c r="N11414" s="9">
        <v>44572.0</v>
      </c>
    </row>
    <row r="11415">
      <c r="A11415" s="5">
        <v>11414.0</v>
      </c>
      <c r="B11415" s="5" t="s">
        <v>11856</v>
      </c>
      <c r="C11415" s="5" t="s">
        <v>21</v>
      </c>
      <c r="K11415" s="5">
        <v>600.0</v>
      </c>
      <c r="N11415" s="9">
        <v>44809.0</v>
      </c>
    </row>
    <row r="11416">
      <c r="A11416" s="5">
        <v>11415.0</v>
      </c>
      <c r="B11416" s="5" t="s">
        <v>11857</v>
      </c>
      <c r="C11416" s="5" t="s">
        <v>21</v>
      </c>
      <c r="K11416" s="5">
        <v>300.0</v>
      </c>
      <c r="N11416" s="9">
        <v>44383.0</v>
      </c>
    </row>
    <row r="11417">
      <c r="A11417" s="5">
        <v>11416.0</v>
      </c>
      <c r="B11417" s="5" t="s">
        <v>11858</v>
      </c>
      <c r="C11417" s="5" t="s">
        <v>21</v>
      </c>
      <c r="K11417" s="5">
        <v>1100.0</v>
      </c>
      <c r="N11417" s="9">
        <v>44227.0</v>
      </c>
    </row>
    <row r="11418">
      <c r="A11418" s="5">
        <v>11417.0</v>
      </c>
      <c r="B11418" s="5" t="s">
        <v>401</v>
      </c>
      <c r="C11418" s="5" t="s">
        <v>21</v>
      </c>
      <c r="K11418" s="5">
        <v>200.0</v>
      </c>
      <c r="N11418" s="9">
        <v>44027.0</v>
      </c>
    </row>
    <row r="11419">
      <c r="A11419" s="5">
        <v>11418.0</v>
      </c>
      <c r="B11419" s="5" t="s">
        <v>11859</v>
      </c>
      <c r="C11419" s="5" t="s">
        <v>21</v>
      </c>
      <c r="K11419" s="5">
        <v>900.0</v>
      </c>
      <c r="N11419" s="9">
        <v>45436.0</v>
      </c>
    </row>
    <row r="11420">
      <c r="A11420" s="5">
        <v>11419.0</v>
      </c>
      <c r="B11420" s="5" t="s">
        <v>11860</v>
      </c>
      <c r="C11420" s="5" t="s">
        <v>21</v>
      </c>
      <c r="K11420" s="5">
        <v>5000.0</v>
      </c>
      <c r="N11420" s="9">
        <v>43941.0</v>
      </c>
    </row>
    <row r="11421">
      <c r="A11421" s="5">
        <v>11420.0</v>
      </c>
      <c r="B11421" s="5" t="s">
        <v>11861</v>
      </c>
      <c r="C11421" s="5" t="s">
        <v>21</v>
      </c>
      <c r="K11421" s="5">
        <v>2000.0</v>
      </c>
      <c r="N11421" s="9">
        <v>44596.0</v>
      </c>
    </row>
    <row r="11422">
      <c r="A11422" s="5">
        <v>11421.0</v>
      </c>
      <c r="B11422" s="5" t="s">
        <v>11862</v>
      </c>
      <c r="C11422" s="5" t="s">
        <v>21</v>
      </c>
      <c r="K11422" s="5">
        <v>100.0</v>
      </c>
      <c r="N11422" s="9">
        <v>45002.0</v>
      </c>
    </row>
    <row r="11423">
      <c r="A11423" s="5">
        <v>11422.0</v>
      </c>
      <c r="B11423" s="5" t="s">
        <v>11863</v>
      </c>
      <c r="C11423" s="5" t="s">
        <v>21</v>
      </c>
      <c r="K11423" s="5">
        <v>250.0</v>
      </c>
      <c r="N11423" s="9">
        <v>46124.0</v>
      </c>
    </row>
    <row r="11424">
      <c r="A11424" s="5">
        <v>11423.0</v>
      </c>
      <c r="B11424" s="5" t="s">
        <v>11864</v>
      </c>
      <c r="C11424" s="5" t="s">
        <v>21</v>
      </c>
      <c r="K11424" s="5">
        <v>350.0</v>
      </c>
      <c r="N11424" s="9">
        <v>44517.0</v>
      </c>
    </row>
    <row r="11425">
      <c r="A11425" s="5">
        <v>11424.0</v>
      </c>
      <c r="B11425" s="5" t="s">
        <v>11865</v>
      </c>
      <c r="C11425" s="5" t="s">
        <v>21</v>
      </c>
      <c r="K11425" s="5">
        <v>200.0</v>
      </c>
      <c r="N11425" s="9">
        <v>45594.0</v>
      </c>
    </row>
    <row r="11426">
      <c r="A11426" s="5">
        <v>11425.0</v>
      </c>
      <c r="B11426" s="5" t="s">
        <v>11866</v>
      </c>
      <c r="C11426" s="5" t="s">
        <v>21</v>
      </c>
      <c r="K11426" s="5">
        <v>200.0</v>
      </c>
      <c r="N11426" s="9">
        <v>44535.0</v>
      </c>
    </row>
    <row r="11427">
      <c r="A11427" s="5">
        <v>11426.0</v>
      </c>
      <c r="B11427" s="5" t="s">
        <v>11867</v>
      </c>
      <c r="C11427" s="5" t="s">
        <v>21</v>
      </c>
      <c r="K11427" s="5">
        <v>500.0</v>
      </c>
      <c r="N11427" s="9">
        <v>44002.0</v>
      </c>
    </row>
    <row r="11428">
      <c r="A11428" s="5">
        <v>11427.0</v>
      </c>
      <c r="B11428" s="5" t="s">
        <v>11868</v>
      </c>
      <c r="C11428" s="5" t="s">
        <v>21</v>
      </c>
      <c r="K11428" s="5">
        <v>200.0</v>
      </c>
      <c r="N11428" s="9">
        <v>45082.0</v>
      </c>
    </row>
    <row r="11429">
      <c r="A11429" s="5">
        <v>11428.0</v>
      </c>
      <c r="B11429" s="5" t="s">
        <v>11869</v>
      </c>
      <c r="C11429" s="5" t="s">
        <v>21</v>
      </c>
      <c r="K11429" s="5">
        <v>700.0</v>
      </c>
      <c r="N11429" s="9">
        <v>45196.0</v>
      </c>
    </row>
    <row r="11430">
      <c r="A11430" s="5">
        <v>11429.0</v>
      </c>
      <c r="B11430" s="5" t="s">
        <v>11870</v>
      </c>
      <c r="C11430" s="5" t="s">
        <v>21</v>
      </c>
      <c r="K11430" s="5">
        <v>200.0</v>
      </c>
      <c r="N11430" s="9">
        <v>44572.0</v>
      </c>
    </row>
    <row r="11431">
      <c r="A11431" s="5">
        <v>11430.0</v>
      </c>
      <c r="B11431" s="5" t="s">
        <v>11871</v>
      </c>
      <c r="C11431" s="5" t="s">
        <v>21</v>
      </c>
      <c r="K11431" s="5">
        <v>150.0</v>
      </c>
      <c r="N11431" s="9">
        <v>44621.0</v>
      </c>
    </row>
    <row r="11432">
      <c r="A11432" s="5">
        <v>11431.0</v>
      </c>
      <c r="B11432" s="5" t="s">
        <v>11872</v>
      </c>
      <c r="C11432" s="5" t="s">
        <v>21</v>
      </c>
      <c r="K11432" s="5">
        <v>10.0</v>
      </c>
      <c r="N11432" s="9">
        <v>45121.0</v>
      </c>
    </row>
    <row r="11433">
      <c r="A11433" s="5">
        <v>11432.0</v>
      </c>
      <c r="B11433" s="5" t="s">
        <v>11873</v>
      </c>
      <c r="C11433" s="5" t="s">
        <v>21</v>
      </c>
      <c r="K11433" s="5">
        <v>25000.0</v>
      </c>
      <c r="N11433" s="9">
        <v>42895.0</v>
      </c>
    </row>
    <row r="11434">
      <c r="A11434" s="5">
        <v>11433.0</v>
      </c>
      <c r="B11434" s="5" t="s">
        <v>11874</v>
      </c>
      <c r="C11434" s="5" t="s">
        <v>21</v>
      </c>
      <c r="K11434" s="5">
        <v>1500.0</v>
      </c>
      <c r="N11434" s="9">
        <v>44965.0</v>
      </c>
    </row>
    <row r="11435">
      <c r="A11435" s="5">
        <v>11434.0</v>
      </c>
      <c r="B11435" s="5" t="s">
        <v>11875</v>
      </c>
      <c r="C11435" s="5" t="s">
        <v>21</v>
      </c>
      <c r="K11435" s="5">
        <v>200.0</v>
      </c>
      <c r="N11435" s="9">
        <v>44002.0</v>
      </c>
    </row>
    <row r="11436">
      <c r="A11436" s="5">
        <v>11435.0</v>
      </c>
      <c r="B11436" s="5" t="s">
        <v>11876</v>
      </c>
      <c r="C11436" s="5" t="s">
        <v>21</v>
      </c>
      <c r="K11436" s="5">
        <v>90.0</v>
      </c>
      <c r="N11436" s="9">
        <v>45846.0</v>
      </c>
    </row>
    <row r="11437">
      <c r="A11437" s="5">
        <v>11436.0</v>
      </c>
      <c r="B11437" s="5" t="s">
        <v>11877</v>
      </c>
      <c r="C11437" s="5" t="s">
        <v>21</v>
      </c>
      <c r="K11437" s="5">
        <v>40.0</v>
      </c>
      <c r="N11437" s="9">
        <v>44429.0</v>
      </c>
    </row>
    <row r="11438">
      <c r="A11438" s="5">
        <v>11437.0</v>
      </c>
      <c r="B11438" s="5" t="s">
        <v>11878</v>
      </c>
      <c r="C11438" s="5" t="s">
        <v>21</v>
      </c>
      <c r="K11438" s="5">
        <v>700.0</v>
      </c>
      <c r="N11438" s="9">
        <v>43851.0</v>
      </c>
    </row>
    <row r="11439">
      <c r="A11439" s="5">
        <v>11438.0</v>
      </c>
      <c r="B11439" s="5" t="s">
        <v>11879</v>
      </c>
      <c r="C11439" s="5" t="s">
        <v>21</v>
      </c>
      <c r="K11439" s="5">
        <v>60.0</v>
      </c>
      <c r="N11439" s="9">
        <v>44047.0</v>
      </c>
    </row>
    <row r="11440">
      <c r="A11440" s="5">
        <v>11439.0</v>
      </c>
      <c r="B11440" s="5" t="s">
        <v>11880</v>
      </c>
      <c r="C11440" s="5" t="s">
        <v>21</v>
      </c>
      <c r="K11440" s="5">
        <v>1600.0</v>
      </c>
      <c r="N11440" s="9">
        <v>44933.0</v>
      </c>
    </row>
    <row r="11441">
      <c r="A11441" s="5">
        <v>11440.0</v>
      </c>
      <c r="B11441" s="5" t="s">
        <v>11881</v>
      </c>
      <c r="C11441" s="5" t="s">
        <v>21</v>
      </c>
      <c r="K11441" s="5">
        <v>30.0</v>
      </c>
      <c r="N11441" s="9">
        <v>44584.0</v>
      </c>
    </row>
    <row r="11442">
      <c r="A11442" s="5">
        <v>11441.0</v>
      </c>
      <c r="B11442" s="5" t="s">
        <v>11882</v>
      </c>
      <c r="C11442" s="5" t="s">
        <v>21</v>
      </c>
      <c r="K11442" s="5">
        <v>1300.0</v>
      </c>
      <c r="N11442" s="9">
        <v>44336.0</v>
      </c>
    </row>
    <row r="11443">
      <c r="A11443" s="5">
        <v>11442.0</v>
      </c>
      <c r="B11443" s="5" t="s">
        <v>11883</v>
      </c>
      <c r="C11443" s="5" t="s">
        <v>21</v>
      </c>
      <c r="K11443" s="5">
        <v>60.0</v>
      </c>
      <c r="N11443" s="9">
        <v>44320.0</v>
      </c>
    </row>
    <row r="11444">
      <c r="A11444" s="5">
        <v>11443.0</v>
      </c>
      <c r="B11444" s="5" t="s">
        <v>11884</v>
      </c>
      <c r="C11444" s="5" t="s">
        <v>21</v>
      </c>
      <c r="K11444" s="5">
        <v>300.0</v>
      </c>
      <c r="N11444" s="9">
        <v>44512.0</v>
      </c>
    </row>
    <row r="11445">
      <c r="A11445" s="5">
        <v>11444.0</v>
      </c>
      <c r="B11445" s="5" t="s">
        <v>11885</v>
      </c>
      <c r="C11445" s="5" t="s">
        <v>21</v>
      </c>
      <c r="K11445" s="5">
        <v>30.0</v>
      </c>
      <c r="N11445" s="9">
        <v>43867.0</v>
      </c>
    </row>
    <row r="11446">
      <c r="A11446" s="5">
        <v>11445.0</v>
      </c>
      <c r="B11446" s="5" t="s">
        <v>11886</v>
      </c>
      <c r="C11446" s="5" t="s">
        <v>21</v>
      </c>
      <c r="K11446" s="5">
        <v>250.0</v>
      </c>
      <c r="N11446" s="9">
        <v>45393.0</v>
      </c>
    </row>
    <row r="11447">
      <c r="A11447" s="5">
        <v>11446.0</v>
      </c>
      <c r="B11447" s="5" t="s">
        <v>11887</v>
      </c>
      <c r="C11447" s="5" t="s">
        <v>21</v>
      </c>
      <c r="K11447" s="5">
        <v>10.0</v>
      </c>
      <c r="N11447" s="9">
        <v>43925.0</v>
      </c>
    </row>
    <row r="11448">
      <c r="A11448" s="5">
        <v>11447.0</v>
      </c>
      <c r="B11448" s="5" t="s">
        <v>11888</v>
      </c>
      <c r="C11448" s="5" t="s">
        <v>21</v>
      </c>
      <c r="K11448" s="5">
        <v>350.0</v>
      </c>
      <c r="N11448" s="9">
        <v>45076.0</v>
      </c>
    </row>
    <row r="11449">
      <c r="A11449" s="5">
        <v>11448.0</v>
      </c>
      <c r="B11449" s="5" t="s">
        <v>11889</v>
      </c>
      <c r="C11449" s="5" t="s">
        <v>21</v>
      </c>
      <c r="K11449" s="5">
        <v>100.0</v>
      </c>
      <c r="N11449" s="9">
        <v>44270.0</v>
      </c>
    </row>
    <row r="11450">
      <c r="A11450" s="5">
        <v>11449.0</v>
      </c>
      <c r="B11450" s="5" t="s">
        <v>11890</v>
      </c>
      <c r="C11450" s="5" t="s">
        <v>21</v>
      </c>
      <c r="K11450" s="5">
        <v>50.0</v>
      </c>
      <c r="N11450" s="9">
        <v>44697.0</v>
      </c>
    </row>
    <row r="11451">
      <c r="A11451" s="5">
        <v>11450.0</v>
      </c>
      <c r="B11451" s="5" t="s">
        <v>11891</v>
      </c>
      <c r="C11451" s="5" t="s">
        <v>21</v>
      </c>
      <c r="K11451" s="5">
        <v>600.0</v>
      </c>
      <c r="N11451" s="9">
        <v>44650.0</v>
      </c>
    </row>
    <row r="11452">
      <c r="A11452" s="5">
        <v>11451.0</v>
      </c>
      <c r="B11452" s="5" t="s">
        <v>11892</v>
      </c>
      <c r="C11452" s="5" t="s">
        <v>21</v>
      </c>
      <c r="K11452" s="5">
        <v>500.0</v>
      </c>
      <c r="N11452" s="9">
        <v>44589.0</v>
      </c>
    </row>
    <row r="11453">
      <c r="A11453" s="5">
        <v>11452.0</v>
      </c>
      <c r="B11453" s="5" t="s">
        <v>11893</v>
      </c>
      <c r="C11453" s="5" t="s">
        <v>21</v>
      </c>
      <c r="K11453" s="5">
        <v>8100.0</v>
      </c>
      <c r="N11453" s="9">
        <v>43874.0</v>
      </c>
    </row>
    <row r="11454">
      <c r="A11454" s="5">
        <v>11453.0</v>
      </c>
      <c r="B11454" s="5" t="s">
        <v>11894</v>
      </c>
      <c r="C11454" s="5" t="s">
        <v>21</v>
      </c>
      <c r="N11454" s="9">
        <v>44608.0</v>
      </c>
    </row>
    <row r="11455">
      <c r="A11455" s="5">
        <v>11454.0</v>
      </c>
      <c r="B11455" s="5" t="s">
        <v>11895</v>
      </c>
      <c r="C11455" s="5" t="s">
        <v>21</v>
      </c>
      <c r="K11455" s="5">
        <v>20.0</v>
      </c>
      <c r="N11455" s="9">
        <v>44384.0</v>
      </c>
    </row>
    <row r="11456">
      <c r="A11456" s="5">
        <v>11455.0</v>
      </c>
      <c r="B11456" s="5" t="s">
        <v>11896</v>
      </c>
      <c r="C11456" s="5" t="s">
        <v>21</v>
      </c>
      <c r="K11456" s="5">
        <v>70.0</v>
      </c>
      <c r="N11456" s="9">
        <v>45080.0</v>
      </c>
    </row>
    <row r="11457">
      <c r="A11457" s="5">
        <v>11456.0</v>
      </c>
      <c r="B11457" s="5" t="s">
        <v>11897</v>
      </c>
      <c r="C11457" s="5" t="s">
        <v>21</v>
      </c>
      <c r="N11457" s="9">
        <v>44531.0</v>
      </c>
    </row>
    <row r="11458">
      <c r="A11458" s="5">
        <v>11457.0</v>
      </c>
      <c r="B11458" s="5" t="s">
        <v>11898</v>
      </c>
      <c r="C11458" s="5" t="s">
        <v>21</v>
      </c>
      <c r="K11458" s="5">
        <v>150.0</v>
      </c>
      <c r="N11458" s="9">
        <v>45212.0</v>
      </c>
    </row>
    <row r="11459">
      <c r="A11459" s="5">
        <v>11458.0</v>
      </c>
      <c r="B11459" s="5" t="s">
        <v>11899</v>
      </c>
      <c r="C11459" s="5" t="s">
        <v>21</v>
      </c>
      <c r="K11459" s="5">
        <v>800.0</v>
      </c>
      <c r="N11459" s="9">
        <v>44747.0</v>
      </c>
    </row>
    <row r="11460">
      <c r="A11460" s="5">
        <v>11459.0</v>
      </c>
      <c r="B11460" s="5" t="s">
        <v>11900</v>
      </c>
      <c r="C11460" s="5" t="s">
        <v>21</v>
      </c>
      <c r="N11460" s="9">
        <v>44517.0</v>
      </c>
    </row>
    <row r="11461">
      <c r="A11461" s="5">
        <v>11460.0</v>
      </c>
      <c r="B11461" s="5" t="s">
        <v>11901</v>
      </c>
      <c r="C11461" s="5" t="s">
        <v>21</v>
      </c>
      <c r="K11461" s="5">
        <v>450.0</v>
      </c>
      <c r="N11461" s="9">
        <v>44959.0</v>
      </c>
    </row>
    <row r="11462">
      <c r="A11462" s="5">
        <v>11461.0</v>
      </c>
      <c r="B11462" s="5" t="s">
        <v>11902</v>
      </c>
      <c r="C11462" s="5" t="s">
        <v>21</v>
      </c>
      <c r="K11462" s="5">
        <v>200.0</v>
      </c>
      <c r="N11462" s="9">
        <v>44548.0</v>
      </c>
    </row>
    <row r="11463">
      <c r="A11463" s="5">
        <v>11462.0</v>
      </c>
      <c r="B11463" s="5" t="s">
        <v>11903</v>
      </c>
      <c r="C11463" s="5" t="s">
        <v>21</v>
      </c>
      <c r="K11463" s="5">
        <v>1100.0</v>
      </c>
      <c r="N11463" s="9">
        <v>45572.0</v>
      </c>
    </row>
    <row r="11464">
      <c r="A11464" s="5">
        <v>11463.0</v>
      </c>
      <c r="B11464" s="5" t="s">
        <v>11904</v>
      </c>
      <c r="C11464" s="5" t="s">
        <v>21</v>
      </c>
      <c r="K11464" s="5">
        <v>400.0</v>
      </c>
      <c r="N11464" s="9">
        <v>44683.0</v>
      </c>
    </row>
    <row r="11465">
      <c r="A11465" s="5">
        <v>11464.0</v>
      </c>
      <c r="B11465" s="5" t="s">
        <v>11905</v>
      </c>
      <c r="C11465" s="5" t="s">
        <v>21</v>
      </c>
      <c r="K11465" s="5">
        <v>500.0</v>
      </c>
      <c r="N11465" s="9">
        <v>44876.0</v>
      </c>
    </row>
    <row r="11466">
      <c r="A11466" s="5">
        <v>11465.0</v>
      </c>
      <c r="B11466" s="5" t="s">
        <v>11906</v>
      </c>
      <c r="C11466" s="5" t="s">
        <v>21</v>
      </c>
      <c r="K11466" s="5">
        <v>350.0</v>
      </c>
      <c r="N11466" s="9">
        <v>44436.0</v>
      </c>
    </row>
    <row r="11467">
      <c r="A11467" s="5">
        <v>11466.0</v>
      </c>
      <c r="B11467" s="5" t="s">
        <v>11907</v>
      </c>
      <c r="C11467" s="5" t="s">
        <v>21</v>
      </c>
      <c r="K11467" s="5">
        <v>300.0</v>
      </c>
      <c r="N11467" s="9">
        <v>44287.0</v>
      </c>
    </row>
    <row r="11468">
      <c r="A11468" s="5">
        <v>11467.0</v>
      </c>
      <c r="B11468" s="5" t="s">
        <v>11908</v>
      </c>
      <c r="C11468" s="5" t="s">
        <v>21</v>
      </c>
      <c r="K11468" s="5">
        <v>300.0</v>
      </c>
      <c r="N11468" s="9">
        <v>44450.0</v>
      </c>
    </row>
    <row r="11469">
      <c r="A11469" s="5">
        <v>11468.0</v>
      </c>
      <c r="B11469" s="5" t="s">
        <v>11909</v>
      </c>
      <c r="C11469" s="5" t="s">
        <v>21</v>
      </c>
      <c r="K11469" s="5">
        <v>1300.0</v>
      </c>
      <c r="N11469" s="9">
        <v>44071.0</v>
      </c>
    </row>
    <row r="11470">
      <c r="A11470" s="5">
        <v>11469.0</v>
      </c>
      <c r="B11470" s="5" t="s">
        <v>11910</v>
      </c>
      <c r="C11470" s="5" t="s">
        <v>21</v>
      </c>
      <c r="K11470" s="5">
        <v>20.0</v>
      </c>
      <c r="N11470" s="9">
        <v>44273.0</v>
      </c>
    </row>
    <row r="11471">
      <c r="A11471" s="5">
        <v>11470.0</v>
      </c>
      <c r="B11471" s="5" t="s">
        <v>11911</v>
      </c>
      <c r="C11471" s="5" t="s">
        <v>21</v>
      </c>
      <c r="K11471" s="5">
        <v>450.0</v>
      </c>
      <c r="N11471" s="9">
        <v>45343.0</v>
      </c>
    </row>
    <row r="11472">
      <c r="A11472" s="5">
        <v>11471.0</v>
      </c>
      <c r="B11472" s="5" t="s">
        <v>11912</v>
      </c>
      <c r="C11472" s="5" t="s">
        <v>21</v>
      </c>
      <c r="K11472" s="5">
        <v>250.0</v>
      </c>
      <c r="N11472" s="9">
        <v>44691.0</v>
      </c>
    </row>
    <row r="11473">
      <c r="A11473" s="5">
        <v>11472.0</v>
      </c>
      <c r="B11473" s="5" t="s">
        <v>11913</v>
      </c>
      <c r="C11473" s="5" t="s">
        <v>21</v>
      </c>
      <c r="K11473" s="5">
        <v>300.0</v>
      </c>
      <c r="N11473" s="9">
        <v>44226.0</v>
      </c>
    </row>
    <row r="11474">
      <c r="A11474" s="5">
        <v>11473.0</v>
      </c>
      <c r="B11474" s="5" t="s">
        <v>11914</v>
      </c>
      <c r="C11474" s="5" t="s">
        <v>21</v>
      </c>
      <c r="K11474" s="5">
        <v>700.0</v>
      </c>
      <c r="N11474" s="9">
        <v>45545.0</v>
      </c>
    </row>
    <row r="11475">
      <c r="A11475" s="5">
        <v>11474.0</v>
      </c>
      <c r="B11475" s="5" t="s">
        <v>11915</v>
      </c>
      <c r="C11475" s="5" t="s">
        <v>21</v>
      </c>
      <c r="K11475" s="5">
        <v>350.0</v>
      </c>
      <c r="N11475" s="9">
        <v>44519.0</v>
      </c>
    </row>
    <row r="11476">
      <c r="A11476" s="5">
        <v>11475.0</v>
      </c>
      <c r="B11476" s="5" t="s">
        <v>11916</v>
      </c>
      <c r="C11476" s="5" t="s">
        <v>21</v>
      </c>
      <c r="K11476" s="5">
        <v>4500.0</v>
      </c>
      <c r="N11476" s="9">
        <v>44129.0</v>
      </c>
    </row>
    <row r="11477">
      <c r="A11477" s="5">
        <v>11476.0</v>
      </c>
      <c r="B11477" s="5" t="s">
        <v>11917</v>
      </c>
      <c r="C11477" s="5" t="s">
        <v>21</v>
      </c>
      <c r="K11477" s="5">
        <v>250.0</v>
      </c>
      <c r="N11477" s="9">
        <v>44805.0</v>
      </c>
    </row>
    <row r="11478">
      <c r="A11478" s="5">
        <v>11477.0</v>
      </c>
      <c r="B11478" s="5" t="s">
        <v>11918</v>
      </c>
      <c r="C11478" s="5" t="s">
        <v>21</v>
      </c>
      <c r="K11478" s="5">
        <v>500.0</v>
      </c>
      <c r="N11478" s="9">
        <v>44540.0</v>
      </c>
    </row>
    <row r="11479">
      <c r="A11479" s="5">
        <v>11478.0</v>
      </c>
      <c r="B11479" s="5" t="s">
        <v>11919</v>
      </c>
      <c r="C11479" s="5" t="s">
        <v>21</v>
      </c>
      <c r="K11479" s="5">
        <v>150.0</v>
      </c>
      <c r="N11479" s="9">
        <v>44548.0</v>
      </c>
    </row>
    <row r="11480">
      <c r="A11480" s="5">
        <v>11479.0</v>
      </c>
      <c r="B11480" s="5" t="s">
        <v>11920</v>
      </c>
      <c r="C11480" s="5" t="s">
        <v>21</v>
      </c>
      <c r="K11480" s="5">
        <v>250.0</v>
      </c>
      <c r="N11480" s="9">
        <v>45600.0</v>
      </c>
    </row>
    <row r="11481">
      <c r="A11481" s="5">
        <v>11480.0</v>
      </c>
      <c r="B11481" s="5" t="s">
        <v>11921</v>
      </c>
      <c r="C11481" s="5" t="s">
        <v>21</v>
      </c>
      <c r="K11481" s="5">
        <v>4400.0</v>
      </c>
      <c r="N11481" s="9">
        <v>43874.0</v>
      </c>
    </row>
    <row r="11482">
      <c r="A11482" s="5">
        <v>11481.0</v>
      </c>
      <c r="B11482" s="5" t="s">
        <v>11922</v>
      </c>
      <c r="C11482" s="5" t="s">
        <v>21</v>
      </c>
      <c r="K11482" s="5">
        <v>300.0</v>
      </c>
      <c r="N11482" s="9">
        <v>44228.0</v>
      </c>
    </row>
    <row r="11483">
      <c r="A11483" s="5">
        <v>11482.0</v>
      </c>
      <c r="B11483" s="5" t="s">
        <v>11923</v>
      </c>
      <c r="C11483" s="5" t="s">
        <v>21</v>
      </c>
      <c r="K11483" s="5">
        <v>150.0</v>
      </c>
      <c r="N11483" s="9">
        <v>44590.0</v>
      </c>
    </row>
    <row r="11484">
      <c r="A11484" s="5">
        <v>11483.0</v>
      </c>
      <c r="B11484" s="5" t="s">
        <v>11924</v>
      </c>
      <c r="C11484" s="5" t="s">
        <v>21</v>
      </c>
      <c r="N11484" s="9">
        <v>44729.0</v>
      </c>
    </row>
    <row r="11485">
      <c r="A11485" s="5">
        <v>11484.0</v>
      </c>
      <c r="B11485" s="5" t="s">
        <v>11925</v>
      </c>
      <c r="C11485" s="5" t="s">
        <v>21</v>
      </c>
      <c r="K11485" s="5">
        <v>200.0</v>
      </c>
      <c r="N11485" s="9">
        <v>45135.0</v>
      </c>
    </row>
    <row r="11486">
      <c r="A11486" s="5">
        <v>11485.0</v>
      </c>
      <c r="B11486" s="5" t="s">
        <v>11926</v>
      </c>
      <c r="C11486" s="5" t="s">
        <v>21</v>
      </c>
      <c r="K11486" s="5">
        <v>40.0</v>
      </c>
      <c r="N11486" s="9">
        <v>45009.0</v>
      </c>
    </row>
    <row r="11487">
      <c r="A11487" s="5">
        <v>11486.0</v>
      </c>
      <c r="B11487" s="5" t="s">
        <v>11927</v>
      </c>
      <c r="C11487" s="5" t="s">
        <v>21</v>
      </c>
      <c r="K11487" s="5">
        <v>250.0</v>
      </c>
      <c r="N11487" s="9">
        <v>44747.0</v>
      </c>
    </row>
    <row r="11488">
      <c r="A11488" s="5">
        <v>11487.0</v>
      </c>
      <c r="B11488" s="5" t="s">
        <v>11928</v>
      </c>
      <c r="C11488" s="5" t="s">
        <v>21</v>
      </c>
      <c r="K11488" s="5">
        <v>350.0</v>
      </c>
      <c r="N11488" s="9">
        <v>44202.0</v>
      </c>
    </row>
    <row r="11489">
      <c r="A11489" s="5">
        <v>11488.0</v>
      </c>
      <c r="B11489" s="5" t="s">
        <v>11929</v>
      </c>
      <c r="C11489" s="5" t="s">
        <v>21</v>
      </c>
      <c r="K11489" s="5">
        <v>200.0</v>
      </c>
      <c r="N11489" s="9">
        <v>45106.0</v>
      </c>
    </row>
    <row r="11490">
      <c r="A11490" s="5">
        <v>11489.0</v>
      </c>
      <c r="B11490" s="5" t="s">
        <v>11930</v>
      </c>
      <c r="C11490" s="5" t="s">
        <v>21</v>
      </c>
      <c r="K11490" s="5">
        <v>60.0</v>
      </c>
      <c r="N11490" s="9">
        <v>44455.0</v>
      </c>
    </row>
    <row r="11491">
      <c r="A11491" s="5">
        <v>11490.0</v>
      </c>
      <c r="B11491" s="5" t="s">
        <v>11931</v>
      </c>
      <c r="C11491" s="5" t="s">
        <v>21</v>
      </c>
      <c r="K11491" s="5">
        <v>250.0</v>
      </c>
      <c r="N11491" s="9">
        <v>44925.0</v>
      </c>
    </row>
    <row r="11492">
      <c r="A11492" s="5">
        <v>11491.0</v>
      </c>
      <c r="B11492" s="5" t="s">
        <v>11932</v>
      </c>
      <c r="C11492" s="5" t="s">
        <v>21</v>
      </c>
      <c r="K11492" s="5">
        <v>250.0</v>
      </c>
      <c r="N11492" s="9">
        <v>45264.0</v>
      </c>
    </row>
    <row r="11493">
      <c r="A11493" s="5">
        <v>11492.0</v>
      </c>
      <c r="B11493" s="5" t="s">
        <v>11933</v>
      </c>
      <c r="C11493" s="5" t="s">
        <v>21</v>
      </c>
      <c r="K11493" s="5">
        <v>800.0</v>
      </c>
      <c r="N11493" s="9">
        <v>44909.0</v>
      </c>
    </row>
    <row r="11494">
      <c r="A11494" s="5">
        <v>11493.0</v>
      </c>
      <c r="B11494" s="5" t="s">
        <v>11934</v>
      </c>
      <c r="C11494" s="5" t="s">
        <v>21</v>
      </c>
      <c r="K11494" s="5">
        <v>20.0</v>
      </c>
      <c r="N11494" s="9">
        <v>44510.0</v>
      </c>
    </row>
    <row r="11495">
      <c r="A11495" s="5">
        <v>11494.0</v>
      </c>
      <c r="B11495" s="5" t="s">
        <v>11935</v>
      </c>
      <c r="C11495" s="5" t="s">
        <v>21</v>
      </c>
      <c r="K11495" s="5">
        <v>700.0</v>
      </c>
      <c r="N11495" s="9">
        <v>44520.0</v>
      </c>
    </row>
    <row r="11496">
      <c r="A11496" s="5">
        <v>11495.0</v>
      </c>
      <c r="B11496" s="5" t="s">
        <v>11936</v>
      </c>
      <c r="C11496" s="5" t="s">
        <v>21</v>
      </c>
      <c r="K11496" s="5">
        <v>3700.0</v>
      </c>
      <c r="N11496" s="9">
        <v>44052.0</v>
      </c>
    </row>
    <row r="11497">
      <c r="A11497" s="5">
        <v>11496.0</v>
      </c>
      <c r="B11497" s="5" t="s">
        <v>11937</v>
      </c>
      <c r="C11497" s="5" t="s">
        <v>21</v>
      </c>
      <c r="K11497" s="5">
        <v>80.0</v>
      </c>
      <c r="N11497" s="9">
        <v>44759.0</v>
      </c>
    </row>
    <row r="11498">
      <c r="A11498" s="5">
        <v>11497.0</v>
      </c>
      <c r="B11498" s="5" t="s">
        <v>11938</v>
      </c>
      <c r="C11498" s="5" t="s">
        <v>21</v>
      </c>
      <c r="K11498" s="5">
        <v>1000.0</v>
      </c>
      <c r="N11498" s="9">
        <v>44701.0</v>
      </c>
    </row>
    <row r="11499">
      <c r="A11499" s="5">
        <v>11498.0</v>
      </c>
      <c r="B11499" s="5" t="s">
        <v>11939</v>
      </c>
      <c r="C11499" s="5" t="s">
        <v>21</v>
      </c>
      <c r="K11499" s="5">
        <v>1200.0</v>
      </c>
      <c r="N11499" s="9">
        <v>44537.0</v>
      </c>
    </row>
    <row r="11500">
      <c r="A11500" s="5">
        <v>11499.0</v>
      </c>
      <c r="B11500" s="5" t="s">
        <v>11940</v>
      </c>
      <c r="C11500" s="5" t="s">
        <v>21</v>
      </c>
      <c r="K11500" s="5">
        <v>1500.0</v>
      </c>
      <c r="N11500" s="9">
        <v>44581.0</v>
      </c>
    </row>
    <row r="11501">
      <c r="A11501" s="5">
        <v>11500.0</v>
      </c>
      <c r="B11501" s="5" t="s">
        <v>11941</v>
      </c>
      <c r="C11501" s="5" t="s">
        <v>21</v>
      </c>
      <c r="K11501" s="5">
        <v>1400.0</v>
      </c>
      <c r="N11501" s="9">
        <v>43914.0</v>
      </c>
    </row>
    <row r="11502">
      <c r="A11502" s="5">
        <v>11501.0</v>
      </c>
      <c r="B11502" s="5" t="s">
        <v>11942</v>
      </c>
      <c r="C11502" s="5" t="s">
        <v>21</v>
      </c>
      <c r="K11502" s="5">
        <v>800.0</v>
      </c>
      <c r="N11502" s="9">
        <v>45472.0</v>
      </c>
    </row>
    <row r="11503">
      <c r="A11503" s="5">
        <v>11502.0</v>
      </c>
      <c r="B11503" s="5" t="s">
        <v>11943</v>
      </c>
      <c r="C11503" s="5" t="s">
        <v>21</v>
      </c>
      <c r="K11503" s="5">
        <v>250.0</v>
      </c>
      <c r="N11503" s="9">
        <v>44547.0</v>
      </c>
    </row>
    <row r="11504">
      <c r="A11504" s="5">
        <v>11503.0</v>
      </c>
      <c r="B11504" s="5" t="s">
        <v>11944</v>
      </c>
      <c r="C11504" s="5" t="s">
        <v>21</v>
      </c>
      <c r="K11504" s="5">
        <v>700.0</v>
      </c>
      <c r="N11504" s="9">
        <v>44553.0</v>
      </c>
    </row>
    <row r="11505">
      <c r="A11505" s="5">
        <v>11504.0</v>
      </c>
      <c r="B11505" s="5" t="s">
        <v>11945</v>
      </c>
      <c r="C11505" s="5" t="s">
        <v>21</v>
      </c>
      <c r="K11505" s="5">
        <v>300.0</v>
      </c>
      <c r="N11505" s="9">
        <v>45189.0</v>
      </c>
    </row>
    <row r="11506">
      <c r="A11506" s="5">
        <v>11505.0</v>
      </c>
      <c r="B11506" s="5" t="s">
        <v>11946</v>
      </c>
      <c r="C11506" s="5" t="s">
        <v>21</v>
      </c>
      <c r="K11506" s="5">
        <v>500.0</v>
      </c>
      <c r="N11506" s="9">
        <v>44531.0</v>
      </c>
    </row>
    <row r="11507">
      <c r="A11507" s="5">
        <v>11506.0</v>
      </c>
      <c r="B11507" s="5" t="s">
        <v>11947</v>
      </c>
      <c r="C11507" s="5" t="s">
        <v>21</v>
      </c>
      <c r="K11507" s="5">
        <v>300.0</v>
      </c>
      <c r="N11507" s="9">
        <v>45651.0</v>
      </c>
    </row>
    <row r="11508">
      <c r="A11508" s="5">
        <v>11507.0</v>
      </c>
      <c r="B11508" s="5" t="s">
        <v>11948</v>
      </c>
      <c r="C11508" s="5" t="s">
        <v>21</v>
      </c>
      <c r="K11508" s="5">
        <v>10.0</v>
      </c>
      <c r="N11508" s="9">
        <v>44537.0</v>
      </c>
    </row>
    <row r="11509">
      <c r="A11509" s="5">
        <v>11508.0</v>
      </c>
      <c r="B11509" s="5" t="s">
        <v>11949</v>
      </c>
      <c r="C11509" s="5" t="s">
        <v>21</v>
      </c>
      <c r="K11509" s="5">
        <v>700.0</v>
      </c>
      <c r="N11509" s="9">
        <v>43976.0</v>
      </c>
    </row>
    <row r="11510">
      <c r="A11510" s="5">
        <v>11509.0</v>
      </c>
      <c r="B11510" s="5" t="s">
        <v>11950</v>
      </c>
      <c r="C11510" s="5" t="s">
        <v>21</v>
      </c>
      <c r="K11510" s="5">
        <v>250.0</v>
      </c>
      <c r="N11510" s="9">
        <v>44174.0</v>
      </c>
    </row>
    <row r="11511">
      <c r="A11511" s="5">
        <v>11510.0</v>
      </c>
      <c r="B11511" s="5" t="s">
        <v>11951</v>
      </c>
      <c r="C11511" s="5" t="s">
        <v>21</v>
      </c>
      <c r="K11511" s="5">
        <v>17000.0</v>
      </c>
      <c r="N11511" s="9">
        <v>43907.0</v>
      </c>
    </row>
    <row r="11512">
      <c r="A11512" s="5">
        <v>11511.0</v>
      </c>
      <c r="B11512" s="5" t="s">
        <v>11952</v>
      </c>
      <c r="C11512" s="5" t="s">
        <v>21</v>
      </c>
      <c r="K11512" s="5">
        <v>1200.0</v>
      </c>
      <c r="N11512" s="9">
        <v>43883.0</v>
      </c>
    </row>
    <row r="11513">
      <c r="A11513" s="5">
        <v>11512.0</v>
      </c>
      <c r="B11513" s="5" t="s">
        <v>11953</v>
      </c>
      <c r="C11513" s="5" t="s">
        <v>21</v>
      </c>
      <c r="K11513" s="5">
        <v>1100.0</v>
      </c>
      <c r="N11513" s="9">
        <v>44001.0</v>
      </c>
    </row>
    <row r="11514">
      <c r="A11514" s="5">
        <v>11513.0</v>
      </c>
      <c r="B11514" s="5" t="s">
        <v>11954</v>
      </c>
      <c r="C11514" s="5" t="s">
        <v>21</v>
      </c>
      <c r="K11514" s="5">
        <v>1800.0</v>
      </c>
      <c r="N11514" s="9">
        <v>44007.0</v>
      </c>
    </row>
    <row r="11515">
      <c r="A11515" s="5">
        <v>11514.0</v>
      </c>
      <c r="B11515" s="5" t="s">
        <v>11955</v>
      </c>
      <c r="C11515" s="5" t="s">
        <v>21</v>
      </c>
      <c r="K11515" s="5">
        <v>300.0</v>
      </c>
      <c r="N11515" s="9">
        <v>44535.0</v>
      </c>
    </row>
    <row r="11516">
      <c r="A11516" s="5">
        <v>11515.0</v>
      </c>
      <c r="B11516" s="5" t="s">
        <v>11956</v>
      </c>
      <c r="C11516" s="5" t="s">
        <v>21</v>
      </c>
      <c r="K11516" s="5">
        <v>80.0</v>
      </c>
      <c r="N11516" s="9">
        <v>44047.0</v>
      </c>
    </row>
    <row r="11517">
      <c r="A11517" s="5">
        <v>11516.0</v>
      </c>
      <c r="B11517" s="5" t="s">
        <v>11957</v>
      </c>
      <c r="C11517" s="5" t="s">
        <v>21</v>
      </c>
      <c r="K11517" s="5">
        <v>250.0</v>
      </c>
      <c r="N11517" s="9">
        <v>44651.0</v>
      </c>
    </row>
    <row r="11518">
      <c r="A11518" s="5">
        <v>11517.0</v>
      </c>
      <c r="B11518" s="5" t="s">
        <v>11958</v>
      </c>
      <c r="C11518" s="5" t="s">
        <v>21</v>
      </c>
      <c r="K11518" s="5">
        <v>1500.0</v>
      </c>
      <c r="N11518" s="9">
        <v>44542.0</v>
      </c>
    </row>
    <row r="11519">
      <c r="A11519" s="5">
        <v>11518.0</v>
      </c>
      <c r="B11519" s="5" t="s">
        <v>11959</v>
      </c>
      <c r="C11519" s="5" t="s">
        <v>21</v>
      </c>
      <c r="K11519" s="5">
        <v>900.0</v>
      </c>
      <c r="N11519" s="9">
        <v>44004.0</v>
      </c>
    </row>
    <row r="11520">
      <c r="A11520" s="5">
        <v>11519.0</v>
      </c>
      <c r="B11520" s="5" t="s">
        <v>11960</v>
      </c>
      <c r="C11520" s="5" t="s">
        <v>21</v>
      </c>
      <c r="K11520" s="5">
        <v>700.0</v>
      </c>
      <c r="N11520" s="9">
        <v>45067.0</v>
      </c>
    </row>
    <row r="11521">
      <c r="A11521" s="5">
        <v>11520.0</v>
      </c>
      <c r="B11521" s="5" t="s">
        <v>404</v>
      </c>
      <c r="C11521" s="5" t="s">
        <v>21</v>
      </c>
      <c r="K11521" s="5">
        <v>2100.0</v>
      </c>
      <c r="N11521" s="9">
        <v>44895.0</v>
      </c>
    </row>
    <row r="11522">
      <c r="A11522" s="5">
        <v>11521.0</v>
      </c>
      <c r="B11522" s="5" t="s">
        <v>11961</v>
      </c>
      <c r="C11522" s="5" t="s">
        <v>21</v>
      </c>
      <c r="K11522" s="5">
        <v>450.0</v>
      </c>
      <c r="N11522" s="9">
        <v>44763.0</v>
      </c>
    </row>
    <row r="11523">
      <c r="A11523" s="5">
        <v>11522.0</v>
      </c>
      <c r="B11523" s="5" t="s">
        <v>11962</v>
      </c>
      <c r="C11523" s="5" t="s">
        <v>21</v>
      </c>
      <c r="K11523" s="5">
        <v>50.0</v>
      </c>
      <c r="N11523" s="9">
        <v>45024.0</v>
      </c>
    </row>
    <row r="11524">
      <c r="A11524" s="5">
        <v>11523.0</v>
      </c>
      <c r="B11524" s="5" t="s">
        <v>11963</v>
      </c>
      <c r="C11524" s="5" t="s">
        <v>21</v>
      </c>
      <c r="K11524" s="5">
        <v>3500.0</v>
      </c>
      <c r="N11524" s="9">
        <v>44837.0</v>
      </c>
    </row>
    <row r="11525">
      <c r="A11525" s="5">
        <v>11524.0</v>
      </c>
      <c r="B11525" s="5" t="s">
        <v>11964</v>
      </c>
      <c r="C11525" s="5" t="s">
        <v>21</v>
      </c>
      <c r="K11525" s="5">
        <v>1400.0</v>
      </c>
      <c r="N11525" s="9">
        <v>44576.0</v>
      </c>
    </row>
    <row r="11526">
      <c r="A11526" s="5">
        <v>11525.0</v>
      </c>
      <c r="B11526" s="5" t="s">
        <v>11965</v>
      </c>
      <c r="C11526" s="5" t="s">
        <v>21</v>
      </c>
      <c r="K11526" s="5">
        <v>60.0</v>
      </c>
      <c r="N11526" s="9">
        <v>44621.0</v>
      </c>
    </row>
    <row r="11527">
      <c r="A11527" s="5">
        <v>11526.0</v>
      </c>
      <c r="B11527" s="5" t="s">
        <v>11966</v>
      </c>
      <c r="C11527" s="5" t="s">
        <v>21</v>
      </c>
      <c r="K11527" s="5">
        <v>13000.0</v>
      </c>
      <c r="N11527" s="9">
        <v>46134.0</v>
      </c>
    </row>
    <row r="11528">
      <c r="A11528" s="5">
        <v>11527.0</v>
      </c>
      <c r="B11528" s="5" t="s">
        <v>11967</v>
      </c>
      <c r="C11528" s="5" t="s">
        <v>21</v>
      </c>
      <c r="K11528" s="5">
        <v>40.0</v>
      </c>
      <c r="N11528" s="9">
        <v>44763.0</v>
      </c>
    </row>
    <row r="11529">
      <c r="A11529" s="5">
        <v>11528.0</v>
      </c>
      <c r="B11529" s="5" t="s">
        <v>11968</v>
      </c>
      <c r="C11529" s="5" t="s">
        <v>21</v>
      </c>
      <c r="K11529" s="5">
        <v>1000.0</v>
      </c>
      <c r="N11529" s="9">
        <v>44629.0</v>
      </c>
    </row>
    <row r="11530">
      <c r="A11530" s="5">
        <v>11529.0</v>
      </c>
      <c r="B11530" s="5" t="s">
        <v>11969</v>
      </c>
      <c r="C11530" s="5" t="s">
        <v>21</v>
      </c>
      <c r="K11530" s="5">
        <v>50.0</v>
      </c>
      <c r="N11530" s="9">
        <v>44934.0</v>
      </c>
    </row>
    <row r="11531">
      <c r="A11531" s="5">
        <v>11530.0</v>
      </c>
      <c r="B11531" s="5" t="s">
        <v>11970</v>
      </c>
      <c r="C11531" s="5" t="s">
        <v>21</v>
      </c>
      <c r="K11531" s="5">
        <v>1000.0</v>
      </c>
      <c r="N11531" s="9">
        <v>44666.0</v>
      </c>
    </row>
    <row r="11532">
      <c r="A11532" s="5">
        <v>11531.0</v>
      </c>
      <c r="B11532" s="5" t="s">
        <v>11971</v>
      </c>
      <c r="C11532" s="5" t="s">
        <v>21</v>
      </c>
      <c r="K11532" s="5">
        <v>1300.0</v>
      </c>
      <c r="N11532" s="9">
        <v>45073.0</v>
      </c>
    </row>
    <row r="11533">
      <c r="A11533" s="5">
        <v>11532.0</v>
      </c>
      <c r="B11533" s="5" t="s">
        <v>11972</v>
      </c>
      <c r="C11533" s="5" t="s">
        <v>21</v>
      </c>
      <c r="K11533" s="5">
        <v>800.0</v>
      </c>
      <c r="N11533" s="9">
        <v>43939.0</v>
      </c>
    </row>
    <row r="11534">
      <c r="A11534" s="5">
        <v>11533.0</v>
      </c>
      <c r="B11534" s="5" t="s">
        <v>11973</v>
      </c>
      <c r="C11534" s="5" t="s">
        <v>21</v>
      </c>
      <c r="K11534" s="5">
        <v>150.0</v>
      </c>
      <c r="N11534" s="9">
        <v>44555.0</v>
      </c>
    </row>
    <row r="11535">
      <c r="A11535" s="5">
        <v>11534.0</v>
      </c>
      <c r="B11535" s="5" t="s">
        <v>11974</v>
      </c>
      <c r="C11535" s="5" t="s">
        <v>21</v>
      </c>
      <c r="K11535" s="5">
        <v>400.0</v>
      </c>
      <c r="N11535" s="9">
        <v>44622.0</v>
      </c>
    </row>
    <row r="11536">
      <c r="A11536" s="5">
        <v>11535.0</v>
      </c>
      <c r="B11536" s="5" t="s">
        <v>11975</v>
      </c>
      <c r="C11536" s="5" t="s">
        <v>21</v>
      </c>
      <c r="K11536" s="5">
        <v>300.0</v>
      </c>
      <c r="N11536" s="9">
        <v>44927.0</v>
      </c>
    </row>
    <row r="11537">
      <c r="A11537" s="5">
        <v>11536.0</v>
      </c>
      <c r="B11537" s="5" t="s">
        <v>11976</v>
      </c>
      <c r="C11537" s="5" t="s">
        <v>21</v>
      </c>
      <c r="K11537" s="5">
        <v>800.0</v>
      </c>
      <c r="N11537" s="9">
        <v>44590.0</v>
      </c>
    </row>
    <row r="11538">
      <c r="A11538" s="5">
        <v>11537.0</v>
      </c>
      <c r="B11538" s="5" t="s">
        <v>11977</v>
      </c>
      <c r="C11538" s="5" t="s">
        <v>21</v>
      </c>
      <c r="K11538" s="5">
        <v>30.0</v>
      </c>
      <c r="N11538" s="9">
        <v>45236.0</v>
      </c>
    </row>
    <row r="11539">
      <c r="A11539" s="5">
        <v>11538.0</v>
      </c>
      <c r="B11539" s="5" t="s">
        <v>11978</v>
      </c>
      <c r="C11539" s="5" t="s">
        <v>21</v>
      </c>
      <c r="K11539" s="5">
        <v>2000.0</v>
      </c>
      <c r="N11539" s="9">
        <v>44539.0</v>
      </c>
    </row>
    <row r="11540">
      <c r="A11540" s="5">
        <v>11539.0</v>
      </c>
      <c r="B11540" s="5" t="s">
        <v>11979</v>
      </c>
      <c r="C11540" s="5" t="s">
        <v>21</v>
      </c>
      <c r="K11540" s="5">
        <v>600.0</v>
      </c>
      <c r="N11540" s="9">
        <v>44710.0</v>
      </c>
    </row>
    <row r="11541">
      <c r="A11541" s="5">
        <v>11540.0</v>
      </c>
      <c r="B11541" s="5" t="s">
        <v>11980</v>
      </c>
      <c r="C11541" s="5" t="s">
        <v>21</v>
      </c>
      <c r="K11541" s="5">
        <v>3200.0</v>
      </c>
      <c r="N11541" s="9">
        <v>43923.0</v>
      </c>
    </row>
    <row r="11542">
      <c r="A11542" s="5">
        <v>11541.0</v>
      </c>
      <c r="B11542" s="5" t="s">
        <v>11981</v>
      </c>
      <c r="C11542" s="5" t="s">
        <v>21</v>
      </c>
      <c r="K11542" s="5">
        <v>250.0</v>
      </c>
      <c r="N11542" s="9">
        <v>44982.0</v>
      </c>
    </row>
    <row r="11543">
      <c r="A11543" s="5">
        <v>11542.0</v>
      </c>
      <c r="B11543" s="5" t="s">
        <v>11982</v>
      </c>
      <c r="C11543" s="5" t="s">
        <v>21</v>
      </c>
      <c r="K11543" s="5">
        <v>200.0</v>
      </c>
      <c r="N11543" s="9">
        <v>44932.0</v>
      </c>
    </row>
    <row r="11544">
      <c r="A11544" s="5">
        <v>11543.0</v>
      </c>
      <c r="B11544" s="5" t="s">
        <v>11983</v>
      </c>
      <c r="C11544" s="5" t="s">
        <v>21</v>
      </c>
      <c r="K11544" s="5">
        <v>900.0</v>
      </c>
      <c r="N11544" s="9">
        <v>44444.0</v>
      </c>
    </row>
    <row r="11545">
      <c r="A11545" s="5">
        <v>11544.0</v>
      </c>
      <c r="B11545" s="5" t="s">
        <v>11984</v>
      </c>
      <c r="C11545" s="5" t="s">
        <v>21</v>
      </c>
      <c r="K11545" s="5">
        <v>700.0</v>
      </c>
      <c r="N11545" s="9">
        <v>43873.0</v>
      </c>
    </row>
    <row r="11546">
      <c r="A11546" s="5">
        <v>11545.0</v>
      </c>
      <c r="B11546" s="5" t="s">
        <v>407</v>
      </c>
      <c r="C11546" s="5" t="s">
        <v>21</v>
      </c>
      <c r="K11546" s="5">
        <v>1000.0</v>
      </c>
      <c r="N11546" s="9">
        <v>43867.0</v>
      </c>
    </row>
    <row r="11547">
      <c r="A11547" s="5">
        <v>11546.0</v>
      </c>
      <c r="B11547" s="5" t="s">
        <v>11985</v>
      </c>
      <c r="C11547" s="5" t="s">
        <v>21</v>
      </c>
      <c r="K11547" s="5">
        <v>1200.0</v>
      </c>
      <c r="N11547" s="9">
        <v>43879.0</v>
      </c>
    </row>
    <row r="11548">
      <c r="A11548" s="5">
        <v>11547.0</v>
      </c>
      <c r="B11548" s="5" t="s">
        <v>11986</v>
      </c>
      <c r="C11548" s="5" t="s">
        <v>21</v>
      </c>
      <c r="K11548" s="5">
        <v>300.0</v>
      </c>
      <c r="N11548" s="9">
        <v>45783.0</v>
      </c>
    </row>
    <row r="11549">
      <c r="A11549" s="5">
        <v>11548.0</v>
      </c>
      <c r="B11549" s="5" t="s">
        <v>11987</v>
      </c>
      <c r="C11549" s="5" t="s">
        <v>21</v>
      </c>
      <c r="K11549" s="5">
        <v>500.0</v>
      </c>
      <c r="N11549" s="9">
        <v>44091.0</v>
      </c>
    </row>
    <row r="11550">
      <c r="A11550" s="5">
        <v>11549.0</v>
      </c>
      <c r="B11550" s="5" t="s">
        <v>11988</v>
      </c>
      <c r="C11550" s="5" t="s">
        <v>21</v>
      </c>
      <c r="N11550" s="9">
        <v>44523.0</v>
      </c>
    </row>
    <row r="11551">
      <c r="A11551" s="5">
        <v>11550.0</v>
      </c>
      <c r="B11551" s="5" t="s">
        <v>11989</v>
      </c>
      <c r="C11551" s="5" t="s">
        <v>21</v>
      </c>
      <c r="K11551" s="5">
        <v>80.0</v>
      </c>
      <c r="N11551" s="9">
        <v>45193.0</v>
      </c>
    </row>
    <row r="11552">
      <c r="A11552" s="5">
        <v>11551.0</v>
      </c>
      <c r="B11552" s="5" t="s">
        <v>11990</v>
      </c>
      <c r="C11552" s="5" t="s">
        <v>21</v>
      </c>
      <c r="K11552" s="5">
        <v>450.0</v>
      </c>
      <c r="N11552" s="9">
        <v>45275.0</v>
      </c>
    </row>
    <row r="11553">
      <c r="A11553" s="5">
        <v>11552.0</v>
      </c>
      <c r="B11553" s="5" t="s">
        <v>11991</v>
      </c>
      <c r="C11553" s="5" t="s">
        <v>21</v>
      </c>
      <c r="K11553" s="5">
        <v>30.0</v>
      </c>
      <c r="N11553" s="9">
        <v>44953.0</v>
      </c>
    </row>
    <row r="11554">
      <c r="A11554" s="5">
        <v>11553.0</v>
      </c>
      <c r="B11554" s="5" t="s">
        <v>11992</v>
      </c>
      <c r="C11554" s="5" t="s">
        <v>21</v>
      </c>
      <c r="K11554" s="5">
        <v>50.0</v>
      </c>
      <c r="N11554" s="9">
        <v>45157.0</v>
      </c>
    </row>
    <row r="11555">
      <c r="A11555" s="5">
        <v>11554.0</v>
      </c>
      <c r="B11555" s="5" t="s">
        <v>11993</v>
      </c>
      <c r="C11555" s="5" t="s">
        <v>21</v>
      </c>
      <c r="K11555" s="5">
        <v>900.0</v>
      </c>
      <c r="N11555" s="9">
        <v>44229.0</v>
      </c>
    </row>
    <row r="11556">
      <c r="A11556" s="5">
        <v>11555.0</v>
      </c>
      <c r="B11556" s="5" t="s">
        <v>11994</v>
      </c>
      <c r="C11556" s="5" t="s">
        <v>21</v>
      </c>
      <c r="K11556" s="5">
        <v>30.0</v>
      </c>
      <c r="N11556" s="9">
        <v>44321.0</v>
      </c>
    </row>
    <row r="11557">
      <c r="A11557" s="5">
        <v>11556.0</v>
      </c>
      <c r="B11557" s="5" t="s">
        <v>11995</v>
      </c>
      <c r="C11557" s="5" t="s">
        <v>21</v>
      </c>
      <c r="K11557" s="5">
        <v>800.0</v>
      </c>
      <c r="N11557" s="9">
        <v>45374.0</v>
      </c>
    </row>
    <row r="11558">
      <c r="A11558" s="5">
        <v>11557.0</v>
      </c>
      <c r="B11558" s="5" t="s">
        <v>11996</v>
      </c>
      <c r="C11558" s="5" t="s">
        <v>21</v>
      </c>
      <c r="K11558" s="5">
        <v>40.0</v>
      </c>
      <c r="N11558" s="9">
        <v>44183.0</v>
      </c>
    </row>
    <row r="11559">
      <c r="A11559" s="5">
        <v>11558.0</v>
      </c>
      <c r="B11559" s="5" t="s">
        <v>11997</v>
      </c>
      <c r="C11559" s="5" t="s">
        <v>21</v>
      </c>
      <c r="K11559" s="5">
        <v>500.0</v>
      </c>
      <c r="N11559" s="9">
        <v>44529.0</v>
      </c>
    </row>
    <row r="11560">
      <c r="A11560" s="5">
        <v>11559.0</v>
      </c>
      <c r="B11560" s="5" t="s">
        <v>11998</v>
      </c>
      <c r="C11560" s="5" t="s">
        <v>21</v>
      </c>
      <c r="K11560" s="5">
        <v>500.0</v>
      </c>
      <c r="N11560" s="9">
        <v>43844.0</v>
      </c>
    </row>
    <row r="11561">
      <c r="A11561" s="5">
        <v>11560.0</v>
      </c>
      <c r="B11561" s="5" t="s">
        <v>11999</v>
      </c>
      <c r="C11561" s="5" t="s">
        <v>21</v>
      </c>
      <c r="K11561" s="5">
        <v>900.0</v>
      </c>
      <c r="N11561" s="9">
        <v>44554.0</v>
      </c>
    </row>
    <row r="11562">
      <c r="A11562" s="5">
        <v>11561.0</v>
      </c>
      <c r="B11562" s="5" t="s">
        <v>12000</v>
      </c>
      <c r="C11562" s="5" t="s">
        <v>21</v>
      </c>
      <c r="K11562" s="5">
        <v>700.0</v>
      </c>
      <c r="N11562" s="9">
        <v>44564.0</v>
      </c>
    </row>
    <row r="11563">
      <c r="A11563" s="5">
        <v>11562.0</v>
      </c>
      <c r="B11563" s="5" t="s">
        <v>12001</v>
      </c>
      <c r="C11563" s="5" t="s">
        <v>21</v>
      </c>
      <c r="K11563" s="5">
        <v>900.0</v>
      </c>
      <c r="N11563" s="9">
        <v>44480.0</v>
      </c>
    </row>
    <row r="11564">
      <c r="A11564" s="5">
        <v>11563.0</v>
      </c>
      <c r="B11564" s="5" t="s">
        <v>12002</v>
      </c>
      <c r="C11564" s="5" t="s">
        <v>21</v>
      </c>
      <c r="K11564" s="5">
        <v>250.0</v>
      </c>
      <c r="N11564" s="9">
        <v>44437.0</v>
      </c>
    </row>
    <row r="11565">
      <c r="A11565" s="5">
        <v>11564.0</v>
      </c>
      <c r="B11565" s="5" t="s">
        <v>12003</v>
      </c>
      <c r="C11565" s="5" t="s">
        <v>21</v>
      </c>
      <c r="K11565" s="5">
        <v>4900.0</v>
      </c>
      <c r="N11565" s="9">
        <v>44042.0</v>
      </c>
    </row>
    <row r="11566">
      <c r="A11566" s="5">
        <v>11565.0</v>
      </c>
      <c r="B11566" s="5" t="s">
        <v>12004</v>
      </c>
      <c r="C11566" s="5" t="s">
        <v>21</v>
      </c>
      <c r="K11566" s="5">
        <v>250.0</v>
      </c>
      <c r="N11566" s="9">
        <v>45132.0</v>
      </c>
    </row>
    <row r="11567">
      <c r="A11567" s="5">
        <v>11566.0</v>
      </c>
      <c r="B11567" s="5" t="s">
        <v>12005</v>
      </c>
      <c r="C11567" s="5" t="s">
        <v>21</v>
      </c>
      <c r="K11567" s="5">
        <v>350.0</v>
      </c>
      <c r="N11567" s="9">
        <v>44684.0</v>
      </c>
    </row>
    <row r="11568">
      <c r="A11568" s="5">
        <v>11567.0</v>
      </c>
      <c r="B11568" s="5" t="s">
        <v>12006</v>
      </c>
      <c r="C11568" s="5" t="s">
        <v>21</v>
      </c>
      <c r="K11568" s="5">
        <v>150.0</v>
      </c>
      <c r="N11568" s="9">
        <v>44639.0</v>
      </c>
    </row>
    <row r="11569">
      <c r="A11569" s="5">
        <v>11568.0</v>
      </c>
      <c r="B11569" s="5" t="s">
        <v>12007</v>
      </c>
      <c r="C11569" s="5" t="s">
        <v>21</v>
      </c>
      <c r="K11569" s="5">
        <v>150.0</v>
      </c>
      <c r="N11569" s="9">
        <v>44222.0</v>
      </c>
    </row>
    <row r="11570">
      <c r="A11570" s="5">
        <v>11569.0</v>
      </c>
      <c r="B11570" s="5" t="s">
        <v>12008</v>
      </c>
      <c r="C11570" s="5" t="s">
        <v>21</v>
      </c>
      <c r="K11570" s="5">
        <v>250.0</v>
      </c>
      <c r="N11570" s="9">
        <v>44576.0</v>
      </c>
    </row>
    <row r="11571">
      <c r="A11571" s="5">
        <v>11570.0</v>
      </c>
      <c r="B11571" s="5" t="s">
        <v>12009</v>
      </c>
      <c r="C11571" s="5" t="s">
        <v>21</v>
      </c>
      <c r="K11571" s="5">
        <v>800.0</v>
      </c>
      <c r="N11571" s="9">
        <v>43930.0</v>
      </c>
    </row>
    <row r="11572">
      <c r="A11572" s="5">
        <v>11571.0</v>
      </c>
      <c r="B11572" s="5" t="s">
        <v>12010</v>
      </c>
      <c r="C11572" s="5" t="s">
        <v>21</v>
      </c>
      <c r="K11572" s="5">
        <v>150.0</v>
      </c>
      <c r="N11572" s="9">
        <v>44647.0</v>
      </c>
    </row>
    <row r="11573">
      <c r="A11573" s="5">
        <v>11572.0</v>
      </c>
      <c r="B11573" s="5" t="s">
        <v>12011</v>
      </c>
      <c r="C11573" s="5" t="s">
        <v>21</v>
      </c>
      <c r="K11573" s="5">
        <v>1500.0</v>
      </c>
      <c r="N11573" s="9">
        <v>44520.0</v>
      </c>
    </row>
    <row r="11574">
      <c r="A11574" s="5">
        <v>11573.0</v>
      </c>
      <c r="B11574" s="5" t="s">
        <v>12012</v>
      </c>
      <c r="C11574" s="5" t="s">
        <v>21</v>
      </c>
      <c r="K11574" s="5">
        <v>250.0</v>
      </c>
      <c r="N11574" s="9">
        <v>44759.0</v>
      </c>
    </row>
    <row r="11575">
      <c r="A11575" s="5">
        <v>11574.0</v>
      </c>
      <c r="B11575" s="5" t="s">
        <v>12013</v>
      </c>
      <c r="C11575" s="5" t="s">
        <v>21</v>
      </c>
      <c r="K11575" s="5">
        <v>400.0</v>
      </c>
      <c r="N11575" s="9">
        <v>45150.0</v>
      </c>
    </row>
    <row r="11576">
      <c r="A11576" s="5">
        <v>11575.0</v>
      </c>
      <c r="B11576" s="5" t="s">
        <v>12014</v>
      </c>
      <c r="C11576" s="5" t="s">
        <v>21</v>
      </c>
      <c r="K11576" s="5">
        <v>6700.0</v>
      </c>
      <c r="N11576" s="9">
        <v>43855.0</v>
      </c>
    </row>
    <row r="11577">
      <c r="A11577" s="5">
        <v>11576.0</v>
      </c>
      <c r="B11577" s="5" t="s">
        <v>12015</v>
      </c>
      <c r="C11577" s="5" t="s">
        <v>21</v>
      </c>
      <c r="K11577" s="5">
        <v>1000.0</v>
      </c>
      <c r="N11577" s="9">
        <v>44065.0</v>
      </c>
    </row>
    <row r="11578">
      <c r="A11578" s="5">
        <v>11577.0</v>
      </c>
      <c r="B11578" s="5" t="s">
        <v>12016</v>
      </c>
      <c r="C11578" s="5" t="s">
        <v>21</v>
      </c>
      <c r="K11578" s="5">
        <v>150.0</v>
      </c>
      <c r="N11578" s="9">
        <v>45175.0</v>
      </c>
    </row>
    <row r="11579">
      <c r="A11579" s="5">
        <v>11578.0</v>
      </c>
      <c r="B11579" s="5" t="s">
        <v>12017</v>
      </c>
      <c r="C11579" s="5" t="s">
        <v>21</v>
      </c>
      <c r="K11579" s="5">
        <v>28000.0</v>
      </c>
      <c r="N11579" s="9">
        <v>43871.0</v>
      </c>
    </row>
    <row r="11580">
      <c r="A11580" s="5">
        <v>11579.0</v>
      </c>
      <c r="B11580" s="5" t="s">
        <v>12018</v>
      </c>
      <c r="C11580" s="5" t="s">
        <v>21</v>
      </c>
      <c r="N11580" s="9">
        <v>44573.0</v>
      </c>
    </row>
    <row r="11581">
      <c r="A11581" s="5">
        <v>11580.0</v>
      </c>
      <c r="B11581" s="5" t="s">
        <v>12019</v>
      </c>
      <c r="C11581" s="5" t="s">
        <v>21</v>
      </c>
      <c r="K11581" s="5">
        <v>150.0</v>
      </c>
      <c r="N11581" s="9">
        <v>44533.0</v>
      </c>
    </row>
    <row r="11582">
      <c r="A11582" s="5">
        <v>11581.0</v>
      </c>
      <c r="B11582" s="5" t="s">
        <v>12020</v>
      </c>
      <c r="C11582" s="5" t="s">
        <v>21</v>
      </c>
      <c r="K11582" s="5">
        <v>3400.0</v>
      </c>
      <c r="N11582" s="9">
        <v>44523.0</v>
      </c>
    </row>
    <row r="11583">
      <c r="A11583" s="5">
        <v>11582.0</v>
      </c>
      <c r="B11583" s="5" t="s">
        <v>12021</v>
      </c>
      <c r="C11583" s="5" t="s">
        <v>21</v>
      </c>
      <c r="K11583" s="5">
        <v>500.0</v>
      </c>
      <c r="N11583" s="9">
        <v>44520.0</v>
      </c>
    </row>
    <row r="11584">
      <c r="A11584" s="5">
        <v>11583.0</v>
      </c>
      <c r="B11584" s="5" t="s">
        <v>12022</v>
      </c>
      <c r="C11584" s="5" t="s">
        <v>21</v>
      </c>
      <c r="K11584" s="5">
        <v>350.0</v>
      </c>
      <c r="N11584" s="9">
        <v>44540.0</v>
      </c>
    </row>
    <row r="11585">
      <c r="A11585" s="5">
        <v>11584.0</v>
      </c>
      <c r="B11585" s="5" t="s">
        <v>12023</v>
      </c>
      <c r="C11585" s="5" t="s">
        <v>21</v>
      </c>
      <c r="K11585" s="5">
        <v>1600.0</v>
      </c>
      <c r="N11585" s="9">
        <v>44550.0</v>
      </c>
    </row>
    <row r="11586">
      <c r="A11586" s="5">
        <v>11585.0</v>
      </c>
      <c r="B11586" s="5" t="s">
        <v>12024</v>
      </c>
      <c r="C11586" s="5" t="s">
        <v>21</v>
      </c>
      <c r="K11586" s="5">
        <v>1300.0</v>
      </c>
      <c r="N11586" s="9">
        <v>44256.0</v>
      </c>
    </row>
    <row r="11587">
      <c r="A11587" s="5">
        <v>11586.0</v>
      </c>
      <c r="B11587" s="5" t="s">
        <v>12025</v>
      </c>
      <c r="C11587" s="5" t="s">
        <v>21</v>
      </c>
      <c r="K11587" s="5">
        <v>150.0</v>
      </c>
      <c r="N11587" s="9">
        <v>44343.0</v>
      </c>
    </row>
    <row r="11588">
      <c r="A11588" s="5">
        <v>11587.0</v>
      </c>
      <c r="B11588" s="5" t="s">
        <v>12026</v>
      </c>
      <c r="C11588" s="5" t="s">
        <v>21</v>
      </c>
      <c r="K11588" s="5">
        <v>30.0</v>
      </c>
      <c r="N11588" s="9">
        <v>45624.0</v>
      </c>
    </row>
    <row r="11589">
      <c r="A11589" s="5">
        <v>11588.0</v>
      </c>
      <c r="B11589" s="5" t="s">
        <v>12027</v>
      </c>
      <c r="C11589" s="5" t="s">
        <v>21</v>
      </c>
      <c r="K11589" s="5">
        <v>10.0</v>
      </c>
      <c r="N11589" s="9">
        <v>44536.0</v>
      </c>
    </row>
    <row r="11590">
      <c r="A11590" s="5">
        <v>11589.0</v>
      </c>
      <c r="B11590" s="5" t="s">
        <v>12028</v>
      </c>
      <c r="C11590" s="5" t="s">
        <v>21</v>
      </c>
      <c r="K11590" s="5">
        <v>300.0</v>
      </c>
      <c r="N11590" s="9">
        <v>44836.0</v>
      </c>
    </row>
    <row r="11591">
      <c r="A11591" s="5">
        <v>11590.0</v>
      </c>
      <c r="B11591" s="5" t="s">
        <v>12029</v>
      </c>
      <c r="C11591" s="5" t="s">
        <v>21</v>
      </c>
      <c r="K11591" s="5">
        <v>800.0</v>
      </c>
      <c r="N11591" s="9">
        <v>45454.0</v>
      </c>
    </row>
    <row r="11592">
      <c r="A11592" s="5">
        <v>11591.0</v>
      </c>
      <c r="B11592" s="5" t="s">
        <v>12030</v>
      </c>
      <c r="C11592" s="5" t="s">
        <v>21</v>
      </c>
      <c r="K11592" s="5">
        <v>200.0</v>
      </c>
      <c r="N11592" s="9">
        <v>44659.0</v>
      </c>
    </row>
    <row r="11593">
      <c r="A11593" s="5">
        <v>11592.0</v>
      </c>
      <c r="B11593" s="5" t="s">
        <v>12031</v>
      </c>
      <c r="C11593" s="5" t="s">
        <v>21</v>
      </c>
      <c r="K11593" s="5">
        <v>200.0</v>
      </c>
      <c r="N11593" s="9">
        <v>44629.0</v>
      </c>
    </row>
    <row r="11594">
      <c r="A11594" s="5">
        <v>11593.0</v>
      </c>
      <c r="B11594" s="5" t="s">
        <v>12032</v>
      </c>
      <c r="C11594" s="5" t="s">
        <v>21</v>
      </c>
      <c r="K11594" s="5">
        <v>1100.0</v>
      </c>
      <c r="N11594" s="9">
        <v>44579.0</v>
      </c>
    </row>
    <row r="11595">
      <c r="A11595" s="5">
        <v>11594.0</v>
      </c>
      <c r="B11595" s="5" t="s">
        <v>12033</v>
      </c>
      <c r="C11595" s="5" t="s">
        <v>21</v>
      </c>
      <c r="K11595" s="5">
        <v>8900.0</v>
      </c>
      <c r="N11595" s="9">
        <v>44606.0</v>
      </c>
    </row>
    <row r="11596">
      <c r="A11596" s="5">
        <v>11595.0</v>
      </c>
      <c r="B11596" s="5" t="s">
        <v>12034</v>
      </c>
      <c r="C11596" s="5" t="s">
        <v>21</v>
      </c>
      <c r="K11596" s="5">
        <v>600.0</v>
      </c>
      <c r="N11596" s="9">
        <v>44022.0</v>
      </c>
    </row>
    <row r="11597">
      <c r="A11597" s="5">
        <v>11596.0</v>
      </c>
      <c r="B11597" s="5" t="s">
        <v>12035</v>
      </c>
      <c r="C11597" s="5" t="s">
        <v>21</v>
      </c>
      <c r="K11597" s="5">
        <v>40.0</v>
      </c>
      <c r="N11597" s="9">
        <v>45107.0</v>
      </c>
    </row>
    <row r="11598">
      <c r="A11598" s="5">
        <v>11597.0</v>
      </c>
      <c r="B11598" s="5" t="s">
        <v>12036</v>
      </c>
      <c r="C11598" s="5" t="s">
        <v>21</v>
      </c>
      <c r="K11598" s="5">
        <v>800.0</v>
      </c>
      <c r="N11598" s="9">
        <v>44064.0</v>
      </c>
    </row>
    <row r="11599">
      <c r="A11599" s="5">
        <v>11598.0</v>
      </c>
      <c r="B11599" s="5" t="s">
        <v>12037</v>
      </c>
      <c r="C11599" s="5" t="s">
        <v>21</v>
      </c>
      <c r="K11599" s="5">
        <v>1500.0</v>
      </c>
      <c r="N11599" s="9">
        <v>44261.0</v>
      </c>
    </row>
    <row r="11600">
      <c r="A11600" s="5">
        <v>11599.0</v>
      </c>
      <c r="B11600" s="5" t="s">
        <v>12038</v>
      </c>
      <c r="C11600" s="5" t="s">
        <v>21</v>
      </c>
      <c r="K11600" s="5">
        <v>4800.0</v>
      </c>
      <c r="N11600" s="9">
        <v>44075.0</v>
      </c>
    </row>
    <row r="11601">
      <c r="A11601" s="5">
        <v>11600.0</v>
      </c>
      <c r="B11601" s="5" t="s">
        <v>12039</v>
      </c>
      <c r="C11601" s="5" t="s">
        <v>21</v>
      </c>
      <c r="K11601" s="5">
        <v>90.0</v>
      </c>
      <c r="N11601" s="9">
        <v>44738.0</v>
      </c>
    </row>
    <row r="11602">
      <c r="A11602" s="5">
        <v>11601.0</v>
      </c>
      <c r="B11602" s="5" t="s">
        <v>12040</v>
      </c>
      <c r="C11602" s="5" t="s">
        <v>21</v>
      </c>
      <c r="K11602" s="5">
        <v>1400.0</v>
      </c>
      <c r="N11602" s="9">
        <v>44550.0</v>
      </c>
    </row>
    <row r="11603">
      <c r="A11603" s="5">
        <v>11602.0</v>
      </c>
      <c r="B11603" s="5" t="s">
        <v>12041</v>
      </c>
      <c r="C11603" s="5" t="s">
        <v>21</v>
      </c>
      <c r="K11603" s="5">
        <v>3600.0</v>
      </c>
      <c r="N11603" s="9">
        <v>43881.0</v>
      </c>
    </row>
    <row r="11604">
      <c r="A11604" s="5">
        <v>11603.0</v>
      </c>
      <c r="B11604" s="5" t="s">
        <v>12042</v>
      </c>
      <c r="C11604" s="5" t="s">
        <v>21</v>
      </c>
      <c r="K11604" s="5">
        <v>200.0</v>
      </c>
      <c r="N11604" s="9">
        <v>45352.0</v>
      </c>
    </row>
    <row r="11605">
      <c r="A11605" s="5">
        <v>11604.0</v>
      </c>
      <c r="B11605" s="5" t="s">
        <v>376</v>
      </c>
      <c r="C11605" s="5" t="s">
        <v>21</v>
      </c>
      <c r="K11605" s="5">
        <v>8900.0</v>
      </c>
      <c r="N11605" s="9">
        <v>44111.0</v>
      </c>
    </row>
    <row r="11606">
      <c r="A11606" s="5">
        <v>11605.0</v>
      </c>
      <c r="B11606" s="5" t="s">
        <v>12043</v>
      </c>
      <c r="C11606" s="5" t="s">
        <v>21</v>
      </c>
      <c r="K11606" s="5">
        <v>250.0</v>
      </c>
      <c r="N11606" s="9">
        <v>45065.0</v>
      </c>
    </row>
    <row r="11607">
      <c r="A11607" s="5">
        <v>11606.0</v>
      </c>
      <c r="B11607" s="5" t="s">
        <v>12044</v>
      </c>
      <c r="C11607" s="5" t="s">
        <v>21</v>
      </c>
      <c r="K11607" s="5">
        <v>5900.0</v>
      </c>
      <c r="N11607" s="9">
        <v>43975.0</v>
      </c>
    </row>
    <row r="11608">
      <c r="A11608" s="5">
        <v>11607.0</v>
      </c>
      <c r="B11608" s="5" t="s">
        <v>12045</v>
      </c>
      <c r="C11608" s="5" t="s">
        <v>21</v>
      </c>
      <c r="K11608" s="5">
        <v>70.0</v>
      </c>
      <c r="N11608" s="9">
        <v>44682.0</v>
      </c>
    </row>
    <row r="11609">
      <c r="A11609" s="5">
        <v>11608.0</v>
      </c>
      <c r="B11609" s="5" t="s">
        <v>12046</v>
      </c>
      <c r="C11609" s="5" t="s">
        <v>21</v>
      </c>
      <c r="K11609" s="5">
        <v>250.0</v>
      </c>
      <c r="N11609" s="9">
        <v>45393.0</v>
      </c>
    </row>
    <row r="11610">
      <c r="A11610" s="5">
        <v>11609.0</v>
      </c>
      <c r="B11610" s="5" t="s">
        <v>12047</v>
      </c>
      <c r="C11610" s="5" t="s">
        <v>21</v>
      </c>
      <c r="K11610" s="5">
        <v>100.0</v>
      </c>
      <c r="N11610" s="9">
        <v>45387.0</v>
      </c>
    </row>
    <row r="11611">
      <c r="A11611" s="5">
        <v>11610.0</v>
      </c>
      <c r="B11611" s="5" t="s">
        <v>12048</v>
      </c>
      <c r="C11611" s="5" t="s">
        <v>21</v>
      </c>
      <c r="K11611" s="5">
        <v>70.0</v>
      </c>
      <c r="N11611" s="9">
        <v>44419.0</v>
      </c>
    </row>
    <row r="11612">
      <c r="A11612" s="5">
        <v>11611.0</v>
      </c>
      <c r="B11612" s="5" t="s">
        <v>12049</v>
      </c>
      <c r="C11612" s="5" t="s">
        <v>21</v>
      </c>
      <c r="K11612" s="5">
        <v>700.0</v>
      </c>
      <c r="N11612" s="9">
        <v>44390.0</v>
      </c>
    </row>
    <row r="11613">
      <c r="A11613" s="5">
        <v>11612.0</v>
      </c>
      <c r="B11613" s="5" t="s">
        <v>12050</v>
      </c>
      <c r="C11613" s="5" t="s">
        <v>21</v>
      </c>
      <c r="K11613" s="5">
        <v>1400.0</v>
      </c>
      <c r="N11613" s="9">
        <v>44477.0</v>
      </c>
    </row>
    <row r="11614">
      <c r="A11614" s="5">
        <v>11613.0</v>
      </c>
      <c r="B11614" s="5" t="s">
        <v>12051</v>
      </c>
      <c r="C11614" s="5" t="s">
        <v>21</v>
      </c>
      <c r="N11614" s="9">
        <v>44523.0</v>
      </c>
    </row>
    <row r="11615">
      <c r="A11615" s="5">
        <v>11614.0</v>
      </c>
      <c r="B11615" s="5" t="s">
        <v>12052</v>
      </c>
      <c r="C11615" s="5" t="s">
        <v>21</v>
      </c>
      <c r="K11615" s="5">
        <v>70.0</v>
      </c>
      <c r="N11615" s="9">
        <v>45187.0</v>
      </c>
    </row>
    <row r="11616">
      <c r="A11616" s="5">
        <v>11615.0</v>
      </c>
      <c r="B11616" s="5" t="s">
        <v>12053</v>
      </c>
      <c r="C11616" s="5" t="s">
        <v>21</v>
      </c>
      <c r="K11616" s="5">
        <v>150.0</v>
      </c>
      <c r="N11616" s="9">
        <v>44569.0</v>
      </c>
    </row>
    <row r="11617">
      <c r="A11617" s="5">
        <v>11616.0</v>
      </c>
      <c r="B11617" s="5" t="s">
        <v>12054</v>
      </c>
      <c r="C11617" s="5" t="s">
        <v>21</v>
      </c>
      <c r="K11617" s="5">
        <v>800.0</v>
      </c>
      <c r="N11617" s="9">
        <v>44537.0</v>
      </c>
    </row>
    <row r="11618">
      <c r="A11618" s="5">
        <v>11617.0</v>
      </c>
      <c r="B11618" s="5" t="s">
        <v>12055</v>
      </c>
      <c r="C11618" s="5" t="s">
        <v>21</v>
      </c>
      <c r="K11618" s="5">
        <v>200.0</v>
      </c>
      <c r="N11618" s="9">
        <v>45238.0</v>
      </c>
    </row>
    <row r="11619">
      <c r="A11619" s="5">
        <v>11618.0</v>
      </c>
      <c r="B11619" s="5" t="s">
        <v>12056</v>
      </c>
      <c r="C11619" s="5" t="s">
        <v>21</v>
      </c>
      <c r="N11619" s="9">
        <v>44529.0</v>
      </c>
    </row>
    <row r="11620">
      <c r="A11620" s="5">
        <v>11619.0</v>
      </c>
      <c r="B11620" s="5" t="s">
        <v>12057</v>
      </c>
      <c r="C11620" s="5" t="s">
        <v>21</v>
      </c>
      <c r="K11620" s="5">
        <v>200.0</v>
      </c>
      <c r="N11620" s="9">
        <v>44388.0</v>
      </c>
    </row>
    <row r="11621">
      <c r="A11621" s="5">
        <v>11620.0</v>
      </c>
      <c r="B11621" s="5" t="s">
        <v>12058</v>
      </c>
      <c r="C11621" s="5" t="s">
        <v>21</v>
      </c>
      <c r="K11621" s="5">
        <v>900.0</v>
      </c>
      <c r="N11621" s="9">
        <v>44336.0</v>
      </c>
    </row>
    <row r="11622">
      <c r="A11622" s="5">
        <v>11621.0</v>
      </c>
      <c r="B11622" s="5" t="s">
        <v>12059</v>
      </c>
      <c r="C11622" s="5" t="s">
        <v>21</v>
      </c>
      <c r="K11622" s="5">
        <v>450.0</v>
      </c>
      <c r="N11622" s="9">
        <v>44911.0</v>
      </c>
    </row>
    <row r="11623">
      <c r="A11623" s="5">
        <v>11622.0</v>
      </c>
      <c r="B11623" s="5" t="s">
        <v>12060</v>
      </c>
      <c r="C11623" s="5" t="s">
        <v>21</v>
      </c>
      <c r="K11623" s="5">
        <v>350.0</v>
      </c>
      <c r="N11623" s="9">
        <v>44453.0</v>
      </c>
    </row>
    <row r="11624">
      <c r="A11624" s="5">
        <v>11623.0</v>
      </c>
      <c r="B11624" s="5" t="s">
        <v>12061</v>
      </c>
      <c r="C11624" s="5" t="s">
        <v>21</v>
      </c>
      <c r="K11624" s="5">
        <v>300.0</v>
      </c>
      <c r="N11624" s="9">
        <v>44889.0</v>
      </c>
    </row>
    <row r="11625">
      <c r="A11625" s="5">
        <v>11624.0</v>
      </c>
      <c r="B11625" s="5" t="s">
        <v>12062</v>
      </c>
      <c r="C11625" s="5" t="s">
        <v>21</v>
      </c>
      <c r="K11625" s="5">
        <v>250.0</v>
      </c>
      <c r="N11625" s="9">
        <v>43951.0</v>
      </c>
    </row>
    <row r="11626">
      <c r="A11626" s="5">
        <v>11625.0</v>
      </c>
      <c r="B11626" s="5" t="s">
        <v>12063</v>
      </c>
      <c r="C11626" s="5" t="s">
        <v>21</v>
      </c>
      <c r="K11626" s="5">
        <v>150.0</v>
      </c>
      <c r="N11626" s="9">
        <v>44601.0</v>
      </c>
    </row>
    <row r="11627">
      <c r="A11627" s="5">
        <v>11626.0</v>
      </c>
      <c r="B11627" s="5" t="s">
        <v>12064</v>
      </c>
      <c r="C11627" s="5" t="s">
        <v>21</v>
      </c>
      <c r="K11627" s="5">
        <v>150.0</v>
      </c>
      <c r="N11627" s="9">
        <v>45267.0</v>
      </c>
    </row>
    <row r="11628">
      <c r="A11628" s="5">
        <v>11627.0</v>
      </c>
      <c r="B11628" s="5" t="s">
        <v>12065</v>
      </c>
      <c r="C11628" s="5" t="s">
        <v>21</v>
      </c>
      <c r="K11628" s="5">
        <v>200.0</v>
      </c>
      <c r="N11628" s="9">
        <v>45501.0</v>
      </c>
    </row>
    <row r="11629">
      <c r="A11629" s="5">
        <v>11628.0</v>
      </c>
      <c r="B11629" s="5" t="s">
        <v>12066</v>
      </c>
      <c r="C11629" s="5" t="s">
        <v>21</v>
      </c>
      <c r="K11629" s="5">
        <v>300.0</v>
      </c>
      <c r="N11629" s="9">
        <v>44737.0</v>
      </c>
    </row>
    <row r="11630">
      <c r="A11630" s="5">
        <v>11629.0</v>
      </c>
      <c r="B11630" s="5" t="s">
        <v>12067</v>
      </c>
      <c r="C11630" s="5" t="s">
        <v>21</v>
      </c>
      <c r="K11630" s="5">
        <v>100.0</v>
      </c>
      <c r="N11630" s="9">
        <v>44457.0</v>
      </c>
    </row>
    <row r="11631">
      <c r="A11631" s="5">
        <v>11630.0</v>
      </c>
      <c r="B11631" s="5" t="s">
        <v>12068</v>
      </c>
      <c r="C11631" s="5" t="s">
        <v>21</v>
      </c>
      <c r="K11631" s="5">
        <v>500.0</v>
      </c>
      <c r="N11631" s="9">
        <v>43893.0</v>
      </c>
    </row>
    <row r="11632">
      <c r="A11632" s="5">
        <v>11631.0</v>
      </c>
      <c r="B11632" s="5" t="s">
        <v>12069</v>
      </c>
      <c r="C11632" s="5" t="s">
        <v>21</v>
      </c>
      <c r="K11632" s="5">
        <v>30.0</v>
      </c>
      <c r="N11632" s="9">
        <v>43967.0</v>
      </c>
    </row>
    <row r="11633">
      <c r="A11633" s="5">
        <v>11632.0</v>
      </c>
      <c r="B11633" s="5" t="s">
        <v>12070</v>
      </c>
      <c r="C11633" s="5" t="s">
        <v>21</v>
      </c>
      <c r="K11633" s="5">
        <v>250.0</v>
      </c>
      <c r="N11633" s="9">
        <v>44743.0</v>
      </c>
    </row>
    <row r="11634">
      <c r="A11634" s="5">
        <v>11633.0</v>
      </c>
      <c r="B11634" s="5" t="s">
        <v>12071</v>
      </c>
      <c r="C11634" s="5" t="s">
        <v>21</v>
      </c>
      <c r="K11634" s="5">
        <v>90.0</v>
      </c>
      <c r="N11634" s="9">
        <v>45462.0</v>
      </c>
    </row>
    <row r="11635">
      <c r="A11635" s="5">
        <v>11634.0</v>
      </c>
      <c r="B11635" s="5" t="s">
        <v>12072</v>
      </c>
      <c r="C11635" s="5" t="s">
        <v>21</v>
      </c>
      <c r="K11635" s="5">
        <v>400.0</v>
      </c>
      <c r="N11635" s="9">
        <v>45254.0</v>
      </c>
    </row>
    <row r="11636">
      <c r="A11636" s="5">
        <v>11635.0</v>
      </c>
      <c r="B11636" s="5" t="s">
        <v>12073</v>
      </c>
      <c r="C11636" s="5" t="s">
        <v>21</v>
      </c>
      <c r="K11636" s="5">
        <v>80.0</v>
      </c>
      <c r="N11636" s="9">
        <v>44698.0</v>
      </c>
    </row>
    <row r="11637">
      <c r="A11637" s="5">
        <v>11636.0</v>
      </c>
      <c r="B11637" s="5" t="s">
        <v>12074</v>
      </c>
      <c r="C11637" s="5" t="s">
        <v>21</v>
      </c>
      <c r="K11637" s="5">
        <v>6800.0</v>
      </c>
      <c r="N11637" s="9">
        <v>45331.0</v>
      </c>
    </row>
    <row r="11638">
      <c r="A11638" s="5">
        <v>11637.0</v>
      </c>
      <c r="B11638" s="5" t="s">
        <v>12075</v>
      </c>
      <c r="C11638" s="5" t="s">
        <v>21</v>
      </c>
      <c r="K11638" s="5">
        <v>70.0</v>
      </c>
      <c r="N11638" s="9">
        <v>45039.0</v>
      </c>
    </row>
    <row r="11639">
      <c r="A11639" s="5">
        <v>11638.0</v>
      </c>
      <c r="B11639" s="5" t="s">
        <v>12076</v>
      </c>
      <c r="C11639" s="5" t="s">
        <v>21</v>
      </c>
      <c r="K11639" s="5">
        <v>50.0</v>
      </c>
      <c r="N11639" s="9">
        <v>44114.0</v>
      </c>
    </row>
    <row r="11640">
      <c r="A11640" s="5">
        <v>11639.0</v>
      </c>
      <c r="B11640" s="5" t="s">
        <v>12077</v>
      </c>
      <c r="C11640" s="5" t="s">
        <v>21</v>
      </c>
      <c r="K11640" s="5">
        <v>100.0</v>
      </c>
      <c r="N11640" s="9">
        <v>44618.0</v>
      </c>
    </row>
    <row r="11641">
      <c r="A11641" s="5">
        <v>11640.0</v>
      </c>
      <c r="B11641" s="5" t="s">
        <v>12078</v>
      </c>
      <c r="C11641" s="5" t="s">
        <v>21</v>
      </c>
      <c r="K11641" s="5">
        <v>30.0</v>
      </c>
      <c r="N11641" s="9">
        <v>45604.0</v>
      </c>
    </row>
    <row r="11642">
      <c r="A11642" s="5">
        <v>11641.0</v>
      </c>
      <c r="B11642" s="5" t="s">
        <v>12079</v>
      </c>
      <c r="C11642" s="5" t="s">
        <v>21</v>
      </c>
      <c r="N11642" s="9">
        <v>44518.0</v>
      </c>
    </row>
    <row r="11643">
      <c r="A11643" s="5">
        <v>11642.0</v>
      </c>
      <c r="B11643" s="5" t="s">
        <v>12080</v>
      </c>
      <c r="C11643" s="5" t="s">
        <v>21</v>
      </c>
      <c r="K11643" s="5">
        <v>200.0</v>
      </c>
      <c r="N11643" s="9">
        <v>44627.0</v>
      </c>
    </row>
    <row r="11644">
      <c r="A11644" s="5">
        <v>11643.0</v>
      </c>
      <c r="B11644" s="5" t="s">
        <v>12081</v>
      </c>
      <c r="C11644" s="5" t="s">
        <v>21</v>
      </c>
      <c r="K11644" s="5">
        <v>700.0</v>
      </c>
      <c r="N11644" s="9">
        <v>44543.0</v>
      </c>
    </row>
    <row r="11645">
      <c r="A11645" s="5">
        <v>11644.0</v>
      </c>
      <c r="B11645" s="5" t="s">
        <v>12082</v>
      </c>
      <c r="C11645" s="5" t="s">
        <v>21</v>
      </c>
      <c r="K11645" s="5">
        <v>600.0</v>
      </c>
      <c r="N11645" s="9">
        <v>44227.0</v>
      </c>
    </row>
    <row r="11646">
      <c r="A11646" s="5">
        <v>11645.0</v>
      </c>
      <c r="B11646" s="5" t="s">
        <v>12083</v>
      </c>
      <c r="C11646" s="5" t="s">
        <v>21</v>
      </c>
      <c r="K11646" s="5">
        <v>700.0</v>
      </c>
      <c r="N11646" s="9">
        <v>44400.0</v>
      </c>
    </row>
    <row r="11647">
      <c r="A11647" s="5">
        <v>11646.0</v>
      </c>
      <c r="B11647" s="5" t="s">
        <v>12084</v>
      </c>
      <c r="C11647" s="5" t="s">
        <v>21</v>
      </c>
      <c r="K11647" s="5">
        <v>250.0</v>
      </c>
      <c r="N11647" s="9">
        <v>44559.0</v>
      </c>
    </row>
    <row r="11648">
      <c r="A11648" s="5">
        <v>11647.0</v>
      </c>
      <c r="B11648" s="5" t="s">
        <v>12085</v>
      </c>
      <c r="C11648" s="5" t="s">
        <v>21</v>
      </c>
      <c r="K11648" s="5">
        <v>60.0</v>
      </c>
      <c r="N11648" s="9">
        <v>44701.0</v>
      </c>
    </row>
    <row r="11649">
      <c r="A11649" s="5">
        <v>11648.0</v>
      </c>
      <c r="B11649" s="5" t="s">
        <v>12086</v>
      </c>
      <c r="C11649" s="5" t="s">
        <v>21</v>
      </c>
      <c r="K11649" s="5">
        <v>200.0</v>
      </c>
      <c r="N11649" s="9">
        <v>44148.0</v>
      </c>
    </row>
    <row r="11650">
      <c r="A11650" s="5">
        <v>11649.0</v>
      </c>
      <c r="B11650" s="5" t="s">
        <v>12087</v>
      </c>
      <c r="C11650" s="5" t="s">
        <v>21</v>
      </c>
      <c r="K11650" s="5">
        <v>30.0</v>
      </c>
      <c r="N11650" s="9">
        <v>44732.0</v>
      </c>
    </row>
    <row r="11651">
      <c r="A11651" s="5">
        <v>11650.0</v>
      </c>
      <c r="B11651" s="5" t="s">
        <v>12088</v>
      </c>
      <c r="C11651" s="5" t="s">
        <v>21</v>
      </c>
      <c r="K11651" s="5">
        <v>350.0</v>
      </c>
      <c r="N11651" s="9">
        <v>44532.0</v>
      </c>
    </row>
    <row r="11652">
      <c r="A11652" s="5">
        <v>11651.0</v>
      </c>
      <c r="B11652" s="5" t="s">
        <v>12089</v>
      </c>
      <c r="C11652" s="5" t="s">
        <v>21</v>
      </c>
      <c r="K11652" s="5">
        <v>8700.0</v>
      </c>
      <c r="N11652" s="9">
        <v>44439.0</v>
      </c>
    </row>
    <row r="11653">
      <c r="A11653" s="5">
        <v>11652.0</v>
      </c>
      <c r="B11653" s="5" t="s">
        <v>12090</v>
      </c>
      <c r="C11653" s="5" t="s">
        <v>21</v>
      </c>
      <c r="K11653" s="5">
        <v>150.0</v>
      </c>
      <c r="N11653" s="9">
        <v>44590.0</v>
      </c>
    </row>
    <row r="11654">
      <c r="A11654" s="5">
        <v>11653.0</v>
      </c>
      <c r="B11654" s="5" t="s">
        <v>12091</v>
      </c>
      <c r="C11654" s="5" t="s">
        <v>21</v>
      </c>
      <c r="K11654" s="5">
        <v>500.0</v>
      </c>
      <c r="N11654" s="9">
        <v>44764.0</v>
      </c>
    </row>
    <row r="11655">
      <c r="A11655" s="5">
        <v>11654.0</v>
      </c>
      <c r="B11655" s="5" t="s">
        <v>12092</v>
      </c>
      <c r="C11655" s="5" t="s">
        <v>21</v>
      </c>
      <c r="K11655" s="5">
        <v>50.0</v>
      </c>
      <c r="N11655" s="9">
        <v>45312.0</v>
      </c>
    </row>
    <row r="11656">
      <c r="A11656" s="5">
        <v>11655.0</v>
      </c>
      <c r="B11656" s="5" t="s">
        <v>12093</v>
      </c>
      <c r="C11656" s="5" t="s">
        <v>21</v>
      </c>
      <c r="K11656" s="5">
        <v>50.0</v>
      </c>
      <c r="N11656" s="9">
        <v>44585.0</v>
      </c>
    </row>
    <row r="11657">
      <c r="A11657" s="5">
        <v>11656.0</v>
      </c>
      <c r="B11657" s="5" t="s">
        <v>12094</v>
      </c>
      <c r="C11657" s="5" t="s">
        <v>21</v>
      </c>
      <c r="N11657" s="9">
        <v>44587.0</v>
      </c>
    </row>
    <row r="11658">
      <c r="A11658" s="5">
        <v>11657.0</v>
      </c>
      <c r="B11658" s="5" t="s">
        <v>12095</v>
      </c>
      <c r="C11658" s="5" t="s">
        <v>21</v>
      </c>
      <c r="K11658" s="5">
        <v>800.0</v>
      </c>
      <c r="N11658" s="9">
        <v>44463.0</v>
      </c>
    </row>
    <row r="11659">
      <c r="A11659" s="5">
        <v>11658.0</v>
      </c>
      <c r="B11659" s="5" t="s">
        <v>12096</v>
      </c>
      <c r="C11659" s="5" t="s">
        <v>21</v>
      </c>
      <c r="K11659" s="5">
        <v>1800.0</v>
      </c>
      <c r="N11659" s="9">
        <v>44588.0</v>
      </c>
    </row>
    <row r="11660">
      <c r="A11660" s="5">
        <v>11659.0</v>
      </c>
      <c r="B11660" s="5" t="s">
        <v>12097</v>
      </c>
      <c r="C11660" s="5" t="s">
        <v>21</v>
      </c>
      <c r="K11660" s="5">
        <v>3100.0</v>
      </c>
      <c r="N11660" s="9">
        <v>43863.0</v>
      </c>
    </row>
    <row r="11661">
      <c r="A11661" s="5">
        <v>11660.0</v>
      </c>
      <c r="B11661" s="5" t="s">
        <v>12098</v>
      </c>
      <c r="C11661" s="5" t="s">
        <v>21</v>
      </c>
      <c r="K11661" s="5">
        <v>900.0</v>
      </c>
      <c r="N11661" s="9">
        <v>45138.0</v>
      </c>
    </row>
    <row r="11662">
      <c r="A11662" s="5">
        <v>11661.0</v>
      </c>
      <c r="B11662" s="5" t="s">
        <v>12099</v>
      </c>
      <c r="C11662" s="5" t="s">
        <v>21</v>
      </c>
      <c r="K11662" s="5">
        <v>100.0</v>
      </c>
      <c r="N11662" s="9">
        <v>45178.0</v>
      </c>
    </row>
    <row r="11663">
      <c r="A11663" s="5">
        <v>11662.0</v>
      </c>
      <c r="B11663" s="5" t="s">
        <v>12100</v>
      </c>
      <c r="C11663" s="5" t="s">
        <v>21</v>
      </c>
      <c r="K11663" s="5">
        <v>700.0</v>
      </c>
      <c r="N11663" s="9">
        <v>44527.0</v>
      </c>
    </row>
    <row r="11664">
      <c r="A11664" s="5">
        <v>11663.0</v>
      </c>
      <c r="B11664" s="5" t="s">
        <v>12101</v>
      </c>
      <c r="C11664" s="5" t="s">
        <v>21</v>
      </c>
      <c r="K11664" s="5">
        <v>150.0</v>
      </c>
      <c r="N11664" s="9">
        <v>44367.0</v>
      </c>
    </row>
    <row r="11665">
      <c r="A11665" s="5">
        <v>11664.0</v>
      </c>
      <c r="B11665" s="5" t="s">
        <v>12102</v>
      </c>
      <c r="C11665" s="5" t="s">
        <v>21</v>
      </c>
      <c r="K11665" s="5">
        <v>150.0</v>
      </c>
      <c r="N11665" s="9">
        <v>44757.0</v>
      </c>
    </row>
    <row r="11666">
      <c r="A11666" s="5">
        <v>11665.0</v>
      </c>
      <c r="B11666" s="5" t="s">
        <v>12103</v>
      </c>
      <c r="C11666" s="5" t="s">
        <v>21</v>
      </c>
      <c r="K11666" s="5">
        <v>30.0</v>
      </c>
      <c r="N11666" s="9">
        <v>43914.0</v>
      </c>
    </row>
    <row r="11667">
      <c r="A11667" s="5">
        <v>11666.0</v>
      </c>
      <c r="B11667" s="5" t="s">
        <v>12104</v>
      </c>
      <c r="C11667" s="5" t="s">
        <v>21</v>
      </c>
      <c r="K11667" s="5">
        <v>300.0</v>
      </c>
      <c r="N11667" s="9">
        <v>44536.0</v>
      </c>
    </row>
    <row r="11668">
      <c r="A11668" s="5">
        <v>11667.0</v>
      </c>
      <c r="B11668" s="5" t="s">
        <v>12105</v>
      </c>
      <c r="C11668" s="5" t="s">
        <v>21</v>
      </c>
      <c r="K11668" s="5">
        <v>1500.0</v>
      </c>
      <c r="N11668" s="9">
        <v>44820.0</v>
      </c>
    </row>
    <row r="11669">
      <c r="A11669" s="5">
        <v>11668.0</v>
      </c>
      <c r="B11669" s="5" t="s">
        <v>12106</v>
      </c>
      <c r="C11669" s="5" t="s">
        <v>21</v>
      </c>
      <c r="K11669" s="5">
        <v>200.0</v>
      </c>
      <c r="N11669" s="9">
        <v>44573.0</v>
      </c>
    </row>
    <row r="11670">
      <c r="A11670" s="5">
        <v>11669.0</v>
      </c>
      <c r="B11670" s="5" t="s">
        <v>12107</v>
      </c>
      <c r="C11670" s="5" t="s">
        <v>21</v>
      </c>
      <c r="K11670" s="5">
        <v>600.0</v>
      </c>
      <c r="N11670" s="9">
        <v>44610.0</v>
      </c>
    </row>
    <row r="11671">
      <c r="A11671" s="5">
        <v>11670.0</v>
      </c>
      <c r="B11671" s="5" t="s">
        <v>12108</v>
      </c>
      <c r="C11671" s="5" t="s">
        <v>21</v>
      </c>
      <c r="K11671" s="5">
        <v>1500.0</v>
      </c>
      <c r="N11671" s="9">
        <v>44316.0</v>
      </c>
    </row>
    <row r="11672">
      <c r="A11672" s="5">
        <v>11671.0</v>
      </c>
      <c r="B11672" s="5" t="s">
        <v>12109</v>
      </c>
      <c r="C11672" s="5" t="s">
        <v>21</v>
      </c>
      <c r="K11672" s="5">
        <v>250.0</v>
      </c>
      <c r="N11672" s="9">
        <v>44530.0</v>
      </c>
    </row>
    <row r="11673">
      <c r="A11673" s="5">
        <v>11672.0</v>
      </c>
      <c r="B11673" s="5" t="s">
        <v>12110</v>
      </c>
      <c r="C11673" s="5" t="s">
        <v>21</v>
      </c>
      <c r="K11673" s="5">
        <v>400.0</v>
      </c>
      <c r="N11673" s="9">
        <v>44534.0</v>
      </c>
    </row>
    <row r="11674">
      <c r="A11674" s="5">
        <v>11673.0</v>
      </c>
      <c r="B11674" s="5" t="s">
        <v>12111</v>
      </c>
      <c r="C11674" s="5" t="s">
        <v>21</v>
      </c>
      <c r="K11674" s="5">
        <v>350.0</v>
      </c>
      <c r="N11674" s="9">
        <v>44548.0</v>
      </c>
    </row>
    <row r="11675">
      <c r="A11675" s="5">
        <v>11674.0</v>
      </c>
      <c r="B11675" s="5" t="s">
        <v>12112</v>
      </c>
      <c r="C11675" s="5" t="s">
        <v>21</v>
      </c>
      <c r="K11675" s="5">
        <v>500.0</v>
      </c>
      <c r="N11675" s="9">
        <v>44524.0</v>
      </c>
    </row>
    <row r="11676">
      <c r="A11676" s="5">
        <v>11675.0</v>
      </c>
      <c r="B11676" s="5" t="s">
        <v>12113</v>
      </c>
      <c r="C11676" s="5" t="s">
        <v>21</v>
      </c>
      <c r="K11676" s="5">
        <v>250.0</v>
      </c>
      <c r="N11676" s="9">
        <v>44361.0</v>
      </c>
    </row>
    <row r="11677">
      <c r="A11677" s="5">
        <v>11676.0</v>
      </c>
      <c r="B11677" s="5" t="s">
        <v>12114</v>
      </c>
      <c r="C11677" s="5" t="s">
        <v>21</v>
      </c>
      <c r="K11677" s="5">
        <v>350.0</v>
      </c>
      <c r="N11677" s="9">
        <v>44368.0</v>
      </c>
    </row>
    <row r="11678">
      <c r="A11678" s="5">
        <v>11677.0</v>
      </c>
      <c r="B11678" s="5" t="s">
        <v>12115</v>
      </c>
      <c r="C11678" s="5" t="s">
        <v>21</v>
      </c>
      <c r="K11678" s="5">
        <v>350.0</v>
      </c>
      <c r="N11678" s="9">
        <v>44552.0</v>
      </c>
    </row>
    <row r="11679">
      <c r="A11679" s="5">
        <v>11678.0</v>
      </c>
      <c r="B11679" s="5" t="s">
        <v>12116</v>
      </c>
      <c r="C11679" s="5" t="s">
        <v>21</v>
      </c>
      <c r="K11679" s="5">
        <v>80.0</v>
      </c>
      <c r="N11679" s="9">
        <v>44896.0</v>
      </c>
    </row>
    <row r="11680">
      <c r="A11680" s="5">
        <v>11679.0</v>
      </c>
      <c r="B11680" s="5" t="s">
        <v>12117</v>
      </c>
      <c r="C11680" s="5" t="s">
        <v>21</v>
      </c>
      <c r="K11680" s="5">
        <v>900.0</v>
      </c>
      <c r="N11680" s="9">
        <v>45041.0</v>
      </c>
    </row>
    <row r="11681">
      <c r="A11681" s="5">
        <v>11680.0</v>
      </c>
      <c r="B11681" s="5" t="s">
        <v>12118</v>
      </c>
      <c r="C11681" s="5" t="s">
        <v>21</v>
      </c>
      <c r="K11681" s="5">
        <v>150.0</v>
      </c>
      <c r="N11681" s="9">
        <v>44543.0</v>
      </c>
    </row>
    <row r="11682">
      <c r="A11682" s="5">
        <v>11681.0</v>
      </c>
      <c r="B11682" s="5" t="s">
        <v>12119</v>
      </c>
      <c r="C11682" s="5" t="s">
        <v>21</v>
      </c>
      <c r="K11682" s="5">
        <v>40.0</v>
      </c>
      <c r="N11682" s="9">
        <v>44606.0</v>
      </c>
    </row>
    <row r="11683">
      <c r="A11683" s="5">
        <v>11682.0</v>
      </c>
      <c r="B11683" s="5" t="s">
        <v>12120</v>
      </c>
      <c r="C11683" s="5" t="s">
        <v>21</v>
      </c>
      <c r="K11683" s="5">
        <v>500.0</v>
      </c>
      <c r="N11683" s="9">
        <v>43984.0</v>
      </c>
    </row>
    <row r="11684">
      <c r="A11684" s="5">
        <v>11683.0</v>
      </c>
      <c r="B11684" s="5" t="s">
        <v>12121</v>
      </c>
      <c r="C11684" s="5" t="s">
        <v>21</v>
      </c>
      <c r="K11684" s="5">
        <v>150.0</v>
      </c>
      <c r="N11684" s="9">
        <v>44077.0</v>
      </c>
    </row>
    <row r="11685">
      <c r="A11685" s="5">
        <v>11684.0</v>
      </c>
      <c r="B11685" s="5" t="s">
        <v>12122</v>
      </c>
      <c r="C11685" s="5" t="s">
        <v>21</v>
      </c>
      <c r="K11685" s="5">
        <v>10.0</v>
      </c>
      <c r="N11685" s="9">
        <v>44589.0</v>
      </c>
    </row>
    <row r="11686">
      <c r="A11686" s="5">
        <v>11685.0</v>
      </c>
      <c r="B11686" s="5" t="s">
        <v>12123</v>
      </c>
      <c r="C11686" s="5" t="s">
        <v>21</v>
      </c>
      <c r="K11686" s="5">
        <v>40.0</v>
      </c>
      <c r="N11686" s="9">
        <v>42507.0</v>
      </c>
    </row>
    <row r="11687">
      <c r="A11687" s="5">
        <v>11686.0</v>
      </c>
      <c r="B11687" s="5" t="s">
        <v>12124</v>
      </c>
      <c r="C11687" s="5" t="s">
        <v>21</v>
      </c>
      <c r="K11687" s="5">
        <v>300.0</v>
      </c>
      <c r="N11687" s="9">
        <v>44943.0</v>
      </c>
    </row>
    <row r="11688">
      <c r="A11688" s="5">
        <v>11687.0</v>
      </c>
      <c r="B11688" s="5" t="s">
        <v>12125</v>
      </c>
      <c r="C11688" s="5" t="s">
        <v>21</v>
      </c>
      <c r="N11688" s="9">
        <v>44542.0</v>
      </c>
    </row>
    <row r="11689">
      <c r="A11689" s="5">
        <v>11688.0</v>
      </c>
      <c r="B11689" s="5" t="s">
        <v>12126</v>
      </c>
      <c r="C11689" s="5" t="s">
        <v>21</v>
      </c>
      <c r="K11689" s="5">
        <v>300.0</v>
      </c>
      <c r="N11689" s="9">
        <v>45783.0</v>
      </c>
    </row>
    <row r="11690">
      <c r="A11690" s="5">
        <v>11689.0</v>
      </c>
      <c r="B11690" s="5" t="s">
        <v>12127</v>
      </c>
      <c r="C11690" s="5" t="s">
        <v>21</v>
      </c>
      <c r="K11690" s="5">
        <v>150.0</v>
      </c>
      <c r="N11690" s="9">
        <v>44665.0</v>
      </c>
    </row>
    <row r="11691">
      <c r="A11691" s="5">
        <v>11690.0</v>
      </c>
      <c r="B11691" s="5" t="s">
        <v>12128</v>
      </c>
      <c r="C11691" s="5" t="s">
        <v>21</v>
      </c>
      <c r="K11691" s="5">
        <v>500.0</v>
      </c>
      <c r="N11691" s="9">
        <v>43931.0</v>
      </c>
    </row>
    <row r="11692">
      <c r="A11692" s="5">
        <v>11691.0</v>
      </c>
      <c r="B11692" s="5" t="s">
        <v>12129</v>
      </c>
      <c r="C11692" s="5" t="s">
        <v>21</v>
      </c>
      <c r="K11692" s="5">
        <v>70.0</v>
      </c>
      <c r="N11692" s="9">
        <v>44564.0</v>
      </c>
    </row>
    <row r="11693">
      <c r="A11693" s="5">
        <v>11692.0</v>
      </c>
      <c r="B11693" s="5" t="s">
        <v>12130</v>
      </c>
      <c r="C11693" s="5" t="s">
        <v>21</v>
      </c>
      <c r="K11693" s="5">
        <v>20.0</v>
      </c>
      <c r="N11693" s="9">
        <v>45103.0</v>
      </c>
    </row>
    <row r="11694">
      <c r="A11694" s="5">
        <v>11693.0</v>
      </c>
      <c r="B11694" s="5" t="s">
        <v>408</v>
      </c>
      <c r="C11694" s="5" t="s">
        <v>21</v>
      </c>
      <c r="K11694" s="5">
        <v>200.0</v>
      </c>
      <c r="N11694" s="9">
        <v>43862.0</v>
      </c>
    </row>
    <row r="11695">
      <c r="A11695" s="5">
        <v>11694.0</v>
      </c>
      <c r="B11695" s="5" t="s">
        <v>12131</v>
      </c>
      <c r="C11695" s="5" t="s">
        <v>21</v>
      </c>
      <c r="K11695" s="5">
        <v>200.0</v>
      </c>
      <c r="N11695" s="9">
        <v>45447.0</v>
      </c>
    </row>
    <row r="11696">
      <c r="A11696" s="5">
        <v>11695.0</v>
      </c>
      <c r="B11696" s="5" t="s">
        <v>12132</v>
      </c>
      <c r="C11696" s="5" t="s">
        <v>21</v>
      </c>
      <c r="K11696" s="5">
        <v>350.0</v>
      </c>
      <c r="N11696" s="9">
        <v>44173.0</v>
      </c>
    </row>
    <row r="11697">
      <c r="A11697" s="5">
        <v>11696.0</v>
      </c>
      <c r="B11697" s="5" t="s">
        <v>12133</v>
      </c>
      <c r="C11697" s="5" t="s">
        <v>21</v>
      </c>
      <c r="K11697" s="5">
        <v>20.0</v>
      </c>
      <c r="N11697" s="9">
        <v>44482.0</v>
      </c>
    </row>
    <row r="11698">
      <c r="A11698" s="5">
        <v>11697.0</v>
      </c>
      <c r="B11698" s="5" t="s">
        <v>12134</v>
      </c>
      <c r="C11698" s="5" t="s">
        <v>21</v>
      </c>
      <c r="K11698" s="5">
        <v>100.0</v>
      </c>
      <c r="N11698" s="9">
        <v>43945.0</v>
      </c>
    </row>
    <row r="11699">
      <c r="A11699" s="5">
        <v>11698.0</v>
      </c>
      <c r="B11699" s="5" t="s">
        <v>12135</v>
      </c>
      <c r="C11699" s="5" t="s">
        <v>21</v>
      </c>
      <c r="K11699" s="5">
        <v>900.0</v>
      </c>
      <c r="N11699" s="9">
        <v>45222.0</v>
      </c>
    </row>
    <row r="11700">
      <c r="A11700" s="5">
        <v>11699.0</v>
      </c>
      <c r="B11700" s="5" t="s">
        <v>12136</v>
      </c>
      <c r="C11700" s="5" t="s">
        <v>21</v>
      </c>
      <c r="K11700" s="5">
        <v>300.0</v>
      </c>
      <c r="N11700" s="9">
        <v>44366.0</v>
      </c>
    </row>
    <row r="11701">
      <c r="A11701" s="5">
        <v>11700.0</v>
      </c>
      <c r="B11701" s="5" t="s">
        <v>12137</v>
      </c>
      <c r="C11701" s="5" t="s">
        <v>21</v>
      </c>
      <c r="K11701" s="5">
        <v>150.0</v>
      </c>
      <c r="N11701" s="9">
        <v>44446.0</v>
      </c>
    </row>
    <row r="11702">
      <c r="A11702" s="5">
        <v>11701.0</v>
      </c>
      <c r="B11702" s="5" t="s">
        <v>12138</v>
      </c>
      <c r="C11702" s="5" t="s">
        <v>21</v>
      </c>
      <c r="K11702" s="5">
        <v>800.0</v>
      </c>
      <c r="N11702" s="9">
        <v>44630.0</v>
      </c>
    </row>
    <row r="11703">
      <c r="A11703" s="5">
        <v>11702.0</v>
      </c>
      <c r="B11703" s="5" t="s">
        <v>12139</v>
      </c>
      <c r="C11703" s="5" t="s">
        <v>21</v>
      </c>
      <c r="K11703" s="5">
        <v>150.0</v>
      </c>
      <c r="N11703" s="9">
        <v>45201.0</v>
      </c>
    </row>
    <row r="11704">
      <c r="A11704" s="5">
        <v>11703.0</v>
      </c>
      <c r="B11704" s="5" t="s">
        <v>12140</v>
      </c>
      <c r="C11704" s="5" t="s">
        <v>21</v>
      </c>
      <c r="K11704" s="5">
        <v>80.0</v>
      </c>
      <c r="N11704" s="9">
        <v>44967.0</v>
      </c>
    </row>
    <row r="11705">
      <c r="A11705" s="5">
        <v>11704.0</v>
      </c>
      <c r="B11705" s="5" t="s">
        <v>12141</v>
      </c>
      <c r="C11705" s="5" t="s">
        <v>21</v>
      </c>
      <c r="K11705" s="5">
        <v>50.0</v>
      </c>
      <c r="N11705" s="9">
        <v>44877.0</v>
      </c>
    </row>
    <row r="11706">
      <c r="A11706" s="5">
        <v>11705.0</v>
      </c>
      <c r="B11706" s="5" t="s">
        <v>12142</v>
      </c>
      <c r="C11706" s="5" t="s">
        <v>21</v>
      </c>
      <c r="K11706" s="5">
        <v>1500.0</v>
      </c>
      <c r="N11706" s="9">
        <v>45193.0</v>
      </c>
    </row>
    <row r="11707">
      <c r="A11707" s="5">
        <v>11706.0</v>
      </c>
      <c r="B11707" s="5" t="s">
        <v>12143</v>
      </c>
      <c r="C11707" s="5" t="s">
        <v>21</v>
      </c>
      <c r="K11707" s="5">
        <v>20.0</v>
      </c>
      <c r="N11707" s="9">
        <v>44736.0</v>
      </c>
    </row>
    <row r="11708">
      <c r="A11708" s="5">
        <v>11707.0</v>
      </c>
      <c r="B11708" s="5" t="s">
        <v>12144</v>
      </c>
      <c r="C11708" s="5" t="s">
        <v>21</v>
      </c>
      <c r="K11708" s="5">
        <v>250.0</v>
      </c>
      <c r="N11708" s="9">
        <v>44554.0</v>
      </c>
    </row>
    <row r="11709">
      <c r="A11709" s="5">
        <v>11708.0</v>
      </c>
      <c r="B11709" s="5" t="s">
        <v>12145</v>
      </c>
      <c r="C11709" s="5" t="s">
        <v>21</v>
      </c>
      <c r="K11709" s="5">
        <v>450.0</v>
      </c>
      <c r="N11709" s="9">
        <v>44864.0</v>
      </c>
    </row>
    <row r="11710">
      <c r="A11710" s="5">
        <v>11709.0</v>
      </c>
      <c r="B11710" s="5" t="s">
        <v>12146</v>
      </c>
      <c r="C11710" s="5" t="s">
        <v>21</v>
      </c>
      <c r="K11710" s="5">
        <v>90.0</v>
      </c>
      <c r="N11710" s="9">
        <v>44031.0</v>
      </c>
    </row>
    <row r="11711">
      <c r="A11711" s="5">
        <v>11710.0</v>
      </c>
      <c r="B11711" s="5" t="s">
        <v>12147</v>
      </c>
      <c r="C11711" s="5" t="s">
        <v>21</v>
      </c>
      <c r="K11711" s="5">
        <v>100.0</v>
      </c>
      <c r="N11711" s="9">
        <v>43912.0</v>
      </c>
    </row>
    <row r="11712">
      <c r="A11712" s="5">
        <v>11711.0</v>
      </c>
      <c r="B11712" s="5" t="s">
        <v>12148</v>
      </c>
      <c r="C11712" s="5" t="s">
        <v>21</v>
      </c>
      <c r="K11712" s="5">
        <v>1500.0</v>
      </c>
      <c r="N11712" s="9">
        <v>45586.0</v>
      </c>
    </row>
    <row r="11713">
      <c r="A11713" s="5">
        <v>11712.0</v>
      </c>
      <c r="B11713" s="5" t="s">
        <v>12149</v>
      </c>
      <c r="C11713" s="5" t="s">
        <v>21</v>
      </c>
      <c r="K11713" s="5">
        <v>1100.0</v>
      </c>
      <c r="N11713" s="9">
        <v>44467.0</v>
      </c>
    </row>
    <row r="11714">
      <c r="A11714" s="5">
        <v>11713.0</v>
      </c>
      <c r="B11714" s="5" t="s">
        <v>12150</v>
      </c>
      <c r="C11714" s="5" t="s">
        <v>21</v>
      </c>
      <c r="K11714" s="5">
        <v>450.0</v>
      </c>
      <c r="N11714" s="9">
        <v>45209.0</v>
      </c>
    </row>
    <row r="11715">
      <c r="A11715" s="5">
        <v>11714.0</v>
      </c>
      <c r="B11715" s="5" t="s">
        <v>12151</v>
      </c>
      <c r="C11715" s="5" t="s">
        <v>21</v>
      </c>
      <c r="K11715" s="5">
        <v>80.0</v>
      </c>
      <c r="N11715" s="9">
        <v>44530.0</v>
      </c>
    </row>
    <row r="11716">
      <c r="A11716" s="5">
        <v>11715.0</v>
      </c>
      <c r="B11716" s="5" t="s">
        <v>12152</v>
      </c>
      <c r="C11716" s="5" t="s">
        <v>21</v>
      </c>
      <c r="K11716" s="5">
        <v>500.0</v>
      </c>
      <c r="N11716" s="9">
        <v>44031.0</v>
      </c>
    </row>
    <row r="11717">
      <c r="A11717" s="5">
        <v>11716.0</v>
      </c>
      <c r="B11717" s="5" t="s">
        <v>12153</v>
      </c>
      <c r="C11717" s="5" t="s">
        <v>21</v>
      </c>
      <c r="K11717" s="5">
        <v>250.0</v>
      </c>
      <c r="N11717" s="9">
        <v>44930.0</v>
      </c>
    </row>
    <row r="11718">
      <c r="A11718" s="5">
        <v>11717.0</v>
      </c>
      <c r="B11718" s="5" t="s">
        <v>12154</v>
      </c>
      <c r="C11718" s="5" t="s">
        <v>21</v>
      </c>
      <c r="K11718" s="5">
        <v>200.0</v>
      </c>
      <c r="N11718" s="9">
        <v>44345.0</v>
      </c>
    </row>
    <row r="11719">
      <c r="A11719" s="5">
        <v>11718.0</v>
      </c>
      <c r="B11719" s="5" t="s">
        <v>12155</v>
      </c>
      <c r="C11719" s="5" t="s">
        <v>21</v>
      </c>
      <c r="K11719" s="5">
        <v>10.0</v>
      </c>
      <c r="N11719" s="9">
        <v>44104.0</v>
      </c>
    </row>
    <row r="11720">
      <c r="A11720" s="5">
        <v>11719.0</v>
      </c>
      <c r="B11720" s="5" t="s">
        <v>12156</v>
      </c>
      <c r="C11720" s="5" t="s">
        <v>21</v>
      </c>
      <c r="K11720" s="5">
        <v>150.0</v>
      </c>
      <c r="N11720" s="9">
        <v>44547.0</v>
      </c>
    </row>
    <row r="11721">
      <c r="A11721" s="5">
        <v>11720.0</v>
      </c>
      <c r="B11721" s="5" t="s">
        <v>12157</v>
      </c>
      <c r="C11721" s="5" t="s">
        <v>21</v>
      </c>
      <c r="K11721" s="5">
        <v>100.0</v>
      </c>
      <c r="N11721" s="9">
        <v>45779.0</v>
      </c>
    </row>
    <row r="11722">
      <c r="A11722" s="5">
        <v>11721.0</v>
      </c>
      <c r="B11722" s="5" t="s">
        <v>12158</v>
      </c>
      <c r="C11722" s="5" t="s">
        <v>21</v>
      </c>
      <c r="K11722" s="5">
        <v>250.0</v>
      </c>
      <c r="N11722" s="9">
        <v>45073.0</v>
      </c>
    </row>
    <row r="11723">
      <c r="A11723" s="5">
        <v>11722.0</v>
      </c>
      <c r="B11723" s="5" t="s">
        <v>12159</v>
      </c>
      <c r="C11723" s="5" t="s">
        <v>21</v>
      </c>
      <c r="K11723" s="5">
        <v>60.0</v>
      </c>
      <c r="N11723" s="9">
        <v>43869.0</v>
      </c>
    </row>
    <row r="11724">
      <c r="A11724" s="5">
        <v>11723.0</v>
      </c>
      <c r="B11724" s="5" t="s">
        <v>12160</v>
      </c>
      <c r="C11724" s="5" t="s">
        <v>21</v>
      </c>
      <c r="K11724" s="5">
        <v>200.0</v>
      </c>
      <c r="N11724" s="9">
        <v>44637.0</v>
      </c>
    </row>
    <row r="11725">
      <c r="A11725" s="5">
        <v>11724.0</v>
      </c>
      <c r="B11725" s="5" t="s">
        <v>12161</v>
      </c>
      <c r="C11725" s="5" t="s">
        <v>21</v>
      </c>
      <c r="K11725" s="5">
        <v>600.0</v>
      </c>
      <c r="N11725" s="9">
        <v>44550.0</v>
      </c>
    </row>
    <row r="11726">
      <c r="A11726" s="5">
        <v>11725.0</v>
      </c>
      <c r="B11726" s="5" t="s">
        <v>12162</v>
      </c>
      <c r="C11726" s="5" t="s">
        <v>21</v>
      </c>
      <c r="K11726" s="5">
        <v>90.0</v>
      </c>
      <c r="N11726" s="9">
        <v>44601.0</v>
      </c>
    </row>
    <row r="11727">
      <c r="A11727" s="5">
        <v>11726.0</v>
      </c>
      <c r="B11727" s="5" t="s">
        <v>12163</v>
      </c>
      <c r="C11727" s="5" t="s">
        <v>21</v>
      </c>
      <c r="K11727" s="5">
        <v>4000.0</v>
      </c>
      <c r="N11727" s="9">
        <v>45910.0</v>
      </c>
    </row>
    <row r="11728">
      <c r="A11728" s="5">
        <v>11727.0</v>
      </c>
      <c r="B11728" s="5" t="s">
        <v>12164</v>
      </c>
      <c r="C11728" s="5" t="s">
        <v>21</v>
      </c>
      <c r="K11728" s="5">
        <v>200.0</v>
      </c>
      <c r="N11728" s="9">
        <v>44098.0</v>
      </c>
    </row>
    <row r="11729">
      <c r="A11729" s="5">
        <v>11728.0</v>
      </c>
      <c r="B11729" s="5" t="s">
        <v>12165</v>
      </c>
      <c r="C11729" s="5" t="s">
        <v>21</v>
      </c>
      <c r="K11729" s="5">
        <v>70.0</v>
      </c>
      <c r="N11729" s="9">
        <v>44905.0</v>
      </c>
    </row>
    <row r="11730">
      <c r="A11730" s="5">
        <v>11729.0</v>
      </c>
      <c r="B11730" s="5" t="s">
        <v>12166</v>
      </c>
      <c r="C11730" s="5" t="s">
        <v>21</v>
      </c>
      <c r="K11730" s="5">
        <v>30.0</v>
      </c>
      <c r="N11730" s="9">
        <v>43856.0</v>
      </c>
    </row>
    <row r="11731">
      <c r="A11731" s="5">
        <v>11730.0</v>
      </c>
      <c r="B11731" s="5" t="s">
        <v>12167</v>
      </c>
      <c r="C11731" s="5" t="s">
        <v>21</v>
      </c>
      <c r="K11731" s="5">
        <v>250.0</v>
      </c>
      <c r="N11731" s="9">
        <v>45082.0</v>
      </c>
    </row>
    <row r="11732">
      <c r="A11732" s="5">
        <v>11731.0</v>
      </c>
      <c r="B11732" s="5" t="s">
        <v>12168</v>
      </c>
      <c r="C11732" s="5" t="s">
        <v>21</v>
      </c>
      <c r="K11732" s="5">
        <v>30.0</v>
      </c>
      <c r="N11732" s="9">
        <v>45319.0</v>
      </c>
    </row>
    <row r="11733">
      <c r="A11733" s="5">
        <v>11732.0</v>
      </c>
      <c r="B11733" s="5" t="s">
        <v>12169</v>
      </c>
      <c r="C11733" s="5" t="s">
        <v>21</v>
      </c>
      <c r="K11733" s="5">
        <v>700.0</v>
      </c>
      <c r="N11733" s="9">
        <v>44521.0</v>
      </c>
    </row>
    <row r="11734">
      <c r="A11734" s="5">
        <v>11733.0</v>
      </c>
      <c r="B11734" s="5" t="s">
        <v>12170</v>
      </c>
      <c r="C11734" s="5" t="s">
        <v>21</v>
      </c>
      <c r="K11734" s="5">
        <v>250.0</v>
      </c>
      <c r="N11734" s="9">
        <v>44585.0</v>
      </c>
    </row>
    <row r="11735">
      <c r="A11735" s="5">
        <v>11734.0</v>
      </c>
      <c r="B11735" s="5" t="s">
        <v>12171</v>
      </c>
      <c r="C11735" s="5" t="s">
        <v>21</v>
      </c>
      <c r="K11735" s="5">
        <v>50.0</v>
      </c>
      <c r="N11735" s="9">
        <v>44595.0</v>
      </c>
    </row>
    <row r="11736">
      <c r="A11736" s="5">
        <v>11735.0</v>
      </c>
      <c r="B11736" s="5" t="s">
        <v>12172</v>
      </c>
      <c r="C11736" s="5" t="s">
        <v>21</v>
      </c>
      <c r="K11736" s="5">
        <v>1100.0</v>
      </c>
      <c r="N11736" s="9">
        <v>43966.0</v>
      </c>
    </row>
    <row r="11737">
      <c r="A11737" s="5">
        <v>11736.0</v>
      </c>
      <c r="B11737" s="5" t="s">
        <v>12173</v>
      </c>
      <c r="C11737" s="5" t="s">
        <v>21</v>
      </c>
      <c r="K11737" s="5">
        <v>700.0</v>
      </c>
      <c r="N11737" s="9">
        <v>44619.0</v>
      </c>
    </row>
    <row r="11738">
      <c r="A11738" s="5">
        <v>11737.0</v>
      </c>
      <c r="B11738" s="5" t="s">
        <v>12174</v>
      </c>
      <c r="C11738" s="5" t="s">
        <v>21</v>
      </c>
      <c r="K11738" s="5">
        <v>20.0</v>
      </c>
      <c r="N11738" s="9">
        <v>44381.0</v>
      </c>
    </row>
    <row r="11739">
      <c r="A11739" s="5">
        <v>11738.0</v>
      </c>
      <c r="B11739" s="5" t="s">
        <v>12175</v>
      </c>
      <c r="C11739" s="5" t="s">
        <v>21</v>
      </c>
      <c r="K11739" s="5">
        <v>300.0</v>
      </c>
      <c r="N11739" s="9">
        <v>44366.0</v>
      </c>
    </row>
    <row r="11740">
      <c r="A11740" s="5">
        <v>11739.0</v>
      </c>
      <c r="B11740" s="5" t="s">
        <v>12176</v>
      </c>
      <c r="C11740" s="5" t="s">
        <v>21</v>
      </c>
      <c r="K11740" s="5">
        <v>200.0</v>
      </c>
      <c r="N11740" s="9">
        <v>44683.0</v>
      </c>
    </row>
    <row r="11741">
      <c r="A11741" s="5">
        <v>11740.0</v>
      </c>
      <c r="B11741" s="5" t="s">
        <v>12177</v>
      </c>
      <c r="C11741" s="5" t="s">
        <v>21</v>
      </c>
      <c r="K11741" s="5">
        <v>100.0</v>
      </c>
      <c r="N11741" s="9">
        <v>44970.0</v>
      </c>
    </row>
    <row r="11742">
      <c r="A11742" s="5">
        <v>11741.0</v>
      </c>
      <c r="B11742" s="5" t="s">
        <v>12178</v>
      </c>
      <c r="C11742" s="5" t="s">
        <v>21</v>
      </c>
      <c r="K11742" s="5">
        <v>150.0</v>
      </c>
      <c r="N11742" s="9">
        <v>44498.0</v>
      </c>
    </row>
    <row r="11743">
      <c r="A11743" s="5">
        <v>11742.0</v>
      </c>
      <c r="B11743" s="5" t="s">
        <v>12179</v>
      </c>
      <c r="C11743" s="5" t="s">
        <v>21</v>
      </c>
      <c r="K11743" s="5">
        <v>70.0</v>
      </c>
      <c r="N11743" s="9">
        <v>44496.0</v>
      </c>
    </row>
    <row r="11744">
      <c r="A11744" s="5">
        <v>11743.0</v>
      </c>
      <c r="B11744" s="5" t="s">
        <v>12180</v>
      </c>
      <c r="C11744" s="5" t="s">
        <v>21</v>
      </c>
      <c r="N11744" s="9">
        <v>44187.0</v>
      </c>
    </row>
    <row r="11745">
      <c r="A11745" s="5">
        <v>11744.0</v>
      </c>
      <c r="B11745" s="5" t="s">
        <v>12181</v>
      </c>
      <c r="C11745" s="5" t="s">
        <v>21</v>
      </c>
      <c r="K11745" s="5">
        <v>200.0</v>
      </c>
      <c r="N11745" s="9">
        <v>43917.0</v>
      </c>
    </row>
    <row r="11746">
      <c r="A11746" s="5">
        <v>11745.0</v>
      </c>
      <c r="B11746" s="5" t="s">
        <v>12182</v>
      </c>
      <c r="C11746" s="5" t="s">
        <v>21</v>
      </c>
      <c r="K11746" s="5">
        <v>450.0</v>
      </c>
      <c r="N11746" s="9">
        <v>45128.0</v>
      </c>
    </row>
    <row r="11747">
      <c r="A11747" s="5">
        <v>11746.0</v>
      </c>
      <c r="B11747" s="5" t="s">
        <v>12183</v>
      </c>
      <c r="C11747" s="5" t="s">
        <v>21</v>
      </c>
      <c r="K11747" s="5">
        <v>60.0</v>
      </c>
      <c r="N11747" s="9">
        <v>44667.0</v>
      </c>
    </row>
    <row r="11748">
      <c r="A11748" s="5">
        <v>11747.0</v>
      </c>
      <c r="B11748" s="5" t="s">
        <v>12184</v>
      </c>
      <c r="C11748" s="5" t="s">
        <v>21</v>
      </c>
      <c r="K11748" s="5">
        <v>1000.0</v>
      </c>
      <c r="N11748" s="9">
        <v>45697.0</v>
      </c>
    </row>
    <row r="11749">
      <c r="A11749" s="5">
        <v>11748.0</v>
      </c>
      <c r="B11749" s="5" t="s">
        <v>12185</v>
      </c>
      <c r="C11749" s="5" t="s">
        <v>21</v>
      </c>
      <c r="K11749" s="5">
        <v>150.0</v>
      </c>
      <c r="N11749" s="9">
        <v>44693.0</v>
      </c>
    </row>
    <row r="11750">
      <c r="A11750" s="5">
        <v>11749.0</v>
      </c>
      <c r="B11750" s="5" t="s">
        <v>12186</v>
      </c>
      <c r="C11750" s="5" t="s">
        <v>21</v>
      </c>
      <c r="K11750" s="5">
        <v>150.0</v>
      </c>
      <c r="N11750" s="9">
        <v>44566.0</v>
      </c>
    </row>
    <row r="11751">
      <c r="A11751" s="5">
        <v>11750.0</v>
      </c>
      <c r="B11751" s="5" t="s">
        <v>12187</v>
      </c>
      <c r="C11751" s="5" t="s">
        <v>21</v>
      </c>
      <c r="K11751" s="5">
        <v>500.0</v>
      </c>
      <c r="N11751" s="9">
        <v>43892.0</v>
      </c>
    </row>
    <row r="11752">
      <c r="A11752" s="5">
        <v>11751.0</v>
      </c>
      <c r="B11752" s="5" t="s">
        <v>12188</v>
      </c>
      <c r="C11752" s="5" t="s">
        <v>21</v>
      </c>
      <c r="K11752" s="5">
        <v>5000.0</v>
      </c>
      <c r="N11752" s="9">
        <v>43867.0</v>
      </c>
    </row>
    <row r="11753">
      <c r="A11753" s="5">
        <v>11752.0</v>
      </c>
      <c r="B11753" s="5" t="s">
        <v>12189</v>
      </c>
      <c r="C11753" s="5" t="s">
        <v>21</v>
      </c>
      <c r="N11753" s="9">
        <v>44519.0</v>
      </c>
    </row>
    <row r="11754">
      <c r="A11754" s="5">
        <v>11753.0</v>
      </c>
      <c r="B11754" s="5" t="s">
        <v>12190</v>
      </c>
      <c r="C11754" s="5" t="s">
        <v>21</v>
      </c>
      <c r="K11754" s="5">
        <v>250.0</v>
      </c>
      <c r="N11754" s="9">
        <v>44533.0</v>
      </c>
    </row>
    <row r="11755">
      <c r="A11755" s="5">
        <v>11754.0</v>
      </c>
      <c r="B11755" s="5" t="s">
        <v>12191</v>
      </c>
      <c r="C11755" s="5" t="s">
        <v>21</v>
      </c>
      <c r="K11755" s="5">
        <v>600.0</v>
      </c>
      <c r="N11755" s="9">
        <v>44573.0</v>
      </c>
    </row>
    <row r="11756">
      <c r="A11756" s="5">
        <v>11755.0</v>
      </c>
      <c r="B11756" s="5" t="s">
        <v>12192</v>
      </c>
      <c r="C11756" s="5" t="s">
        <v>21</v>
      </c>
      <c r="K11756" s="5">
        <v>200.0</v>
      </c>
      <c r="N11756" s="9">
        <v>44555.0</v>
      </c>
    </row>
    <row r="11757">
      <c r="A11757" s="5">
        <v>11756.0</v>
      </c>
      <c r="B11757" s="5" t="s">
        <v>12193</v>
      </c>
      <c r="C11757" s="5" t="s">
        <v>21</v>
      </c>
      <c r="K11757" s="5">
        <v>40.0</v>
      </c>
      <c r="N11757" s="9">
        <v>44503.0</v>
      </c>
    </row>
    <row r="11758">
      <c r="A11758" s="5">
        <v>11757.0</v>
      </c>
      <c r="B11758" s="5" t="s">
        <v>12194</v>
      </c>
      <c r="C11758" s="5" t="s">
        <v>21</v>
      </c>
      <c r="K11758" s="5">
        <v>500.0</v>
      </c>
      <c r="N11758" s="9">
        <v>44171.0</v>
      </c>
    </row>
    <row r="11759">
      <c r="A11759" s="5">
        <v>11758.0</v>
      </c>
      <c r="B11759" s="5" t="s">
        <v>12195</v>
      </c>
      <c r="C11759" s="5" t="s">
        <v>21</v>
      </c>
      <c r="K11759" s="5">
        <v>1300.0</v>
      </c>
      <c r="N11759" s="9">
        <v>44350.0</v>
      </c>
    </row>
    <row r="11760">
      <c r="A11760" s="5">
        <v>11759.0</v>
      </c>
      <c r="B11760" s="5" t="s">
        <v>12196</v>
      </c>
      <c r="C11760" s="5" t="s">
        <v>21</v>
      </c>
      <c r="K11760" s="5">
        <v>200.0</v>
      </c>
      <c r="N11760" s="9">
        <v>45182.0</v>
      </c>
    </row>
    <row r="11761">
      <c r="A11761" s="5">
        <v>11760.0</v>
      </c>
      <c r="B11761" s="5" t="s">
        <v>12197</v>
      </c>
      <c r="C11761" s="5" t="s">
        <v>21</v>
      </c>
      <c r="K11761" s="5">
        <v>350.0</v>
      </c>
      <c r="N11761" s="9">
        <v>44663.0</v>
      </c>
    </row>
    <row r="11762">
      <c r="A11762" s="5">
        <v>11761.0</v>
      </c>
      <c r="B11762" s="5" t="s">
        <v>12198</v>
      </c>
      <c r="C11762" s="5" t="s">
        <v>21</v>
      </c>
      <c r="K11762" s="5">
        <v>400.0</v>
      </c>
      <c r="N11762" s="9">
        <v>43571.0</v>
      </c>
    </row>
    <row r="11763">
      <c r="A11763" s="5">
        <v>11762.0</v>
      </c>
      <c r="B11763" s="5" t="s">
        <v>12199</v>
      </c>
      <c r="C11763" s="5" t="s">
        <v>21</v>
      </c>
      <c r="K11763" s="5">
        <v>450.0</v>
      </c>
      <c r="N11763" s="9">
        <v>44167.0</v>
      </c>
    </row>
    <row r="11764">
      <c r="A11764" s="5">
        <v>11763.0</v>
      </c>
      <c r="B11764" s="5" t="s">
        <v>12200</v>
      </c>
      <c r="C11764" s="5" t="s">
        <v>21</v>
      </c>
      <c r="K11764" s="5">
        <v>600.0</v>
      </c>
      <c r="N11764" s="9">
        <v>44250.0</v>
      </c>
    </row>
    <row r="11765">
      <c r="A11765" s="5">
        <v>11764.0</v>
      </c>
      <c r="B11765" s="5" t="s">
        <v>12201</v>
      </c>
      <c r="C11765" s="5" t="s">
        <v>21</v>
      </c>
      <c r="K11765" s="5">
        <v>50.0</v>
      </c>
      <c r="N11765" s="9">
        <v>44557.0</v>
      </c>
    </row>
    <row r="11766">
      <c r="A11766" s="5">
        <v>11765.0</v>
      </c>
      <c r="B11766" s="5" t="s">
        <v>12202</v>
      </c>
      <c r="C11766" s="5" t="s">
        <v>21</v>
      </c>
      <c r="K11766" s="5">
        <v>800.0</v>
      </c>
      <c r="N11766" s="9">
        <v>45139.0</v>
      </c>
    </row>
    <row r="11767">
      <c r="A11767" s="5">
        <v>11766.0</v>
      </c>
      <c r="B11767" s="5" t="s">
        <v>12203</v>
      </c>
      <c r="C11767" s="5" t="s">
        <v>21</v>
      </c>
      <c r="N11767" s="9">
        <v>44684.0</v>
      </c>
    </row>
    <row r="11768">
      <c r="A11768" s="5">
        <v>11767.0</v>
      </c>
      <c r="B11768" s="5" t="s">
        <v>12204</v>
      </c>
      <c r="C11768" s="5" t="s">
        <v>21</v>
      </c>
      <c r="K11768" s="5">
        <v>20.0</v>
      </c>
      <c r="N11768" s="9">
        <v>44943.0</v>
      </c>
    </row>
    <row r="11769">
      <c r="A11769" s="5">
        <v>11768.0</v>
      </c>
      <c r="B11769" s="5" t="s">
        <v>12205</v>
      </c>
      <c r="C11769" s="5" t="s">
        <v>21</v>
      </c>
      <c r="K11769" s="5">
        <v>20.0</v>
      </c>
      <c r="N11769" s="9">
        <v>44544.0</v>
      </c>
    </row>
    <row r="11770">
      <c r="A11770" s="5">
        <v>11769.0</v>
      </c>
      <c r="B11770" s="5" t="s">
        <v>12206</v>
      </c>
      <c r="C11770" s="5" t="s">
        <v>21</v>
      </c>
      <c r="K11770" s="5">
        <v>1300.0</v>
      </c>
      <c r="N11770" s="9">
        <v>44024.0</v>
      </c>
    </row>
    <row r="11771">
      <c r="A11771" s="5">
        <v>11770.0</v>
      </c>
      <c r="B11771" s="5" t="s">
        <v>12207</v>
      </c>
      <c r="C11771" s="5" t="s">
        <v>21</v>
      </c>
      <c r="K11771" s="5">
        <v>1400.0</v>
      </c>
      <c r="N11771" s="9">
        <v>44170.0</v>
      </c>
    </row>
    <row r="11772">
      <c r="A11772" s="5">
        <v>11771.0</v>
      </c>
      <c r="B11772" s="5" t="s">
        <v>12208</v>
      </c>
      <c r="C11772" s="5" t="s">
        <v>21</v>
      </c>
      <c r="K11772" s="5">
        <v>1100.0</v>
      </c>
      <c r="N11772" s="9">
        <v>44158.0</v>
      </c>
    </row>
    <row r="11773">
      <c r="A11773" s="5">
        <v>11772.0</v>
      </c>
      <c r="B11773" s="5" t="s">
        <v>12209</v>
      </c>
      <c r="C11773" s="5" t="s">
        <v>21</v>
      </c>
      <c r="K11773" s="5">
        <v>200.0</v>
      </c>
      <c r="N11773" s="9">
        <v>45434.0</v>
      </c>
    </row>
    <row r="11774">
      <c r="A11774" s="5">
        <v>11773.0</v>
      </c>
      <c r="B11774" s="5" t="s">
        <v>12210</v>
      </c>
      <c r="C11774" s="5" t="s">
        <v>21</v>
      </c>
      <c r="K11774" s="5">
        <v>500.0</v>
      </c>
      <c r="N11774" s="9">
        <v>44566.0</v>
      </c>
    </row>
    <row r="11775">
      <c r="A11775" s="5">
        <v>11774.0</v>
      </c>
      <c r="B11775" s="5" t="s">
        <v>12211</v>
      </c>
      <c r="C11775" s="5" t="s">
        <v>21</v>
      </c>
      <c r="K11775" s="5">
        <v>300.0</v>
      </c>
      <c r="N11775" s="9">
        <v>44846.0</v>
      </c>
    </row>
    <row r="11776">
      <c r="A11776" s="5">
        <v>11775.0</v>
      </c>
      <c r="B11776" s="5" t="s">
        <v>12212</v>
      </c>
      <c r="C11776" s="5" t="s">
        <v>21</v>
      </c>
      <c r="K11776" s="5">
        <v>150.0</v>
      </c>
      <c r="N11776" s="9">
        <v>44594.0</v>
      </c>
    </row>
    <row r="11777">
      <c r="A11777" s="5">
        <v>11776.0</v>
      </c>
      <c r="B11777" s="5" t="s">
        <v>12213</v>
      </c>
      <c r="C11777" s="5" t="s">
        <v>21</v>
      </c>
      <c r="K11777" s="5">
        <v>200.0</v>
      </c>
      <c r="N11777" s="9">
        <v>44923.0</v>
      </c>
    </row>
    <row r="11778">
      <c r="A11778" s="5">
        <v>11777.0</v>
      </c>
      <c r="B11778" s="5" t="s">
        <v>12214</v>
      </c>
      <c r="C11778" s="5" t="s">
        <v>21</v>
      </c>
      <c r="K11778" s="5">
        <v>40.0</v>
      </c>
      <c r="N11778" s="9">
        <v>44789.0</v>
      </c>
    </row>
    <row r="11779">
      <c r="A11779" s="5">
        <v>11778.0</v>
      </c>
      <c r="B11779" s="5" t="s">
        <v>12215</v>
      </c>
      <c r="C11779" s="5" t="s">
        <v>21</v>
      </c>
      <c r="K11779" s="5">
        <v>1800.0</v>
      </c>
      <c r="N11779" s="9">
        <v>43845.0</v>
      </c>
    </row>
    <row r="11780">
      <c r="A11780" s="5">
        <v>11779.0</v>
      </c>
      <c r="B11780" s="5" t="s">
        <v>12216</v>
      </c>
      <c r="C11780" s="5" t="s">
        <v>21</v>
      </c>
      <c r="K11780" s="5">
        <v>150.0</v>
      </c>
      <c r="N11780" s="9">
        <v>45017.0</v>
      </c>
    </row>
    <row r="11781">
      <c r="A11781" s="5">
        <v>11780.0</v>
      </c>
      <c r="B11781" s="5" t="s">
        <v>12217</v>
      </c>
      <c r="C11781" s="5" t="s">
        <v>21</v>
      </c>
      <c r="K11781" s="5">
        <v>80.0</v>
      </c>
      <c r="N11781" s="9">
        <v>44563.0</v>
      </c>
    </row>
    <row r="11782">
      <c r="A11782" s="5">
        <v>11781.0</v>
      </c>
      <c r="B11782" s="5" t="s">
        <v>12218</v>
      </c>
      <c r="C11782" s="5" t="s">
        <v>21</v>
      </c>
      <c r="K11782" s="5">
        <v>450.0</v>
      </c>
      <c r="N11782" s="9">
        <v>44454.0</v>
      </c>
    </row>
    <row r="11783">
      <c r="A11783" s="5">
        <v>11782.0</v>
      </c>
      <c r="B11783" s="5" t="s">
        <v>12219</v>
      </c>
      <c r="C11783" s="5" t="s">
        <v>21</v>
      </c>
      <c r="K11783" s="5">
        <v>50.0</v>
      </c>
      <c r="N11783" s="9">
        <v>44809.0</v>
      </c>
    </row>
    <row r="11784">
      <c r="A11784" s="5">
        <v>11783.0</v>
      </c>
      <c r="B11784" s="5" t="s">
        <v>12220</v>
      </c>
      <c r="C11784" s="5" t="s">
        <v>21</v>
      </c>
      <c r="K11784" s="5">
        <v>13000.0</v>
      </c>
      <c r="N11784" s="9">
        <v>43946.0</v>
      </c>
    </row>
    <row r="11785">
      <c r="A11785" s="5">
        <v>11784.0</v>
      </c>
      <c r="B11785" s="5" t="s">
        <v>12221</v>
      </c>
      <c r="C11785" s="5" t="s">
        <v>21</v>
      </c>
      <c r="N11785" s="9">
        <v>44244.0</v>
      </c>
    </row>
    <row r="11786">
      <c r="A11786" s="5">
        <v>11785.0</v>
      </c>
      <c r="B11786" s="5" t="s">
        <v>12222</v>
      </c>
      <c r="C11786" s="5" t="s">
        <v>21</v>
      </c>
      <c r="K11786" s="5">
        <v>20.0</v>
      </c>
      <c r="N11786" s="9">
        <v>44532.0</v>
      </c>
    </row>
    <row r="11787">
      <c r="A11787" s="5">
        <v>11786.0</v>
      </c>
      <c r="B11787" s="5" t="s">
        <v>12223</v>
      </c>
      <c r="C11787" s="5" t="s">
        <v>21</v>
      </c>
      <c r="K11787" s="5">
        <v>500.0</v>
      </c>
      <c r="N11787" s="9">
        <v>44533.0</v>
      </c>
    </row>
    <row r="11788">
      <c r="A11788" s="5">
        <v>11787.0</v>
      </c>
      <c r="B11788" s="5" t="s">
        <v>12224</v>
      </c>
      <c r="C11788" s="5" t="s">
        <v>21</v>
      </c>
      <c r="K11788" s="5">
        <v>1600.0</v>
      </c>
      <c r="N11788" s="9">
        <v>44049.0</v>
      </c>
    </row>
    <row r="11789">
      <c r="A11789" s="5">
        <v>11788.0</v>
      </c>
      <c r="B11789" s="5" t="s">
        <v>12225</v>
      </c>
      <c r="C11789" s="5" t="s">
        <v>21</v>
      </c>
      <c r="K11789" s="5">
        <v>300.0</v>
      </c>
      <c r="N11789" s="9">
        <v>44973.0</v>
      </c>
    </row>
    <row r="11790">
      <c r="A11790" s="5">
        <v>11789.0</v>
      </c>
      <c r="B11790" s="5" t="s">
        <v>12226</v>
      </c>
      <c r="C11790" s="5" t="s">
        <v>21</v>
      </c>
      <c r="K11790" s="5">
        <v>150.0</v>
      </c>
      <c r="N11790" s="9">
        <v>45449.0</v>
      </c>
    </row>
    <row r="11791">
      <c r="A11791" s="5">
        <v>11790.0</v>
      </c>
      <c r="B11791" s="5" t="s">
        <v>12227</v>
      </c>
      <c r="C11791" s="5" t="s">
        <v>21</v>
      </c>
      <c r="K11791" s="5">
        <v>300.0</v>
      </c>
      <c r="N11791" s="9">
        <v>44172.0</v>
      </c>
    </row>
    <row r="11792">
      <c r="A11792" s="5">
        <v>11791.0</v>
      </c>
      <c r="B11792" s="5" t="s">
        <v>12228</v>
      </c>
      <c r="C11792" s="5" t="s">
        <v>21</v>
      </c>
      <c r="K11792" s="5">
        <v>150.0</v>
      </c>
      <c r="N11792" s="9">
        <v>44999.0</v>
      </c>
    </row>
    <row r="11793">
      <c r="A11793" s="5">
        <v>11792.0</v>
      </c>
      <c r="B11793" s="5" t="s">
        <v>12229</v>
      </c>
      <c r="C11793" s="5" t="s">
        <v>21</v>
      </c>
      <c r="K11793" s="5">
        <v>250.0</v>
      </c>
      <c r="N11793" s="9">
        <v>45076.0</v>
      </c>
    </row>
    <row r="11794">
      <c r="A11794" s="5">
        <v>11793.0</v>
      </c>
      <c r="B11794" s="5" t="s">
        <v>12230</v>
      </c>
      <c r="C11794" s="5" t="s">
        <v>21</v>
      </c>
      <c r="K11794" s="5">
        <v>700.0</v>
      </c>
      <c r="N11794" s="9">
        <v>44128.0</v>
      </c>
    </row>
    <row r="11795">
      <c r="A11795" s="5">
        <v>11794.0</v>
      </c>
      <c r="B11795" s="5" t="s">
        <v>12231</v>
      </c>
      <c r="C11795" s="5" t="s">
        <v>21</v>
      </c>
      <c r="K11795" s="5">
        <v>400.0</v>
      </c>
      <c r="N11795" s="9">
        <v>44714.0</v>
      </c>
    </row>
    <row r="11796">
      <c r="A11796" s="5">
        <v>11795.0</v>
      </c>
      <c r="B11796" s="5" t="s">
        <v>12232</v>
      </c>
      <c r="C11796" s="5" t="s">
        <v>21</v>
      </c>
      <c r="K11796" s="5">
        <v>200.0</v>
      </c>
      <c r="N11796" s="9">
        <v>44630.0</v>
      </c>
    </row>
    <row r="11797">
      <c r="A11797" s="5">
        <v>11796.0</v>
      </c>
      <c r="B11797" s="5" t="s">
        <v>411</v>
      </c>
      <c r="C11797" s="5" t="s">
        <v>21</v>
      </c>
      <c r="K11797" s="5">
        <v>400.0</v>
      </c>
      <c r="N11797" s="9">
        <v>44316.0</v>
      </c>
    </row>
    <row r="11798">
      <c r="A11798" s="5">
        <v>11797.0</v>
      </c>
      <c r="B11798" s="5" t="s">
        <v>12233</v>
      </c>
      <c r="C11798" s="5" t="s">
        <v>21</v>
      </c>
      <c r="K11798" s="5">
        <v>100.0</v>
      </c>
      <c r="N11798" s="9">
        <v>44871.0</v>
      </c>
    </row>
    <row r="11799">
      <c r="A11799" s="5">
        <v>11798.0</v>
      </c>
      <c r="B11799" s="5" t="s">
        <v>12234</v>
      </c>
      <c r="C11799" s="5" t="s">
        <v>21</v>
      </c>
      <c r="K11799" s="5">
        <v>350.0</v>
      </c>
      <c r="N11799" s="9">
        <v>44580.0</v>
      </c>
    </row>
    <row r="11800">
      <c r="A11800" s="5">
        <v>11799.0</v>
      </c>
      <c r="B11800" s="5" t="s">
        <v>12235</v>
      </c>
      <c r="C11800" s="5" t="s">
        <v>21</v>
      </c>
      <c r="K11800" s="5">
        <v>100.0</v>
      </c>
      <c r="N11800" s="9">
        <v>44391.0</v>
      </c>
    </row>
    <row r="11801">
      <c r="A11801" s="5">
        <v>11800.0</v>
      </c>
      <c r="B11801" s="5" t="s">
        <v>12236</v>
      </c>
      <c r="C11801" s="5" t="s">
        <v>21</v>
      </c>
      <c r="K11801" s="5">
        <v>400.0</v>
      </c>
      <c r="N11801" s="9">
        <v>44417.0</v>
      </c>
    </row>
    <row r="11802">
      <c r="A11802" s="5">
        <v>11801.0</v>
      </c>
      <c r="B11802" s="5" t="s">
        <v>12237</v>
      </c>
      <c r="C11802" s="5" t="s">
        <v>21</v>
      </c>
      <c r="K11802" s="5">
        <v>250.0</v>
      </c>
      <c r="N11802" s="9">
        <v>44552.0</v>
      </c>
    </row>
    <row r="11803">
      <c r="A11803" s="5">
        <v>11802.0</v>
      </c>
      <c r="B11803" s="5" t="s">
        <v>12238</v>
      </c>
      <c r="C11803" s="5" t="s">
        <v>21</v>
      </c>
      <c r="K11803" s="5">
        <v>60.0</v>
      </c>
      <c r="N11803" s="9">
        <v>44524.0</v>
      </c>
    </row>
    <row r="11804">
      <c r="A11804" s="5">
        <v>11803.0</v>
      </c>
      <c r="B11804" s="5" t="s">
        <v>12239</v>
      </c>
      <c r="C11804" s="5" t="s">
        <v>21</v>
      </c>
      <c r="N11804" s="9">
        <v>44554.0</v>
      </c>
    </row>
    <row r="11805">
      <c r="A11805" s="5">
        <v>11804.0</v>
      </c>
      <c r="B11805" s="5" t="s">
        <v>12240</v>
      </c>
      <c r="C11805" s="5" t="s">
        <v>21</v>
      </c>
      <c r="K11805" s="5">
        <v>500.0</v>
      </c>
      <c r="N11805" s="9">
        <v>44271.0</v>
      </c>
    </row>
    <row r="11806">
      <c r="A11806" s="5">
        <v>11805.0</v>
      </c>
      <c r="B11806" s="5" t="s">
        <v>12241</v>
      </c>
      <c r="C11806" s="5" t="s">
        <v>21</v>
      </c>
      <c r="K11806" s="5">
        <v>500.0</v>
      </c>
      <c r="N11806" s="9">
        <v>44288.0</v>
      </c>
    </row>
    <row r="11807">
      <c r="A11807" s="5">
        <v>11806.0</v>
      </c>
      <c r="B11807" s="5" t="s">
        <v>12242</v>
      </c>
      <c r="C11807" s="5" t="s">
        <v>21</v>
      </c>
      <c r="K11807" s="5">
        <v>40.0</v>
      </c>
      <c r="N11807" s="9">
        <v>45513.0</v>
      </c>
    </row>
    <row r="11808">
      <c r="A11808" s="5">
        <v>11807.0</v>
      </c>
      <c r="B11808" s="5" t="s">
        <v>12243</v>
      </c>
      <c r="C11808" s="5" t="s">
        <v>21</v>
      </c>
      <c r="K11808" s="5">
        <v>500.0</v>
      </c>
      <c r="N11808" s="9">
        <v>45551.0</v>
      </c>
    </row>
    <row r="11809">
      <c r="A11809" s="5">
        <v>11808.0</v>
      </c>
      <c r="B11809" s="5" t="s">
        <v>12244</v>
      </c>
      <c r="C11809" s="5" t="s">
        <v>21</v>
      </c>
      <c r="K11809" s="5">
        <v>80.0</v>
      </c>
      <c r="N11809" s="9">
        <v>45076.0</v>
      </c>
    </row>
    <row r="11810">
      <c r="A11810" s="5">
        <v>11809.0</v>
      </c>
      <c r="B11810" s="5" t="s">
        <v>12245</v>
      </c>
      <c r="C11810" s="5" t="s">
        <v>21</v>
      </c>
      <c r="K11810" s="5">
        <v>1300.0</v>
      </c>
      <c r="N11810" s="9">
        <v>44976.0</v>
      </c>
    </row>
    <row r="11811">
      <c r="A11811" s="5">
        <v>11810.0</v>
      </c>
      <c r="B11811" s="5" t="s">
        <v>12246</v>
      </c>
      <c r="C11811" s="5" t="s">
        <v>21</v>
      </c>
      <c r="K11811" s="5">
        <v>250.0</v>
      </c>
      <c r="N11811" s="9">
        <v>45339.0</v>
      </c>
    </row>
    <row r="11812">
      <c r="A11812" s="5">
        <v>11811.0</v>
      </c>
      <c r="B11812" s="5" t="s">
        <v>12247</v>
      </c>
      <c r="C11812" s="5" t="s">
        <v>21</v>
      </c>
      <c r="K11812" s="5">
        <v>450.0</v>
      </c>
      <c r="N11812" s="9">
        <v>44415.0</v>
      </c>
    </row>
    <row r="11813">
      <c r="A11813" s="5">
        <v>11812.0</v>
      </c>
      <c r="B11813" s="5" t="s">
        <v>12248</v>
      </c>
      <c r="C11813" s="5" t="s">
        <v>21</v>
      </c>
      <c r="K11813" s="5">
        <v>150.0</v>
      </c>
      <c r="N11813" s="9">
        <v>45087.0</v>
      </c>
    </row>
    <row r="11814">
      <c r="A11814" s="5">
        <v>11813.0</v>
      </c>
      <c r="B11814" s="5" t="s">
        <v>12249</v>
      </c>
      <c r="C11814" s="5" t="s">
        <v>21</v>
      </c>
      <c r="K11814" s="5">
        <v>100.0</v>
      </c>
      <c r="N11814" s="9">
        <v>44566.0</v>
      </c>
    </row>
    <row r="11815">
      <c r="A11815" s="5">
        <v>11814.0</v>
      </c>
      <c r="B11815" s="5" t="s">
        <v>12250</v>
      </c>
      <c r="C11815" s="5" t="s">
        <v>21</v>
      </c>
      <c r="K11815" s="5">
        <v>200.0</v>
      </c>
      <c r="N11815" s="9">
        <v>44565.0</v>
      </c>
    </row>
    <row r="11816">
      <c r="A11816" s="5">
        <v>11815.0</v>
      </c>
      <c r="B11816" s="5" t="s">
        <v>12251</v>
      </c>
      <c r="C11816" s="5" t="s">
        <v>21</v>
      </c>
      <c r="K11816" s="5">
        <v>90.0</v>
      </c>
      <c r="N11816" s="9">
        <v>44712.0</v>
      </c>
    </row>
    <row r="11817">
      <c r="A11817" s="5">
        <v>11816.0</v>
      </c>
      <c r="B11817" s="5" t="s">
        <v>12252</v>
      </c>
      <c r="C11817" s="5" t="s">
        <v>21</v>
      </c>
      <c r="K11817" s="5">
        <v>350.0</v>
      </c>
      <c r="N11817" s="9">
        <v>45320.0</v>
      </c>
    </row>
    <row r="11818">
      <c r="A11818" s="5">
        <v>11817.0</v>
      </c>
      <c r="B11818" s="5" t="s">
        <v>12253</v>
      </c>
      <c r="C11818" s="5" t="s">
        <v>21</v>
      </c>
      <c r="K11818" s="5">
        <v>800.0</v>
      </c>
      <c r="N11818" s="9">
        <v>44565.0</v>
      </c>
    </row>
    <row r="11819">
      <c r="A11819" s="5">
        <v>11818.0</v>
      </c>
      <c r="B11819" s="5" t="s">
        <v>12254</v>
      </c>
      <c r="C11819" s="5" t="s">
        <v>21</v>
      </c>
      <c r="K11819" s="5">
        <v>300.0</v>
      </c>
      <c r="N11819" s="9">
        <v>44270.0</v>
      </c>
    </row>
    <row r="11820">
      <c r="A11820" s="5">
        <v>11819.0</v>
      </c>
      <c r="B11820" s="5" t="s">
        <v>12255</v>
      </c>
      <c r="C11820" s="5" t="s">
        <v>21</v>
      </c>
      <c r="K11820" s="5">
        <v>100.0</v>
      </c>
      <c r="N11820" s="9">
        <v>44662.0</v>
      </c>
    </row>
    <row r="11821">
      <c r="A11821" s="5">
        <v>11820.0</v>
      </c>
      <c r="B11821" s="5" t="s">
        <v>12256</v>
      </c>
      <c r="C11821" s="5" t="s">
        <v>21</v>
      </c>
      <c r="K11821" s="5">
        <v>200.0</v>
      </c>
      <c r="N11821" s="9">
        <v>44573.0</v>
      </c>
    </row>
    <row r="11822">
      <c r="A11822" s="5">
        <v>11821.0</v>
      </c>
      <c r="B11822" s="5" t="s">
        <v>12257</v>
      </c>
      <c r="C11822" s="5" t="s">
        <v>21</v>
      </c>
      <c r="K11822" s="5">
        <v>150.0</v>
      </c>
      <c r="N11822" s="9">
        <v>45176.0</v>
      </c>
    </row>
    <row r="11823">
      <c r="A11823" s="5">
        <v>11822.0</v>
      </c>
      <c r="B11823" s="5" t="s">
        <v>12258</v>
      </c>
      <c r="C11823" s="5" t="s">
        <v>21</v>
      </c>
      <c r="K11823" s="5">
        <v>80.0</v>
      </c>
      <c r="N11823" s="9">
        <v>45201.0</v>
      </c>
    </row>
    <row r="11824">
      <c r="A11824" s="5">
        <v>11823.0</v>
      </c>
      <c r="B11824" s="5" t="s">
        <v>12259</v>
      </c>
      <c r="C11824" s="5" t="s">
        <v>21</v>
      </c>
      <c r="K11824" s="5">
        <v>4800.0</v>
      </c>
      <c r="N11824" s="9">
        <v>43984.0</v>
      </c>
    </row>
    <row r="11825">
      <c r="A11825" s="5">
        <v>11824.0</v>
      </c>
      <c r="B11825" s="5" t="s">
        <v>12260</v>
      </c>
      <c r="C11825" s="5" t="s">
        <v>21</v>
      </c>
      <c r="K11825" s="5">
        <v>150.0</v>
      </c>
      <c r="N11825" s="9">
        <v>44836.0</v>
      </c>
    </row>
    <row r="11826">
      <c r="A11826" s="5">
        <v>11825.0</v>
      </c>
      <c r="B11826" s="5" t="s">
        <v>12261</v>
      </c>
      <c r="C11826" s="5" t="s">
        <v>21</v>
      </c>
      <c r="K11826" s="5">
        <v>4300.0</v>
      </c>
      <c r="N11826" s="9">
        <v>43929.0</v>
      </c>
    </row>
    <row r="11827">
      <c r="A11827" s="5">
        <v>11826.0</v>
      </c>
      <c r="B11827" s="5" t="s">
        <v>12262</v>
      </c>
      <c r="C11827" s="5" t="s">
        <v>21</v>
      </c>
      <c r="K11827" s="5">
        <v>250.0</v>
      </c>
      <c r="N11827" s="9">
        <v>45416.0</v>
      </c>
    </row>
    <row r="11828">
      <c r="A11828" s="5">
        <v>11827.0</v>
      </c>
      <c r="B11828" s="5" t="s">
        <v>12263</v>
      </c>
      <c r="C11828" s="5" t="s">
        <v>21</v>
      </c>
      <c r="K11828" s="5">
        <v>500.0</v>
      </c>
      <c r="N11828" s="9">
        <v>45567.0</v>
      </c>
    </row>
    <row r="11829">
      <c r="A11829" s="5">
        <v>11828.0</v>
      </c>
      <c r="B11829" s="5" t="s">
        <v>12264</v>
      </c>
      <c r="C11829" s="5" t="s">
        <v>21</v>
      </c>
      <c r="K11829" s="5">
        <v>150.0</v>
      </c>
      <c r="N11829" s="9">
        <v>44560.0</v>
      </c>
    </row>
    <row r="11830">
      <c r="A11830" s="5">
        <v>11829.0</v>
      </c>
      <c r="B11830" s="5" t="s">
        <v>12265</v>
      </c>
      <c r="C11830" s="5" t="s">
        <v>21</v>
      </c>
      <c r="K11830" s="5">
        <v>900.0</v>
      </c>
      <c r="N11830" s="9">
        <v>45555.0</v>
      </c>
    </row>
    <row r="11831">
      <c r="A11831" s="5">
        <v>11830.0</v>
      </c>
      <c r="B11831" s="5" t="s">
        <v>12266</v>
      </c>
      <c r="C11831" s="5" t="s">
        <v>21</v>
      </c>
      <c r="K11831" s="5">
        <v>1700.0</v>
      </c>
      <c r="N11831" s="9">
        <v>42408.0</v>
      </c>
    </row>
    <row r="11832">
      <c r="A11832" s="5">
        <v>11831.0</v>
      </c>
      <c r="B11832" s="5" t="s">
        <v>12267</v>
      </c>
      <c r="C11832" s="5" t="s">
        <v>21</v>
      </c>
      <c r="K11832" s="5">
        <v>300.0</v>
      </c>
      <c r="N11832" s="9">
        <v>44769.0</v>
      </c>
    </row>
    <row r="11833">
      <c r="A11833" s="5">
        <v>11832.0</v>
      </c>
      <c r="B11833" s="5" t="s">
        <v>12268</v>
      </c>
      <c r="C11833" s="5" t="s">
        <v>21</v>
      </c>
      <c r="K11833" s="5">
        <v>150.0</v>
      </c>
      <c r="N11833" s="9">
        <v>44609.0</v>
      </c>
    </row>
    <row r="11834">
      <c r="A11834" s="5">
        <v>11833.0</v>
      </c>
      <c r="B11834" s="5" t="s">
        <v>12269</v>
      </c>
      <c r="C11834" s="5" t="s">
        <v>21</v>
      </c>
      <c r="K11834" s="5">
        <v>1600.0</v>
      </c>
      <c r="N11834" s="9">
        <v>43954.0</v>
      </c>
    </row>
    <row r="11835">
      <c r="A11835" s="5">
        <v>11834.0</v>
      </c>
      <c r="B11835" s="5" t="s">
        <v>12270</v>
      </c>
      <c r="C11835" s="5" t="s">
        <v>21</v>
      </c>
      <c r="K11835" s="5">
        <v>60.0</v>
      </c>
      <c r="N11835" s="9">
        <v>44479.0</v>
      </c>
    </row>
    <row r="11836">
      <c r="A11836" s="5">
        <v>11835.0</v>
      </c>
      <c r="B11836" s="5" t="s">
        <v>12271</v>
      </c>
      <c r="C11836" s="5" t="s">
        <v>21</v>
      </c>
      <c r="N11836" s="9">
        <v>43941.0</v>
      </c>
    </row>
    <row r="11837">
      <c r="A11837" s="5">
        <v>11836.0</v>
      </c>
      <c r="B11837" s="5" t="s">
        <v>12272</v>
      </c>
      <c r="C11837" s="5" t="s">
        <v>21</v>
      </c>
      <c r="K11837" s="5">
        <v>2900.0</v>
      </c>
      <c r="N11837" s="9">
        <v>44840.0</v>
      </c>
    </row>
    <row r="11838">
      <c r="A11838" s="5">
        <v>11837.0</v>
      </c>
      <c r="B11838" s="5" t="s">
        <v>12273</v>
      </c>
      <c r="C11838" s="5" t="s">
        <v>21</v>
      </c>
      <c r="K11838" s="5">
        <v>20.0</v>
      </c>
      <c r="N11838" s="9">
        <v>43942.0</v>
      </c>
    </row>
    <row r="11839">
      <c r="A11839" s="5">
        <v>11838.0</v>
      </c>
      <c r="B11839" s="5" t="s">
        <v>12274</v>
      </c>
      <c r="C11839" s="5" t="s">
        <v>21</v>
      </c>
      <c r="K11839" s="5">
        <v>600.0</v>
      </c>
      <c r="N11839" s="9">
        <v>44385.0</v>
      </c>
    </row>
    <row r="11840">
      <c r="A11840" s="5">
        <v>11839.0</v>
      </c>
      <c r="B11840" s="5" t="s">
        <v>12275</v>
      </c>
      <c r="C11840" s="5" t="s">
        <v>21</v>
      </c>
      <c r="K11840" s="5">
        <v>50.0</v>
      </c>
      <c r="N11840" s="9">
        <v>44491.0</v>
      </c>
    </row>
    <row r="11841">
      <c r="A11841" s="5">
        <v>11840.0</v>
      </c>
      <c r="B11841" s="5" t="s">
        <v>12276</v>
      </c>
      <c r="C11841" s="5" t="s">
        <v>21</v>
      </c>
      <c r="K11841" s="5">
        <v>400.0</v>
      </c>
      <c r="N11841" s="9">
        <v>44582.0</v>
      </c>
    </row>
    <row r="11842">
      <c r="A11842" s="5">
        <v>11841.0</v>
      </c>
      <c r="B11842" s="5" t="s">
        <v>12277</v>
      </c>
      <c r="C11842" s="5" t="s">
        <v>21</v>
      </c>
      <c r="K11842" s="5">
        <v>150.0</v>
      </c>
      <c r="N11842" s="9">
        <v>44023.0</v>
      </c>
    </row>
    <row r="11843">
      <c r="A11843" s="5">
        <v>11842.0</v>
      </c>
      <c r="B11843" s="5" t="s">
        <v>12278</v>
      </c>
      <c r="C11843" s="5" t="s">
        <v>21</v>
      </c>
      <c r="K11843" s="5">
        <v>700.0</v>
      </c>
      <c r="N11843" s="9">
        <v>45313.0</v>
      </c>
    </row>
    <row r="11844">
      <c r="A11844" s="5">
        <v>11843.0</v>
      </c>
      <c r="B11844" s="5" t="s">
        <v>12279</v>
      </c>
      <c r="C11844" s="5" t="s">
        <v>21</v>
      </c>
      <c r="N11844" s="9">
        <v>44864.0</v>
      </c>
    </row>
    <row r="11845">
      <c r="A11845" s="5">
        <v>11844.0</v>
      </c>
      <c r="B11845" s="5" t="s">
        <v>12280</v>
      </c>
      <c r="C11845" s="5" t="s">
        <v>21</v>
      </c>
      <c r="K11845" s="5">
        <v>2700.0</v>
      </c>
      <c r="N11845" s="9">
        <v>43885.0</v>
      </c>
    </row>
    <row r="11846">
      <c r="A11846" s="5">
        <v>11845.0</v>
      </c>
      <c r="B11846" s="5" t="s">
        <v>12281</v>
      </c>
      <c r="C11846" s="5" t="s">
        <v>21</v>
      </c>
      <c r="K11846" s="5">
        <v>6200.0</v>
      </c>
      <c r="N11846" s="9">
        <v>44304.0</v>
      </c>
    </row>
    <row r="11847">
      <c r="A11847" s="5">
        <v>11846.0</v>
      </c>
      <c r="B11847" s="5" t="s">
        <v>12282</v>
      </c>
      <c r="C11847" s="5" t="s">
        <v>21</v>
      </c>
      <c r="K11847" s="5">
        <v>200.0</v>
      </c>
      <c r="N11847" s="9">
        <v>44596.0</v>
      </c>
    </row>
    <row r="11848">
      <c r="A11848" s="5">
        <v>11847.0</v>
      </c>
      <c r="B11848" s="5" t="s">
        <v>12283</v>
      </c>
      <c r="C11848" s="5" t="s">
        <v>21</v>
      </c>
      <c r="K11848" s="5">
        <v>450.0</v>
      </c>
      <c r="N11848" s="9">
        <v>44532.0</v>
      </c>
    </row>
    <row r="11849">
      <c r="A11849" s="5">
        <v>11848.0</v>
      </c>
      <c r="B11849" s="5" t="s">
        <v>12284</v>
      </c>
      <c r="C11849" s="5" t="s">
        <v>21</v>
      </c>
      <c r="K11849" s="5">
        <v>350.0</v>
      </c>
      <c r="N11849" s="9">
        <v>45463.0</v>
      </c>
    </row>
    <row r="11850">
      <c r="A11850" s="5">
        <v>11849.0</v>
      </c>
      <c r="B11850" s="5" t="s">
        <v>12285</v>
      </c>
      <c r="C11850" s="5" t="s">
        <v>21</v>
      </c>
      <c r="K11850" s="5">
        <v>200.0</v>
      </c>
      <c r="N11850" s="9">
        <v>44599.0</v>
      </c>
    </row>
    <row r="11851">
      <c r="A11851" s="5">
        <v>11850.0</v>
      </c>
      <c r="B11851" s="5" t="s">
        <v>382</v>
      </c>
      <c r="C11851" s="5" t="s">
        <v>21</v>
      </c>
      <c r="K11851" s="5">
        <v>450.0</v>
      </c>
      <c r="N11851" s="9">
        <v>43929.0</v>
      </c>
    </row>
    <row r="11852">
      <c r="A11852" s="5">
        <v>11851.0</v>
      </c>
      <c r="B11852" s="5" t="s">
        <v>12286</v>
      </c>
      <c r="C11852" s="5" t="s">
        <v>21</v>
      </c>
      <c r="K11852" s="5">
        <v>600.0</v>
      </c>
      <c r="N11852" s="9">
        <v>44739.0</v>
      </c>
    </row>
    <row r="11853">
      <c r="A11853" s="5">
        <v>11852.0</v>
      </c>
      <c r="B11853" s="5" t="s">
        <v>12287</v>
      </c>
      <c r="C11853" s="5" t="s">
        <v>21</v>
      </c>
      <c r="K11853" s="5">
        <v>30.0</v>
      </c>
      <c r="N11853" s="9">
        <v>44542.0</v>
      </c>
    </row>
    <row r="11854">
      <c r="A11854" s="5">
        <v>11853.0</v>
      </c>
      <c r="B11854" s="5" t="s">
        <v>12288</v>
      </c>
      <c r="C11854" s="5" t="s">
        <v>21</v>
      </c>
      <c r="K11854" s="5">
        <v>350.0</v>
      </c>
      <c r="N11854" s="9">
        <v>44480.0</v>
      </c>
    </row>
    <row r="11855">
      <c r="A11855" s="5">
        <v>11854.0</v>
      </c>
      <c r="B11855" s="5" t="s">
        <v>12289</v>
      </c>
      <c r="C11855" s="5" t="s">
        <v>21</v>
      </c>
      <c r="K11855" s="5">
        <v>200.0</v>
      </c>
      <c r="N11855" s="9">
        <v>44420.0</v>
      </c>
    </row>
    <row r="11856">
      <c r="A11856" s="5">
        <v>11855.0</v>
      </c>
      <c r="B11856" s="5" t="s">
        <v>12290</v>
      </c>
      <c r="C11856" s="5" t="s">
        <v>21</v>
      </c>
      <c r="N11856" s="9">
        <v>44528.0</v>
      </c>
    </row>
    <row r="11857">
      <c r="A11857" s="5">
        <v>11856.0</v>
      </c>
      <c r="B11857" s="5" t="s">
        <v>12291</v>
      </c>
      <c r="C11857" s="5" t="s">
        <v>21</v>
      </c>
      <c r="K11857" s="5">
        <v>450.0</v>
      </c>
      <c r="N11857" s="9">
        <v>44134.0</v>
      </c>
    </row>
    <row r="11858">
      <c r="A11858" s="5">
        <v>11857.0</v>
      </c>
      <c r="B11858" s="5" t="s">
        <v>12292</v>
      </c>
      <c r="C11858" s="5" t="s">
        <v>21</v>
      </c>
      <c r="K11858" s="5">
        <v>150.0</v>
      </c>
      <c r="N11858" s="9">
        <v>45675.0</v>
      </c>
    </row>
    <row r="11859">
      <c r="A11859" s="5">
        <v>11858.0</v>
      </c>
      <c r="B11859" s="5" t="s">
        <v>12293</v>
      </c>
      <c r="C11859" s="5" t="s">
        <v>21</v>
      </c>
      <c r="K11859" s="5">
        <v>600.0</v>
      </c>
      <c r="N11859" s="9">
        <v>44323.0</v>
      </c>
    </row>
    <row r="11860">
      <c r="A11860" s="5">
        <v>11859.0</v>
      </c>
      <c r="B11860" s="5" t="s">
        <v>12294</v>
      </c>
      <c r="C11860" s="5" t="s">
        <v>21</v>
      </c>
      <c r="K11860" s="5">
        <v>800.0</v>
      </c>
      <c r="N11860" s="9">
        <v>44728.0</v>
      </c>
    </row>
    <row r="11861">
      <c r="A11861" s="5">
        <v>11860.0</v>
      </c>
      <c r="B11861" s="5" t="s">
        <v>12295</v>
      </c>
      <c r="C11861" s="5" t="s">
        <v>21</v>
      </c>
      <c r="K11861" s="5">
        <v>600.0</v>
      </c>
      <c r="N11861" s="9">
        <v>44712.0</v>
      </c>
    </row>
    <row r="11862">
      <c r="A11862" s="5">
        <v>11861.0</v>
      </c>
      <c r="B11862" s="5" t="s">
        <v>12296</v>
      </c>
      <c r="C11862" s="5" t="s">
        <v>21</v>
      </c>
      <c r="K11862" s="5">
        <v>250.0</v>
      </c>
      <c r="N11862" s="9">
        <v>44774.0</v>
      </c>
    </row>
    <row r="11863">
      <c r="A11863" s="5">
        <v>11862.0</v>
      </c>
      <c r="B11863" s="5" t="s">
        <v>12297</v>
      </c>
      <c r="C11863" s="5" t="s">
        <v>21</v>
      </c>
      <c r="K11863" s="5">
        <v>400.0</v>
      </c>
      <c r="N11863" s="9">
        <v>44552.0</v>
      </c>
    </row>
    <row r="11864">
      <c r="A11864" s="5">
        <v>11863.0</v>
      </c>
      <c r="B11864" s="5" t="s">
        <v>12298</v>
      </c>
      <c r="C11864" s="5" t="s">
        <v>21</v>
      </c>
      <c r="K11864" s="5">
        <v>1100.0</v>
      </c>
      <c r="N11864" s="9">
        <v>44900.0</v>
      </c>
    </row>
    <row r="11865">
      <c r="A11865" s="5">
        <v>11864.0</v>
      </c>
      <c r="B11865" s="5" t="s">
        <v>12299</v>
      </c>
      <c r="C11865" s="5" t="s">
        <v>21</v>
      </c>
      <c r="K11865" s="5">
        <v>40.0</v>
      </c>
      <c r="N11865" s="9">
        <v>45278.0</v>
      </c>
    </row>
    <row r="11866">
      <c r="A11866" s="5">
        <v>11865.0</v>
      </c>
      <c r="B11866" s="5" t="s">
        <v>12300</v>
      </c>
      <c r="C11866" s="5" t="s">
        <v>21</v>
      </c>
      <c r="K11866" s="5">
        <v>100.0</v>
      </c>
      <c r="N11866" s="9">
        <v>44894.0</v>
      </c>
    </row>
    <row r="11867">
      <c r="A11867" s="5">
        <v>11866.0</v>
      </c>
      <c r="B11867" s="5" t="s">
        <v>12301</v>
      </c>
      <c r="C11867" s="5" t="s">
        <v>21</v>
      </c>
      <c r="K11867" s="5">
        <v>1100.0</v>
      </c>
      <c r="N11867" s="9">
        <v>44282.0</v>
      </c>
    </row>
    <row r="11868">
      <c r="A11868" s="5">
        <v>11867.0</v>
      </c>
      <c r="B11868" s="5" t="s">
        <v>12302</v>
      </c>
      <c r="C11868" s="5" t="s">
        <v>21</v>
      </c>
      <c r="K11868" s="5">
        <v>150.0</v>
      </c>
      <c r="N11868" s="9">
        <v>44584.0</v>
      </c>
    </row>
    <row r="11869">
      <c r="A11869" s="5">
        <v>11868.0</v>
      </c>
      <c r="B11869" s="5" t="s">
        <v>12303</v>
      </c>
      <c r="C11869" s="5" t="s">
        <v>21</v>
      </c>
      <c r="K11869" s="5">
        <v>700.0</v>
      </c>
      <c r="N11869" s="9">
        <v>44231.0</v>
      </c>
    </row>
    <row r="11870">
      <c r="A11870" s="5">
        <v>11869.0</v>
      </c>
      <c r="B11870" s="5" t="s">
        <v>12304</v>
      </c>
      <c r="C11870" s="5" t="s">
        <v>21</v>
      </c>
      <c r="K11870" s="5">
        <v>400.0</v>
      </c>
      <c r="N11870" s="9">
        <v>43872.0</v>
      </c>
    </row>
    <row r="11871">
      <c r="A11871" s="5">
        <v>11870.0</v>
      </c>
      <c r="B11871" s="5" t="s">
        <v>12305</v>
      </c>
      <c r="C11871" s="5" t="s">
        <v>21</v>
      </c>
      <c r="K11871" s="5">
        <v>450.0</v>
      </c>
      <c r="N11871" s="9">
        <v>45316.0</v>
      </c>
    </row>
    <row r="11872">
      <c r="A11872" s="5">
        <v>11871.0</v>
      </c>
      <c r="B11872" s="5" t="s">
        <v>12306</v>
      </c>
      <c r="C11872" s="5" t="s">
        <v>21</v>
      </c>
      <c r="K11872" s="5">
        <v>30.0</v>
      </c>
      <c r="N11872" s="9">
        <v>45080.0</v>
      </c>
    </row>
    <row r="11873">
      <c r="A11873" s="5">
        <v>11872.0</v>
      </c>
      <c r="B11873" s="5" t="s">
        <v>12307</v>
      </c>
      <c r="C11873" s="5" t="s">
        <v>21</v>
      </c>
      <c r="K11873" s="5">
        <v>2200.0</v>
      </c>
      <c r="N11873" s="9">
        <v>44423.0</v>
      </c>
    </row>
    <row r="11874">
      <c r="A11874" s="5">
        <v>11873.0</v>
      </c>
      <c r="B11874" s="5" t="s">
        <v>12308</v>
      </c>
      <c r="C11874" s="5" t="s">
        <v>21</v>
      </c>
      <c r="K11874" s="5">
        <v>10.0</v>
      </c>
      <c r="N11874" s="9">
        <v>45194.0</v>
      </c>
    </row>
    <row r="11875">
      <c r="A11875" s="5">
        <v>11874.0</v>
      </c>
      <c r="B11875" s="5" t="s">
        <v>12309</v>
      </c>
      <c r="C11875" s="5" t="s">
        <v>21</v>
      </c>
      <c r="K11875" s="5">
        <v>2700.0</v>
      </c>
      <c r="N11875" s="9">
        <v>43960.0</v>
      </c>
    </row>
    <row r="11876">
      <c r="A11876" s="5">
        <v>11875.0</v>
      </c>
      <c r="B11876" s="5" t="s">
        <v>12310</v>
      </c>
      <c r="C11876" s="5" t="s">
        <v>21</v>
      </c>
      <c r="K11876" s="5">
        <v>1000.0</v>
      </c>
      <c r="N11876" s="9">
        <v>43884.0</v>
      </c>
    </row>
    <row r="11877">
      <c r="A11877" s="5">
        <v>11876.0</v>
      </c>
      <c r="B11877" s="5" t="s">
        <v>12311</v>
      </c>
      <c r="C11877" s="5" t="s">
        <v>21</v>
      </c>
      <c r="K11877" s="5">
        <v>300.0</v>
      </c>
      <c r="N11877" s="9">
        <v>44646.0</v>
      </c>
    </row>
    <row r="11878">
      <c r="A11878" s="5">
        <v>11877.0</v>
      </c>
      <c r="B11878" s="5" t="s">
        <v>12312</v>
      </c>
      <c r="C11878" s="5" t="s">
        <v>21</v>
      </c>
      <c r="K11878" s="5">
        <v>800.0</v>
      </c>
      <c r="N11878" s="9">
        <v>44594.0</v>
      </c>
    </row>
    <row r="11879">
      <c r="A11879" s="5">
        <v>11878.0</v>
      </c>
      <c r="B11879" s="5" t="s">
        <v>12313</v>
      </c>
      <c r="C11879" s="5" t="s">
        <v>21</v>
      </c>
      <c r="K11879" s="5">
        <v>3900.0</v>
      </c>
      <c r="N11879" s="9">
        <v>46096.0</v>
      </c>
    </row>
    <row r="11880">
      <c r="A11880" s="5">
        <v>11879.0</v>
      </c>
      <c r="B11880" s="5" t="s">
        <v>12314</v>
      </c>
      <c r="C11880" s="5" t="s">
        <v>21</v>
      </c>
      <c r="K11880" s="5">
        <v>500.0</v>
      </c>
      <c r="N11880" s="9">
        <v>44718.0</v>
      </c>
    </row>
    <row r="11881">
      <c r="A11881" s="5">
        <v>11880.0</v>
      </c>
      <c r="B11881" s="5" t="s">
        <v>12315</v>
      </c>
      <c r="C11881" s="5" t="s">
        <v>21</v>
      </c>
      <c r="K11881" s="5">
        <v>200.0</v>
      </c>
      <c r="N11881" s="9">
        <v>45312.0</v>
      </c>
    </row>
    <row r="11882">
      <c r="A11882" s="5">
        <v>11881.0</v>
      </c>
      <c r="B11882" s="5" t="s">
        <v>12316</v>
      </c>
      <c r="C11882" s="5" t="s">
        <v>21</v>
      </c>
      <c r="K11882" s="5">
        <v>150.0</v>
      </c>
      <c r="N11882" s="9">
        <v>44565.0</v>
      </c>
    </row>
    <row r="11883">
      <c r="A11883" s="5">
        <v>11882.0</v>
      </c>
      <c r="B11883" s="5" t="s">
        <v>12317</v>
      </c>
      <c r="C11883" s="5" t="s">
        <v>21</v>
      </c>
      <c r="K11883" s="5">
        <v>300.0</v>
      </c>
      <c r="N11883" s="9">
        <v>44460.0</v>
      </c>
    </row>
    <row r="11884">
      <c r="A11884" s="5">
        <v>11883.0</v>
      </c>
      <c r="B11884" s="5" t="s">
        <v>12318</v>
      </c>
      <c r="C11884" s="5" t="s">
        <v>21</v>
      </c>
      <c r="K11884" s="5">
        <v>200.0</v>
      </c>
      <c r="N11884" s="9">
        <v>44031.0</v>
      </c>
    </row>
    <row r="11885">
      <c r="A11885" s="5">
        <v>11884.0</v>
      </c>
      <c r="B11885" s="5" t="s">
        <v>12319</v>
      </c>
      <c r="C11885" s="5" t="s">
        <v>21</v>
      </c>
      <c r="N11885" s="9">
        <v>45916.0</v>
      </c>
    </row>
    <row r="11886">
      <c r="A11886" s="5">
        <v>11885.0</v>
      </c>
      <c r="B11886" s="5" t="s">
        <v>12320</v>
      </c>
      <c r="C11886" s="5" t="s">
        <v>21</v>
      </c>
      <c r="K11886" s="5">
        <v>80.0</v>
      </c>
      <c r="N11886" s="9">
        <v>43726.0</v>
      </c>
    </row>
    <row r="11887">
      <c r="A11887" s="5">
        <v>11886.0</v>
      </c>
      <c r="B11887" s="5" t="s">
        <v>12321</v>
      </c>
      <c r="C11887" s="5" t="s">
        <v>21</v>
      </c>
      <c r="K11887" s="5">
        <v>5500.0</v>
      </c>
      <c r="N11887" s="9">
        <v>44224.0</v>
      </c>
    </row>
    <row r="11888">
      <c r="A11888" s="5">
        <v>11887.0</v>
      </c>
      <c r="B11888" s="5" t="s">
        <v>12322</v>
      </c>
      <c r="C11888" s="5" t="s">
        <v>21</v>
      </c>
      <c r="K11888" s="5">
        <v>100.0</v>
      </c>
      <c r="N11888" s="9">
        <v>44532.0</v>
      </c>
    </row>
    <row r="11889">
      <c r="A11889" s="5">
        <v>11888.0</v>
      </c>
      <c r="B11889" s="5" t="s">
        <v>12323</v>
      </c>
      <c r="C11889" s="5" t="s">
        <v>21</v>
      </c>
      <c r="K11889" s="5">
        <v>10.0</v>
      </c>
      <c r="N11889" s="9">
        <v>44536.0</v>
      </c>
    </row>
    <row r="11890">
      <c r="A11890" s="5">
        <v>11889.0</v>
      </c>
      <c r="B11890" s="5" t="s">
        <v>12324</v>
      </c>
      <c r="C11890" s="5" t="s">
        <v>21</v>
      </c>
      <c r="K11890" s="5">
        <v>200.0</v>
      </c>
      <c r="N11890" s="9">
        <v>44744.0</v>
      </c>
    </row>
    <row r="11891">
      <c r="A11891" s="5">
        <v>11890.0</v>
      </c>
      <c r="B11891" s="5" t="s">
        <v>12325</v>
      </c>
      <c r="C11891" s="5" t="s">
        <v>21</v>
      </c>
      <c r="K11891" s="5">
        <v>250.0</v>
      </c>
      <c r="N11891" s="9">
        <v>45290.0</v>
      </c>
    </row>
    <row r="11892">
      <c r="A11892" s="5">
        <v>11891.0</v>
      </c>
      <c r="B11892" s="5" t="s">
        <v>12326</v>
      </c>
      <c r="C11892" s="5" t="s">
        <v>21</v>
      </c>
      <c r="K11892" s="5">
        <v>500.0</v>
      </c>
      <c r="N11892" s="9">
        <v>44521.0</v>
      </c>
    </row>
    <row r="11893">
      <c r="A11893" s="5">
        <v>11892.0</v>
      </c>
      <c r="B11893" s="5" t="s">
        <v>12327</v>
      </c>
      <c r="C11893" s="5" t="s">
        <v>21</v>
      </c>
      <c r="K11893" s="5">
        <v>70.0</v>
      </c>
      <c r="N11893" s="9">
        <v>45187.0</v>
      </c>
    </row>
    <row r="11894">
      <c r="A11894" s="5">
        <v>11893.0</v>
      </c>
      <c r="B11894" s="5" t="s">
        <v>12328</v>
      </c>
      <c r="C11894" s="5" t="s">
        <v>21</v>
      </c>
      <c r="K11894" s="5">
        <v>3700.0</v>
      </c>
      <c r="N11894" s="9">
        <v>43856.0</v>
      </c>
    </row>
    <row r="11895">
      <c r="A11895" s="5">
        <v>11894.0</v>
      </c>
      <c r="B11895" s="5" t="s">
        <v>12329</v>
      </c>
      <c r="C11895" s="5" t="s">
        <v>21</v>
      </c>
      <c r="K11895" s="5">
        <v>1000.0</v>
      </c>
      <c r="N11895" s="9">
        <v>44565.0</v>
      </c>
    </row>
    <row r="11896">
      <c r="A11896" s="5">
        <v>11895.0</v>
      </c>
      <c r="B11896" s="5" t="s">
        <v>12330</v>
      </c>
      <c r="C11896" s="5" t="s">
        <v>21</v>
      </c>
      <c r="K11896" s="5">
        <v>10.0</v>
      </c>
      <c r="N11896" s="9">
        <v>44773.0</v>
      </c>
    </row>
    <row r="11897">
      <c r="A11897" s="5">
        <v>11896.0</v>
      </c>
      <c r="B11897" s="5" t="s">
        <v>12331</v>
      </c>
      <c r="C11897" s="5" t="s">
        <v>21</v>
      </c>
      <c r="K11897" s="5">
        <v>2700.0</v>
      </c>
      <c r="N11897" s="9">
        <v>44331.0</v>
      </c>
    </row>
    <row r="11898">
      <c r="A11898" s="5">
        <v>11897.0</v>
      </c>
      <c r="B11898" s="5" t="s">
        <v>12332</v>
      </c>
      <c r="C11898" s="5" t="s">
        <v>21</v>
      </c>
      <c r="K11898" s="5">
        <v>900.0</v>
      </c>
      <c r="N11898" s="9">
        <v>44747.0</v>
      </c>
    </row>
    <row r="11899">
      <c r="A11899" s="5">
        <v>11898.0</v>
      </c>
      <c r="B11899" s="5" t="s">
        <v>12333</v>
      </c>
      <c r="C11899" s="5" t="s">
        <v>21</v>
      </c>
      <c r="K11899" s="5">
        <v>300.0</v>
      </c>
      <c r="N11899" s="9">
        <v>44511.0</v>
      </c>
    </row>
    <row r="11900">
      <c r="A11900" s="5">
        <v>11899.0</v>
      </c>
      <c r="B11900" s="5" t="s">
        <v>12334</v>
      </c>
      <c r="C11900" s="5" t="s">
        <v>21</v>
      </c>
      <c r="K11900" s="5">
        <v>500.0</v>
      </c>
      <c r="N11900" s="9">
        <v>44579.0</v>
      </c>
    </row>
    <row r="11901">
      <c r="A11901" s="5">
        <v>11900.0</v>
      </c>
      <c r="B11901" s="5" t="s">
        <v>12335</v>
      </c>
      <c r="C11901" s="5" t="s">
        <v>21</v>
      </c>
      <c r="K11901" s="5">
        <v>350.0</v>
      </c>
      <c r="N11901" s="9">
        <v>45614.0</v>
      </c>
    </row>
    <row r="11902">
      <c r="A11902" s="5">
        <v>11901.0</v>
      </c>
      <c r="B11902" s="5" t="s">
        <v>12336</v>
      </c>
      <c r="C11902" s="5" t="s">
        <v>21</v>
      </c>
      <c r="K11902" s="5">
        <v>800.0</v>
      </c>
      <c r="N11902" s="9">
        <v>45481.0</v>
      </c>
    </row>
    <row r="11903">
      <c r="A11903" s="5">
        <v>11902.0</v>
      </c>
      <c r="B11903" s="5" t="s">
        <v>12337</v>
      </c>
      <c r="C11903" s="5" t="s">
        <v>21</v>
      </c>
      <c r="K11903" s="5">
        <v>20.0</v>
      </c>
      <c r="N11903" s="9">
        <v>45405.0</v>
      </c>
    </row>
    <row r="11904">
      <c r="A11904" s="5">
        <v>11903.0</v>
      </c>
      <c r="B11904" s="5" t="s">
        <v>12338</v>
      </c>
      <c r="C11904" s="5" t="s">
        <v>21</v>
      </c>
      <c r="K11904" s="5">
        <v>200.0</v>
      </c>
      <c r="N11904" s="9">
        <v>44800.0</v>
      </c>
    </row>
    <row r="11905">
      <c r="A11905" s="5">
        <v>11904.0</v>
      </c>
      <c r="B11905" s="5" t="s">
        <v>12339</v>
      </c>
      <c r="C11905" s="5" t="s">
        <v>21</v>
      </c>
      <c r="K11905" s="5">
        <v>2800.0</v>
      </c>
      <c r="N11905" s="9">
        <v>44322.0</v>
      </c>
    </row>
    <row r="11906">
      <c r="A11906" s="5">
        <v>11905.0</v>
      </c>
      <c r="B11906" s="5" t="s">
        <v>12340</v>
      </c>
      <c r="C11906" s="5" t="s">
        <v>21</v>
      </c>
      <c r="K11906" s="5">
        <v>100.0</v>
      </c>
      <c r="N11906" s="9">
        <v>44702.0</v>
      </c>
    </row>
    <row r="11907">
      <c r="A11907" s="5">
        <v>11906.0</v>
      </c>
      <c r="B11907" s="5" t="s">
        <v>12341</v>
      </c>
      <c r="C11907" s="5" t="s">
        <v>21</v>
      </c>
      <c r="K11907" s="5">
        <v>300.0</v>
      </c>
      <c r="N11907" s="9">
        <v>44278.0</v>
      </c>
    </row>
    <row r="11908">
      <c r="A11908" s="5">
        <v>11907.0</v>
      </c>
      <c r="B11908" s="5" t="s">
        <v>12342</v>
      </c>
      <c r="C11908" s="5" t="s">
        <v>21</v>
      </c>
      <c r="K11908" s="5">
        <v>500.0</v>
      </c>
      <c r="N11908" s="9">
        <v>44529.0</v>
      </c>
    </row>
    <row r="11909">
      <c r="A11909" s="5">
        <v>11908.0</v>
      </c>
      <c r="B11909" s="5" t="s">
        <v>12343</v>
      </c>
      <c r="C11909" s="5" t="s">
        <v>21</v>
      </c>
      <c r="K11909" s="5">
        <v>80.0</v>
      </c>
      <c r="N11909" s="9">
        <v>44639.0</v>
      </c>
    </row>
    <row r="11910">
      <c r="A11910" s="5">
        <v>11909.0</v>
      </c>
      <c r="B11910" s="5" t="s">
        <v>12344</v>
      </c>
      <c r="C11910" s="5" t="s">
        <v>21</v>
      </c>
      <c r="K11910" s="5">
        <v>200.0</v>
      </c>
      <c r="N11910" s="9">
        <v>44163.0</v>
      </c>
    </row>
    <row r="11911">
      <c r="A11911" s="5">
        <v>11910.0</v>
      </c>
      <c r="B11911" s="5" t="s">
        <v>12345</v>
      </c>
      <c r="C11911" s="5" t="s">
        <v>21</v>
      </c>
      <c r="K11911" s="5">
        <v>150.0</v>
      </c>
      <c r="N11911" s="9">
        <v>44520.0</v>
      </c>
    </row>
    <row r="11912">
      <c r="A11912" s="5">
        <v>11911.0</v>
      </c>
      <c r="B11912" s="5" t="s">
        <v>12346</v>
      </c>
      <c r="C11912" s="5" t="s">
        <v>21</v>
      </c>
      <c r="K11912" s="5">
        <v>20.0</v>
      </c>
      <c r="N11912" s="9">
        <v>44109.0</v>
      </c>
    </row>
    <row r="11913">
      <c r="A11913" s="5">
        <v>11912.0</v>
      </c>
      <c r="B11913" s="5" t="s">
        <v>12347</v>
      </c>
      <c r="C11913" s="5" t="s">
        <v>21</v>
      </c>
      <c r="N11913" s="9">
        <v>44519.0</v>
      </c>
    </row>
    <row r="11914">
      <c r="A11914" s="5">
        <v>11913.0</v>
      </c>
      <c r="B11914" s="5" t="s">
        <v>12348</v>
      </c>
      <c r="C11914" s="5" t="s">
        <v>21</v>
      </c>
      <c r="K11914" s="5">
        <v>200.0</v>
      </c>
      <c r="N11914" s="9">
        <v>44805.0</v>
      </c>
    </row>
    <row r="11915">
      <c r="A11915" s="5">
        <v>11914.0</v>
      </c>
      <c r="B11915" s="5" t="s">
        <v>12349</v>
      </c>
      <c r="C11915" s="5" t="s">
        <v>21</v>
      </c>
      <c r="K11915" s="5">
        <v>80.0</v>
      </c>
      <c r="N11915" s="9">
        <v>44048.0</v>
      </c>
    </row>
    <row r="11916">
      <c r="A11916" s="5">
        <v>11915.0</v>
      </c>
      <c r="B11916" s="5" t="s">
        <v>12350</v>
      </c>
      <c r="C11916" s="5" t="s">
        <v>21</v>
      </c>
      <c r="K11916" s="5">
        <v>600.0</v>
      </c>
      <c r="N11916" s="9">
        <v>45183.0</v>
      </c>
    </row>
    <row r="11917">
      <c r="A11917" s="5">
        <v>11916.0</v>
      </c>
      <c r="B11917" s="5" t="s">
        <v>12351</v>
      </c>
      <c r="C11917" s="5" t="s">
        <v>21</v>
      </c>
      <c r="K11917" s="5">
        <v>100.0</v>
      </c>
      <c r="N11917" s="9">
        <v>44769.0</v>
      </c>
    </row>
    <row r="11918">
      <c r="A11918" s="5">
        <v>11917.0</v>
      </c>
      <c r="B11918" s="5" t="s">
        <v>12352</v>
      </c>
      <c r="C11918" s="5" t="s">
        <v>21</v>
      </c>
      <c r="K11918" s="5">
        <v>3000.0</v>
      </c>
      <c r="N11918" s="9">
        <v>45365.0</v>
      </c>
    </row>
    <row r="11919">
      <c r="A11919" s="5">
        <v>11918.0</v>
      </c>
      <c r="B11919" s="5" t="s">
        <v>12353</v>
      </c>
      <c r="C11919" s="5" t="s">
        <v>21</v>
      </c>
      <c r="K11919" s="5">
        <v>60.0</v>
      </c>
      <c r="N11919" s="9">
        <v>45500.0</v>
      </c>
    </row>
    <row r="11920">
      <c r="A11920" s="5">
        <v>11919.0</v>
      </c>
      <c r="B11920" s="5" t="s">
        <v>12354</v>
      </c>
      <c r="C11920" s="5" t="s">
        <v>21</v>
      </c>
      <c r="K11920" s="5">
        <v>350.0</v>
      </c>
      <c r="N11920" s="9">
        <v>44519.0</v>
      </c>
    </row>
    <row r="11921">
      <c r="A11921" s="5">
        <v>11920.0</v>
      </c>
      <c r="B11921" s="5" t="s">
        <v>12355</v>
      </c>
      <c r="C11921" s="5" t="s">
        <v>21</v>
      </c>
      <c r="K11921" s="5">
        <v>60.0</v>
      </c>
      <c r="N11921" s="9">
        <v>44959.0</v>
      </c>
    </row>
    <row r="11922">
      <c r="A11922" s="5">
        <v>11921.0</v>
      </c>
      <c r="B11922" s="5" t="s">
        <v>12356</v>
      </c>
      <c r="C11922" s="5" t="s">
        <v>21</v>
      </c>
      <c r="K11922" s="5">
        <v>450.0</v>
      </c>
      <c r="N11922" s="9">
        <v>44283.0</v>
      </c>
    </row>
    <row r="11923">
      <c r="A11923" s="5">
        <v>11922.0</v>
      </c>
      <c r="B11923" s="5" t="s">
        <v>12357</v>
      </c>
      <c r="C11923" s="5" t="s">
        <v>21</v>
      </c>
      <c r="K11923" s="5">
        <v>150.0</v>
      </c>
      <c r="N11923" s="9">
        <v>44521.0</v>
      </c>
    </row>
    <row r="11924">
      <c r="A11924" s="5">
        <v>11923.0</v>
      </c>
      <c r="B11924" s="5" t="s">
        <v>12358</v>
      </c>
      <c r="C11924" s="5" t="s">
        <v>21</v>
      </c>
      <c r="K11924" s="5">
        <v>400.0</v>
      </c>
      <c r="N11924" s="9">
        <v>44708.0</v>
      </c>
    </row>
    <row r="11925">
      <c r="A11925" s="5">
        <v>11924.0</v>
      </c>
      <c r="B11925" s="5" t="s">
        <v>12359</v>
      </c>
      <c r="C11925" s="5" t="s">
        <v>21</v>
      </c>
      <c r="K11925" s="5">
        <v>1100.0</v>
      </c>
      <c r="N11925" s="9">
        <v>44644.0</v>
      </c>
    </row>
    <row r="11926">
      <c r="A11926" s="5">
        <v>11925.0</v>
      </c>
      <c r="B11926" s="5" t="s">
        <v>12360</v>
      </c>
      <c r="C11926" s="5" t="s">
        <v>21</v>
      </c>
      <c r="K11926" s="5">
        <v>250.0</v>
      </c>
      <c r="N11926" s="9">
        <v>44580.0</v>
      </c>
    </row>
    <row r="11927">
      <c r="A11927" s="5">
        <v>11926.0</v>
      </c>
      <c r="B11927" s="5" t="s">
        <v>12361</v>
      </c>
      <c r="C11927" s="5" t="s">
        <v>21</v>
      </c>
      <c r="K11927" s="5">
        <v>600.0</v>
      </c>
      <c r="N11927" s="9">
        <v>45650.0</v>
      </c>
    </row>
    <row r="11928">
      <c r="A11928" s="5">
        <v>11927.0</v>
      </c>
      <c r="B11928" s="5" t="s">
        <v>12362</v>
      </c>
      <c r="C11928" s="5" t="s">
        <v>21</v>
      </c>
      <c r="K11928" s="5">
        <v>200.0</v>
      </c>
      <c r="N11928" s="9">
        <v>44530.0</v>
      </c>
    </row>
    <row r="11929">
      <c r="A11929" s="5">
        <v>11928.0</v>
      </c>
      <c r="B11929" s="5" t="s">
        <v>12363</v>
      </c>
      <c r="C11929" s="5" t="s">
        <v>21</v>
      </c>
      <c r="K11929" s="5">
        <v>30.0</v>
      </c>
      <c r="N11929" s="9">
        <v>45062.0</v>
      </c>
    </row>
    <row r="11930">
      <c r="A11930" s="5">
        <v>11929.0</v>
      </c>
      <c r="B11930" s="5" t="s">
        <v>12364</v>
      </c>
      <c r="C11930" s="5" t="s">
        <v>21</v>
      </c>
      <c r="K11930" s="5">
        <v>10.0</v>
      </c>
      <c r="N11930" s="9">
        <v>44881.0</v>
      </c>
    </row>
    <row r="11931">
      <c r="A11931" s="5">
        <v>11930.0</v>
      </c>
      <c r="B11931" s="5" t="s">
        <v>12365</v>
      </c>
      <c r="C11931" s="5" t="s">
        <v>21</v>
      </c>
      <c r="K11931" s="5">
        <v>40.0</v>
      </c>
      <c r="N11931" s="9">
        <v>44258.0</v>
      </c>
    </row>
    <row r="11932">
      <c r="A11932" s="5">
        <v>11931.0</v>
      </c>
      <c r="B11932" s="5" t="s">
        <v>12366</v>
      </c>
      <c r="C11932" s="5" t="s">
        <v>21</v>
      </c>
      <c r="K11932" s="5">
        <v>9800.0</v>
      </c>
      <c r="N11932" s="9">
        <v>44383.0</v>
      </c>
    </row>
    <row r="11933">
      <c r="A11933" s="5">
        <v>11932.0</v>
      </c>
      <c r="B11933" s="5" t="s">
        <v>12367</v>
      </c>
      <c r="C11933" s="5" t="s">
        <v>21</v>
      </c>
      <c r="K11933" s="5">
        <v>30.0</v>
      </c>
      <c r="N11933" s="9">
        <v>44516.0</v>
      </c>
    </row>
    <row r="11934">
      <c r="A11934" s="5">
        <v>11933.0</v>
      </c>
      <c r="B11934" s="5" t="s">
        <v>12368</v>
      </c>
      <c r="C11934" s="5" t="s">
        <v>21</v>
      </c>
      <c r="K11934" s="5">
        <v>150.0</v>
      </c>
      <c r="N11934" s="9">
        <v>44173.0</v>
      </c>
    </row>
    <row r="11935">
      <c r="A11935" s="5">
        <v>11934.0</v>
      </c>
      <c r="B11935" s="5" t="s">
        <v>12369</v>
      </c>
      <c r="C11935" s="5" t="s">
        <v>21</v>
      </c>
      <c r="K11935" s="5">
        <v>300.0</v>
      </c>
      <c r="N11935" s="9">
        <v>44586.0</v>
      </c>
    </row>
    <row r="11936">
      <c r="A11936" s="5">
        <v>11935.0</v>
      </c>
      <c r="B11936" s="5" t="s">
        <v>12370</v>
      </c>
      <c r="C11936" s="5" t="s">
        <v>21</v>
      </c>
      <c r="K11936" s="5">
        <v>1100.0</v>
      </c>
      <c r="N11936" s="9">
        <v>44333.0</v>
      </c>
    </row>
    <row r="11937">
      <c r="A11937" s="5">
        <v>11936.0</v>
      </c>
      <c r="B11937" s="5" t="s">
        <v>12371</v>
      </c>
      <c r="C11937" s="5" t="s">
        <v>21</v>
      </c>
      <c r="K11937" s="5">
        <v>300.0</v>
      </c>
      <c r="N11937" s="9">
        <v>44761.0</v>
      </c>
    </row>
    <row r="11938">
      <c r="A11938" s="5">
        <v>11937.0</v>
      </c>
      <c r="B11938" s="5" t="s">
        <v>12372</v>
      </c>
      <c r="C11938" s="5" t="s">
        <v>21</v>
      </c>
      <c r="K11938" s="5">
        <v>100.0</v>
      </c>
      <c r="N11938" s="9">
        <v>44329.0</v>
      </c>
    </row>
    <row r="11939">
      <c r="A11939" s="5">
        <v>11938.0</v>
      </c>
      <c r="B11939" s="5" t="s">
        <v>12373</v>
      </c>
      <c r="C11939" s="5" t="s">
        <v>21</v>
      </c>
      <c r="K11939" s="5">
        <v>150.0</v>
      </c>
      <c r="N11939" s="9">
        <v>44767.0</v>
      </c>
    </row>
    <row r="11940">
      <c r="A11940" s="5">
        <v>11939.0</v>
      </c>
      <c r="B11940" s="5" t="s">
        <v>12374</v>
      </c>
      <c r="C11940" s="5" t="s">
        <v>21</v>
      </c>
      <c r="K11940" s="5">
        <v>900.0</v>
      </c>
      <c r="N11940" s="9">
        <v>44582.0</v>
      </c>
    </row>
    <row r="11941">
      <c r="A11941" s="5">
        <v>11940.0</v>
      </c>
      <c r="B11941" s="5" t="s">
        <v>12375</v>
      </c>
      <c r="C11941" s="5" t="s">
        <v>21</v>
      </c>
      <c r="K11941" s="5">
        <v>1400.0</v>
      </c>
      <c r="N11941" s="9">
        <v>44526.0</v>
      </c>
    </row>
    <row r="11942">
      <c r="A11942" s="5">
        <v>11941.0</v>
      </c>
      <c r="B11942" s="5" t="s">
        <v>12376</v>
      </c>
      <c r="C11942" s="5" t="s">
        <v>21</v>
      </c>
      <c r="K11942" s="5">
        <v>30.0</v>
      </c>
      <c r="N11942" s="9">
        <v>45024.0</v>
      </c>
    </row>
    <row r="11943">
      <c r="A11943" s="5">
        <v>11942.0</v>
      </c>
      <c r="B11943" s="5" t="s">
        <v>12377</v>
      </c>
      <c r="C11943" s="5" t="s">
        <v>21</v>
      </c>
      <c r="K11943" s="5">
        <v>400.0</v>
      </c>
      <c r="N11943" s="9">
        <v>44634.0</v>
      </c>
    </row>
    <row r="11944">
      <c r="A11944" s="5">
        <v>11943.0</v>
      </c>
      <c r="B11944" s="5" t="s">
        <v>12378</v>
      </c>
      <c r="C11944" s="5" t="s">
        <v>21</v>
      </c>
      <c r="K11944" s="5">
        <v>300.0</v>
      </c>
      <c r="N11944" s="9">
        <v>45142.0</v>
      </c>
    </row>
    <row r="11945">
      <c r="A11945" s="5">
        <v>11944.0</v>
      </c>
      <c r="B11945" s="5" t="s">
        <v>12379</v>
      </c>
      <c r="C11945" s="5" t="s">
        <v>21</v>
      </c>
      <c r="K11945" s="5">
        <v>1800.0</v>
      </c>
      <c r="N11945" s="9">
        <v>44324.0</v>
      </c>
    </row>
    <row r="11946">
      <c r="A11946" s="5">
        <v>11945.0</v>
      </c>
      <c r="B11946" s="5" t="s">
        <v>12380</v>
      </c>
      <c r="C11946" s="5" t="s">
        <v>21</v>
      </c>
      <c r="K11946" s="5">
        <v>1600.0</v>
      </c>
      <c r="N11946" s="9">
        <v>45135.0</v>
      </c>
    </row>
    <row r="11947">
      <c r="A11947" s="5">
        <v>11946.0</v>
      </c>
      <c r="B11947" s="5" t="s">
        <v>12381</v>
      </c>
      <c r="C11947" s="5" t="s">
        <v>21</v>
      </c>
      <c r="K11947" s="5">
        <v>10.0</v>
      </c>
      <c r="N11947" s="9">
        <v>44544.0</v>
      </c>
    </row>
    <row r="11948">
      <c r="A11948" s="5">
        <v>11947.0</v>
      </c>
      <c r="B11948" s="5" t="s">
        <v>12382</v>
      </c>
      <c r="C11948" s="5" t="s">
        <v>21</v>
      </c>
      <c r="K11948" s="5">
        <v>3100.0</v>
      </c>
      <c r="N11948" s="9">
        <v>43901.0</v>
      </c>
    </row>
    <row r="11949">
      <c r="A11949" s="5">
        <v>11948.0</v>
      </c>
      <c r="B11949" s="5" t="s">
        <v>12383</v>
      </c>
      <c r="C11949" s="5" t="s">
        <v>21</v>
      </c>
      <c r="K11949" s="5">
        <v>600.0</v>
      </c>
      <c r="N11949" s="9">
        <v>43876.0</v>
      </c>
    </row>
    <row r="11950">
      <c r="A11950" s="5">
        <v>11949.0</v>
      </c>
      <c r="B11950" s="5" t="s">
        <v>12384</v>
      </c>
      <c r="C11950" s="5" t="s">
        <v>21</v>
      </c>
      <c r="K11950" s="5">
        <v>30.0</v>
      </c>
      <c r="N11950" s="9">
        <v>44235.0</v>
      </c>
    </row>
    <row r="11951">
      <c r="A11951" s="5">
        <v>11950.0</v>
      </c>
      <c r="B11951" s="5" t="s">
        <v>12385</v>
      </c>
      <c r="C11951" s="5" t="s">
        <v>21</v>
      </c>
      <c r="K11951" s="5">
        <v>1100.0</v>
      </c>
      <c r="N11951" s="9">
        <v>44409.0</v>
      </c>
    </row>
    <row r="11952">
      <c r="A11952" s="5">
        <v>11951.0</v>
      </c>
      <c r="B11952" s="5" t="s">
        <v>12386</v>
      </c>
      <c r="C11952" s="5" t="s">
        <v>21</v>
      </c>
      <c r="K11952" s="5">
        <v>200.0</v>
      </c>
      <c r="N11952" s="9">
        <v>44903.0</v>
      </c>
    </row>
    <row r="11953">
      <c r="A11953" s="5">
        <v>11952.0</v>
      </c>
      <c r="B11953" s="5" t="s">
        <v>12387</v>
      </c>
      <c r="C11953" s="5" t="s">
        <v>21</v>
      </c>
      <c r="K11953" s="5">
        <v>700.0</v>
      </c>
      <c r="N11953" s="9">
        <v>44651.0</v>
      </c>
    </row>
    <row r="11954">
      <c r="A11954" s="5">
        <v>11953.0</v>
      </c>
      <c r="B11954" s="5" t="s">
        <v>12388</v>
      </c>
      <c r="C11954" s="5" t="s">
        <v>21</v>
      </c>
      <c r="K11954" s="5">
        <v>1000.0</v>
      </c>
      <c r="N11954" s="9">
        <v>44904.0</v>
      </c>
    </row>
    <row r="11955">
      <c r="A11955" s="5">
        <v>11954.0</v>
      </c>
      <c r="B11955" s="5" t="s">
        <v>12389</v>
      </c>
      <c r="C11955" s="5" t="s">
        <v>21</v>
      </c>
      <c r="K11955" s="5">
        <v>100.0</v>
      </c>
      <c r="N11955" s="9">
        <v>44364.0</v>
      </c>
    </row>
    <row r="11956">
      <c r="A11956" s="5">
        <v>11955.0</v>
      </c>
      <c r="B11956" s="5" t="s">
        <v>12390</v>
      </c>
      <c r="C11956" s="5" t="s">
        <v>21</v>
      </c>
      <c r="K11956" s="5">
        <v>6200.0</v>
      </c>
      <c r="N11956" s="9">
        <v>44525.0</v>
      </c>
    </row>
    <row r="11957">
      <c r="A11957" s="5">
        <v>11956.0</v>
      </c>
      <c r="B11957" s="5" t="s">
        <v>12391</v>
      </c>
      <c r="C11957" s="5" t="s">
        <v>21</v>
      </c>
      <c r="K11957" s="5">
        <v>80.0</v>
      </c>
      <c r="N11957" s="9">
        <v>44415.0</v>
      </c>
    </row>
    <row r="11958">
      <c r="A11958" s="5">
        <v>11957.0</v>
      </c>
      <c r="B11958" s="5" t="s">
        <v>414</v>
      </c>
      <c r="C11958" s="5" t="s">
        <v>21</v>
      </c>
      <c r="K11958" s="5">
        <v>250.0</v>
      </c>
      <c r="N11958" s="9">
        <v>44186.0</v>
      </c>
    </row>
    <row r="11959">
      <c r="A11959" s="5">
        <v>11958.0</v>
      </c>
      <c r="B11959" s="5" t="s">
        <v>12392</v>
      </c>
      <c r="C11959" s="5" t="s">
        <v>21</v>
      </c>
      <c r="K11959" s="5">
        <v>1300.0</v>
      </c>
      <c r="N11959" s="9">
        <v>44001.0</v>
      </c>
    </row>
    <row r="11960">
      <c r="A11960" s="5">
        <v>11959.0</v>
      </c>
      <c r="B11960" s="5" t="s">
        <v>12393</v>
      </c>
      <c r="C11960" s="5" t="s">
        <v>21</v>
      </c>
      <c r="K11960" s="5">
        <v>60.0</v>
      </c>
      <c r="N11960" s="9">
        <v>44580.0</v>
      </c>
    </row>
    <row r="11961">
      <c r="A11961" s="5">
        <v>11960.0</v>
      </c>
      <c r="B11961" s="5" t="s">
        <v>12394</v>
      </c>
      <c r="C11961" s="5" t="s">
        <v>21</v>
      </c>
      <c r="K11961" s="5">
        <v>350.0</v>
      </c>
      <c r="N11961" s="9">
        <v>45057.0</v>
      </c>
    </row>
    <row r="11962">
      <c r="A11962" s="5">
        <v>11961.0</v>
      </c>
      <c r="B11962" s="5" t="s">
        <v>12395</v>
      </c>
      <c r="C11962" s="5" t="s">
        <v>21</v>
      </c>
      <c r="K11962" s="5">
        <v>500.0</v>
      </c>
      <c r="N11962" s="9">
        <v>43958.0</v>
      </c>
    </row>
    <row r="11963">
      <c r="A11963" s="5">
        <v>11962.0</v>
      </c>
      <c r="B11963" s="5" t="s">
        <v>12396</v>
      </c>
      <c r="C11963" s="5" t="s">
        <v>21</v>
      </c>
      <c r="K11963" s="5">
        <v>1500.0</v>
      </c>
      <c r="N11963" s="9">
        <v>44521.0</v>
      </c>
    </row>
    <row r="11964">
      <c r="A11964" s="5">
        <v>11963.0</v>
      </c>
      <c r="B11964" s="5" t="s">
        <v>12397</v>
      </c>
      <c r="C11964" s="5" t="s">
        <v>21</v>
      </c>
      <c r="K11964" s="5">
        <v>400.0</v>
      </c>
      <c r="N11964" s="9">
        <v>44579.0</v>
      </c>
    </row>
    <row r="11965">
      <c r="A11965" s="5">
        <v>11964.0</v>
      </c>
      <c r="B11965" s="5" t="s">
        <v>12398</v>
      </c>
      <c r="C11965" s="5" t="s">
        <v>21</v>
      </c>
      <c r="K11965" s="5">
        <v>90.0</v>
      </c>
      <c r="N11965" s="9">
        <v>45036.0</v>
      </c>
    </row>
    <row r="11966">
      <c r="A11966" s="5">
        <v>11965.0</v>
      </c>
      <c r="B11966" s="5" t="s">
        <v>12399</v>
      </c>
      <c r="C11966" s="5" t="s">
        <v>21</v>
      </c>
      <c r="K11966" s="5">
        <v>500.0</v>
      </c>
      <c r="N11966" s="9">
        <v>43847.0</v>
      </c>
    </row>
    <row r="11967">
      <c r="A11967" s="5">
        <v>11966.0</v>
      </c>
      <c r="B11967" s="5" t="s">
        <v>12400</v>
      </c>
      <c r="C11967" s="5" t="s">
        <v>21</v>
      </c>
      <c r="K11967" s="5">
        <v>150.0</v>
      </c>
      <c r="N11967" s="9">
        <v>44520.0</v>
      </c>
    </row>
    <row r="11968">
      <c r="A11968" s="5">
        <v>11967.0</v>
      </c>
      <c r="B11968" s="5" t="s">
        <v>12401</v>
      </c>
      <c r="C11968" s="5" t="s">
        <v>21</v>
      </c>
      <c r="K11968" s="5">
        <v>300.0</v>
      </c>
      <c r="N11968" s="9">
        <v>44348.0</v>
      </c>
    </row>
    <row r="11969">
      <c r="A11969" s="5">
        <v>11968.0</v>
      </c>
      <c r="B11969" s="5" t="s">
        <v>12402</v>
      </c>
      <c r="C11969" s="5" t="s">
        <v>21</v>
      </c>
      <c r="K11969" s="5">
        <v>250.0</v>
      </c>
      <c r="N11969" s="9">
        <v>44108.0</v>
      </c>
    </row>
    <row r="11970">
      <c r="A11970" s="5">
        <v>11969.0</v>
      </c>
      <c r="B11970" s="5" t="s">
        <v>12403</v>
      </c>
      <c r="C11970" s="5" t="s">
        <v>21</v>
      </c>
      <c r="K11970" s="5">
        <v>70.0</v>
      </c>
      <c r="N11970" s="9">
        <v>44210.0</v>
      </c>
    </row>
    <row r="11971">
      <c r="A11971" s="5">
        <v>11970.0</v>
      </c>
      <c r="B11971" s="5" t="s">
        <v>12404</v>
      </c>
      <c r="C11971" s="5" t="s">
        <v>21</v>
      </c>
      <c r="K11971" s="5">
        <v>6400.0</v>
      </c>
      <c r="N11971" s="9">
        <v>45095.0</v>
      </c>
    </row>
    <row r="11972">
      <c r="A11972" s="5">
        <v>11971.0</v>
      </c>
      <c r="B11972" s="5" t="s">
        <v>12405</v>
      </c>
      <c r="C11972" s="5" t="s">
        <v>21</v>
      </c>
      <c r="K11972" s="5">
        <v>20.0</v>
      </c>
      <c r="N11972" s="9">
        <v>44878.0</v>
      </c>
    </row>
    <row r="11973">
      <c r="A11973" s="5">
        <v>11972.0</v>
      </c>
      <c r="B11973" s="5" t="s">
        <v>12406</v>
      </c>
      <c r="C11973" s="5" t="s">
        <v>21</v>
      </c>
      <c r="K11973" s="5">
        <v>90.0</v>
      </c>
      <c r="N11973" s="9">
        <v>44532.0</v>
      </c>
    </row>
    <row r="11974">
      <c r="A11974" s="5">
        <v>11973.0</v>
      </c>
      <c r="B11974" s="5" t="s">
        <v>417</v>
      </c>
      <c r="C11974" s="5" t="s">
        <v>21</v>
      </c>
      <c r="K11974" s="5">
        <v>300.0</v>
      </c>
      <c r="N11974" s="9">
        <v>44987.0</v>
      </c>
    </row>
    <row r="11975">
      <c r="A11975" s="5">
        <v>11974.0</v>
      </c>
      <c r="B11975" s="5" t="s">
        <v>12407</v>
      </c>
      <c r="C11975" s="5" t="s">
        <v>21</v>
      </c>
      <c r="K11975" s="5">
        <v>600.0</v>
      </c>
      <c r="N11975" s="9">
        <v>44542.0</v>
      </c>
    </row>
    <row r="11976">
      <c r="A11976" s="5">
        <v>11975.0</v>
      </c>
      <c r="B11976" s="5" t="s">
        <v>12408</v>
      </c>
      <c r="C11976" s="5" t="s">
        <v>21</v>
      </c>
      <c r="K11976" s="5">
        <v>40.0</v>
      </c>
      <c r="N11976" s="9">
        <v>44749.0</v>
      </c>
    </row>
    <row r="11977">
      <c r="A11977" s="5">
        <v>11976.0</v>
      </c>
      <c r="B11977" s="5" t="s">
        <v>12409</v>
      </c>
      <c r="C11977" s="5" t="s">
        <v>21</v>
      </c>
      <c r="K11977" s="5">
        <v>1600.0</v>
      </c>
      <c r="N11977" s="9">
        <v>44435.0</v>
      </c>
    </row>
    <row r="11978">
      <c r="A11978" s="5">
        <v>11977.0</v>
      </c>
      <c r="B11978" s="5" t="s">
        <v>12410</v>
      </c>
      <c r="C11978" s="5" t="s">
        <v>21</v>
      </c>
      <c r="K11978" s="5">
        <v>200.0</v>
      </c>
      <c r="N11978" s="9">
        <v>45420.0</v>
      </c>
    </row>
    <row r="11979">
      <c r="A11979" s="5">
        <v>11978.0</v>
      </c>
      <c r="B11979" s="5" t="s">
        <v>12411</v>
      </c>
      <c r="C11979" s="5" t="s">
        <v>21</v>
      </c>
      <c r="K11979" s="5">
        <v>600.0</v>
      </c>
      <c r="N11979" s="9">
        <v>44282.0</v>
      </c>
    </row>
    <row r="11980">
      <c r="A11980" s="5">
        <v>11979.0</v>
      </c>
      <c r="B11980" s="5" t="s">
        <v>12412</v>
      </c>
      <c r="C11980" s="5" t="s">
        <v>21</v>
      </c>
      <c r="K11980" s="5">
        <v>1500.0</v>
      </c>
      <c r="N11980" s="9">
        <v>45569.0</v>
      </c>
    </row>
    <row r="11981">
      <c r="A11981" s="5">
        <v>11980.0</v>
      </c>
      <c r="B11981" s="5" t="s">
        <v>12413</v>
      </c>
      <c r="C11981" s="5" t="s">
        <v>21</v>
      </c>
      <c r="K11981" s="5">
        <v>12000.0</v>
      </c>
      <c r="N11981" s="9">
        <v>43913.0</v>
      </c>
    </row>
    <row r="11982">
      <c r="A11982" s="5">
        <v>11981.0</v>
      </c>
      <c r="B11982" s="5" t="s">
        <v>12414</v>
      </c>
      <c r="C11982" s="5" t="s">
        <v>21</v>
      </c>
      <c r="K11982" s="5">
        <v>400.0</v>
      </c>
      <c r="N11982" s="9">
        <v>44665.0</v>
      </c>
    </row>
    <row r="11983">
      <c r="A11983" s="5">
        <v>11982.0</v>
      </c>
      <c r="B11983" s="5" t="s">
        <v>12415</v>
      </c>
      <c r="C11983" s="5" t="s">
        <v>21</v>
      </c>
      <c r="K11983" s="5">
        <v>400.0</v>
      </c>
      <c r="N11983" s="9">
        <v>44700.0</v>
      </c>
    </row>
    <row r="11984">
      <c r="A11984" s="5">
        <v>11983.0</v>
      </c>
      <c r="B11984" s="5" t="s">
        <v>12416</v>
      </c>
      <c r="C11984" s="5" t="s">
        <v>21</v>
      </c>
      <c r="K11984" s="5">
        <v>400.0</v>
      </c>
      <c r="N11984" s="9">
        <v>44587.0</v>
      </c>
    </row>
    <row r="11985">
      <c r="A11985" s="5">
        <v>11984.0</v>
      </c>
      <c r="B11985" s="5" t="s">
        <v>12417</v>
      </c>
      <c r="C11985" s="5" t="s">
        <v>21</v>
      </c>
      <c r="K11985" s="5">
        <v>300.0</v>
      </c>
      <c r="N11985" s="9">
        <v>44246.0</v>
      </c>
    </row>
    <row r="11986">
      <c r="A11986" s="5">
        <v>11985.0</v>
      </c>
      <c r="B11986" s="5" t="s">
        <v>12418</v>
      </c>
      <c r="C11986" s="5" t="s">
        <v>21</v>
      </c>
      <c r="K11986" s="5">
        <v>2200.0</v>
      </c>
      <c r="N11986" s="9">
        <v>45586.0</v>
      </c>
    </row>
    <row r="11987">
      <c r="A11987" s="5">
        <v>11986.0</v>
      </c>
      <c r="B11987" s="5" t="s">
        <v>12419</v>
      </c>
      <c r="C11987" s="5" t="s">
        <v>21</v>
      </c>
      <c r="K11987" s="5">
        <v>50.0</v>
      </c>
      <c r="N11987" s="9">
        <v>45200.0</v>
      </c>
    </row>
    <row r="11988">
      <c r="A11988" s="5">
        <v>11987.0</v>
      </c>
      <c r="B11988" s="5" t="s">
        <v>12420</v>
      </c>
      <c r="C11988" s="5" t="s">
        <v>21</v>
      </c>
      <c r="N11988" s="9">
        <v>44755.0</v>
      </c>
    </row>
    <row r="11989">
      <c r="A11989" s="5">
        <v>11988.0</v>
      </c>
      <c r="B11989" s="5" t="s">
        <v>12421</v>
      </c>
      <c r="C11989" s="5" t="s">
        <v>21</v>
      </c>
      <c r="K11989" s="5">
        <v>400.0</v>
      </c>
      <c r="N11989" s="9">
        <v>44736.0</v>
      </c>
    </row>
    <row r="11990">
      <c r="A11990" s="5">
        <v>11989.0</v>
      </c>
      <c r="B11990" s="5" t="s">
        <v>12422</v>
      </c>
      <c r="C11990" s="5" t="s">
        <v>21</v>
      </c>
      <c r="K11990" s="5">
        <v>40.0</v>
      </c>
      <c r="N11990" s="9">
        <v>44304.0</v>
      </c>
    </row>
    <row r="11991">
      <c r="A11991" s="5">
        <v>11990.0</v>
      </c>
      <c r="B11991" s="5" t="s">
        <v>12423</v>
      </c>
      <c r="C11991" s="5" t="s">
        <v>21</v>
      </c>
      <c r="K11991" s="5">
        <v>200.0</v>
      </c>
      <c r="N11991" s="9">
        <v>44088.0</v>
      </c>
    </row>
    <row r="11992">
      <c r="A11992" s="5">
        <v>11991.0</v>
      </c>
      <c r="B11992" s="5" t="s">
        <v>12424</v>
      </c>
      <c r="C11992" s="5" t="s">
        <v>21</v>
      </c>
      <c r="K11992" s="5">
        <v>90.0</v>
      </c>
      <c r="N11992" s="9">
        <v>44547.0</v>
      </c>
    </row>
    <row r="11993">
      <c r="A11993" s="5">
        <v>11992.0</v>
      </c>
      <c r="B11993" s="5" t="s">
        <v>12425</v>
      </c>
      <c r="C11993" s="5" t="s">
        <v>21</v>
      </c>
      <c r="K11993" s="5">
        <v>1700.0</v>
      </c>
      <c r="N11993" s="9">
        <v>44430.0</v>
      </c>
    </row>
    <row r="11994">
      <c r="A11994" s="5">
        <v>11993.0</v>
      </c>
      <c r="B11994" s="5" t="s">
        <v>12426</v>
      </c>
      <c r="C11994" s="5" t="s">
        <v>21</v>
      </c>
      <c r="K11994" s="5">
        <v>900.0</v>
      </c>
      <c r="N11994" s="9">
        <v>45545.0</v>
      </c>
    </row>
    <row r="11995">
      <c r="A11995" s="5">
        <v>11994.0</v>
      </c>
      <c r="B11995" s="5" t="s">
        <v>12427</v>
      </c>
      <c r="C11995" s="5" t="s">
        <v>21</v>
      </c>
      <c r="K11995" s="5">
        <v>200.0</v>
      </c>
      <c r="N11995" s="9">
        <v>44666.0</v>
      </c>
    </row>
    <row r="11996">
      <c r="A11996" s="5">
        <v>11995.0</v>
      </c>
      <c r="B11996" s="5" t="s">
        <v>12428</v>
      </c>
      <c r="C11996" s="5" t="s">
        <v>21</v>
      </c>
      <c r="K11996" s="5">
        <v>70.0</v>
      </c>
      <c r="N11996" s="9">
        <v>44769.0</v>
      </c>
    </row>
    <row r="11997">
      <c r="A11997" s="5">
        <v>11996.0</v>
      </c>
      <c r="B11997" s="5" t="s">
        <v>12429</v>
      </c>
      <c r="C11997" s="5" t="s">
        <v>21</v>
      </c>
      <c r="K11997" s="5">
        <v>200.0</v>
      </c>
      <c r="N11997" s="9">
        <v>44744.0</v>
      </c>
    </row>
    <row r="11998">
      <c r="A11998" s="5">
        <v>11997.0</v>
      </c>
      <c r="B11998" s="5" t="s">
        <v>12430</v>
      </c>
      <c r="C11998" s="5" t="s">
        <v>21</v>
      </c>
      <c r="K11998" s="5">
        <v>5700.0</v>
      </c>
      <c r="N11998" s="9">
        <v>44448.0</v>
      </c>
    </row>
    <row r="11999">
      <c r="A11999" s="5">
        <v>11998.0</v>
      </c>
      <c r="B11999" s="5" t="s">
        <v>12431</v>
      </c>
      <c r="C11999" s="5" t="s">
        <v>21</v>
      </c>
      <c r="K11999" s="5">
        <v>2400.0</v>
      </c>
      <c r="N11999" s="9">
        <v>44452.0</v>
      </c>
    </row>
    <row r="12000">
      <c r="A12000" s="5">
        <v>11999.0</v>
      </c>
      <c r="B12000" s="5" t="s">
        <v>12432</v>
      </c>
      <c r="C12000" s="5" t="s">
        <v>21</v>
      </c>
      <c r="N12000" s="9">
        <v>44031.0</v>
      </c>
    </row>
    <row r="12001">
      <c r="A12001" s="5">
        <v>12000.0</v>
      </c>
      <c r="B12001" s="5" t="s">
        <v>12433</v>
      </c>
      <c r="C12001" s="5" t="s">
        <v>21</v>
      </c>
      <c r="K12001" s="5">
        <v>250.0</v>
      </c>
      <c r="N12001" s="9">
        <v>44534.0</v>
      </c>
    </row>
    <row r="12002">
      <c r="A12002" s="5">
        <v>12001.0</v>
      </c>
      <c r="B12002" s="5" t="s">
        <v>12434</v>
      </c>
      <c r="C12002" s="5" t="s">
        <v>21</v>
      </c>
      <c r="K12002" s="5">
        <v>8600.0</v>
      </c>
      <c r="N12002" s="9">
        <v>44610.0</v>
      </c>
    </row>
    <row r="12003">
      <c r="A12003" s="5">
        <v>12002.0</v>
      </c>
      <c r="B12003" s="5" t="s">
        <v>12435</v>
      </c>
      <c r="C12003" s="5" t="s">
        <v>21</v>
      </c>
      <c r="K12003" s="5">
        <v>50.0</v>
      </c>
      <c r="N12003" s="9">
        <v>44583.0</v>
      </c>
    </row>
    <row r="12004">
      <c r="A12004" s="5">
        <v>12003.0</v>
      </c>
      <c r="B12004" s="5" t="s">
        <v>12436</v>
      </c>
      <c r="C12004" s="5" t="s">
        <v>21</v>
      </c>
      <c r="K12004" s="5">
        <v>1400.0</v>
      </c>
      <c r="N12004" s="9">
        <v>44760.0</v>
      </c>
    </row>
    <row r="12005">
      <c r="A12005" s="5">
        <v>12004.0</v>
      </c>
      <c r="B12005" s="5" t="s">
        <v>12437</v>
      </c>
      <c r="C12005" s="5" t="s">
        <v>21</v>
      </c>
      <c r="K12005" s="5">
        <v>80.0</v>
      </c>
      <c r="N12005" s="9">
        <v>44683.0</v>
      </c>
    </row>
    <row r="12006">
      <c r="A12006" s="5">
        <v>12005.0</v>
      </c>
      <c r="B12006" s="5" t="s">
        <v>12438</v>
      </c>
      <c r="C12006" s="5" t="s">
        <v>21</v>
      </c>
      <c r="N12006" s="9">
        <v>44572.0</v>
      </c>
    </row>
    <row r="12007">
      <c r="A12007" s="5">
        <v>12006.0</v>
      </c>
      <c r="B12007" s="5" t="s">
        <v>385</v>
      </c>
      <c r="C12007" s="5" t="s">
        <v>21</v>
      </c>
      <c r="K12007" s="5">
        <v>2700.0</v>
      </c>
      <c r="N12007" s="9">
        <v>44590.0</v>
      </c>
    </row>
    <row r="12008">
      <c r="A12008" s="5">
        <v>12007.0</v>
      </c>
      <c r="B12008" s="5" t="s">
        <v>12439</v>
      </c>
      <c r="C12008" s="5" t="s">
        <v>21</v>
      </c>
      <c r="K12008" s="5">
        <v>2200.0</v>
      </c>
      <c r="N12008" s="9">
        <v>44080.0</v>
      </c>
    </row>
    <row r="12009">
      <c r="A12009" s="5">
        <v>12008.0</v>
      </c>
      <c r="B12009" s="5" t="s">
        <v>12440</v>
      </c>
      <c r="C12009" s="5" t="s">
        <v>21</v>
      </c>
      <c r="K12009" s="5">
        <v>100.0</v>
      </c>
      <c r="N12009" s="9">
        <v>44726.0</v>
      </c>
    </row>
    <row r="12010">
      <c r="A12010" s="5">
        <v>12009.0</v>
      </c>
      <c r="B12010" s="5" t="s">
        <v>12441</v>
      </c>
      <c r="C12010" s="5" t="s">
        <v>21</v>
      </c>
      <c r="K12010" s="5">
        <v>300.0</v>
      </c>
      <c r="N12010" s="9">
        <v>45670.0</v>
      </c>
    </row>
    <row r="12011">
      <c r="A12011" s="5">
        <v>12010.0</v>
      </c>
      <c r="B12011" s="5" t="s">
        <v>12442</v>
      </c>
      <c r="C12011" s="5" t="s">
        <v>21</v>
      </c>
      <c r="K12011" s="5">
        <v>60.0</v>
      </c>
      <c r="N12011" s="9">
        <v>44329.0</v>
      </c>
    </row>
    <row r="12012">
      <c r="A12012" s="5">
        <v>12011.0</v>
      </c>
      <c r="B12012" s="5" t="s">
        <v>12443</v>
      </c>
      <c r="C12012" s="5" t="s">
        <v>21</v>
      </c>
      <c r="K12012" s="5">
        <v>1000.0</v>
      </c>
      <c r="N12012" s="9">
        <v>44485.0</v>
      </c>
    </row>
    <row r="12013">
      <c r="A12013" s="5">
        <v>12012.0</v>
      </c>
      <c r="B12013" s="5" t="s">
        <v>12444</v>
      </c>
      <c r="C12013" s="5" t="s">
        <v>21</v>
      </c>
      <c r="K12013" s="5">
        <v>60.0</v>
      </c>
      <c r="N12013" s="9">
        <v>44453.0</v>
      </c>
    </row>
    <row r="12014">
      <c r="A12014" s="5">
        <v>12013.0</v>
      </c>
      <c r="B12014" s="5" t="s">
        <v>12445</v>
      </c>
      <c r="C12014" s="5" t="s">
        <v>21</v>
      </c>
      <c r="K12014" s="5">
        <v>1400.0</v>
      </c>
      <c r="N12014" s="9">
        <v>44378.0</v>
      </c>
    </row>
    <row r="12015">
      <c r="A12015" s="5">
        <v>12014.0</v>
      </c>
      <c r="B12015" s="5" t="s">
        <v>12446</v>
      </c>
      <c r="C12015" s="5" t="s">
        <v>21</v>
      </c>
      <c r="K12015" s="5">
        <v>150.0</v>
      </c>
      <c r="N12015" s="9">
        <v>44550.0</v>
      </c>
    </row>
    <row r="12016">
      <c r="A12016" s="5">
        <v>12015.0</v>
      </c>
      <c r="B12016" s="5" t="s">
        <v>12447</v>
      </c>
      <c r="C12016" s="5" t="s">
        <v>21</v>
      </c>
      <c r="K12016" s="5">
        <v>200.0</v>
      </c>
      <c r="N12016" s="9">
        <v>45058.0</v>
      </c>
    </row>
    <row r="12017">
      <c r="A12017" s="5">
        <v>12016.0</v>
      </c>
      <c r="B12017" s="5" t="s">
        <v>12448</v>
      </c>
      <c r="C12017" s="5" t="s">
        <v>21</v>
      </c>
      <c r="K12017" s="5">
        <v>1000.0</v>
      </c>
      <c r="N12017" s="9">
        <v>44354.0</v>
      </c>
    </row>
    <row r="12018">
      <c r="A12018" s="5">
        <v>12017.0</v>
      </c>
      <c r="B12018" s="5" t="s">
        <v>12449</v>
      </c>
      <c r="C12018" s="5" t="s">
        <v>21</v>
      </c>
      <c r="K12018" s="5">
        <v>150.0</v>
      </c>
      <c r="N12018" s="9">
        <v>44589.0</v>
      </c>
    </row>
    <row r="12019">
      <c r="A12019" s="5">
        <v>12018.0</v>
      </c>
      <c r="B12019" s="5" t="s">
        <v>12450</v>
      </c>
      <c r="C12019" s="5" t="s">
        <v>21</v>
      </c>
      <c r="K12019" s="5">
        <v>150.0</v>
      </c>
      <c r="N12019" s="9">
        <v>44423.0</v>
      </c>
    </row>
    <row r="12020">
      <c r="A12020" s="5">
        <v>12019.0</v>
      </c>
      <c r="B12020" s="5" t="s">
        <v>12451</v>
      </c>
      <c r="C12020" s="5" t="s">
        <v>21</v>
      </c>
      <c r="K12020" s="5">
        <v>250.0</v>
      </c>
      <c r="N12020" s="9">
        <v>44534.0</v>
      </c>
    </row>
    <row r="12021">
      <c r="A12021" s="5">
        <v>12020.0</v>
      </c>
      <c r="B12021" s="5" t="s">
        <v>12452</v>
      </c>
      <c r="C12021" s="5" t="s">
        <v>21</v>
      </c>
      <c r="K12021" s="5">
        <v>2100.0</v>
      </c>
      <c r="N12021" s="9">
        <v>45595.0</v>
      </c>
    </row>
    <row r="12022">
      <c r="A12022" s="5">
        <v>12021.0</v>
      </c>
      <c r="B12022" s="5" t="s">
        <v>12453</v>
      </c>
      <c r="C12022" s="5" t="s">
        <v>21</v>
      </c>
      <c r="N12022" s="9">
        <v>44561.0</v>
      </c>
    </row>
    <row r="12023">
      <c r="A12023" s="5">
        <v>12022.0</v>
      </c>
      <c r="B12023" s="5" t="s">
        <v>12454</v>
      </c>
      <c r="C12023" s="5" t="s">
        <v>21</v>
      </c>
      <c r="K12023" s="5">
        <v>800.0</v>
      </c>
      <c r="N12023" s="9">
        <v>44852.0</v>
      </c>
    </row>
    <row r="12024">
      <c r="A12024" s="5">
        <v>12023.0</v>
      </c>
      <c r="B12024" s="5" t="s">
        <v>12455</v>
      </c>
      <c r="C12024" s="5" t="s">
        <v>21</v>
      </c>
      <c r="K12024" s="5">
        <v>1300.0</v>
      </c>
      <c r="N12024" s="9">
        <v>44349.0</v>
      </c>
    </row>
    <row r="12025">
      <c r="A12025" s="5">
        <v>12024.0</v>
      </c>
      <c r="B12025" s="5" t="s">
        <v>12456</v>
      </c>
      <c r="C12025" s="5" t="s">
        <v>21</v>
      </c>
      <c r="K12025" s="5">
        <v>800.0</v>
      </c>
      <c r="N12025" s="9">
        <v>45075.0</v>
      </c>
    </row>
    <row r="12026">
      <c r="A12026" s="5">
        <v>12025.0</v>
      </c>
      <c r="B12026" s="5" t="s">
        <v>12457</v>
      </c>
      <c r="C12026" s="5" t="s">
        <v>21</v>
      </c>
      <c r="K12026" s="5">
        <v>50.0</v>
      </c>
      <c r="N12026" s="9">
        <v>44602.0</v>
      </c>
    </row>
    <row r="12027">
      <c r="A12027" s="5">
        <v>12026.0</v>
      </c>
      <c r="B12027" s="5" t="s">
        <v>12458</v>
      </c>
      <c r="C12027" s="5" t="s">
        <v>21</v>
      </c>
      <c r="K12027" s="5">
        <v>450.0</v>
      </c>
      <c r="N12027" s="9">
        <v>45730.0</v>
      </c>
    </row>
    <row r="12028">
      <c r="A12028" s="5">
        <v>12027.0</v>
      </c>
      <c r="B12028" s="5" t="s">
        <v>12459</v>
      </c>
      <c r="C12028" s="5" t="s">
        <v>21</v>
      </c>
      <c r="K12028" s="5">
        <v>200.0</v>
      </c>
      <c r="N12028" s="9">
        <v>45727.0</v>
      </c>
    </row>
    <row r="12029">
      <c r="A12029" s="5">
        <v>12028.0</v>
      </c>
      <c r="B12029" s="5" t="s">
        <v>12460</v>
      </c>
      <c r="C12029" s="5" t="s">
        <v>21</v>
      </c>
      <c r="K12029" s="5">
        <v>1100.0</v>
      </c>
      <c r="N12029" s="9">
        <v>44329.0</v>
      </c>
    </row>
    <row r="12030">
      <c r="A12030" s="5">
        <v>12029.0</v>
      </c>
      <c r="B12030" s="5" t="s">
        <v>12461</v>
      </c>
      <c r="C12030" s="5" t="s">
        <v>21</v>
      </c>
      <c r="K12030" s="5">
        <v>10.0</v>
      </c>
      <c r="N12030" s="9">
        <v>45169.0</v>
      </c>
    </row>
    <row r="12031">
      <c r="A12031" s="5">
        <v>12030.0</v>
      </c>
      <c r="B12031" s="5" t="s">
        <v>12462</v>
      </c>
      <c r="C12031" s="5" t="s">
        <v>21</v>
      </c>
      <c r="K12031" s="5">
        <v>150.0</v>
      </c>
      <c r="N12031" s="9">
        <v>44452.0</v>
      </c>
    </row>
    <row r="12032">
      <c r="A12032" s="5">
        <v>12031.0</v>
      </c>
      <c r="B12032" s="5" t="s">
        <v>12463</v>
      </c>
      <c r="C12032" s="5" t="s">
        <v>21</v>
      </c>
      <c r="K12032" s="5">
        <v>150.0</v>
      </c>
      <c r="N12032" s="9">
        <v>45186.0</v>
      </c>
    </row>
    <row r="12033">
      <c r="A12033" s="5">
        <v>12032.0</v>
      </c>
      <c r="B12033" s="5" t="s">
        <v>12464</v>
      </c>
      <c r="C12033" s="5" t="s">
        <v>21</v>
      </c>
      <c r="K12033" s="5">
        <v>250.0</v>
      </c>
      <c r="N12033" s="9">
        <v>44718.0</v>
      </c>
    </row>
    <row r="12034">
      <c r="A12034" s="5">
        <v>12033.0</v>
      </c>
      <c r="B12034" s="5" t="s">
        <v>12465</v>
      </c>
      <c r="C12034" s="5" t="s">
        <v>21</v>
      </c>
      <c r="N12034" s="9">
        <v>44528.0</v>
      </c>
    </row>
    <row r="12035">
      <c r="A12035" s="5">
        <v>12034.0</v>
      </c>
      <c r="B12035" s="5" t="s">
        <v>12466</v>
      </c>
      <c r="C12035" s="5" t="s">
        <v>21</v>
      </c>
      <c r="K12035" s="5">
        <v>250.0</v>
      </c>
      <c r="N12035" s="9">
        <v>44542.0</v>
      </c>
    </row>
    <row r="12036">
      <c r="A12036" s="5">
        <v>12035.0</v>
      </c>
      <c r="B12036" s="5" t="s">
        <v>12467</v>
      </c>
      <c r="C12036" s="5" t="s">
        <v>21</v>
      </c>
      <c r="K12036" s="5">
        <v>250.0</v>
      </c>
      <c r="N12036" s="9">
        <v>43867.0</v>
      </c>
    </row>
    <row r="12037">
      <c r="A12037" s="5">
        <v>12036.0</v>
      </c>
      <c r="B12037" s="5" t="s">
        <v>12468</v>
      </c>
      <c r="C12037" s="5" t="s">
        <v>21</v>
      </c>
      <c r="K12037" s="5">
        <v>1100.0</v>
      </c>
      <c r="N12037" s="9">
        <v>45010.0</v>
      </c>
    </row>
    <row r="12038">
      <c r="A12038" s="5">
        <v>12037.0</v>
      </c>
      <c r="B12038" s="5" t="s">
        <v>12469</v>
      </c>
      <c r="C12038" s="5" t="s">
        <v>21</v>
      </c>
      <c r="K12038" s="5">
        <v>1400.0</v>
      </c>
      <c r="N12038" s="9">
        <v>44147.0</v>
      </c>
    </row>
    <row r="12039">
      <c r="A12039" s="5">
        <v>12038.0</v>
      </c>
      <c r="B12039" s="5" t="s">
        <v>12470</v>
      </c>
      <c r="C12039" s="5" t="s">
        <v>21</v>
      </c>
      <c r="K12039" s="5">
        <v>1200.0</v>
      </c>
      <c r="N12039" s="9">
        <v>44752.0</v>
      </c>
    </row>
    <row r="12040">
      <c r="A12040" s="5">
        <v>12039.0</v>
      </c>
      <c r="B12040" s="5" t="s">
        <v>12471</v>
      </c>
      <c r="C12040" s="5" t="s">
        <v>21</v>
      </c>
      <c r="K12040" s="5">
        <v>450.0</v>
      </c>
      <c r="N12040" s="9">
        <v>45172.0</v>
      </c>
    </row>
    <row r="12041">
      <c r="A12041" s="5">
        <v>12040.0</v>
      </c>
      <c r="B12041" s="5" t="s">
        <v>12472</v>
      </c>
      <c r="C12041" s="5" t="s">
        <v>21</v>
      </c>
      <c r="K12041" s="5">
        <v>250.0</v>
      </c>
      <c r="N12041" s="9">
        <v>44722.0</v>
      </c>
    </row>
    <row r="12042">
      <c r="A12042" s="5">
        <v>12041.0</v>
      </c>
      <c r="B12042" s="5" t="s">
        <v>12473</v>
      </c>
      <c r="C12042" s="5" t="s">
        <v>21</v>
      </c>
      <c r="K12042" s="5">
        <v>1600.0</v>
      </c>
      <c r="N12042" s="9">
        <v>44576.0</v>
      </c>
    </row>
    <row r="12043">
      <c r="A12043" s="5">
        <v>12042.0</v>
      </c>
      <c r="B12043" s="5" t="s">
        <v>12474</v>
      </c>
      <c r="C12043" s="5" t="s">
        <v>21</v>
      </c>
      <c r="K12043" s="5">
        <v>1200.0</v>
      </c>
      <c r="N12043" s="9">
        <v>44571.0</v>
      </c>
    </row>
    <row r="12044">
      <c r="A12044" s="5">
        <v>12043.0</v>
      </c>
      <c r="B12044" s="5" t="s">
        <v>12475</v>
      </c>
      <c r="C12044" s="5" t="s">
        <v>21</v>
      </c>
      <c r="K12044" s="5">
        <v>30.0</v>
      </c>
      <c r="N12044" s="9">
        <v>44160.0</v>
      </c>
    </row>
    <row r="12045">
      <c r="A12045" s="5">
        <v>12044.0</v>
      </c>
      <c r="B12045" s="5" t="s">
        <v>12476</v>
      </c>
      <c r="C12045" s="5" t="s">
        <v>21</v>
      </c>
      <c r="K12045" s="5">
        <v>1100.0</v>
      </c>
      <c r="N12045" s="9">
        <v>44550.0</v>
      </c>
    </row>
    <row r="12046">
      <c r="A12046" s="5">
        <v>12045.0</v>
      </c>
      <c r="B12046" s="5" t="s">
        <v>12477</v>
      </c>
      <c r="C12046" s="5" t="s">
        <v>21</v>
      </c>
      <c r="K12046" s="5">
        <v>600.0</v>
      </c>
      <c r="N12046" s="9">
        <v>44571.0</v>
      </c>
    </row>
    <row r="12047">
      <c r="A12047" s="5">
        <v>12046.0</v>
      </c>
      <c r="B12047" s="5" t="s">
        <v>12478</v>
      </c>
      <c r="C12047" s="5" t="s">
        <v>21</v>
      </c>
      <c r="K12047" s="5">
        <v>900.0</v>
      </c>
      <c r="N12047" s="9">
        <v>44738.0</v>
      </c>
    </row>
    <row r="12048">
      <c r="A12048" s="5">
        <v>12047.0</v>
      </c>
      <c r="B12048" s="5" t="s">
        <v>12479</v>
      </c>
      <c r="C12048" s="5" t="s">
        <v>21</v>
      </c>
      <c r="K12048" s="5">
        <v>500.0</v>
      </c>
      <c r="N12048" s="9">
        <v>44070.0</v>
      </c>
    </row>
    <row r="12049">
      <c r="A12049" s="5">
        <v>12048.0</v>
      </c>
      <c r="B12049" s="5" t="s">
        <v>12480</v>
      </c>
      <c r="C12049" s="5" t="s">
        <v>21</v>
      </c>
      <c r="K12049" s="5">
        <v>80.0</v>
      </c>
      <c r="N12049" s="9">
        <v>45065.0</v>
      </c>
    </row>
    <row r="12050">
      <c r="A12050" s="5">
        <v>12049.0</v>
      </c>
      <c r="B12050" s="5" t="s">
        <v>12481</v>
      </c>
      <c r="C12050" s="5" t="s">
        <v>21</v>
      </c>
      <c r="K12050" s="5">
        <v>50.0</v>
      </c>
      <c r="N12050" s="9">
        <v>45404.0</v>
      </c>
    </row>
    <row r="12051">
      <c r="A12051" s="5">
        <v>12050.0</v>
      </c>
      <c r="B12051" s="5" t="s">
        <v>12482</v>
      </c>
      <c r="C12051" s="5" t="s">
        <v>21</v>
      </c>
      <c r="K12051" s="5">
        <v>700.0</v>
      </c>
      <c r="N12051" s="9">
        <v>44244.0</v>
      </c>
    </row>
    <row r="12052">
      <c r="A12052" s="5">
        <v>12051.0</v>
      </c>
      <c r="B12052" s="5" t="s">
        <v>12483</v>
      </c>
      <c r="C12052" s="5" t="s">
        <v>21</v>
      </c>
      <c r="K12052" s="5">
        <v>250.0</v>
      </c>
      <c r="N12052" s="9">
        <v>44210.0</v>
      </c>
    </row>
    <row r="12053">
      <c r="A12053" s="5">
        <v>12052.0</v>
      </c>
      <c r="B12053" s="5" t="s">
        <v>12484</v>
      </c>
      <c r="C12053" s="5" t="s">
        <v>21</v>
      </c>
      <c r="K12053" s="5">
        <v>150.0</v>
      </c>
      <c r="N12053" s="9">
        <v>45198.0</v>
      </c>
    </row>
    <row r="12054">
      <c r="A12054" s="5">
        <v>12053.0</v>
      </c>
      <c r="B12054" s="5" t="s">
        <v>12485</v>
      </c>
      <c r="C12054" s="5" t="s">
        <v>21</v>
      </c>
      <c r="K12054" s="5">
        <v>500.0</v>
      </c>
      <c r="N12054" s="9">
        <v>44638.0</v>
      </c>
    </row>
    <row r="12055">
      <c r="A12055" s="5">
        <v>12054.0</v>
      </c>
      <c r="B12055" s="5" t="s">
        <v>12486</v>
      </c>
      <c r="C12055" s="5" t="s">
        <v>21</v>
      </c>
      <c r="K12055" s="5">
        <v>150.0</v>
      </c>
      <c r="N12055" s="9">
        <v>45094.0</v>
      </c>
    </row>
    <row r="12056">
      <c r="A12056" s="5">
        <v>12055.0</v>
      </c>
      <c r="B12056" s="5" t="s">
        <v>12487</v>
      </c>
      <c r="C12056" s="5" t="s">
        <v>21</v>
      </c>
      <c r="K12056" s="5">
        <v>6800.0</v>
      </c>
      <c r="N12056" s="9">
        <v>44024.0</v>
      </c>
    </row>
    <row r="12057">
      <c r="A12057" s="5">
        <v>12056.0</v>
      </c>
      <c r="B12057" s="5" t="s">
        <v>12488</v>
      </c>
      <c r="C12057" s="5" t="s">
        <v>21</v>
      </c>
      <c r="K12057" s="5">
        <v>600.0</v>
      </c>
      <c r="N12057" s="9">
        <v>43948.0</v>
      </c>
    </row>
    <row r="12058">
      <c r="A12058" s="5">
        <v>12057.0</v>
      </c>
      <c r="B12058" s="5" t="s">
        <v>12489</v>
      </c>
      <c r="C12058" s="5" t="s">
        <v>21</v>
      </c>
      <c r="K12058" s="5">
        <v>700.0</v>
      </c>
      <c r="N12058" s="9">
        <v>43857.0</v>
      </c>
    </row>
    <row r="12059">
      <c r="A12059" s="5">
        <v>12058.0</v>
      </c>
      <c r="B12059" s="5" t="s">
        <v>12490</v>
      </c>
      <c r="C12059" s="5" t="s">
        <v>21</v>
      </c>
      <c r="K12059" s="5">
        <v>200.0</v>
      </c>
      <c r="N12059" s="9">
        <v>44186.0</v>
      </c>
    </row>
    <row r="12060">
      <c r="A12060" s="5">
        <v>12059.0</v>
      </c>
      <c r="B12060" s="5" t="s">
        <v>12491</v>
      </c>
      <c r="C12060" s="5" t="s">
        <v>21</v>
      </c>
      <c r="K12060" s="5">
        <v>200.0</v>
      </c>
      <c r="N12060" s="9">
        <v>44888.0</v>
      </c>
    </row>
    <row r="12061">
      <c r="A12061" s="5">
        <v>12060.0</v>
      </c>
      <c r="B12061" s="5" t="s">
        <v>12492</v>
      </c>
      <c r="C12061" s="5" t="s">
        <v>21</v>
      </c>
      <c r="K12061" s="5">
        <v>1400.0</v>
      </c>
      <c r="N12061" s="9">
        <v>43920.0</v>
      </c>
    </row>
    <row r="12062">
      <c r="A12062" s="5">
        <v>12061.0</v>
      </c>
      <c r="B12062" s="5" t="s">
        <v>12493</v>
      </c>
      <c r="C12062" s="5" t="s">
        <v>21</v>
      </c>
      <c r="K12062" s="5">
        <v>500.0</v>
      </c>
      <c r="N12062" s="9">
        <v>44598.0</v>
      </c>
    </row>
    <row r="12063">
      <c r="A12063" s="5">
        <v>12062.0</v>
      </c>
      <c r="B12063" s="5" t="s">
        <v>12494</v>
      </c>
      <c r="C12063" s="5" t="s">
        <v>21</v>
      </c>
      <c r="K12063" s="5">
        <v>350.0</v>
      </c>
      <c r="N12063" s="9">
        <v>44346.0</v>
      </c>
    </row>
    <row r="12064">
      <c r="A12064" s="5">
        <v>12063.0</v>
      </c>
      <c r="B12064" s="5" t="s">
        <v>12495</v>
      </c>
      <c r="C12064" s="5" t="s">
        <v>21</v>
      </c>
      <c r="K12064" s="5">
        <v>1300.0</v>
      </c>
      <c r="N12064" s="9">
        <v>43864.0</v>
      </c>
    </row>
    <row r="12065">
      <c r="A12065" s="5">
        <v>12064.0</v>
      </c>
      <c r="B12065" s="5" t="s">
        <v>12496</v>
      </c>
      <c r="C12065" s="5" t="s">
        <v>21</v>
      </c>
      <c r="K12065" s="5">
        <v>250.0</v>
      </c>
      <c r="N12065" s="9">
        <v>45047.0</v>
      </c>
    </row>
    <row r="12066">
      <c r="A12066" s="5">
        <v>12065.0</v>
      </c>
      <c r="B12066" s="5" t="s">
        <v>12497</v>
      </c>
      <c r="C12066" s="5" t="s">
        <v>21</v>
      </c>
      <c r="K12066" s="5">
        <v>800.0</v>
      </c>
      <c r="N12066" s="9">
        <v>44836.0</v>
      </c>
    </row>
    <row r="12067">
      <c r="A12067" s="5">
        <v>12066.0</v>
      </c>
      <c r="B12067" s="5" t="s">
        <v>12498</v>
      </c>
      <c r="C12067" s="5" t="s">
        <v>21</v>
      </c>
      <c r="N12067" s="9">
        <v>44617.0</v>
      </c>
    </row>
    <row r="12068">
      <c r="A12068" s="5">
        <v>12067.0</v>
      </c>
      <c r="B12068" s="5" t="s">
        <v>12499</v>
      </c>
      <c r="C12068" s="5" t="s">
        <v>21</v>
      </c>
      <c r="K12068" s="5">
        <v>450.0</v>
      </c>
      <c r="N12068" s="9">
        <v>45461.0</v>
      </c>
    </row>
    <row r="12069">
      <c r="A12069" s="5">
        <v>12068.0</v>
      </c>
      <c r="B12069" s="5" t="s">
        <v>12500</v>
      </c>
      <c r="C12069" s="5" t="s">
        <v>21</v>
      </c>
      <c r="K12069" s="5">
        <v>250.0</v>
      </c>
      <c r="N12069" s="9">
        <v>46124.0</v>
      </c>
    </row>
    <row r="12070">
      <c r="A12070" s="5">
        <v>12069.0</v>
      </c>
      <c r="B12070" s="5" t="s">
        <v>12501</v>
      </c>
      <c r="C12070" s="5" t="s">
        <v>21</v>
      </c>
      <c r="K12070" s="5">
        <v>800.0</v>
      </c>
      <c r="N12070" s="9">
        <v>44543.0</v>
      </c>
    </row>
    <row r="12071">
      <c r="A12071" s="5">
        <v>12070.0</v>
      </c>
      <c r="B12071" s="5" t="s">
        <v>12502</v>
      </c>
      <c r="C12071" s="5" t="s">
        <v>21</v>
      </c>
      <c r="K12071" s="5">
        <v>450.0</v>
      </c>
      <c r="N12071" s="9">
        <v>44752.0</v>
      </c>
    </row>
    <row r="12072">
      <c r="A12072" s="5">
        <v>12071.0</v>
      </c>
      <c r="B12072" s="5" t="s">
        <v>12503</v>
      </c>
      <c r="C12072" s="5" t="s">
        <v>21</v>
      </c>
      <c r="K12072" s="5">
        <v>300.0</v>
      </c>
      <c r="N12072" s="9">
        <v>45472.0</v>
      </c>
    </row>
    <row r="12073">
      <c r="A12073" s="5">
        <v>12072.0</v>
      </c>
      <c r="B12073" s="5" t="s">
        <v>12504</v>
      </c>
      <c r="C12073" s="5" t="s">
        <v>21</v>
      </c>
      <c r="K12073" s="5">
        <v>200.0</v>
      </c>
      <c r="N12073" s="9">
        <v>45101.0</v>
      </c>
    </row>
    <row r="12074">
      <c r="A12074" s="5">
        <v>12073.0</v>
      </c>
      <c r="B12074" s="5" t="s">
        <v>12505</v>
      </c>
      <c r="C12074" s="5" t="s">
        <v>21</v>
      </c>
      <c r="K12074" s="5">
        <v>800.0</v>
      </c>
      <c r="N12074" s="9">
        <v>43921.0</v>
      </c>
    </row>
    <row r="12075">
      <c r="A12075" s="5">
        <v>12074.0</v>
      </c>
      <c r="B12075" s="5" t="s">
        <v>12506</v>
      </c>
      <c r="C12075" s="5" t="s">
        <v>21</v>
      </c>
      <c r="K12075" s="5">
        <v>20.0</v>
      </c>
      <c r="N12075" s="9">
        <v>44553.0</v>
      </c>
    </row>
    <row r="12076">
      <c r="A12076" s="5">
        <v>12075.0</v>
      </c>
      <c r="B12076" s="5" t="s">
        <v>12507</v>
      </c>
      <c r="C12076" s="5" t="s">
        <v>21</v>
      </c>
      <c r="K12076" s="5">
        <v>50.0</v>
      </c>
      <c r="N12076" s="9">
        <v>44653.0</v>
      </c>
    </row>
    <row r="12077">
      <c r="A12077" s="5">
        <v>12076.0</v>
      </c>
      <c r="B12077" s="5" t="s">
        <v>12508</v>
      </c>
      <c r="C12077" s="5" t="s">
        <v>21</v>
      </c>
      <c r="K12077" s="5">
        <v>50.0</v>
      </c>
      <c r="N12077" s="9">
        <v>44661.0</v>
      </c>
    </row>
    <row r="12078">
      <c r="A12078" s="5">
        <v>12077.0</v>
      </c>
      <c r="B12078" s="5" t="s">
        <v>12509</v>
      </c>
      <c r="C12078" s="5" t="s">
        <v>21</v>
      </c>
      <c r="K12078" s="5">
        <v>1400.0</v>
      </c>
      <c r="N12078" s="9">
        <v>44922.0</v>
      </c>
    </row>
    <row r="12079">
      <c r="A12079" s="5">
        <v>12078.0</v>
      </c>
      <c r="B12079" s="5" t="s">
        <v>12510</v>
      </c>
      <c r="C12079" s="5" t="s">
        <v>21</v>
      </c>
      <c r="K12079" s="5">
        <v>800.0</v>
      </c>
      <c r="N12079" s="9">
        <v>44199.0</v>
      </c>
    </row>
    <row r="12080">
      <c r="A12080" s="5">
        <v>12079.0</v>
      </c>
      <c r="B12080" s="5" t="s">
        <v>12511</v>
      </c>
      <c r="C12080" s="5" t="s">
        <v>21</v>
      </c>
      <c r="K12080" s="5">
        <v>3100.0</v>
      </c>
      <c r="N12080" s="9">
        <v>44116.0</v>
      </c>
    </row>
    <row r="12081">
      <c r="A12081" s="5">
        <v>12080.0</v>
      </c>
      <c r="B12081" s="5" t="s">
        <v>12512</v>
      </c>
      <c r="C12081" s="5" t="s">
        <v>21</v>
      </c>
      <c r="K12081" s="5">
        <v>1300.0</v>
      </c>
      <c r="N12081" s="9">
        <v>44382.0</v>
      </c>
    </row>
    <row r="12082">
      <c r="A12082" s="5">
        <v>12081.0</v>
      </c>
      <c r="B12082" s="5" t="s">
        <v>12513</v>
      </c>
      <c r="C12082" s="5" t="s">
        <v>21</v>
      </c>
      <c r="K12082" s="5">
        <v>300.0</v>
      </c>
      <c r="N12082" s="9">
        <v>45600.0</v>
      </c>
    </row>
    <row r="12083">
      <c r="A12083" s="5">
        <v>12082.0</v>
      </c>
      <c r="B12083" s="5" t="s">
        <v>12514</v>
      </c>
      <c r="C12083" s="5" t="s">
        <v>21</v>
      </c>
      <c r="K12083" s="5">
        <v>60.0</v>
      </c>
      <c r="N12083" s="9">
        <v>45565.0</v>
      </c>
    </row>
    <row r="12084">
      <c r="A12084" s="5">
        <v>12083.0</v>
      </c>
      <c r="B12084" s="5" t="s">
        <v>12515</v>
      </c>
      <c r="C12084" s="5" t="s">
        <v>21</v>
      </c>
      <c r="K12084" s="5">
        <v>1300.0</v>
      </c>
      <c r="N12084" s="9">
        <v>44601.0</v>
      </c>
    </row>
    <row r="12085">
      <c r="A12085" s="5">
        <v>12084.0</v>
      </c>
      <c r="B12085" s="5" t="s">
        <v>12516</v>
      </c>
      <c r="C12085" s="5" t="s">
        <v>21</v>
      </c>
      <c r="K12085" s="5">
        <v>350.0</v>
      </c>
      <c r="N12085" s="9">
        <v>44134.0</v>
      </c>
    </row>
    <row r="12086">
      <c r="A12086" s="5">
        <v>12085.0</v>
      </c>
      <c r="B12086" s="5" t="s">
        <v>12517</v>
      </c>
      <c r="C12086" s="5" t="s">
        <v>21</v>
      </c>
      <c r="K12086" s="5">
        <v>5000.0</v>
      </c>
      <c r="N12086" s="9">
        <v>42318.0</v>
      </c>
    </row>
    <row r="12087">
      <c r="A12087" s="5">
        <v>12086.0</v>
      </c>
      <c r="B12087" s="5" t="s">
        <v>12518</v>
      </c>
      <c r="C12087" s="5" t="s">
        <v>21</v>
      </c>
      <c r="K12087" s="5">
        <v>30.0</v>
      </c>
      <c r="N12087" s="9">
        <v>45072.0</v>
      </c>
    </row>
    <row r="12088">
      <c r="A12088" s="5">
        <v>12087.0</v>
      </c>
      <c r="B12088" s="5" t="s">
        <v>12519</v>
      </c>
      <c r="C12088" s="5" t="s">
        <v>21</v>
      </c>
      <c r="K12088" s="5">
        <v>150.0</v>
      </c>
      <c r="N12088" s="9">
        <v>46124.0</v>
      </c>
    </row>
    <row r="12089">
      <c r="A12089" s="5">
        <v>12088.0</v>
      </c>
      <c r="B12089" s="5" t="s">
        <v>12520</v>
      </c>
      <c r="C12089" s="5" t="s">
        <v>21</v>
      </c>
      <c r="K12089" s="5">
        <v>3000.0</v>
      </c>
      <c r="N12089" s="9">
        <v>44545.0</v>
      </c>
    </row>
    <row r="12090">
      <c r="A12090" s="5">
        <v>12089.0</v>
      </c>
      <c r="B12090" s="5" t="s">
        <v>12521</v>
      </c>
      <c r="C12090" s="5" t="s">
        <v>21</v>
      </c>
      <c r="K12090" s="5">
        <v>63000.0</v>
      </c>
      <c r="N12090" s="9">
        <v>44003.0</v>
      </c>
    </row>
    <row r="12091">
      <c r="A12091" s="5">
        <v>12090.0</v>
      </c>
      <c r="B12091" s="5" t="s">
        <v>12522</v>
      </c>
      <c r="C12091" s="5" t="s">
        <v>21</v>
      </c>
      <c r="K12091" s="5">
        <v>700.0</v>
      </c>
      <c r="N12091" s="9">
        <v>44734.0</v>
      </c>
    </row>
    <row r="12092">
      <c r="A12092" s="5">
        <v>12091.0</v>
      </c>
      <c r="B12092" s="5" t="s">
        <v>12523</v>
      </c>
      <c r="C12092" s="5" t="s">
        <v>21</v>
      </c>
      <c r="K12092" s="5">
        <v>300.0</v>
      </c>
      <c r="N12092" s="9">
        <v>44326.0</v>
      </c>
    </row>
    <row r="12093">
      <c r="A12093" s="5">
        <v>12092.0</v>
      </c>
      <c r="B12093" s="5" t="s">
        <v>12524</v>
      </c>
      <c r="C12093" s="5" t="s">
        <v>21</v>
      </c>
      <c r="K12093" s="5">
        <v>250.0</v>
      </c>
      <c r="N12093" s="9">
        <v>43969.0</v>
      </c>
    </row>
    <row r="12094">
      <c r="A12094" s="5">
        <v>12093.0</v>
      </c>
      <c r="B12094" s="5" t="s">
        <v>12525</v>
      </c>
      <c r="C12094" s="5" t="s">
        <v>21</v>
      </c>
      <c r="K12094" s="5">
        <v>10.0</v>
      </c>
      <c r="N12094" s="9">
        <v>44648.0</v>
      </c>
    </row>
    <row r="12095">
      <c r="A12095" s="5">
        <v>12094.0</v>
      </c>
      <c r="B12095" s="5" t="s">
        <v>12526</v>
      </c>
      <c r="C12095" s="5" t="s">
        <v>21</v>
      </c>
      <c r="K12095" s="5">
        <v>200.0</v>
      </c>
      <c r="N12095" s="9">
        <v>44689.0</v>
      </c>
    </row>
    <row r="12096">
      <c r="A12096" s="5">
        <v>12095.0</v>
      </c>
      <c r="B12096" s="5" t="s">
        <v>12527</v>
      </c>
      <c r="C12096" s="5" t="s">
        <v>21</v>
      </c>
      <c r="K12096" s="5">
        <v>450.0</v>
      </c>
      <c r="N12096" s="9">
        <v>44829.0</v>
      </c>
    </row>
    <row r="12097">
      <c r="A12097" s="5">
        <v>12096.0</v>
      </c>
      <c r="B12097" s="5" t="s">
        <v>12528</v>
      </c>
      <c r="C12097" s="5" t="s">
        <v>21</v>
      </c>
      <c r="K12097" s="5">
        <v>700.0</v>
      </c>
      <c r="N12097" s="9">
        <v>44564.0</v>
      </c>
    </row>
    <row r="12098">
      <c r="A12098" s="5">
        <v>12097.0</v>
      </c>
      <c r="B12098" s="5" t="s">
        <v>12529</v>
      </c>
      <c r="C12098" s="5" t="s">
        <v>21</v>
      </c>
      <c r="K12098" s="5">
        <v>100.0</v>
      </c>
      <c r="N12098" s="9">
        <v>44708.0</v>
      </c>
    </row>
    <row r="12099">
      <c r="A12099" s="5">
        <v>12098.0</v>
      </c>
      <c r="B12099" s="5" t="s">
        <v>12530</v>
      </c>
      <c r="C12099" s="5" t="s">
        <v>21</v>
      </c>
      <c r="K12099" s="5">
        <v>90.0</v>
      </c>
      <c r="N12099" s="9">
        <v>44407.0</v>
      </c>
    </row>
    <row r="12100">
      <c r="A12100" s="5">
        <v>12099.0</v>
      </c>
      <c r="B12100" s="5" t="s">
        <v>12531</v>
      </c>
      <c r="C12100" s="5" t="s">
        <v>21</v>
      </c>
      <c r="K12100" s="5">
        <v>450.0</v>
      </c>
      <c r="N12100" s="9">
        <v>44677.0</v>
      </c>
    </row>
    <row r="12101">
      <c r="A12101" s="5">
        <v>12100.0</v>
      </c>
      <c r="B12101" s="5" t="s">
        <v>12532</v>
      </c>
      <c r="C12101" s="5" t="s">
        <v>21</v>
      </c>
      <c r="K12101" s="5">
        <v>150.0</v>
      </c>
      <c r="N12101" s="9">
        <v>44135.0</v>
      </c>
    </row>
    <row r="12102">
      <c r="A12102" s="5">
        <v>12101.0</v>
      </c>
      <c r="B12102" s="5" t="s">
        <v>12533</v>
      </c>
      <c r="C12102" s="5" t="s">
        <v>21</v>
      </c>
      <c r="K12102" s="5">
        <v>20.0</v>
      </c>
      <c r="N12102" s="9">
        <v>44824.0</v>
      </c>
    </row>
    <row r="12103">
      <c r="A12103" s="5">
        <v>12102.0</v>
      </c>
      <c r="B12103" s="5" t="s">
        <v>12534</v>
      </c>
      <c r="C12103" s="5" t="s">
        <v>21</v>
      </c>
      <c r="K12103" s="5">
        <v>1300.0</v>
      </c>
      <c r="N12103" s="9">
        <v>43923.0</v>
      </c>
    </row>
    <row r="12104">
      <c r="A12104" s="5">
        <v>12103.0</v>
      </c>
      <c r="B12104" s="5" t="s">
        <v>12535</v>
      </c>
      <c r="C12104" s="5" t="s">
        <v>21</v>
      </c>
      <c r="N12104" s="9">
        <v>44520.0</v>
      </c>
    </row>
    <row r="12105">
      <c r="A12105" s="5">
        <v>12104.0</v>
      </c>
      <c r="B12105" s="5" t="s">
        <v>12536</v>
      </c>
      <c r="C12105" s="5" t="s">
        <v>21</v>
      </c>
      <c r="K12105" s="5">
        <v>1200.0</v>
      </c>
      <c r="N12105" s="9">
        <v>43892.0</v>
      </c>
    </row>
    <row r="12106">
      <c r="A12106" s="5">
        <v>12105.0</v>
      </c>
      <c r="B12106" s="5" t="s">
        <v>12537</v>
      </c>
      <c r="C12106" s="5" t="s">
        <v>21</v>
      </c>
      <c r="K12106" s="5">
        <v>90.0</v>
      </c>
      <c r="N12106" s="9">
        <v>44656.0</v>
      </c>
    </row>
    <row r="12107">
      <c r="A12107" s="5">
        <v>12106.0</v>
      </c>
      <c r="B12107" s="5" t="s">
        <v>12538</v>
      </c>
      <c r="C12107" s="5" t="s">
        <v>21</v>
      </c>
      <c r="K12107" s="5">
        <v>1100.0</v>
      </c>
      <c r="N12107" s="9">
        <v>45120.0</v>
      </c>
    </row>
    <row r="12108">
      <c r="A12108" s="5">
        <v>12107.0</v>
      </c>
      <c r="B12108" s="5" t="s">
        <v>12539</v>
      </c>
      <c r="C12108" s="5" t="s">
        <v>21</v>
      </c>
      <c r="K12108" s="5">
        <v>1300.0</v>
      </c>
      <c r="N12108" s="9">
        <v>44636.0</v>
      </c>
    </row>
    <row r="12109">
      <c r="A12109" s="5">
        <v>12108.0</v>
      </c>
      <c r="B12109" s="5" t="s">
        <v>12540</v>
      </c>
      <c r="C12109" s="5" t="s">
        <v>21</v>
      </c>
      <c r="N12109" s="9">
        <v>44547.0</v>
      </c>
    </row>
    <row r="12110">
      <c r="A12110" s="5">
        <v>12109.0</v>
      </c>
      <c r="B12110" s="5" t="s">
        <v>12541</v>
      </c>
      <c r="C12110" s="5" t="s">
        <v>21</v>
      </c>
      <c r="K12110" s="5">
        <v>150.0</v>
      </c>
      <c r="N12110" s="9">
        <v>44062.0</v>
      </c>
    </row>
    <row r="12111">
      <c r="A12111" s="5">
        <v>12110.0</v>
      </c>
      <c r="B12111" s="5" t="s">
        <v>12542</v>
      </c>
      <c r="C12111" s="5" t="s">
        <v>21</v>
      </c>
      <c r="K12111" s="5">
        <v>200.0</v>
      </c>
      <c r="N12111" s="9">
        <v>44678.0</v>
      </c>
    </row>
    <row r="12112">
      <c r="A12112" s="5">
        <v>12111.0</v>
      </c>
      <c r="B12112" s="5" t="s">
        <v>12543</v>
      </c>
      <c r="C12112" s="5" t="s">
        <v>21</v>
      </c>
      <c r="K12112" s="5">
        <v>350.0</v>
      </c>
      <c r="N12112" s="9">
        <v>44532.0</v>
      </c>
    </row>
    <row r="12113">
      <c r="A12113" s="5">
        <v>12112.0</v>
      </c>
      <c r="B12113" s="5" t="s">
        <v>12544</v>
      </c>
      <c r="C12113" s="5" t="s">
        <v>21</v>
      </c>
      <c r="K12113" s="5">
        <v>30.0</v>
      </c>
      <c r="N12113" s="9">
        <v>44097.0</v>
      </c>
    </row>
    <row r="12114">
      <c r="A12114" s="5">
        <v>12113.0</v>
      </c>
      <c r="B12114" s="5" t="s">
        <v>12545</v>
      </c>
      <c r="C12114" s="5" t="s">
        <v>21</v>
      </c>
      <c r="K12114" s="5">
        <v>150.0</v>
      </c>
      <c r="N12114" s="9">
        <v>44804.0</v>
      </c>
    </row>
    <row r="12115">
      <c r="A12115" s="5">
        <v>12114.0</v>
      </c>
      <c r="B12115" s="5" t="s">
        <v>12546</v>
      </c>
      <c r="C12115" s="5" t="s">
        <v>21</v>
      </c>
      <c r="K12115" s="5">
        <v>500.0</v>
      </c>
      <c r="N12115" s="9">
        <v>44367.0</v>
      </c>
    </row>
    <row r="12116">
      <c r="A12116" s="5">
        <v>12115.0</v>
      </c>
      <c r="B12116" s="5" t="s">
        <v>12547</v>
      </c>
      <c r="C12116" s="5" t="s">
        <v>21</v>
      </c>
      <c r="K12116" s="5">
        <v>3000.0</v>
      </c>
      <c r="N12116" s="9">
        <v>44055.0</v>
      </c>
    </row>
    <row r="12117">
      <c r="A12117" s="5">
        <v>12116.0</v>
      </c>
      <c r="B12117" s="5" t="s">
        <v>12548</v>
      </c>
      <c r="C12117" s="5" t="s">
        <v>21</v>
      </c>
      <c r="K12117" s="5">
        <v>30.0</v>
      </c>
      <c r="N12117" s="9">
        <v>44676.0</v>
      </c>
    </row>
    <row r="12118">
      <c r="A12118" s="5">
        <v>12117.0</v>
      </c>
      <c r="B12118" s="5" t="s">
        <v>12549</v>
      </c>
      <c r="C12118" s="5" t="s">
        <v>21</v>
      </c>
      <c r="K12118" s="5">
        <v>300.0</v>
      </c>
      <c r="N12118" s="9">
        <v>44160.0</v>
      </c>
    </row>
    <row r="12119">
      <c r="A12119" s="5">
        <v>12118.0</v>
      </c>
      <c r="B12119" s="5" t="s">
        <v>12550</v>
      </c>
      <c r="C12119" s="5" t="s">
        <v>21</v>
      </c>
      <c r="K12119" s="5">
        <v>10.0</v>
      </c>
      <c r="N12119" s="9">
        <v>44853.0</v>
      </c>
    </row>
    <row r="12120">
      <c r="A12120" s="5">
        <v>12119.0</v>
      </c>
      <c r="B12120" s="5" t="s">
        <v>12551</v>
      </c>
      <c r="C12120" s="5" t="s">
        <v>21</v>
      </c>
      <c r="K12120" s="5">
        <v>150.0</v>
      </c>
      <c r="N12120" s="9">
        <v>44570.0</v>
      </c>
    </row>
    <row r="12121">
      <c r="A12121" s="5">
        <v>12120.0</v>
      </c>
      <c r="B12121" s="5" t="s">
        <v>12552</v>
      </c>
      <c r="C12121" s="5" t="s">
        <v>21</v>
      </c>
      <c r="K12121" s="5">
        <v>600.0</v>
      </c>
      <c r="N12121" s="9">
        <v>44369.0</v>
      </c>
    </row>
    <row r="12122">
      <c r="A12122" s="5">
        <v>12121.0</v>
      </c>
      <c r="B12122" s="5" t="s">
        <v>12553</v>
      </c>
      <c r="C12122" s="5" t="s">
        <v>21</v>
      </c>
      <c r="K12122" s="5">
        <v>70.0</v>
      </c>
      <c r="N12122" s="9">
        <v>44255.0</v>
      </c>
    </row>
    <row r="12123">
      <c r="A12123" s="5">
        <v>12122.0</v>
      </c>
      <c r="B12123" s="5" t="s">
        <v>12554</v>
      </c>
      <c r="C12123" s="5" t="s">
        <v>21</v>
      </c>
      <c r="K12123" s="5">
        <v>300.0</v>
      </c>
      <c r="N12123" s="9">
        <v>45355.0</v>
      </c>
    </row>
    <row r="12124">
      <c r="A12124" s="5">
        <v>12123.0</v>
      </c>
      <c r="B12124" s="5" t="s">
        <v>12555</v>
      </c>
      <c r="C12124" s="5" t="s">
        <v>21</v>
      </c>
      <c r="K12124" s="5">
        <v>350.0</v>
      </c>
      <c r="N12124" s="9">
        <v>44771.0</v>
      </c>
    </row>
    <row r="12125">
      <c r="A12125" s="5">
        <v>12124.0</v>
      </c>
      <c r="B12125" s="5" t="s">
        <v>12556</v>
      </c>
      <c r="C12125" s="5" t="s">
        <v>21</v>
      </c>
      <c r="K12125" s="5">
        <v>100.0</v>
      </c>
      <c r="N12125" s="9">
        <v>44289.0</v>
      </c>
    </row>
    <row r="12126">
      <c r="A12126" s="5">
        <v>12125.0</v>
      </c>
      <c r="B12126" s="5" t="s">
        <v>12557</v>
      </c>
      <c r="C12126" s="5" t="s">
        <v>21</v>
      </c>
      <c r="K12126" s="5">
        <v>90.0</v>
      </c>
      <c r="N12126" s="9">
        <v>44730.0</v>
      </c>
    </row>
    <row r="12127">
      <c r="A12127" s="5">
        <v>12126.0</v>
      </c>
      <c r="B12127" s="5" t="s">
        <v>12558</v>
      </c>
      <c r="C12127" s="5" t="s">
        <v>21</v>
      </c>
      <c r="K12127" s="5">
        <v>5800.0</v>
      </c>
      <c r="N12127" s="9">
        <v>44600.0</v>
      </c>
    </row>
    <row r="12128">
      <c r="A12128" s="5">
        <v>12127.0</v>
      </c>
      <c r="B12128" s="5" t="s">
        <v>12559</v>
      </c>
      <c r="C12128" s="5" t="s">
        <v>21</v>
      </c>
      <c r="K12128" s="5">
        <v>500.0</v>
      </c>
      <c r="N12128" s="9">
        <v>44541.0</v>
      </c>
    </row>
    <row r="12129">
      <c r="A12129" s="5">
        <v>12128.0</v>
      </c>
      <c r="B12129" s="5" t="s">
        <v>12560</v>
      </c>
      <c r="C12129" s="5" t="s">
        <v>21</v>
      </c>
      <c r="K12129" s="5">
        <v>100.0</v>
      </c>
      <c r="N12129" s="9">
        <v>44658.0</v>
      </c>
    </row>
    <row r="12130">
      <c r="A12130" s="5">
        <v>12129.0</v>
      </c>
      <c r="B12130" s="5" t="s">
        <v>12561</v>
      </c>
      <c r="C12130" s="5" t="s">
        <v>21</v>
      </c>
      <c r="K12130" s="5">
        <v>250.0</v>
      </c>
      <c r="N12130" s="9">
        <v>44618.0</v>
      </c>
    </row>
    <row r="12131">
      <c r="A12131" s="5">
        <v>12130.0</v>
      </c>
      <c r="B12131" s="5" t="s">
        <v>12562</v>
      </c>
      <c r="C12131" s="5" t="s">
        <v>21</v>
      </c>
      <c r="K12131" s="5">
        <v>200.0</v>
      </c>
      <c r="N12131" s="9">
        <v>44583.0</v>
      </c>
    </row>
    <row r="12132">
      <c r="A12132" s="5">
        <v>12131.0</v>
      </c>
      <c r="B12132" s="5" t="s">
        <v>12563</v>
      </c>
      <c r="C12132" s="5" t="s">
        <v>21</v>
      </c>
      <c r="K12132" s="5">
        <v>1400.0</v>
      </c>
      <c r="N12132" s="9">
        <v>44338.0</v>
      </c>
    </row>
    <row r="12133">
      <c r="A12133" s="5">
        <v>12132.0</v>
      </c>
      <c r="B12133" s="5" t="s">
        <v>12564</v>
      </c>
      <c r="C12133" s="5" t="s">
        <v>21</v>
      </c>
      <c r="K12133" s="5">
        <v>800.0</v>
      </c>
      <c r="N12133" s="9">
        <v>43863.0</v>
      </c>
    </row>
    <row r="12134">
      <c r="A12134" s="5">
        <v>12133.0</v>
      </c>
      <c r="B12134" s="5" t="s">
        <v>12565</v>
      </c>
      <c r="C12134" s="5" t="s">
        <v>21</v>
      </c>
      <c r="K12134" s="5">
        <v>600.0</v>
      </c>
      <c r="N12134" s="9">
        <v>44715.0</v>
      </c>
    </row>
    <row r="12135">
      <c r="A12135" s="5">
        <v>12134.0</v>
      </c>
      <c r="B12135" s="5" t="s">
        <v>12566</v>
      </c>
      <c r="C12135" s="5" t="s">
        <v>21</v>
      </c>
      <c r="K12135" s="5">
        <v>350.0</v>
      </c>
      <c r="N12135" s="9">
        <v>43993.0</v>
      </c>
    </row>
    <row r="12136">
      <c r="A12136" s="5">
        <v>12135.0</v>
      </c>
      <c r="B12136" s="5" t="s">
        <v>12567</v>
      </c>
      <c r="C12136" s="5" t="s">
        <v>21</v>
      </c>
      <c r="K12136" s="5">
        <v>700.0</v>
      </c>
      <c r="N12136" s="9">
        <v>44558.0</v>
      </c>
    </row>
    <row r="12137">
      <c r="A12137" s="5">
        <v>12136.0</v>
      </c>
      <c r="B12137" s="5" t="s">
        <v>12568</v>
      </c>
      <c r="C12137" s="5" t="s">
        <v>21</v>
      </c>
      <c r="K12137" s="5">
        <v>30.0</v>
      </c>
      <c r="N12137" s="9">
        <v>45596.0</v>
      </c>
    </row>
    <row r="12138">
      <c r="A12138" s="5">
        <v>12137.0</v>
      </c>
      <c r="B12138" s="5" t="s">
        <v>12569</v>
      </c>
      <c r="C12138" s="5" t="s">
        <v>21</v>
      </c>
      <c r="K12138" s="5">
        <v>400.0</v>
      </c>
      <c r="N12138" s="9">
        <v>44531.0</v>
      </c>
    </row>
    <row r="12139">
      <c r="A12139" s="5">
        <v>12138.0</v>
      </c>
      <c r="B12139" s="5" t="s">
        <v>12570</v>
      </c>
      <c r="C12139" s="5" t="s">
        <v>21</v>
      </c>
      <c r="K12139" s="5">
        <v>500.0</v>
      </c>
      <c r="N12139" s="9">
        <v>45356.0</v>
      </c>
    </row>
    <row r="12140">
      <c r="A12140" s="5">
        <v>12139.0</v>
      </c>
      <c r="B12140" s="5" t="s">
        <v>12571</v>
      </c>
      <c r="C12140" s="5" t="s">
        <v>21</v>
      </c>
      <c r="K12140" s="5">
        <v>800.0</v>
      </c>
      <c r="N12140" s="9">
        <v>45249.0</v>
      </c>
    </row>
    <row r="12141">
      <c r="A12141" s="5">
        <v>12140.0</v>
      </c>
      <c r="B12141" s="5" t="s">
        <v>12572</v>
      </c>
      <c r="C12141" s="5" t="s">
        <v>21</v>
      </c>
      <c r="K12141" s="5">
        <v>250.0</v>
      </c>
      <c r="N12141" s="9">
        <v>45037.0</v>
      </c>
    </row>
    <row r="12142">
      <c r="A12142" s="5">
        <v>12141.0</v>
      </c>
      <c r="B12142" s="5" t="s">
        <v>12573</v>
      </c>
      <c r="C12142" s="5" t="s">
        <v>21</v>
      </c>
      <c r="K12142" s="5">
        <v>100.0</v>
      </c>
      <c r="N12142" s="9">
        <v>44811.0</v>
      </c>
    </row>
    <row r="12143">
      <c r="A12143" s="5">
        <v>12142.0</v>
      </c>
      <c r="B12143" s="5" t="s">
        <v>12574</v>
      </c>
      <c r="C12143" s="5" t="s">
        <v>21</v>
      </c>
      <c r="K12143" s="5">
        <v>60.0</v>
      </c>
      <c r="N12143" s="9">
        <v>44607.0</v>
      </c>
    </row>
    <row r="12144">
      <c r="A12144" s="5">
        <v>12143.0</v>
      </c>
      <c r="B12144" s="5" t="s">
        <v>12575</v>
      </c>
      <c r="C12144" s="5" t="s">
        <v>21</v>
      </c>
      <c r="K12144" s="5">
        <v>300.0</v>
      </c>
      <c r="N12144" s="9">
        <v>45782.0</v>
      </c>
    </row>
    <row r="12145">
      <c r="A12145" s="5">
        <v>12144.0</v>
      </c>
      <c r="B12145" s="5" t="s">
        <v>12576</v>
      </c>
      <c r="C12145" s="5" t="s">
        <v>21</v>
      </c>
      <c r="K12145" s="5">
        <v>900.0</v>
      </c>
      <c r="N12145" s="9">
        <v>44288.0</v>
      </c>
    </row>
    <row r="12146">
      <c r="A12146" s="5">
        <v>12145.0</v>
      </c>
      <c r="B12146" s="5" t="s">
        <v>12577</v>
      </c>
      <c r="C12146" s="5" t="s">
        <v>21</v>
      </c>
      <c r="K12146" s="5">
        <v>1800.0</v>
      </c>
      <c r="N12146" s="9">
        <v>44471.0</v>
      </c>
    </row>
    <row r="12147">
      <c r="A12147" s="5">
        <v>12146.0</v>
      </c>
      <c r="B12147" s="5" t="s">
        <v>12578</v>
      </c>
      <c r="C12147" s="5" t="s">
        <v>21</v>
      </c>
      <c r="K12147" s="5">
        <v>200.0</v>
      </c>
      <c r="N12147" s="9">
        <v>44646.0</v>
      </c>
    </row>
    <row r="12148">
      <c r="A12148" s="5">
        <v>12147.0</v>
      </c>
      <c r="B12148" s="5" t="s">
        <v>12579</v>
      </c>
      <c r="C12148" s="5" t="s">
        <v>21</v>
      </c>
      <c r="K12148" s="5">
        <v>700.0</v>
      </c>
      <c r="N12148" s="9">
        <v>44535.0</v>
      </c>
    </row>
    <row r="12149">
      <c r="A12149" s="5">
        <v>12148.0</v>
      </c>
      <c r="B12149" s="5" t="s">
        <v>12580</v>
      </c>
      <c r="C12149" s="5" t="s">
        <v>21</v>
      </c>
      <c r="K12149" s="5">
        <v>600.0</v>
      </c>
      <c r="N12149" s="9">
        <v>44198.0</v>
      </c>
    </row>
    <row r="12150">
      <c r="A12150" s="5">
        <v>12149.0</v>
      </c>
      <c r="B12150" s="5" t="s">
        <v>12581</v>
      </c>
      <c r="C12150" s="5" t="s">
        <v>21</v>
      </c>
      <c r="K12150" s="5">
        <v>450.0</v>
      </c>
      <c r="N12150" s="9">
        <v>44572.0</v>
      </c>
    </row>
    <row r="12151">
      <c r="A12151" s="5">
        <v>12150.0</v>
      </c>
      <c r="B12151" s="5" t="s">
        <v>12582</v>
      </c>
      <c r="C12151" s="5" t="s">
        <v>21</v>
      </c>
      <c r="K12151" s="5">
        <v>4000.0</v>
      </c>
      <c r="N12151" s="9">
        <v>44455.0</v>
      </c>
    </row>
    <row r="12152">
      <c r="A12152" s="5">
        <v>12151.0</v>
      </c>
      <c r="B12152" s="5" t="s">
        <v>12583</v>
      </c>
      <c r="C12152" s="5" t="s">
        <v>21</v>
      </c>
      <c r="N12152" s="9">
        <v>44523.0</v>
      </c>
    </row>
    <row r="12153">
      <c r="A12153" s="5">
        <v>12152.0</v>
      </c>
      <c r="B12153" s="5" t="s">
        <v>12584</v>
      </c>
      <c r="C12153" s="5" t="s">
        <v>21</v>
      </c>
      <c r="K12153" s="5">
        <v>60.0</v>
      </c>
      <c r="N12153" s="9">
        <v>44517.0</v>
      </c>
    </row>
    <row r="12154">
      <c r="A12154" s="5">
        <v>12153.0</v>
      </c>
      <c r="B12154" s="5" t="s">
        <v>12585</v>
      </c>
      <c r="C12154" s="5" t="s">
        <v>21</v>
      </c>
      <c r="K12154" s="5">
        <v>800.0</v>
      </c>
      <c r="N12154" s="9">
        <v>44526.0</v>
      </c>
    </row>
    <row r="12155">
      <c r="A12155" s="5">
        <v>12154.0</v>
      </c>
      <c r="B12155" s="5" t="s">
        <v>12586</v>
      </c>
      <c r="C12155" s="5" t="s">
        <v>21</v>
      </c>
      <c r="K12155" s="5">
        <v>50.0</v>
      </c>
      <c r="N12155" s="9">
        <v>44934.0</v>
      </c>
    </row>
    <row r="12156">
      <c r="A12156" s="5">
        <v>12155.0</v>
      </c>
      <c r="B12156" s="5" t="s">
        <v>12587</v>
      </c>
      <c r="C12156" s="5" t="s">
        <v>21</v>
      </c>
      <c r="K12156" s="5">
        <v>450.0</v>
      </c>
      <c r="N12156" s="9">
        <v>44838.0</v>
      </c>
    </row>
    <row r="12157">
      <c r="A12157" s="5">
        <v>12156.0</v>
      </c>
      <c r="B12157" s="5" t="s">
        <v>12588</v>
      </c>
      <c r="C12157" s="5" t="s">
        <v>21</v>
      </c>
      <c r="K12157" s="5">
        <v>30.0</v>
      </c>
      <c r="N12157" s="9">
        <v>44702.0</v>
      </c>
    </row>
    <row r="12158">
      <c r="A12158" s="5">
        <v>12157.0</v>
      </c>
      <c r="B12158" s="5" t="s">
        <v>12589</v>
      </c>
      <c r="C12158" s="5" t="s">
        <v>21</v>
      </c>
      <c r="K12158" s="5">
        <v>400.0</v>
      </c>
      <c r="N12158" s="9">
        <v>45402.0</v>
      </c>
    </row>
    <row r="12159">
      <c r="A12159" s="5">
        <v>12158.0</v>
      </c>
      <c r="B12159" s="5" t="s">
        <v>12590</v>
      </c>
      <c r="C12159" s="5" t="s">
        <v>21</v>
      </c>
      <c r="K12159" s="5">
        <v>300.0</v>
      </c>
      <c r="N12159" s="9">
        <v>44529.0</v>
      </c>
    </row>
    <row r="12160">
      <c r="A12160" s="5">
        <v>12159.0</v>
      </c>
      <c r="B12160" s="5" t="s">
        <v>12591</v>
      </c>
      <c r="C12160" s="5" t="s">
        <v>21</v>
      </c>
      <c r="K12160" s="5">
        <v>900.0</v>
      </c>
      <c r="N12160" s="9">
        <v>45075.0</v>
      </c>
    </row>
    <row r="12161">
      <c r="A12161" s="5">
        <v>12160.0</v>
      </c>
      <c r="B12161" s="5" t="s">
        <v>12592</v>
      </c>
      <c r="C12161" s="5" t="s">
        <v>21</v>
      </c>
      <c r="K12161" s="5">
        <v>1400.0</v>
      </c>
      <c r="N12161" s="9">
        <v>44530.0</v>
      </c>
    </row>
    <row r="12162">
      <c r="A12162" s="5">
        <v>12161.0</v>
      </c>
      <c r="B12162" s="5" t="s">
        <v>12593</v>
      </c>
      <c r="C12162" s="5" t="s">
        <v>21</v>
      </c>
      <c r="K12162" s="5">
        <v>3000.0</v>
      </c>
      <c r="N12162" s="9">
        <v>44532.0</v>
      </c>
    </row>
    <row r="12163">
      <c r="A12163" s="5">
        <v>12162.0</v>
      </c>
      <c r="B12163" s="5" t="s">
        <v>12594</v>
      </c>
      <c r="C12163" s="5" t="s">
        <v>21</v>
      </c>
      <c r="K12163" s="5">
        <v>40.0</v>
      </c>
      <c r="N12163" s="9">
        <v>44986.0</v>
      </c>
    </row>
    <row r="12164">
      <c r="A12164" s="5">
        <v>12163.0</v>
      </c>
      <c r="B12164" s="5" t="s">
        <v>12595</v>
      </c>
      <c r="C12164" s="5" t="s">
        <v>21</v>
      </c>
      <c r="K12164" s="5">
        <v>250.0</v>
      </c>
      <c r="N12164" s="9">
        <v>44608.0</v>
      </c>
    </row>
    <row r="12165">
      <c r="A12165" s="5">
        <v>12164.0</v>
      </c>
      <c r="B12165" s="5" t="s">
        <v>12596</v>
      </c>
      <c r="C12165" s="5" t="s">
        <v>21</v>
      </c>
      <c r="K12165" s="5">
        <v>700.0</v>
      </c>
      <c r="N12165" s="9">
        <v>45396.0</v>
      </c>
    </row>
    <row r="12166">
      <c r="A12166" s="5">
        <v>12165.0</v>
      </c>
      <c r="B12166" s="5" t="s">
        <v>12597</v>
      </c>
      <c r="C12166" s="5" t="s">
        <v>21</v>
      </c>
      <c r="K12166" s="5">
        <v>20.0</v>
      </c>
      <c r="N12166" s="9">
        <v>44932.0</v>
      </c>
    </row>
    <row r="12167">
      <c r="A12167" s="5">
        <v>12166.0</v>
      </c>
      <c r="B12167" s="5" t="s">
        <v>12598</v>
      </c>
      <c r="C12167" s="5" t="s">
        <v>21</v>
      </c>
      <c r="K12167" s="5">
        <v>1500.0</v>
      </c>
      <c r="N12167" s="9">
        <v>44564.0</v>
      </c>
    </row>
    <row r="12168">
      <c r="A12168" s="5">
        <v>12167.0</v>
      </c>
      <c r="B12168" s="5" t="s">
        <v>12599</v>
      </c>
      <c r="C12168" s="5" t="s">
        <v>21</v>
      </c>
      <c r="N12168" s="9">
        <v>44626.0</v>
      </c>
    </row>
    <row r="12169">
      <c r="A12169" s="5">
        <v>12168.0</v>
      </c>
      <c r="B12169" s="5" t="s">
        <v>12600</v>
      </c>
      <c r="C12169" s="5" t="s">
        <v>21</v>
      </c>
      <c r="K12169" s="5">
        <v>400.0</v>
      </c>
      <c r="N12169" s="9">
        <v>45219.0</v>
      </c>
    </row>
    <row r="12170">
      <c r="A12170" s="5">
        <v>12169.0</v>
      </c>
      <c r="B12170" s="5" t="s">
        <v>12601</v>
      </c>
      <c r="C12170" s="5" t="s">
        <v>21</v>
      </c>
      <c r="K12170" s="5">
        <v>40.0</v>
      </c>
      <c r="N12170" s="9">
        <v>44569.0</v>
      </c>
    </row>
    <row r="12171">
      <c r="A12171" s="5">
        <v>12170.0</v>
      </c>
      <c r="B12171" s="5" t="s">
        <v>12602</v>
      </c>
      <c r="C12171" s="5" t="s">
        <v>21</v>
      </c>
      <c r="K12171" s="5">
        <v>150.0</v>
      </c>
      <c r="N12171" s="9">
        <v>45106.0</v>
      </c>
    </row>
    <row r="12172">
      <c r="A12172" s="5">
        <v>12171.0</v>
      </c>
      <c r="B12172" s="5" t="s">
        <v>12603</v>
      </c>
      <c r="C12172" s="5" t="s">
        <v>21</v>
      </c>
      <c r="K12172" s="5">
        <v>500.0</v>
      </c>
      <c r="N12172" s="9">
        <v>44667.0</v>
      </c>
    </row>
    <row r="12173">
      <c r="A12173" s="5">
        <v>12172.0</v>
      </c>
      <c r="B12173" s="5" t="s">
        <v>12604</v>
      </c>
      <c r="C12173" s="5" t="s">
        <v>21</v>
      </c>
      <c r="K12173" s="5">
        <v>250.0</v>
      </c>
      <c r="N12173" s="9">
        <v>45599.0</v>
      </c>
    </row>
    <row r="12174">
      <c r="A12174" s="5">
        <v>12173.0</v>
      </c>
      <c r="B12174" s="5" t="s">
        <v>12605</v>
      </c>
      <c r="C12174" s="5" t="s">
        <v>21</v>
      </c>
      <c r="K12174" s="5">
        <v>3000.0</v>
      </c>
      <c r="N12174" s="9">
        <v>44136.0</v>
      </c>
    </row>
    <row r="12175">
      <c r="A12175" s="5">
        <v>12174.0</v>
      </c>
      <c r="B12175" s="5" t="s">
        <v>12606</v>
      </c>
      <c r="C12175" s="5" t="s">
        <v>21</v>
      </c>
      <c r="K12175" s="5">
        <v>900.0</v>
      </c>
      <c r="N12175" s="9">
        <v>45021.0</v>
      </c>
    </row>
    <row r="12176">
      <c r="A12176" s="5">
        <v>12175.0</v>
      </c>
      <c r="B12176" s="5" t="s">
        <v>12607</v>
      </c>
      <c r="C12176" s="5" t="s">
        <v>21</v>
      </c>
      <c r="K12176" s="5">
        <v>100.0</v>
      </c>
      <c r="N12176" s="9">
        <v>44527.0</v>
      </c>
    </row>
    <row r="12177">
      <c r="A12177" s="5">
        <v>12176.0</v>
      </c>
      <c r="B12177" s="5" t="s">
        <v>12608</v>
      </c>
      <c r="C12177" s="5" t="s">
        <v>21</v>
      </c>
      <c r="K12177" s="5">
        <v>500.0</v>
      </c>
      <c r="N12177" s="9">
        <v>45389.0</v>
      </c>
    </row>
    <row r="12178">
      <c r="A12178" s="5">
        <v>12177.0</v>
      </c>
      <c r="B12178" s="5" t="s">
        <v>12609</v>
      </c>
      <c r="C12178" s="5" t="s">
        <v>21</v>
      </c>
      <c r="K12178" s="5">
        <v>1700.0</v>
      </c>
      <c r="N12178" s="9">
        <v>44544.0</v>
      </c>
    </row>
    <row r="12179">
      <c r="A12179" s="5">
        <v>12178.0</v>
      </c>
      <c r="B12179" s="5" t="s">
        <v>12610</v>
      </c>
      <c r="C12179" s="5" t="s">
        <v>21</v>
      </c>
      <c r="K12179" s="5">
        <v>50.0</v>
      </c>
      <c r="N12179" s="9">
        <v>44553.0</v>
      </c>
    </row>
    <row r="12180">
      <c r="A12180" s="5">
        <v>12179.0</v>
      </c>
      <c r="B12180" s="5" t="s">
        <v>12611</v>
      </c>
      <c r="C12180" s="5" t="s">
        <v>21</v>
      </c>
      <c r="N12180" s="9">
        <v>44519.0</v>
      </c>
    </row>
    <row r="12181">
      <c r="A12181" s="5">
        <v>12180.0</v>
      </c>
      <c r="B12181" s="5" t="s">
        <v>12612</v>
      </c>
      <c r="C12181" s="5" t="s">
        <v>21</v>
      </c>
      <c r="K12181" s="5">
        <v>300.0</v>
      </c>
      <c r="N12181" s="9">
        <v>44245.0</v>
      </c>
    </row>
    <row r="12182">
      <c r="A12182" s="5">
        <v>12181.0</v>
      </c>
      <c r="B12182" s="5" t="s">
        <v>12613</v>
      </c>
      <c r="C12182" s="5" t="s">
        <v>21</v>
      </c>
      <c r="K12182" s="5">
        <v>40.0</v>
      </c>
      <c r="N12182" s="9">
        <v>44013.0</v>
      </c>
    </row>
    <row r="12183">
      <c r="A12183" s="5">
        <v>12182.0</v>
      </c>
      <c r="B12183" s="5" t="s">
        <v>12614</v>
      </c>
      <c r="C12183" s="5" t="s">
        <v>21</v>
      </c>
      <c r="N12183" s="9">
        <v>45141.0</v>
      </c>
    </row>
    <row r="12184">
      <c r="A12184" s="5">
        <v>12183.0</v>
      </c>
      <c r="B12184" s="5" t="s">
        <v>12615</v>
      </c>
      <c r="C12184" s="5" t="s">
        <v>21</v>
      </c>
      <c r="K12184" s="5">
        <v>600.0</v>
      </c>
      <c r="N12184" s="9">
        <v>44541.0</v>
      </c>
    </row>
    <row r="12185">
      <c r="A12185" s="5">
        <v>12184.0</v>
      </c>
      <c r="B12185" s="5" t="s">
        <v>12616</v>
      </c>
      <c r="C12185" s="5" t="s">
        <v>21</v>
      </c>
      <c r="K12185" s="5">
        <v>250.0</v>
      </c>
      <c r="N12185" s="9">
        <v>44496.0</v>
      </c>
    </row>
    <row r="12186">
      <c r="A12186" s="5">
        <v>12185.0</v>
      </c>
      <c r="B12186" s="5" t="s">
        <v>12617</v>
      </c>
      <c r="C12186" s="5" t="s">
        <v>21</v>
      </c>
      <c r="K12186" s="5">
        <v>1100.0</v>
      </c>
      <c r="N12186" s="9">
        <v>44347.0</v>
      </c>
    </row>
    <row r="12187">
      <c r="A12187" s="5">
        <v>12186.0</v>
      </c>
      <c r="B12187" s="5" t="s">
        <v>12618</v>
      </c>
      <c r="C12187" s="5" t="s">
        <v>21</v>
      </c>
      <c r="K12187" s="5">
        <v>60.0</v>
      </c>
      <c r="N12187" s="9">
        <v>44563.0</v>
      </c>
    </row>
    <row r="12188">
      <c r="A12188" s="5">
        <v>12187.0</v>
      </c>
      <c r="B12188" s="5" t="s">
        <v>12619</v>
      </c>
      <c r="C12188" s="5" t="s">
        <v>21</v>
      </c>
      <c r="K12188" s="5">
        <v>450.0</v>
      </c>
      <c r="N12188" s="9">
        <v>44339.0</v>
      </c>
    </row>
    <row r="12189">
      <c r="A12189" s="5">
        <v>12188.0</v>
      </c>
      <c r="B12189" s="5" t="s">
        <v>12620</v>
      </c>
      <c r="C12189" s="5" t="s">
        <v>21</v>
      </c>
      <c r="K12189" s="5">
        <v>250.0</v>
      </c>
      <c r="N12189" s="9">
        <v>44474.0</v>
      </c>
    </row>
    <row r="12190">
      <c r="A12190" s="5">
        <v>12189.0</v>
      </c>
      <c r="B12190" s="5" t="s">
        <v>12621</v>
      </c>
      <c r="C12190" s="5" t="s">
        <v>21</v>
      </c>
      <c r="K12190" s="5">
        <v>1300.0</v>
      </c>
      <c r="N12190" s="9">
        <v>44681.0</v>
      </c>
    </row>
    <row r="12191">
      <c r="A12191" s="5">
        <v>12190.0</v>
      </c>
      <c r="B12191" s="5" t="s">
        <v>12622</v>
      </c>
      <c r="C12191" s="5" t="s">
        <v>21</v>
      </c>
      <c r="K12191" s="5">
        <v>40.0</v>
      </c>
      <c r="N12191" s="9">
        <v>44478.0</v>
      </c>
    </row>
    <row r="12192">
      <c r="A12192" s="5">
        <v>12191.0</v>
      </c>
      <c r="B12192" s="5" t="s">
        <v>12623</v>
      </c>
      <c r="C12192" s="5" t="s">
        <v>21</v>
      </c>
      <c r="K12192" s="5">
        <v>10.0</v>
      </c>
      <c r="N12192" s="9">
        <v>45030.0</v>
      </c>
    </row>
    <row r="12193">
      <c r="A12193" s="5">
        <v>12192.0</v>
      </c>
      <c r="B12193" s="5" t="s">
        <v>12624</v>
      </c>
      <c r="C12193" s="5" t="s">
        <v>21</v>
      </c>
      <c r="K12193" s="5">
        <v>150.0</v>
      </c>
      <c r="N12193" s="9">
        <v>44550.0</v>
      </c>
    </row>
    <row r="12194">
      <c r="A12194" s="5">
        <v>12193.0</v>
      </c>
      <c r="B12194" s="5" t="s">
        <v>12625</v>
      </c>
      <c r="C12194" s="5" t="s">
        <v>21</v>
      </c>
      <c r="K12194" s="5">
        <v>900.0</v>
      </c>
      <c r="N12194" s="9">
        <v>44752.0</v>
      </c>
    </row>
    <row r="12195">
      <c r="A12195" s="5">
        <v>12194.0</v>
      </c>
      <c r="B12195" s="5" t="s">
        <v>12626</v>
      </c>
      <c r="C12195" s="5" t="s">
        <v>21</v>
      </c>
      <c r="K12195" s="5">
        <v>250.0</v>
      </c>
      <c r="N12195" s="9">
        <v>44523.0</v>
      </c>
    </row>
    <row r="12196">
      <c r="A12196" s="5">
        <v>12195.0</v>
      </c>
      <c r="B12196" s="5" t="s">
        <v>12627</v>
      </c>
      <c r="C12196" s="5" t="s">
        <v>21</v>
      </c>
      <c r="K12196" s="5">
        <v>1600.0</v>
      </c>
      <c r="N12196" s="9">
        <v>44673.0</v>
      </c>
    </row>
    <row r="12197">
      <c r="A12197" s="5">
        <v>12196.0</v>
      </c>
      <c r="B12197" s="5" t="s">
        <v>12628</v>
      </c>
      <c r="C12197" s="5" t="s">
        <v>21</v>
      </c>
      <c r="K12197" s="5">
        <v>250.0</v>
      </c>
      <c r="N12197" s="9">
        <v>45233.0</v>
      </c>
    </row>
    <row r="12198">
      <c r="A12198" s="5">
        <v>12197.0</v>
      </c>
      <c r="B12198" s="5" t="s">
        <v>12629</v>
      </c>
      <c r="C12198" s="5" t="s">
        <v>21</v>
      </c>
      <c r="K12198" s="5">
        <v>400.0</v>
      </c>
      <c r="N12198" s="9">
        <v>45574.0</v>
      </c>
    </row>
    <row r="12199">
      <c r="A12199" s="5">
        <v>12198.0</v>
      </c>
      <c r="B12199" s="5" t="s">
        <v>12630</v>
      </c>
      <c r="C12199" s="5" t="s">
        <v>21</v>
      </c>
      <c r="K12199" s="5">
        <v>900.0</v>
      </c>
      <c r="N12199" s="9">
        <v>45059.0</v>
      </c>
    </row>
    <row r="12200">
      <c r="A12200" s="5">
        <v>12199.0</v>
      </c>
      <c r="B12200" s="5" t="s">
        <v>12631</v>
      </c>
      <c r="C12200" s="5" t="s">
        <v>21</v>
      </c>
      <c r="K12200" s="5">
        <v>90.0</v>
      </c>
      <c r="N12200" s="9">
        <v>44044.0</v>
      </c>
    </row>
    <row r="12201">
      <c r="A12201" s="5">
        <v>12200.0</v>
      </c>
      <c r="B12201" s="5" t="s">
        <v>12632</v>
      </c>
      <c r="C12201" s="5" t="s">
        <v>21</v>
      </c>
      <c r="K12201" s="5">
        <v>250.0</v>
      </c>
      <c r="N12201" s="9">
        <v>44206.0</v>
      </c>
    </row>
    <row r="12202">
      <c r="A12202" s="5">
        <v>12201.0</v>
      </c>
      <c r="B12202" s="5" t="s">
        <v>12633</v>
      </c>
      <c r="C12202" s="5" t="s">
        <v>21</v>
      </c>
      <c r="N12202" s="9">
        <v>45327.0</v>
      </c>
    </row>
    <row r="12203">
      <c r="A12203" s="5">
        <v>12202.0</v>
      </c>
      <c r="B12203" s="5" t="s">
        <v>12634</v>
      </c>
      <c r="C12203" s="5" t="s">
        <v>21</v>
      </c>
      <c r="K12203" s="5">
        <v>600.0</v>
      </c>
      <c r="N12203" s="9">
        <v>45728.0</v>
      </c>
    </row>
    <row r="12204">
      <c r="A12204" s="5">
        <v>12203.0</v>
      </c>
      <c r="B12204" s="5" t="s">
        <v>419</v>
      </c>
      <c r="C12204" s="5" t="s">
        <v>21</v>
      </c>
      <c r="K12204" s="5">
        <v>150.0</v>
      </c>
      <c r="N12204" s="9">
        <v>44181.0</v>
      </c>
    </row>
    <row r="12205">
      <c r="A12205" s="5">
        <v>12204.0</v>
      </c>
      <c r="B12205" s="5" t="s">
        <v>12635</v>
      </c>
      <c r="C12205" s="5" t="s">
        <v>21</v>
      </c>
      <c r="K12205" s="5">
        <v>400.0</v>
      </c>
      <c r="N12205" s="9">
        <v>42960.0</v>
      </c>
    </row>
    <row r="12206">
      <c r="A12206" s="5">
        <v>12205.0</v>
      </c>
      <c r="B12206" s="5" t="s">
        <v>12636</v>
      </c>
      <c r="C12206" s="5" t="s">
        <v>21</v>
      </c>
      <c r="K12206" s="5">
        <v>200.0</v>
      </c>
      <c r="N12206" s="9">
        <v>44542.0</v>
      </c>
    </row>
    <row r="12207">
      <c r="A12207" s="5">
        <v>12206.0</v>
      </c>
      <c r="B12207" s="5" t="s">
        <v>12637</v>
      </c>
      <c r="C12207" s="5" t="s">
        <v>21</v>
      </c>
      <c r="K12207" s="5">
        <v>100.0</v>
      </c>
      <c r="N12207" s="9">
        <v>44732.0</v>
      </c>
    </row>
    <row r="12208">
      <c r="A12208" s="5">
        <v>12207.0</v>
      </c>
      <c r="B12208" s="5" t="s">
        <v>12638</v>
      </c>
      <c r="C12208" s="5" t="s">
        <v>21</v>
      </c>
      <c r="K12208" s="5">
        <v>200.0</v>
      </c>
      <c r="N12208" s="9">
        <v>44526.0</v>
      </c>
    </row>
    <row r="12209">
      <c r="A12209" s="5">
        <v>12208.0</v>
      </c>
      <c r="B12209" s="5" t="s">
        <v>12639</v>
      </c>
      <c r="C12209" s="5" t="s">
        <v>21</v>
      </c>
      <c r="K12209" s="5">
        <v>200.0</v>
      </c>
      <c r="N12209" s="9">
        <v>44696.0</v>
      </c>
    </row>
    <row r="12210">
      <c r="A12210" s="5">
        <v>12209.0</v>
      </c>
      <c r="B12210" s="5" t="s">
        <v>12640</v>
      </c>
      <c r="C12210" s="5" t="s">
        <v>21</v>
      </c>
      <c r="K12210" s="5">
        <v>2200.0</v>
      </c>
      <c r="N12210" s="9">
        <v>44136.0</v>
      </c>
    </row>
    <row r="12211">
      <c r="A12211" s="5">
        <v>12210.0</v>
      </c>
      <c r="B12211" s="5" t="s">
        <v>12641</v>
      </c>
      <c r="C12211" s="5" t="s">
        <v>21</v>
      </c>
      <c r="K12211" s="5">
        <v>3400.0</v>
      </c>
      <c r="N12211" s="9">
        <v>43868.0</v>
      </c>
    </row>
    <row r="12212">
      <c r="A12212" s="5">
        <v>12211.0</v>
      </c>
      <c r="B12212" s="5" t="s">
        <v>12642</v>
      </c>
      <c r="C12212" s="5" t="s">
        <v>21</v>
      </c>
      <c r="K12212" s="5">
        <v>20.0</v>
      </c>
      <c r="N12212" s="9">
        <v>44608.0</v>
      </c>
    </row>
    <row r="12213">
      <c r="A12213" s="5">
        <v>12212.0</v>
      </c>
      <c r="B12213" s="5" t="s">
        <v>421</v>
      </c>
      <c r="C12213" s="5" t="s">
        <v>21</v>
      </c>
      <c r="N12213" s="9">
        <v>44055.0</v>
      </c>
    </row>
    <row r="12214">
      <c r="A12214" s="5">
        <v>12213.0</v>
      </c>
      <c r="B12214" s="5" t="s">
        <v>12643</v>
      </c>
      <c r="C12214" s="5" t="s">
        <v>21</v>
      </c>
      <c r="K12214" s="5">
        <v>200.0</v>
      </c>
      <c r="N12214" s="9">
        <v>44728.0</v>
      </c>
    </row>
    <row r="12215">
      <c r="A12215" s="5">
        <v>12214.0</v>
      </c>
      <c r="B12215" s="5" t="s">
        <v>12644</v>
      </c>
      <c r="C12215" s="5" t="s">
        <v>21</v>
      </c>
      <c r="K12215" s="5">
        <v>150.0</v>
      </c>
      <c r="N12215" s="9">
        <v>44536.0</v>
      </c>
    </row>
    <row r="12216">
      <c r="A12216" s="5">
        <v>12215.0</v>
      </c>
      <c r="B12216" s="5" t="s">
        <v>12645</v>
      </c>
      <c r="C12216" s="5" t="s">
        <v>21</v>
      </c>
      <c r="K12216" s="5">
        <v>450.0</v>
      </c>
      <c r="N12216" s="9">
        <v>45117.0</v>
      </c>
    </row>
    <row r="12217">
      <c r="A12217" s="5">
        <v>12216.0</v>
      </c>
      <c r="B12217" s="5" t="s">
        <v>12646</v>
      </c>
      <c r="C12217" s="5" t="s">
        <v>21</v>
      </c>
      <c r="K12217" s="5">
        <v>60.0</v>
      </c>
      <c r="N12217" s="9">
        <v>44821.0</v>
      </c>
    </row>
    <row r="12218">
      <c r="A12218" s="5">
        <v>12217.0</v>
      </c>
      <c r="B12218" s="5" t="s">
        <v>12647</v>
      </c>
      <c r="C12218" s="5" t="s">
        <v>21</v>
      </c>
      <c r="K12218" s="5">
        <v>50.0</v>
      </c>
      <c r="N12218" s="9">
        <v>45554.0</v>
      </c>
    </row>
    <row r="12219">
      <c r="A12219" s="5">
        <v>12218.0</v>
      </c>
      <c r="B12219" s="5" t="s">
        <v>12648</v>
      </c>
      <c r="C12219" s="5" t="s">
        <v>21</v>
      </c>
      <c r="K12219" s="5">
        <v>600.0</v>
      </c>
      <c r="N12219" s="9">
        <v>44527.0</v>
      </c>
    </row>
    <row r="12220">
      <c r="A12220" s="5">
        <v>12219.0</v>
      </c>
      <c r="B12220" s="5" t="s">
        <v>12649</v>
      </c>
      <c r="C12220" s="5" t="s">
        <v>21</v>
      </c>
      <c r="K12220" s="5">
        <v>350.0</v>
      </c>
      <c r="N12220" s="9">
        <v>43868.0</v>
      </c>
    </row>
    <row r="12221">
      <c r="A12221" s="5">
        <v>12220.0</v>
      </c>
      <c r="B12221" s="5" t="s">
        <v>12650</v>
      </c>
      <c r="C12221" s="5" t="s">
        <v>21</v>
      </c>
      <c r="K12221" s="5">
        <v>1800.0</v>
      </c>
      <c r="N12221" s="9">
        <v>44532.0</v>
      </c>
    </row>
    <row r="12222">
      <c r="A12222" s="5">
        <v>12221.0</v>
      </c>
      <c r="B12222" s="5" t="s">
        <v>12651</v>
      </c>
      <c r="C12222" s="5" t="s">
        <v>21</v>
      </c>
      <c r="K12222" s="5">
        <v>350.0</v>
      </c>
      <c r="N12222" s="9">
        <v>45260.0</v>
      </c>
    </row>
    <row r="12223">
      <c r="A12223" s="5">
        <v>12222.0</v>
      </c>
      <c r="B12223" s="5" t="s">
        <v>12652</v>
      </c>
      <c r="C12223" s="5" t="s">
        <v>21</v>
      </c>
      <c r="K12223" s="5">
        <v>900.0</v>
      </c>
      <c r="N12223" s="9">
        <v>44960.0</v>
      </c>
    </row>
    <row r="12224">
      <c r="A12224" s="5">
        <v>12223.0</v>
      </c>
      <c r="B12224" s="5" t="s">
        <v>12653</v>
      </c>
      <c r="C12224" s="5" t="s">
        <v>21</v>
      </c>
      <c r="K12224" s="5">
        <v>350.0</v>
      </c>
      <c r="N12224" s="9">
        <v>44620.0</v>
      </c>
    </row>
    <row r="12225">
      <c r="A12225" s="5">
        <v>12224.0</v>
      </c>
      <c r="B12225" s="5" t="s">
        <v>12654</v>
      </c>
      <c r="C12225" s="5" t="s">
        <v>21</v>
      </c>
      <c r="K12225" s="5">
        <v>350.0</v>
      </c>
      <c r="N12225" s="9">
        <v>43875.0</v>
      </c>
    </row>
    <row r="12226">
      <c r="A12226" s="5">
        <v>12225.0</v>
      </c>
      <c r="B12226" s="5" t="s">
        <v>12655</v>
      </c>
      <c r="C12226" s="5" t="s">
        <v>21</v>
      </c>
      <c r="K12226" s="5">
        <v>80.0</v>
      </c>
      <c r="N12226" s="9">
        <v>44135.0</v>
      </c>
    </row>
    <row r="12227">
      <c r="A12227" s="5">
        <v>12226.0</v>
      </c>
      <c r="B12227" s="5" t="s">
        <v>12656</v>
      </c>
      <c r="C12227" s="5" t="s">
        <v>21</v>
      </c>
      <c r="K12227" s="5">
        <v>500.0</v>
      </c>
      <c r="N12227" s="9">
        <v>44770.0</v>
      </c>
    </row>
    <row r="12228">
      <c r="A12228" s="5">
        <v>12227.0</v>
      </c>
      <c r="B12228" s="5" t="s">
        <v>12657</v>
      </c>
      <c r="C12228" s="5" t="s">
        <v>21</v>
      </c>
      <c r="K12228" s="5">
        <v>300.0</v>
      </c>
      <c r="N12228" s="9">
        <v>44531.0</v>
      </c>
    </row>
    <row r="12229">
      <c r="A12229" s="5">
        <v>12228.0</v>
      </c>
      <c r="B12229" s="5" t="s">
        <v>12658</v>
      </c>
      <c r="C12229" s="5" t="s">
        <v>21</v>
      </c>
      <c r="K12229" s="5">
        <v>150.0</v>
      </c>
      <c r="N12229" s="9">
        <v>44309.0</v>
      </c>
    </row>
    <row r="12230">
      <c r="A12230" s="5">
        <v>12229.0</v>
      </c>
      <c r="B12230" s="5" t="s">
        <v>12659</v>
      </c>
      <c r="C12230" s="5" t="s">
        <v>21</v>
      </c>
      <c r="K12230" s="5">
        <v>300.0</v>
      </c>
      <c r="N12230" s="9">
        <v>44316.0</v>
      </c>
    </row>
    <row r="12231">
      <c r="A12231" s="5">
        <v>12230.0</v>
      </c>
      <c r="B12231" s="5" t="s">
        <v>12660</v>
      </c>
      <c r="C12231" s="5" t="s">
        <v>21</v>
      </c>
      <c r="K12231" s="5">
        <v>150.0</v>
      </c>
      <c r="N12231" s="9">
        <v>44561.0</v>
      </c>
    </row>
    <row r="12232">
      <c r="A12232" s="5">
        <v>12231.0</v>
      </c>
      <c r="B12232" s="5" t="s">
        <v>12661</v>
      </c>
      <c r="C12232" s="5" t="s">
        <v>21</v>
      </c>
      <c r="K12232" s="5">
        <v>450.0</v>
      </c>
      <c r="N12232" s="9">
        <v>43850.0</v>
      </c>
    </row>
    <row r="12233">
      <c r="A12233" s="5">
        <v>12232.0</v>
      </c>
      <c r="B12233" s="5" t="s">
        <v>424</v>
      </c>
      <c r="C12233" s="5" t="s">
        <v>21</v>
      </c>
      <c r="K12233" s="5">
        <v>450.0</v>
      </c>
      <c r="N12233" s="9">
        <v>43197.0</v>
      </c>
    </row>
    <row r="12234">
      <c r="A12234" s="5">
        <v>12233.0</v>
      </c>
      <c r="B12234" s="5" t="s">
        <v>12662</v>
      </c>
      <c r="C12234" s="5" t="s">
        <v>21</v>
      </c>
      <c r="K12234" s="5">
        <v>150.0</v>
      </c>
      <c r="N12234" s="9">
        <v>43872.0</v>
      </c>
    </row>
    <row r="12235">
      <c r="A12235" s="5">
        <v>12234.0</v>
      </c>
      <c r="B12235" s="5" t="s">
        <v>426</v>
      </c>
      <c r="C12235" s="5" t="s">
        <v>21</v>
      </c>
      <c r="K12235" s="5">
        <v>80.0</v>
      </c>
      <c r="N12235" s="9">
        <v>45152.0</v>
      </c>
    </row>
    <row r="12236">
      <c r="A12236" s="5">
        <v>12235.0</v>
      </c>
      <c r="B12236" s="5" t="s">
        <v>12663</v>
      </c>
      <c r="C12236" s="5" t="s">
        <v>21</v>
      </c>
      <c r="K12236" s="5">
        <v>3000.0</v>
      </c>
      <c r="N12236" s="9">
        <v>44614.0</v>
      </c>
    </row>
    <row r="12237">
      <c r="A12237" s="5">
        <v>12236.0</v>
      </c>
      <c r="B12237" s="5" t="s">
        <v>12664</v>
      </c>
      <c r="C12237" s="5" t="s">
        <v>21</v>
      </c>
      <c r="K12237" s="5">
        <v>600.0</v>
      </c>
      <c r="N12237" s="9">
        <v>44528.0</v>
      </c>
    </row>
    <row r="12238">
      <c r="A12238" s="5">
        <v>12237.0</v>
      </c>
      <c r="B12238" s="5" t="s">
        <v>12665</v>
      </c>
      <c r="C12238" s="5" t="s">
        <v>21</v>
      </c>
      <c r="K12238" s="5">
        <v>1700.0</v>
      </c>
      <c r="N12238" s="9">
        <v>44045.0</v>
      </c>
    </row>
    <row r="12239">
      <c r="A12239" s="5">
        <v>12238.0</v>
      </c>
      <c r="B12239" s="5" t="s">
        <v>12666</v>
      </c>
      <c r="C12239" s="5" t="s">
        <v>21</v>
      </c>
      <c r="K12239" s="5">
        <v>250.0</v>
      </c>
      <c r="N12239" s="9">
        <v>44088.0</v>
      </c>
    </row>
    <row r="12240">
      <c r="A12240" s="5">
        <v>12239.0</v>
      </c>
      <c r="B12240" s="5" t="s">
        <v>12667</v>
      </c>
      <c r="C12240" s="5" t="s">
        <v>21</v>
      </c>
      <c r="K12240" s="5">
        <v>200.0</v>
      </c>
      <c r="N12240" s="9">
        <v>44690.0</v>
      </c>
    </row>
    <row r="12241">
      <c r="A12241" s="5">
        <v>12240.0</v>
      </c>
      <c r="B12241" s="5" t="s">
        <v>12668</v>
      </c>
      <c r="C12241" s="5" t="s">
        <v>21</v>
      </c>
      <c r="K12241" s="5">
        <v>1900.0</v>
      </c>
      <c r="N12241" s="9">
        <v>45267.0</v>
      </c>
    </row>
    <row r="12242">
      <c r="A12242" s="5">
        <v>12241.0</v>
      </c>
      <c r="B12242" s="5" t="s">
        <v>12669</v>
      </c>
      <c r="C12242" s="5" t="s">
        <v>21</v>
      </c>
      <c r="K12242" s="5">
        <v>150.0</v>
      </c>
      <c r="N12242" s="9">
        <v>45162.0</v>
      </c>
    </row>
    <row r="12243">
      <c r="A12243" s="5">
        <v>12242.0</v>
      </c>
      <c r="B12243" s="5" t="s">
        <v>12670</v>
      </c>
      <c r="C12243" s="5" t="s">
        <v>21</v>
      </c>
      <c r="K12243" s="5">
        <v>1100.0</v>
      </c>
      <c r="N12243" s="9">
        <v>44521.0</v>
      </c>
    </row>
    <row r="12244">
      <c r="A12244" s="5">
        <v>12243.0</v>
      </c>
      <c r="B12244" s="5" t="s">
        <v>12671</v>
      </c>
      <c r="C12244" s="5" t="s">
        <v>21</v>
      </c>
      <c r="K12244" s="5">
        <v>200.0</v>
      </c>
      <c r="N12244" s="9">
        <v>44651.0</v>
      </c>
    </row>
    <row r="12245">
      <c r="A12245" s="5">
        <v>12244.0</v>
      </c>
      <c r="B12245" s="5" t="s">
        <v>12672</v>
      </c>
      <c r="C12245" s="5" t="s">
        <v>21</v>
      </c>
      <c r="K12245" s="5">
        <v>500.0</v>
      </c>
      <c r="N12245" s="9">
        <v>44643.0</v>
      </c>
    </row>
    <row r="12246">
      <c r="A12246" s="5">
        <v>12245.0</v>
      </c>
      <c r="B12246" s="5" t="s">
        <v>12673</v>
      </c>
      <c r="C12246" s="5" t="s">
        <v>21</v>
      </c>
      <c r="K12246" s="5">
        <v>800.0</v>
      </c>
      <c r="N12246" s="9">
        <v>44530.0</v>
      </c>
    </row>
    <row r="12247">
      <c r="A12247" s="5">
        <v>12246.0</v>
      </c>
      <c r="B12247" s="5" t="s">
        <v>12674</v>
      </c>
      <c r="C12247" s="5" t="s">
        <v>21</v>
      </c>
      <c r="K12247" s="5">
        <v>3700.0</v>
      </c>
      <c r="N12247" s="9">
        <v>44393.0</v>
      </c>
    </row>
    <row r="12248">
      <c r="A12248" s="5">
        <v>12247.0</v>
      </c>
      <c r="B12248" s="5" t="s">
        <v>12675</v>
      </c>
      <c r="C12248" s="5" t="s">
        <v>21</v>
      </c>
      <c r="K12248" s="5">
        <v>200.0</v>
      </c>
      <c r="N12248" s="9">
        <v>44434.0</v>
      </c>
    </row>
    <row r="12249">
      <c r="A12249" s="5">
        <v>12248.0</v>
      </c>
      <c r="B12249" s="5" t="s">
        <v>12676</v>
      </c>
      <c r="C12249" s="5" t="s">
        <v>21</v>
      </c>
      <c r="K12249" s="5">
        <v>60.0</v>
      </c>
      <c r="N12249" s="9">
        <v>44792.0</v>
      </c>
    </row>
    <row r="12250">
      <c r="A12250" s="5">
        <v>12249.0</v>
      </c>
      <c r="B12250" s="5" t="s">
        <v>12677</v>
      </c>
      <c r="C12250" s="5" t="s">
        <v>21</v>
      </c>
      <c r="K12250" s="5">
        <v>3500.0</v>
      </c>
      <c r="N12250" s="9">
        <v>43840.0</v>
      </c>
    </row>
    <row r="12251">
      <c r="A12251" s="5">
        <v>12250.0</v>
      </c>
      <c r="B12251" s="5" t="s">
        <v>12678</v>
      </c>
      <c r="C12251" s="5" t="s">
        <v>21</v>
      </c>
      <c r="K12251" s="5">
        <v>200.0</v>
      </c>
      <c r="N12251" s="9">
        <v>44664.0</v>
      </c>
    </row>
    <row r="12252">
      <c r="A12252" s="5">
        <v>12251.0</v>
      </c>
      <c r="B12252" s="5" t="s">
        <v>12679</v>
      </c>
      <c r="C12252" s="5" t="s">
        <v>21</v>
      </c>
      <c r="K12252" s="5">
        <v>900.0</v>
      </c>
      <c r="N12252" s="9">
        <v>44547.0</v>
      </c>
    </row>
    <row r="12253">
      <c r="A12253" s="5">
        <v>12252.0</v>
      </c>
      <c r="B12253" s="5" t="s">
        <v>12680</v>
      </c>
      <c r="C12253" s="5" t="s">
        <v>21</v>
      </c>
      <c r="K12253" s="5">
        <v>40.0</v>
      </c>
      <c r="N12253" s="9">
        <v>44436.0</v>
      </c>
    </row>
    <row r="12254">
      <c r="A12254" s="5">
        <v>12253.0</v>
      </c>
      <c r="B12254" s="5" t="s">
        <v>12681</v>
      </c>
      <c r="C12254" s="5" t="s">
        <v>21</v>
      </c>
      <c r="K12254" s="5">
        <v>150.0</v>
      </c>
      <c r="N12254" s="9">
        <v>44617.0</v>
      </c>
    </row>
    <row r="12255">
      <c r="A12255" s="5">
        <v>12254.0</v>
      </c>
      <c r="B12255" s="5" t="s">
        <v>12682</v>
      </c>
      <c r="C12255" s="5" t="s">
        <v>21</v>
      </c>
      <c r="K12255" s="5">
        <v>300.0</v>
      </c>
      <c r="N12255" s="9">
        <v>44955.0</v>
      </c>
    </row>
    <row r="12256">
      <c r="A12256" s="5">
        <v>12255.0</v>
      </c>
      <c r="B12256" s="5" t="s">
        <v>12683</v>
      </c>
      <c r="C12256" s="5" t="s">
        <v>21</v>
      </c>
      <c r="K12256" s="5">
        <v>40.0</v>
      </c>
      <c r="N12256" s="9">
        <v>44556.0</v>
      </c>
    </row>
    <row r="12257">
      <c r="A12257" s="5">
        <v>12256.0</v>
      </c>
      <c r="B12257" s="5" t="s">
        <v>12684</v>
      </c>
      <c r="C12257" s="5" t="s">
        <v>21</v>
      </c>
      <c r="K12257" s="5">
        <v>80.0</v>
      </c>
      <c r="N12257" s="9">
        <v>44579.0</v>
      </c>
    </row>
    <row r="12258">
      <c r="A12258" s="5">
        <v>12257.0</v>
      </c>
      <c r="B12258" s="5" t="s">
        <v>12685</v>
      </c>
      <c r="C12258" s="5" t="s">
        <v>21</v>
      </c>
      <c r="K12258" s="5">
        <v>150.0</v>
      </c>
      <c r="N12258" s="9">
        <v>44216.0</v>
      </c>
    </row>
    <row r="12259">
      <c r="A12259" s="5">
        <v>12258.0</v>
      </c>
      <c r="B12259" s="5" t="s">
        <v>12686</v>
      </c>
      <c r="C12259" s="5" t="s">
        <v>21</v>
      </c>
      <c r="K12259" s="5">
        <v>1200.0</v>
      </c>
      <c r="N12259" s="9">
        <v>43963.0</v>
      </c>
    </row>
    <row r="12260">
      <c r="A12260" s="5">
        <v>12259.0</v>
      </c>
      <c r="B12260" s="5" t="s">
        <v>12687</v>
      </c>
      <c r="C12260" s="5" t="s">
        <v>21</v>
      </c>
      <c r="K12260" s="5">
        <v>30.0</v>
      </c>
      <c r="N12260" s="9">
        <v>44549.0</v>
      </c>
    </row>
    <row r="12261">
      <c r="A12261" s="5">
        <v>12260.0</v>
      </c>
      <c r="B12261" s="5" t="s">
        <v>12688</v>
      </c>
      <c r="C12261" s="5" t="s">
        <v>21</v>
      </c>
      <c r="K12261" s="5">
        <v>200.0</v>
      </c>
      <c r="N12261" s="9">
        <v>44567.0</v>
      </c>
    </row>
    <row r="12262">
      <c r="A12262" s="5">
        <v>12261.0</v>
      </c>
      <c r="B12262" s="5" t="s">
        <v>12689</v>
      </c>
      <c r="C12262" s="5" t="s">
        <v>21</v>
      </c>
      <c r="K12262" s="5">
        <v>800.0</v>
      </c>
      <c r="N12262" s="9">
        <v>44572.0</v>
      </c>
    </row>
    <row r="12263">
      <c r="A12263" s="5">
        <v>12262.0</v>
      </c>
      <c r="B12263" s="5" t="s">
        <v>12690</v>
      </c>
      <c r="C12263" s="5" t="s">
        <v>21</v>
      </c>
      <c r="K12263" s="5">
        <v>60.0</v>
      </c>
      <c r="N12263" s="9">
        <v>45256.0</v>
      </c>
    </row>
    <row r="12264">
      <c r="A12264" s="5">
        <v>12263.0</v>
      </c>
      <c r="B12264" s="5" t="s">
        <v>12691</v>
      </c>
      <c r="C12264" s="5" t="s">
        <v>21</v>
      </c>
      <c r="K12264" s="5">
        <v>200.0</v>
      </c>
      <c r="N12264" s="9">
        <v>45501.0</v>
      </c>
    </row>
    <row r="12265">
      <c r="A12265" s="5">
        <v>12264.0</v>
      </c>
      <c r="B12265" s="5" t="s">
        <v>12692</v>
      </c>
      <c r="C12265" s="5" t="s">
        <v>21</v>
      </c>
      <c r="K12265" s="5">
        <v>1000.0</v>
      </c>
      <c r="N12265" s="9">
        <v>43986.0</v>
      </c>
    </row>
    <row r="12266">
      <c r="A12266" s="5">
        <v>12265.0</v>
      </c>
      <c r="B12266" s="5" t="s">
        <v>12693</v>
      </c>
      <c r="C12266" s="5" t="s">
        <v>21</v>
      </c>
      <c r="K12266" s="5">
        <v>500.0</v>
      </c>
      <c r="N12266" s="9">
        <v>44553.0</v>
      </c>
    </row>
    <row r="12267">
      <c r="A12267" s="5">
        <v>12266.0</v>
      </c>
      <c r="B12267" s="5" t="s">
        <v>12694</v>
      </c>
      <c r="C12267" s="5" t="s">
        <v>21</v>
      </c>
      <c r="K12267" s="5">
        <v>100.0</v>
      </c>
      <c r="N12267" s="9">
        <v>45306.0</v>
      </c>
    </row>
    <row r="12268">
      <c r="A12268" s="5">
        <v>12267.0</v>
      </c>
      <c r="B12268" s="5" t="s">
        <v>12695</v>
      </c>
      <c r="C12268" s="5" t="s">
        <v>21</v>
      </c>
      <c r="K12268" s="5">
        <v>10.0</v>
      </c>
      <c r="N12268" s="9">
        <v>43871.0</v>
      </c>
    </row>
    <row r="12269">
      <c r="A12269" s="5">
        <v>12268.0</v>
      </c>
      <c r="B12269" s="5" t="s">
        <v>12696</v>
      </c>
      <c r="C12269" s="5" t="s">
        <v>21</v>
      </c>
      <c r="K12269" s="5">
        <v>600.0</v>
      </c>
      <c r="N12269" s="9">
        <v>44592.0</v>
      </c>
    </row>
    <row r="12270">
      <c r="A12270" s="5">
        <v>12269.0</v>
      </c>
      <c r="B12270" s="5" t="s">
        <v>12697</v>
      </c>
      <c r="C12270" s="5" t="s">
        <v>21</v>
      </c>
      <c r="K12270" s="5">
        <v>600.0</v>
      </c>
      <c r="N12270" s="9">
        <v>44773.0</v>
      </c>
    </row>
    <row r="12271">
      <c r="A12271" s="5">
        <v>12270.0</v>
      </c>
      <c r="B12271" s="5" t="s">
        <v>12698</v>
      </c>
      <c r="C12271" s="5" t="s">
        <v>21</v>
      </c>
      <c r="K12271" s="5">
        <v>20000.0</v>
      </c>
      <c r="N12271" s="9">
        <v>44310.0</v>
      </c>
    </row>
    <row r="12272">
      <c r="A12272" s="5">
        <v>12271.0</v>
      </c>
      <c r="B12272" s="5" t="s">
        <v>12699</v>
      </c>
      <c r="C12272" s="5" t="s">
        <v>21</v>
      </c>
      <c r="K12272" s="5">
        <v>200.0</v>
      </c>
      <c r="N12272" s="9">
        <v>44729.0</v>
      </c>
    </row>
    <row r="12273">
      <c r="A12273" s="5">
        <v>12272.0</v>
      </c>
      <c r="B12273" s="5" t="s">
        <v>12700</v>
      </c>
      <c r="C12273" s="5" t="s">
        <v>21</v>
      </c>
      <c r="K12273" s="5">
        <v>300.0</v>
      </c>
      <c r="N12273" s="9">
        <v>44667.0</v>
      </c>
    </row>
    <row r="12274">
      <c r="A12274" s="5">
        <v>12273.0</v>
      </c>
      <c r="B12274" s="5" t="s">
        <v>390</v>
      </c>
      <c r="C12274" s="5" t="s">
        <v>21</v>
      </c>
      <c r="K12274" s="5">
        <v>600.0</v>
      </c>
      <c r="N12274" s="9">
        <v>44336.0</v>
      </c>
    </row>
    <row r="12275">
      <c r="A12275" s="5">
        <v>12274.0</v>
      </c>
      <c r="B12275" s="5" t="s">
        <v>12701</v>
      </c>
      <c r="C12275" s="5" t="s">
        <v>21</v>
      </c>
      <c r="K12275" s="5">
        <v>10.0</v>
      </c>
      <c r="N12275" s="9">
        <v>44928.0</v>
      </c>
    </row>
    <row r="12276">
      <c r="A12276" s="5">
        <v>12275.0</v>
      </c>
      <c r="B12276" s="5" t="s">
        <v>12702</v>
      </c>
      <c r="C12276" s="5" t="s">
        <v>21</v>
      </c>
      <c r="K12276" s="5">
        <v>1500.0</v>
      </c>
      <c r="N12276" s="9">
        <v>44206.0</v>
      </c>
    </row>
    <row r="12277">
      <c r="A12277" s="5">
        <v>12276.0</v>
      </c>
      <c r="B12277" s="5" t="s">
        <v>12703</v>
      </c>
      <c r="C12277" s="5" t="s">
        <v>21</v>
      </c>
      <c r="K12277" s="5">
        <v>30.0</v>
      </c>
      <c r="N12277" s="9">
        <v>43914.0</v>
      </c>
    </row>
    <row r="12278">
      <c r="A12278" s="5">
        <v>12277.0</v>
      </c>
      <c r="B12278" s="5" t="s">
        <v>12704</v>
      </c>
      <c r="C12278" s="5" t="s">
        <v>21</v>
      </c>
      <c r="K12278" s="5">
        <v>4200.0</v>
      </c>
      <c r="N12278" s="9">
        <v>44277.0</v>
      </c>
    </row>
    <row r="12279">
      <c r="A12279" s="5">
        <v>12278.0</v>
      </c>
      <c r="B12279" s="5" t="s">
        <v>12705</v>
      </c>
      <c r="C12279" s="5" t="s">
        <v>21</v>
      </c>
      <c r="K12279" s="5">
        <v>300.0</v>
      </c>
      <c r="N12279" s="9">
        <v>44554.0</v>
      </c>
    </row>
    <row r="12280">
      <c r="A12280" s="5">
        <v>12279.0</v>
      </c>
      <c r="B12280" s="5" t="s">
        <v>12706</v>
      </c>
      <c r="C12280" s="5" t="s">
        <v>21</v>
      </c>
      <c r="K12280" s="5">
        <v>350.0</v>
      </c>
      <c r="N12280" s="9">
        <v>44579.0</v>
      </c>
    </row>
    <row r="12281">
      <c r="A12281" s="5">
        <v>12280.0</v>
      </c>
      <c r="B12281" s="5" t="s">
        <v>12707</v>
      </c>
      <c r="C12281" s="5" t="s">
        <v>21</v>
      </c>
      <c r="K12281" s="5">
        <v>200.0</v>
      </c>
      <c r="N12281" s="9">
        <v>44600.0</v>
      </c>
    </row>
    <row r="12282">
      <c r="A12282" s="5">
        <v>12281.0</v>
      </c>
      <c r="B12282" s="5" t="s">
        <v>12708</v>
      </c>
      <c r="C12282" s="5" t="s">
        <v>21</v>
      </c>
      <c r="K12282" s="5">
        <v>1100.0</v>
      </c>
      <c r="N12282" s="9">
        <v>45080.0</v>
      </c>
    </row>
    <row r="12283">
      <c r="A12283" s="5">
        <v>12282.0</v>
      </c>
      <c r="B12283" s="5" t="s">
        <v>12709</v>
      </c>
      <c r="C12283" s="5" t="s">
        <v>21</v>
      </c>
      <c r="K12283" s="5">
        <v>80.0</v>
      </c>
      <c r="N12283" s="9">
        <v>44619.0</v>
      </c>
    </row>
    <row r="12284">
      <c r="A12284" s="5">
        <v>12283.0</v>
      </c>
      <c r="B12284" s="5" t="s">
        <v>12710</v>
      </c>
      <c r="C12284" s="5" t="s">
        <v>21</v>
      </c>
      <c r="K12284" s="5">
        <v>100.0</v>
      </c>
      <c r="N12284" s="9">
        <v>44263.0</v>
      </c>
    </row>
    <row r="12285">
      <c r="A12285" s="5">
        <v>12284.0</v>
      </c>
      <c r="B12285" s="5" t="s">
        <v>12711</v>
      </c>
      <c r="C12285" s="5" t="s">
        <v>21</v>
      </c>
      <c r="N12285" s="9">
        <v>44582.0</v>
      </c>
    </row>
    <row r="12286">
      <c r="A12286" s="5">
        <v>12285.0</v>
      </c>
      <c r="B12286" s="5" t="s">
        <v>12712</v>
      </c>
      <c r="C12286" s="5" t="s">
        <v>21</v>
      </c>
      <c r="K12286" s="5">
        <v>2300.0</v>
      </c>
      <c r="N12286" s="9">
        <v>43931.0</v>
      </c>
    </row>
    <row r="12287">
      <c r="A12287" s="5">
        <v>12286.0</v>
      </c>
      <c r="B12287" s="5" t="s">
        <v>12713</v>
      </c>
      <c r="C12287" s="5" t="s">
        <v>21</v>
      </c>
      <c r="K12287" s="5">
        <v>150.0</v>
      </c>
      <c r="N12287" s="9">
        <v>44576.0</v>
      </c>
    </row>
    <row r="12288">
      <c r="A12288" s="5">
        <v>12287.0</v>
      </c>
      <c r="B12288" s="5" t="s">
        <v>12714</v>
      </c>
      <c r="C12288" s="5" t="s">
        <v>21</v>
      </c>
      <c r="K12288" s="5">
        <v>150.0</v>
      </c>
      <c r="N12288" s="9">
        <v>44277.0</v>
      </c>
    </row>
    <row r="12289">
      <c r="A12289" s="5">
        <v>12288.0</v>
      </c>
      <c r="B12289" s="5" t="s">
        <v>12715</v>
      </c>
      <c r="C12289" s="5" t="s">
        <v>21</v>
      </c>
      <c r="K12289" s="5">
        <v>2600.0</v>
      </c>
      <c r="N12289" s="9">
        <v>44253.0</v>
      </c>
    </row>
    <row r="12290">
      <c r="A12290" s="5">
        <v>12289.0</v>
      </c>
      <c r="B12290" s="5" t="s">
        <v>12716</v>
      </c>
      <c r="C12290" s="5" t="s">
        <v>21</v>
      </c>
      <c r="K12290" s="5">
        <v>1400.0</v>
      </c>
      <c r="N12290" s="9">
        <v>44522.0</v>
      </c>
    </row>
    <row r="12291">
      <c r="A12291" s="5">
        <v>12290.0</v>
      </c>
      <c r="B12291" s="5" t="s">
        <v>12717</v>
      </c>
      <c r="C12291" s="5" t="s">
        <v>21</v>
      </c>
      <c r="K12291" s="5">
        <v>600.0</v>
      </c>
      <c r="N12291" s="9">
        <v>44542.0</v>
      </c>
    </row>
    <row r="12292">
      <c r="A12292" s="5">
        <v>12291.0</v>
      </c>
      <c r="B12292" s="5" t="s">
        <v>12718</v>
      </c>
      <c r="C12292" s="5" t="s">
        <v>21</v>
      </c>
      <c r="K12292" s="5">
        <v>150.0</v>
      </c>
      <c r="N12292" s="9">
        <v>45075.0</v>
      </c>
    </row>
    <row r="12293">
      <c r="A12293" s="5">
        <v>12292.0</v>
      </c>
      <c r="B12293" s="5" t="s">
        <v>12719</v>
      </c>
      <c r="C12293" s="5" t="s">
        <v>21</v>
      </c>
      <c r="K12293" s="5">
        <v>500.0</v>
      </c>
      <c r="N12293" s="9">
        <v>44577.0</v>
      </c>
    </row>
    <row r="12294">
      <c r="A12294" s="5">
        <v>12293.0</v>
      </c>
      <c r="B12294" s="5" t="s">
        <v>12720</v>
      </c>
      <c r="C12294" s="5" t="s">
        <v>21</v>
      </c>
      <c r="K12294" s="5">
        <v>3800.0</v>
      </c>
      <c r="N12294" s="9">
        <v>45636.0</v>
      </c>
    </row>
    <row r="12295">
      <c r="A12295" s="5">
        <v>12294.0</v>
      </c>
      <c r="B12295" s="5" t="s">
        <v>12721</v>
      </c>
      <c r="C12295" s="5" t="s">
        <v>21</v>
      </c>
      <c r="K12295" s="5">
        <v>20.0</v>
      </c>
      <c r="N12295" s="9">
        <v>44515.0</v>
      </c>
    </row>
    <row r="12296">
      <c r="A12296" s="5">
        <v>12295.0</v>
      </c>
      <c r="B12296" s="5" t="s">
        <v>12722</v>
      </c>
      <c r="C12296" s="5" t="s">
        <v>21</v>
      </c>
      <c r="K12296" s="5">
        <v>250.0</v>
      </c>
      <c r="N12296" s="9">
        <v>44794.0</v>
      </c>
    </row>
    <row r="12297">
      <c r="A12297" s="5">
        <v>12296.0</v>
      </c>
      <c r="B12297" s="5" t="s">
        <v>12723</v>
      </c>
      <c r="C12297" s="5" t="s">
        <v>21</v>
      </c>
      <c r="K12297" s="5">
        <v>400.0</v>
      </c>
      <c r="N12297" s="9">
        <v>44677.0</v>
      </c>
    </row>
    <row r="12298">
      <c r="A12298" s="5">
        <v>12297.0</v>
      </c>
      <c r="B12298" s="5" t="s">
        <v>12724</v>
      </c>
      <c r="C12298" s="5" t="s">
        <v>21</v>
      </c>
      <c r="K12298" s="5">
        <v>150.0</v>
      </c>
      <c r="N12298" s="9">
        <v>44554.0</v>
      </c>
    </row>
    <row r="12299">
      <c r="A12299" s="5">
        <v>12298.0</v>
      </c>
      <c r="B12299" s="5" t="s">
        <v>12725</v>
      </c>
      <c r="C12299" s="5" t="s">
        <v>21</v>
      </c>
      <c r="K12299" s="5">
        <v>10.0</v>
      </c>
      <c r="N12299" s="9">
        <v>44488.0</v>
      </c>
    </row>
    <row r="12300">
      <c r="A12300" s="5">
        <v>12299.0</v>
      </c>
      <c r="B12300" s="5" t="s">
        <v>12726</v>
      </c>
      <c r="C12300" s="5" t="s">
        <v>21</v>
      </c>
      <c r="K12300" s="5">
        <v>1200.0</v>
      </c>
      <c r="N12300" s="9">
        <v>44803.0</v>
      </c>
    </row>
    <row r="12301">
      <c r="A12301" s="5">
        <v>12300.0</v>
      </c>
      <c r="B12301" s="5" t="s">
        <v>12727</v>
      </c>
      <c r="C12301" s="5" t="s">
        <v>21</v>
      </c>
      <c r="K12301" s="5">
        <v>250.0</v>
      </c>
      <c r="N12301" s="9">
        <v>44569.0</v>
      </c>
    </row>
    <row r="12302">
      <c r="A12302" s="5">
        <v>12301.0</v>
      </c>
      <c r="B12302" s="5" t="s">
        <v>12728</v>
      </c>
      <c r="C12302" s="5" t="s">
        <v>21</v>
      </c>
      <c r="K12302" s="5">
        <v>350.0</v>
      </c>
      <c r="N12302" s="9">
        <v>45279.0</v>
      </c>
    </row>
    <row r="12303">
      <c r="A12303" s="5">
        <v>12302.0</v>
      </c>
      <c r="B12303" s="5" t="s">
        <v>12729</v>
      </c>
      <c r="C12303" s="5" t="s">
        <v>21</v>
      </c>
      <c r="K12303" s="5">
        <v>1300.0</v>
      </c>
      <c r="N12303" s="9">
        <v>44673.0</v>
      </c>
    </row>
    <row r="12304">
      <c r="A12304" s="5">
        <v>12303.0</v>
      </c>
      <c r="B12304" s="5" t="s">
        <v>12730</v>
      </c>
      <c r="C12304" s="5" t="s">
        <v>21</v>
      </c>
      <c r="K12304" s="5">
        <v>300.0</v>
      </c>
      <c r="N12304" s="9">
        <v>45075.0</v>
      </c>
    </row>
    <row r="12305">
      <c r="A12305" s="5">
        <v>12304.0</v>
      </c>
      <c r="B12305" s="5" t="s">
        <v>429</v>
      </c>
      <c r="C12305" s="5" t="s">
        <v>21</v>
      </c>
      <c r="K12305" s="5">
        <v>90.0</v>
      </c>
      <c r="N12305" s="9">
        <v>44297.0</v>
      </c>
    </row>
    <row r="12306">
      <c r="A12306" s="5">
        <v>12305.0</v>
      </c>
      <c r="B12306" s="5" t="s">
        <v>12731</v>
      </c>
      <c r="C12306" s="5" t="s">
        <v>21</v>
      </c>
      <c r="K12306" s="5">
        <v>40.0</v>
      </c>
      <c r="N12306" s="9">
        <v>44371.0</v>
      </c>
    </row>
    <row r="12307">
      <c r="A12307" s="5">
        <v>12306.0</v>
      </c>
      <c r="B12307" s="5" t="s">
        <v>12732</v>
      </c>
      <c r="C12307" s="5" t="s">
        <v>21</v>
      </c>
      <c r="K12307" s="5">
        <v>60.0</v>
      </c>
      <c r="N12307" s="9">
        <v>44703.0</v>
      </c>
    </row>
    <row r="12308">
      <c r="A12308" s="5">
        <v>12307.0</v>
      </c>
      <c r="B12308" s="5" t="s">
        <v>12733</v>
      </c>
      <c r="C12308" s="5" t="s">
        <v>21</v>
      </c>
      <c r="K12308" s="5">
        <v>400.0</v>
      </c>
      <c r="N12308" s="9">
        <v>45340.0</v>
      </c>
    </row>
    <row r="12309">
      <c r="A12309" s="5">
        <v>12308.0</v>
      </c>
      <c r="B12309" s="5" t="s">
        <v>12734</v>
      </c>
      <c r="C12309" s="5" t="s">
        <v>21</v>
      </c>
      <c r="K12309" s="5">
        <v>300.0</v>
      </c>
      <c r="N12309" s="9">
        <v>44529.0</v>
      </c>
    </row>
    <row r="12310">
      <c r="A12310" s="5">
        <v>12309.0</v>
      </c>
      <c r="B12310" s="5" t="s">
        <v>12735</v>
      </c>
      <c r="C12310" s="5" t="s">
        <v>21</v>
      </c>
      <c r="K12310" s="5">
        <v>450.0</v>
      </c>
      <c r="N12310" s="9">
        <v>44455.0</v>
      </c>
    </row>
    <row r="12311">
      <c r="A12311" s="5">
        <v>12310.0</v>
      </c>
      <c r="B12311" s="5" t="s">
        <v>12736</v>
      </c>
      <c r="C12311" s="5" t="s">
        <v>21</v>
      </c>
      <c r="K12311" s="5">
        <v>150.0</v>
      </c>
      <c r="N12311" s="9">
        <v>44148.0</v>
      </c>
    </row>
    <row r="12312">
      <c r="A12312" s="5">
        <v>12311.0</v>
      </c>
      <c r="B12312" s="5" t="s">
        <v>12737</v>
      </c>
      <c r="C12312" s="5" t="s">
        <v>21</v>
      </c>
      <c r="K12312" s="5">
        <v>350.0</v>
      </c>
      <c r="N12312" s="9">
        <v>44522.0</v>
      </c>
    </row>
    <row r="12313">
      <c r="A12313" s="5">
        <v>12312.0</v>
      </c>
      <c r="B12313" s="5" t="s">
        <v>12738</v>
      </c>
      <c r="C12313" s="5" t="s">
        <v>21</v>
      </c>
      <c r="K12313" s="5">
        <v>150.0</v>
      </c>
      <c r="N12313" s="9">
        <v>44550.0</v>
      </c>
    </row>
    <row r="12314">
      <c r="A12314" s="5">
        <v>12313.0</v>
      </c>
      <c r="B12314" s="5" t="s">
        <v>12739</v>
      </c>
      <c r="C12314" s="5" t="s">
        <v>21</v>
      </c>
      <c r="K12314" s="5">
        <v>600.0</v>
      </c>
      <c r="N12314" s="9">
        <v>44572.0</v>
      </c>
    </row>
    <row r="12315">
      <c r="A12315" s="5">
        <v>12314.0</v>
      </c>
      <c r="B12315" s="5" t="s">
        <v>12740</v>
      </c>
      <c r="C12315" s="5" t="s">
        <v>21</v>
      </c>
      <c r="K12315" s="5">
        <v>90.0</v>
      </c>
      <c r="N12315" s="9">
        <v>44719.0</v>
      </c>
    </row>
    <row r="12316">
      <c r="A12316" s="5">
        <v>12315.0</v>
      </c>
      <c r="B12316" s="5" t="s">
        <v>12741</v>
      </c>
      <c r="C12316" s="5" t="s">
        <v>21</v>
      </c>
      <c r="K12316" s="5">
        <v>1600.0</v>
      </c>
      <c r="N12316" s="9">
        <v>44602.0</v>
      </c>
    </row>
    <row r="12317">
      <c r="A12317" s="5">
        <v>12316.0</v>
      </c>
      <c r="B12317" s="5" t="s">
        <v>392</v>
      </c>
      <c r="C12317" s="5" t="s">
        <v>21</v>
      </c>
      <c r="K12317" s="5">
        <v>1100.0</v>
      </c>
      <c r="N12317" s="9">
        <v>44564.0</v>
      </c>
    </row>
    <row r="12318">
      <c r="A12318" s="5">
        <v>12317.0</v>
      </c>
      <c r="B12318" s="5" t="s">
        <v>12742</v>
      </c>
      <c r="C12318" s="5" t="s">
        <v>21</v>
      </c>
      <c r="K12318" s="5">
        <v>300.0</v>
      </c>
      <c r="N12318" s="9">
        <v>46124.0</v>
      </c>
    </row>
    <row r="12319">
      <c r="A12319" s="5">
        <v>12318.0</v>
      </c>
      <c r="B12319" s="5" t="s">
        <v>12743</v>
      </c>
      <c r="C12319" s="5" t="s">
        <v>21</v>
      </c>
      <c r="K12319" s="5">
        <v>50.0</v>
      </c>
      <c r="N12319" s="9">
        <v>44887.0</v>
      </c>
    </row>
    <row r="12320">
      <c r="A12320" s="5">
        <v>12319.0</v>
      </c>
      <c r="B12320" s="5" t="s">
        <v>12744</v>
      </c>
      <c r="C12320" s="5" t="s">
        <v>21</v>
      </c>
      <c r="K12320" s="5">
        <v>800.0</v>
      </c>
      <c r="N12320" s="9">
        <v>44546.0</v>
      </c>
    </row>
    <row r="12321">
      <c r="A12321" s="5">
        <v>12320.0</v>
      </c>
      <c r="B12321" s="5" t="s">
        <v>12745</v>
      </c>
      <c r="C12321" s="5" t="s">
        <v>21</v>
      </c>
      <c r="K12321" s="5">
        <v>100.0</v>
      </c>
      <c r="N12321" s="9">
        <v>44677.0</v>
      </c>
    </row>
    <row r="12322">
      <c r="A12322" s="5">
        <v>12321.0</v>
      </c>
      <c r="B12322" s="5" t="s">
        <v>12746</v>
      </c>
      <c r="C12322" s="5" t="s">
        <v>21</v>
      </c>
      <c r="K12322" s="5">
        <v>600.0</v>
      </c>
      <c r="N12322" s="9">
        <v>44545.0</v>
      </c>
    </row>
    <row r="12323">
      <c r="A12323" s="5">
        <v>12322.0</v>
      </c>
      <c r="B12323" s="5" t="s">
        <v>12747</v>
      </c>
      <c r="C12323" s="5" t="s">
        <v>21</v>
      </c>
      <c r="K12323" s="5">
        <v>450.0</v>
      </c>
      <c r="N12323" s="9">
        <v>44432.0</v>
      </c>
    </row>
    <row r="12324">
      <c r="A12324" s="5">
        <v>12323.0</v>
      </c>
      <c r="B12324" s="5" t="s">
        <v>12748</v>
      </c>
      <c r="C12324" s="5" t="s">
        <v>21</v>
      </c>
      <c r="K12324" s="5">
        <v>300.0</v>
      </c>
      <c r="N12324" s="9">
        <v>44551.0</v>
      </c>
    </row>
    <row r="12325">
      <c r="A12325" s="5">
        <v>12324.0</v>
      </c>
      <c r="B12325" s="5" t="s">
        <v>12749</v>
      </c>
      <c r="C12325" s="5" t="s">
        <v>21</v>
      </c>
      <c r="K12325" s="5">
        <v>150.0</v>
      </c>
      <c r="N12325" s="9">
        <v>43839.0</v>
      </c>
    </row>
    <row r="12326">
      <c r="A12326" s="5">
        <v>12325.0</v>
      </c>
      <c r="B12326" s="5" t="s">
        <v>12750</v>
      </c>
      <c r="C12326" s="5" t="s">
        <v>21</v>
      </c>
      <c r="K12326" s="5">
        <v>200.0</v>
      </c>
      <c r="N12326" s="9">
        <v>44351.0</v>
      </c>
    </row>
    <row r="12327">
      <c r="A12327" s="5">
        <v>12326.0</v>
      </c>
      <c r="B12327" s="5" t="s">
        <v>12751</v>
      </c>
      <c r="C12327" s="5" t="s">
        <v>21</v>
      </c>
      <c r="K12327" s="5">
        <v>300.0</v>
      </c>
      <c r="N12327" s="9">
        <v>44480.0</v>
      </c>
    </row>
    <row r="12328">
      <c r="A12328" s="5">
        <v>12327.0</v>
      </c>
      <c r="B12328" s="5" t="s">
        <v>12752</v>
      </c>
      <c r="C12328" s="5" t="s">
        <v>21</v>
      </c>
      <c r="K12328" s="5">
        <v>100.0</v>
      </c>
      <c r="N12328" s="9">
        <v>44750.0</v>
      </c>
    </row>
    <row r="12329">
      <c r="A12329" s="5">
        <v>12328.0</v>
      </c>
      <c r="B12329" s="5" t="s">
        <v>12753</v>
      </c>
      <c r="C12329" s="5" t="s">
        <v>21</v>
      </c>
      <c r="K12329" s="5">
        <v>10000.0</v>
      </c>
      <c r="N12329" s="9">
        <v>42958.0</v>
      </c>
    </row>
    <row r="12330">
      <c r="A12330" s="5">
        <v>12329.0</v>
      </c>
      <c r="B12330" s="5" t="s">
        <v>12754</v>
      </c>
      <c r="C12330" s="5" t="s">
        <v>21</v>
      </c>
      <c r="K12330" s="5">
        <v>3800.0</v>
      </c>
      <c r="N12330" s="9">
        <v>44033.0</v>
      </c>
    </row>
    <row r="12331">
      <c r="A12331" s="5">
        <v>12330.0</v>
      </c>
      <c r="B12331" s="5" t="s">
        <v>12755</v>
      </c>
      <c r="C12331" s="5" t="s">
        <v>21</v>
      </c>
      <c r="K12331" s="5">
        <v>250.0</v>
      </c>
      <c r="N12331" s="9">
        <v>43898.0</v>
      </c>
    </row>
    <row r="12332">
      <c r="A12332" s="5">
        <v>12331.0</v>
      </c>
      <c r="B12332" s="5" t="s">
        <v>12756</v>
      </c>
      <c r="C12332" s="5" t="s">
        <v>21</v>
      </c>
      <c r="K12332" s="5">
        <v>200.0</v>
      </c>
      <c r="N12332" s="9">
        <v>45417.0</v>
      </c>
    </row>
    <row r="12333">
      <c r="A12333" s="5">
        <v>12332.0</v>
      </c>
      <c r="B12333" s="5" t="s">
        <v>12757</v>
      </c>
      <c r="C12333" s="5" t="s">
        <v>21</v>
      </c>
      <c r="K12333" s="5">
        <v>200.0</v>
      </c>
      <c r="N12333" s="9">
        <v>44573.0</v>
      </c>
    </row>
    <row r="12334">
      <c r="A12334" s="5">
        <v>12333.0</v>
      </c>
      <c r="B12334" s="5" t="s">
        <v>12758</v>
      </c>
      <c r="C12334" s="5" t="s">
        <v>21</v>
      </c>
      <c r="K12334" s="5">
        <v>500.0</v>
      </c>
      <c r="N12334" s="9">
        <v>44527.0</v>
      </c>
    </row>
    <row r="12335">
      <c r="A12335" s="5">
        <v>12334.0</v>
      </c>
      <c r="B12335" s="5" t="s">
        <v>12759</v>
      </c>
      <c r="C12335" s="5" t="s">
        <v>21</v>
      </c>
      <c r="K12335" s="5">
        <v>200.0</v>
      </c>
      <c r="N12335" s="9">
        <v>45328.0</v>
      </c>
    </row>
    <row r="12336">
      <c r="A12336" s="5">
        <v>12335.0</v>
      </c>
      <c r="B12336" s="5" t="s">
        <v>12760</v>
      </c>
      <c r="C12336" s="5" t="s">
        <v>21</v>
      </c>
      <c r="K12336" s="5">
        <v>3500.0</v>
      </c>
      <c r="N12336" s="9">
        <v>44119.0</v>
      </c>
    </row>
    <row r="12337">
      <c r="A12337" s="5">
        <v>12336.0</v>
      </c>
      <c r="B12337" s="5" t="s">
        <v>12761</v>
      </c>
      <c r="C12337" s="5" t="s">
        <v>21</v>
      </c>
      <c r="K12337" s="5">
        <v>70.0</v>
      </c>
      <c r="N12337" s="9">
        <v>44333.0</v>
      </c>
    </row>
    <row r="12338">
      <c r="A12338" s="5">
        <v>12337.0</v>
      </c>
      <c r="B12338" s="5" t="s">
        <v>12762</v>
      </c>
      <c r="C12338" s="5" t="s">
        <v>21</v>
      </c>
      <c r="K12338" s="5">
        <v>500.0</v>
      </c>
      <c r="N12338" s="9">
        <v>44416.0</v>
      </c>
    </row>
    <row r="12339">
      <c r="A12339" s="5">
        <v>12338.0</v>
      </c>
      <c r="B12339" s="5" t="s">
        <v>12763</v>
      </c>
      <c r="C12339" s="5" t="s">
        <v>21</v>
      </c>
      <c r="K12339" s="5">
        <v>350.0</v>
      </c>
      <c r="N12339" s="9">
        <v>44296.0</v>
      </c>
    </row>
    <row r="12340">
      <c r="A12340" s="5">
        <v>12339.0</v>
      </c>
      <c r="B12340" s="5" t="s">
        <v>12764</v>
      </c>
      <c r="C12340" s="5" t="s">
        <v>21</v>
      </c>
      <c r="K12340" s="5">
        <v>700.0</v>
      </c>
      <c r="N12340" s="9">
        <v>44549.0</v>
      </c>
    </row>
    <row r="12341">
      <c r="A12341" s="5">
        <v>12340.0</v>
      </c>
      <c r="B12341" s="5" t="s">
        <v>12765</v>
      </c>
      <c r="C12341" s="5" t="s">
        <v>21</v>
      </c>
      <c r="K12341" s="5">
        <v>500.0</v>
      </c>
      <c r="N12341" s="9">
        <v>44542.0</v>
      </c>
    </row>
    <row r="12342">
      <c r="A12342" s="5">
        <v>12341.0</v>
      </c>
      <c r="B12342" s="5" t="s">
        <v>12766</v>
      </c>
      <c r="C12342" s="5" t="s">
        <v>21</v>
      </c>
      <c r="K12342" s="5">
        <v>40.0</v>
      </c>
      <c r="N12342" s="9">
        <v>45469.0</v>
      </c>
    </row>
    <row r="12343">
      <c r="A12343" s="5">
        <v>12342.0</v>
      </c>
      <c r="B12343" s="5" t="s">
        <v>12767</v>
      </c>
      <c r="C12343" s="5" t="s">
        <v>21</v>
      </c>
      <c r="K12343" s="5">
        <v>200.0</v>
      </c>
      <c r="N12343" s="9">
        <v>44672.0</v>
      </c>
    </row>
    <row r="12344">
      <c r="A12344" s="5">
        <v>12343.0</v>
      </c>
      <c r="B12344" s="5" t="s">
        <v>12768</v>
      </c>
      <c r="C12344" s="5" t="s">
        <v>21</v>
      </c>
      <c r="K12344" s="5">
        <v>450.0</v>
      </c>
      <c r="N12344" s="9">
        <v>44625.0</v>
      </c>
    </row>
    <row r="12345">
      <c r="A12345" s="5">
        <v>12344.0</v>
      </c>
      <c r="B12345" s="5" t="s">
        <v>12769</v>
      </c>
      <c r="C12345" s="5" t="s">
        <v>21</v>
      </c>
      <c r="K12345" s="5">
        <v>60.0</v>
      </c>
      <c r="N12345" s="9">
        <v>45549.0</v>
      </c>
    </row>
    <row r="12346">
      <c r="A12346" s="5">
        <v>12345.0</v>
      </c>
      <c r="B12346" s="5" t="s">
        <v>12770</v>
      </c>
      <c r="C12346" s="5" t="s">
        <v>21</v>
      </c>
      <c r="K12346" s="5">
        <v>400.0</v>
      </c>
      <c r="N12346" s="9">
        <v>44644.0</v>
      </c>
    </row>
    <row r="12347">
      <c r="A12347" s="5">
        <v>12346.0</v>
      </c>
      <c r="B12347" s="5" t="s">
        <v>12771</v>
      </c>
      <c r="C12347" s="5" t="s">
        <v>21</v>
      </c>
      <c r="K12347" s="5">
        <v>70.0</v>
      </c>
      <c r="N12347" s="9">
        <v>44654.0</v>
      </c>
    </row>
    <row r="12348">
      <c r="A12348" s="5">
        <v>12347.0</v>
      </c>
      <c r="B12348" s="5" t="s">
        <v>12772</v>
      </c>
      <c r="C12348" s="5" t="s">
        <v>21</v>
      </c>
      <c r="K12348" s="5">
        <v>70.0</v>
      </c>
      <c r="N12348" s="9">
        <v>44472.0</v>
      </c>
    </row>
    <row r="12349">
      <c r="A12349" s="5">
        <v>12348.0</v>
      </c>
      <c r="B12349" s="5" t="s">
        <v>12773</v>
      </c>
      <c r="C12349" s="5" t="s">
        <v>21</v>
      </c>
      <c r="K12349" s="5">
        <v>700.0</v>
      </c>
      <c r="N12349" s="9">
        <v>43884.0</v>
      </c>
    </row>
    <row r="12350">
      <c r="A12350" s="5">
        <v>12349.0</v>
      </c>
      <c r="B12350" s="5" t="s">
        <v>12774</v>
      </c>
      <c r="C12350" s="5" t="s">
        <v>21</v>
      </c>
      <c r="K12350" s="5">
        <v>30.0</v>
      </c>
      <c r="N12350" s="9">
        <v>44133.0</v>
      </c>
    </row>
    <row r="12351">
      <c r="A12351" s="5">
        <v>12350.0</v>
      </c>
      <c r="B12351" s="5" t="s">
        <v>12775</v>
      </c>
      <c r="C12351" s="5" t="s">
        <v>21</v>
      </c>
      <c r="K12351" s="5">
        <v>900.0</v>
      </c>
      <c r="N12351" s="9">
        <v>44725.0</v>
      </c>
    </row>
    <row r="12352">
      <c r="A12352" s="5">
        <v>12351.0</v>
      </c>
      <c r="B12352" s="5" t="s">
        <v>12776</v>
      </c>
      <c r="C12352" s="5" t="s">
        <v>21</v>
      </c>
      <c r="K12352" s="5">
        <v>2800.0</v>
      </c>
      <c r="N12352" s="9">
        <v>44407.0</v>
      </c>
    </row>
    <row r="12353">
      <c r="A12353" s="5">
        <v>12352.0</v>
      </c>
      <c r="B12353" s="5" t="s">
        <v>12777</v>
      </c>
      <c r="C12353" s="5" t="s">
        <v>21</v>
      </c>
      <c r="K12353" s="5">
        <v>700.0</v>
      </c>
      <c r="N12353" s="9">
        <v>44735.0</v>
      </c>
    </row>
    <row r="12354">
      <c r="A12354" s="5">
        <v>12353.0</v>
      </c>
      <c r="B12354" s="5" t="s">
        <v>12778</v>
      </c>
      <c r="C12354" s="5" t="s">
        <v>21</v>
      </c>
      <c r="K12354" s="5">
        <v>150.0</v>
      </c>
      <c r="N12354" s="9">
        <v>44122.0</v>
      </c>
    </row>
    <row r="12355">
      <c r="A12355" s="5">
        <v>12354.0</v>
      </c>
      <c r="B12355" s="5" t="s">
        <v>12779</v>
      </c>
      <c r="C12355" s="5" t="s">
        <v>21</v>
      </c>
      <c r="K12355" s="5">
        <v>40.0</v>
      </c>
      <c r="N12355" s="9">
        <v>44353.0</v>
      </c>
    </row>
    <row r="12356">
      <c r="A12356" s="5">
        <v>12355.0</v>
      </c>
      <c r="B12356" s="5" t="s">
        <v>12780</v>
      </c>
      <c r="C12356" s="5" t="s">
        <v>21</v>
      </c>
      <c r="K12356" s="5">
        <v>100.0</v>
      </c>
      <c r="N12356" s="9">
        <v>44736.0</v>
      </c>
    </row>
    <row r="12357">
      <c r="A12357" s="5">
        <v>12356.0</v>
      </c>
      <c r="B12357" s="5" t="s">
        <v>12781</v>
      </c>
      <c r="C12357" s="5" t="s">
        <v>21</v>
      </c>
      <c r="K12357" s="5">
        <v>500.0</v>
      </c>
      <c r="N12357" s="9">
        <v>44624.0</v>
      </c>
    </row>
    <row r="12358">
      <c r="A12358" s="5">
        <v>12357.0</v>
      </c>
      <c r="B12358" s="5" t="s">
        <v>12782</v>
      </c>
      <c r="C12358" s="5" t="s">
        <v>21</v>
      </c>
      <c r="K12358" s="5">
        <v>150.0</v>
      </c>
      <c r="N12358" s="9">
        <v>45107.0</v>
      </c>
    </row>
    <row r="12359">
      <c r="A12359" s="5">
        <v>12358.0</v>
      </c>
      <c r="B12359" s="5" t="s">
        <v>12783</v>
      </c>
      <c r="C12359" s="5" t="s">
        <v>21</v>
      </c>
      <c r="K12359" s="5">
        <v>150.0</v>
      </c>
      <c r="N12359" s="9">
        <v>45475.0</v>
      </c>
    </row>
    <row r="12360">
      <c r="A12360" s="5">
        <v>12359.0</v>
      </c>
      <c r="B12360" s="5" t="s">
        <v>12784</v>
      </c>
      <c r="C12360" s="5" t="s">
        <v>21</v>
      </c>
      <c r="K12360" s="5">
        <v>26000.0</v>
      </c>
      <c r="N12360" s="9">
        <v>43889.0</v>
      </c>
    </row>
    <row r="12361">
      <c r="A12361" s="5">
        <v>12360.0</v>
      </c>
      <c r="B12361" s="5" t="s">
        <v>12785</v>
      </c>
      <c r="C12361" s="5" t="s">
        <v>21</v>
      </c>
      <c r="K12361" s="5">
        <v>60.0</v>
      </c>
      <c r="N12361" s="9">
        <v>43916.0</v>
      </c>
    </row>
    <row r="12362">
      <c r="A12362" s="5">
        <v>12361.0</v>
      </c>
      <c r="B12362" s="5" t="s">
        <v>12786</v>
      </c>
      <c r="C12362" s="5" t="s">
        <v>21</v>
      </c>
      <c r="K12362" s="5">
        <v>60.0</v>
      </c>
      <c r="N12362" s="9">
        <v>44927.0</v>
      </c>
    </row>
    <row r="12363">
      <c r="A12363" s="5">
        <v>12362.0</v>
      </c>
      <c r="B12363" s="5" t="s">
        <v>12787</v>
      </c>
      <c r="C12363" s="5" t="s">
        <v>21</v>
      </c>
      <c r="K12363" s="5">
        <v>3200.0</v>
      </c>
      <c r="N12363" s="9">
        <v>44542.0</v>
      </c>
    </row>
    <row r="12364">
      <c r="A12364" s="5">
        <v>12363.0</v>
      </c>
      <c r="B12364" s="5" t="s">
        <v>12788</v>
      </c>
      <c r="C12364" s="5" t="s">
        <v>21</v>
      </c>
      <c r="K12364" s="5">
        <v>400.0</v>
      </c>
      <c r="N12364" s="9">
        <v>44549.0</v>
      </c>
    </row>
    <row r="12365">
      <c r="A12365" s="5">
        <v>12364.0</v>
      </c>
      <c r="B12365" s="5" t="s">
        <v>12789</v>
      </c>
      <c r="C12365" s="5" t="s">
        <v>21</v>
      </c>
      <c r="K12365" s="5">
        <v>100.0</v>
      </c>
      <c r="N12365" s="9">
        <v>44393.0</v>
      </c>
    </row>
    <row r="12366">
      <c r="A12366" s="5">
        <v>12365.0</v>
      </c>
      <c r="B12366" s="5" t="s">
        <v>12790</v>
      </c>
      <c r="C12366" s="5" t="s">
        <v>21</v>
      </c>
      <c r="K12366" s="5">
        <v>800.0</v>
      </c>
      <c r="N12366" s="9">
        <v>43926.0</v>
      </c>
    </row>
    <row r="12367">
      <c r="A12367" s="5">
        <v>12366.0</v>
      </c>
      <c r="B12367" s="5" t="s">
        <v>12791</v>
      </c>
      <c r="C12367" s="5" t="s">
        <v>21</v>
      </c>
      <c r="K12367" s="5">
        <v>40.0</v>
      </c>
      <c r="N12367" s="9">
        <v>44623.0</v>
      </c>
    </row>
    <row r="12368">
      <c r="A12368" s="5">
        <v>12367.0</v>
      </c>
      <c r="B12368" s="5" t="s">
        <v>12792</v>
      </c>
      <c r="C12368" s="5" t="s">
        <v>21</v>
      </c>
      <c r="K12368" s="5">
        <v>400.0</v>
      </c>
      <c r="N12368" s="9">
        <v>44769.0</v>
      </c>
    </row>
    <row r="12369">
      <c r="A12369" s="5">
        <v>12368.0</v>
      </c>
      <c r="B12369" s="5" t="s">
        <v>12793</v>
      </c>
      <c r="C12369" s="5" t="s">
        <v>21</v>
      </c>
      <c r="K12369" s="5">
        <v>600.0</v>
      </c>
      <c r="N12369" s="9">
        <v>44805.0</v>
      </c>
    </row>
    <row r="12370">
      <c r="A12370" s="5">
        <v>12369.0</v>
      </c>
      <c r="B12370" s="5" t="s">
        <v>12794</v>
      </c>
      <c r="C12370" s="5" t="s">
        <v>21</v>
      </c>
      <c r="K12370" s="5">
        <v>60.0</v>
      </c>
      <c r="N12370" s="9">
        <v>44602.0</v>
      </c>
    </row>
    <row r="12371">
      <c r="A12371" s="5">
        <v>12370.0</v>
      </c>
      <c r="B12371" s="5" t="s">
        <v>12795</v>
      </c>
      <c r="C12371" s="5" t="s">
        <v>21</v>
      </c>
      <c r="N12371" s="9">
        <v>44518.0</v>
      </c>
    </row>
    <row r="12372">
      <c r="A12372" s="5">
        <v>12371.0</v>
      </c>
      <c r="B12372" s="5" t="s">
        <v>12796</v>
      </c>
      <c r="C12372" s="5" t="s">
        <v>21</v>
      </c>
      <c r="K12372" s="5">
        <v>450.0</v>
      </c>
      <c r="N12372" s="9">
        <v>44793.0</v>
      </c>
    </row>
    <row r="12373">
      <c r="A12373" s="5">
        <v>12372.0</v>
      </c>
      <c r="B12373" s="5" t="s">
        <v>12797</v>
      </c>
      <c r="C12373" s="5" t="s">
        <v>21</v>
      </c>
      <c r="K12373" s="5">
        <v>1700.0</v>
      </c>
      <c r="N12373" s="9">
        <v>44532.0</v>
      </c>
    </row>
    <row r="12374">
      <c r="A12374" s="5">
        <v>12373.0</v>
      </c>
      <c r="B12374" s="5" t="s">
        <v>12798</v>
      </c>
      <c r="C12374" s="5" t="s">
        <v>21</v>
      </c>
      <c r="K12374" s="5">
        <v>4800.0</v>
      </c>
      <c r="N12374" s="9">
        <v>44218.0</v>
      </c>
    </row>
    <row r="12375">
      <c r="A12375" s="5">
        <v>12374.0</v>
      </c>
      <c r="B12375" s="5" t="s">
        <v>12799</v>
      </c>
      <c r="C12375" s="5" t="s">
        <v>21</v>
      </c>
      <c r="K12375" s="5">
        <v>250.0</v>
      </c>
      <c r="N12375" s="9">
        <v>45782.0</v>
      </c>
    </row>
    <row r="12376">
      <c r="A12376" s="5">
        <v>12375.0</v>
      </c>
      <c r="B12376" s="5" t="s">
        <v>432</v>
      </c>
      <c r="C12376" s="5" t="s">
        <v>21</v>
      </c>
      <c r="K12376" s="5">
        <v>350.0</v>
      </c>
      <c r="N12376" s="9">
        <v>44755.0</v>
      </c>
    </row>
    <row r="12377">
      <c r="A12377" s="5">
        <v>12376.0</v>
      </c>
      <c r="B12377" s="5" t="s">
        <v>12800</v>
      </c>
      <c r="C12377" s="5" t="s">
        <v>21</v>
      </c>
      <c r="K12377" s="5">
        <v>150.0</v>
      </c>
      <c r="N12377" s="9">
        <v>45115.0</v>
      </c>
    </row>
    <row r="12378">
      <c r="A12378" s="5">
        <v>12377.0</v>
      </c>
      <c r="B12378" s="5" t="s">
        <v>12801</v>
      </c>
      <c r="C12378" s="5" t="s">
        <v>21</v>
      </c>
      <c r="K12378" s="5">
        <v>100.0</v>
      </c>
      <c r="N12378" s="9">
        <v>45475.0</v>
      </c>
    </row>
    <row r="12379">
      <c r="A12379" s="5">
        <v>12378.0</v>
      </c>
      <c r="B12379" s="5" t="s">
        <v>435</v>
      </c>
      <c r="C12379" s="5" t="s">
        <v>21</v>
      </c>
      <c r="K12379" s="5">
        <v>3000.0</v>
      </c>
      <c r="N12379" s="9">
        <v>45439.0</v>
      </c>
    </row>
    <row r="12380">
      <c r="A12380" s="5">
        <v>12379.0</v>
      </c>
      <c r="B12380" s="5" t="s">
        <v>12802</v>
      </c>
      <c r="C12380" s="5" t="s">
        <v>21</v>
      </c>
      <c r="K12380" s="5">
        <v>700.0</v>
      </c>
      <c r="N12380" s="9">
        <v>44811.0</v>
      </c>
    </row>
    <row r="12381">
      <c r="A12381" s="5">
        <v>12380.0</v>
      </c>
      <c r="B12381" s="5" t="s">
        <v>12803</v>
      </c>
      <c r="C12381" s="5" t="s">
        <v>21</v>
      </c>
      <c r="K12381" s="5">
        <v>400.0</v>
      </c>
      <c r="N12381" s="9">
        <v>45215.0</v>
      </c>
    </row>
    <row r="12382">
      <c r="A12382" s="5">
        <v>12381.0</v>
      </c>
      <c r="B12382" s="5" t="s">
        <v>12804</v>
      </c>
      <c r="C12382" s="5" t="s">
        <v>21</v>
      </c>
      <c r="K12382" s="5">
        <v>2600.0</v>
      </c>
      <c r="N12382" s="9">
        <v>44357.0</v>
      </c>
    </row>
    <row r="12383">
      <c r="A12383" s="5">
        <v>12382.0</v>
      </c>
      <c r="B12383" s="5" t="s">
        <v>12805</v>
      </c>
      <c r="C12383" s="5" t="s">
        <v>21</v>
      </c>
      <c r="K12383" s="5">
        <v>1300.0</v>
      </c>
      <c r="N12383" s="9">
        <v>44577.0</v>
      </c>
    </row>
    <row r="12384">
      <c r="A12384" s="5">
        <v>12383.0</v>
      </c>
      <c r="B12384" s="5" t="s">
        <v>12806</v>
      </c>
      <c r="C12384" s="5" t="s">
        <v>21</v>
      </c>
      <c r="K12384" s="5">
        <v>100.0</v>
      </c>
      <c r="N12384" s="9">
        <v>45235.0</v>
      </c>
    </row>
    <row r="12385">
      <c r="A12385" s="5">
        <v>12384.0</v>
      </c>
      <c r="B12385" s="5" t="s">
        <v>12807</v>
      </c>
      <c r="C12385" s="5" t="s">
        <v>21</v>
      </c>
      <c r="K12385" s="5">
        <v>1000.0</v>
      </c>
      <c r="N12385" s="9">
        <v>44516.0</v>
      </c>
    </row>
    <row r="12386">
      <c r="A12386" s="5">
        <v>12385.0</v>
      </c>
      <c r="B12386" s="5" t="s">
        <v>12808</v>
      </c>
      <c r="C12386" s="5" t="s">
        <v>21</v>
      </c>
      <c r="K12386" s="5">
        <v>1600.0</v>
      </c>
      <c r="N12386" s="9">
        <v>44116.0</v>
      </c>
    </row>
    <row r="12387">
      <c r="A12387" s="5">
        <v>12386.0</v>
      </c>
      <c r="B12387" s="5" t="s">
        <v>12809</v>
      </c>
      <c r="C12387" s="5" t="s">
        <v>21</v>
      </c>
      <c r="K12387" s="5">
        <v>10.0</v>
      </c>
      <c r="N12387" s="9">
        <v>44966.0</v>
      </c>
    </row>
    <row r="12388">
      <c r="A12388" s="5">
        <v>12387.0</v>
      </c>
      <c r="B12388" s="5" t="s">
        <v>12810</v>
      </c>
      <c r="C12388" s="5" t="s">
        <v>21</v>
      </c>
      <c r="K12388" s="5">
        <v>1300.0</v>
      </c>
      <c r="N12388" s="9">
        <v>44662.0</v>
      </c>
    </row>
    <row r="12389">
      <c r="A12389" s="5">
        <v>12388.0</v>
      </c>
      <c r="B12389" s="5" t="s">
        <v>12811</v>
      </c>
      <c r="C12389" s="5" t="s">
        <v>21</v>
      </c>
      <c r="K12389" s="5">
        <v>400.0</v>
      </c>
      <c r="N12389" s="9">
        <v>45562.0</v>
      </c>
    </row>
    <row r="12390">
      <c r="A12390" s="5">
        <v>12389.0</v>
      </c>
      <c r="B12390" s="5" t="s">
        <v>12812</v>
      </c>
      <c r="C12390" s="5" t="s">
        <v>21</v>
      </c>
      <c r="K12390" s="5">
        <v>300.0</v>
      </c>
      <c r="N12390" s="9">
        <v>44717.0</v>
      </c>
    </row>
    <row r="12391">
      <c r="A12391" s="5">
        <v>12390.0</v>
      </c>
      <c r="B12391" s="5" t="s">
        <v>12813</v>
      </c>
      <c r="C12391" s="5" t="s">
        <v>21</v>
      </c>
      <c r="K12391" s="5">
        <v>700.0</v>
      </c>
      <c r="N12391" s="9">
        <v>45357.0</v>
      </c>
    </row>
    <row r="12392">
      <c r="A12392" s="5">
        <v>12391.0</v>
      </c>
      <c r="B12392" s="5" t="s">
        <v>12814</v>
      </c>
      <c r="C12392" s="5" t="s">
        <v>21</v>
      </c>
      <c r="K12392" s="5">
        <v>200.0</v>
      </c>
      <c r="N12392" s="9">
        <v>43926.0</v>
      </c>
    </row>
    <row r="12393">
      <c r="A12393" s="5">
        <v>12392.0</v>
      </c>
      <c r="B12393" s="5" t="s">
        <v>12815</v>
      </c>
      <c r="C12393" s="5" t="s">
        <v>21</v>
      </c>
      <c r="K12393" s="5">
        <v>90.0</v>
      </c>
      <c r="N12393" s="9">
        <v>44298.0</v>
      </c>
    </row>
    <row r="12394">
      <c r="A12394" s="5">
        <v>12393.0</v>
      </c>
      <c r="B12394" s="5" t="s">
        <v>12816</v>
      </c>
      <c r="C12394" s="5" t="s">
        <v>21</v>
      </c>
      <c r="K12394" s="5">
        <v>200.0</v>
      </c>
      <c r="N12394" s="9">
        <v>44230.0</v>
      </c>
    </row>
    <row r="12395">
      <c r="A12395" s="5">
        <v>12394.0</v>
      </c>
      <c r="B12395" s="5" t="s">
        <v>12817</v>
      </c>
      <c r="C12395" s="5" t="s">
        <v>21</v>
      </c>
      <c r="K12395" s="5">
        <v>400.0</v>
      </c>
      <c r="N12395" s="9">
        <v>44111.0</v>
      </c>
    </row>
    <row r="12396">
      <c r="A12396" s="5">
        <v>12395.0</v>
      </c>
      <c r="B12396" s="5" t="s">
        <v>12818</v>
      </c>
      <c r="C12396" s="5" t="s">
        <v>21</v>
      </c>
      <c r="K12396" s="5">
        <v>800.0</v>
      </c>
      <c r="N12396" s="9">
        <v>44461.0</v>
      </c>
    </row>
    <row r="12397">
      <c r="A12397" s="5">
        <v>12396.0</v>
      </c>
      <c r="B12397" s="5" t="s">
        <v>12819</v>
      </c>
      <c r="C12397" s="5" t="s">
        <v>21</v>
      </c>
      <c r="K12397" s="5">
        <v>200.0</v>
      </c>
      <c r="N12397" s="9">
        <v>44311.0</v>
      </c>
    </row>
    <row r="12398">
      <c r="A12398" s="5">
        <v>12397.0</v>
      </c>
      <c r="B12398" s="5" t="s">
        <v>12820</v>
      </c>
      <c r="C12398" s="5" t="s">
        <v>21</v>
      </c>
      <c r="K12398" s="5">
        <v>350.0</v>
      </c>
      <c r="N12398" s="9">
        <v>44212.0</v>
      </c>
    </row>
    <row r="12399">
      <c r="A12399" s="5">
        <v>12398.0</v>
      </c>
      <c r="B12399" s="5" t="s">
        <v>12821</v>
      </c>
      <c r="C12399" s="5" t="s">
        <v>21</v>
      </c>
      <c r="K12399" s="5">
        <v>1500.0</v>
      </c>
      <c r="N12399" s="9">
        <v>45180.0</v>
      </c>
    </row>
    <row r="12400">
      <c r="A12400" s="5">
        <v>12399.0</v>
      </c>
      <c r="B12400" s="5" t="s">
        <v>12822</v>
      </c>
      <c r="C12400" s="5" t="s">
        <v>21</v>
      </c>
      <c r="K12400" s="5">
        <v>1900.0</v>
      </c>
      <c r="N12400" s="9">
        <v>44581.0</v>
      </c>
    </row>
    <row r="12401">
      <c r="A12401" s="5">
        <v>12400.0</v>
      </c>
      <c r="B12401" s="5" t="s">
        <v>12823</v>
      </c>
      <c r="C12401" s="5" t="s">
        <v>21</v>
      </c>
      <c r="K12401" s="5">
        <v>2300.0</v>
      </c>
      <c r="N12401" s="9">
        <v>44520.0</v>
      </c>
    </row>
    <row r="12402">
      <c r="A12402" s="5">
        <v>12401.0</v>
      </c>
      <c r="B12402" s="5" t="s">
        <v>12824</v>
      </c>
      <c r="C12402" s="5" t="s">
        <v>21</v>
      </c>
      <c r="K12402" s="5">
        <v>200.0</v>
      </c>
      <c r="N12402" s="9">
        <v>43960.0</v>
      </c>
    </row>
    <row r="12403">
      <c r="A12403" s="5">
        <v>12402.0</v>
      </c>
      <c r="B12403" s="5" t="s">
        <v>12825</v>
      </c>
      <c r="C12403" s="5" t="s">
        <v>21</v>
      </c>
      <c r="K12403" s="5">
        <v>450.0</v>
      </c>
      <c r="N12403" s="9">
        <v>44491.0</v>
      </c>
    </row>
    <row r="12404">
      <c r="A12404" s="5">
        <v>12403.0</v>
      </c>
      <c r="B12404" s="5" t="s">
        <v>12826</v>
      </c>
      <c r="C12404" s="5" t="s">
        <v>21</v>
      </c>
      <c r="K12404" s="5">
        <v>600.0</v>
      </c>
      <c r="N12404" s="9">
        <v>45413.0</v>
      </c>
    </row>
    <row r="12405">
      <c r="A12405" s="5">
        <v>12404.0</v>
      </c>
      <c r="B12405" s="5" t="s">
        <v>12827</v>
      </c>
      <c r="C12405" s="5" t="s">
        <v>21</v>
      </c>
      <c r="K12405" s="5">
        <v>150.0</v>
      </c>
      <c r="N12405" s="9">
        <v>45494.0</v>
      </c>
    </row>
    <row r="12406">
      <c r="A12406" s="5">
        <v>12405.0</v>
      </c>
      <c r="B12406" s="5" t="s">
        <v>12828</v>
      </c>
      <c r="C12406" s="5" t="s">
        <v>21</v>
      </c>
      <c r="K12406" s="5">
        <v>500.0</v>
      </c>
      <c r="N12406" s="9">
        <v>44559.0</v>
      </c>
    </row>
    <row r="12407">
      <c r="A12407" s="5">
        <v>12406.0</v>
      </c>
      <c r="B12407" s="5" t="s">
        <v>12829</v>
      </c>
      <c r="C12407" s="5" t="s">
        <v>21</v>
      </c>
      <c r="K12407" s="5">
        <v>150.0</v>
      </c>
      <c r="N12407" s="9">
        <v>44591.0</v>
      </c>
    </row>
    <row r="12408">
      <c r="A12408" s="5">
        <v>12407.0</v>
      </c>
      <c r="B12408" s="5" t="s">
        <v>12830</v>
      </c>
      <c r="C12408" s="5" t="s">
        <v>21</v>
      </c>
      <c r="K12408" s="5">
        <v>800.0</v>
      </c>
      <c r="N12408" s="9">
        <v>44606.0</v>
      </c>
    </row>
    <row r="12409">
      <c r="A12409" s="5">
        <v>12408.0</v>
      </c>
      <c r="B12409" s="5" t="s">
        <v>12831</v>
      </c>
      <c r="C12409" s="5" t="s">
        <v>21</v>
      </c>
      <c r="K12409" s="5">
        <v>200.0</v>
      </c>
      <c r="N12409" s="9">
        <v>44748.0</v>
      </c>
    </row>
    <row r="12410">
      <c r="A12410" s="5">
        <v>12409.0</v>
      </c>
      <c r="B12410" s="5" t="s">
        <v>12832</v>
      </c>
      <c r="C12410" s="5" t="s">
        <v>21</v>
      </c>
      <c r="K12410" s="5">
        <v>1600.0</v>
      </c>
      <c r="N12410" s="9">
        <v>44832.0</v>
      </c>
    </row>
    <row r="12411">
      <c r="A12411" s="5">
        <v>12410.0</v>
      </c>
      <c r="B12411" s="5" t="s">
        <v>12833</v>
      </c>
      <c r="C12411" s="5" t="s">
        <v>21</v>
      </c>
      <c r="K12411" s="5">
        <v>600.0</v>
      </c>
      <c r="N12411" s="9">
        <v>44606.0</v>
      </c>
    </row>
    <row r="12412">
      <c r="A12412" s="5">
        <v>12411.0</v>
      </c>
      <c r="B12412" s="5" t="s">
        <v>12834</v>
      </c>
      <c r="C12412" s="5" t="s">
        <v>21</v>
      </c>
      <c r="K12412" s="5">
        <v>50.0</v>
      </c>
      <c r="N12412" s="9">
        <v>44619.0</v>
      </c>
    </row>
    <row r="12413">
      <c r="A12413" s="5">
        <v>12412.0</v>
      </c>
      <c r="B12413" s="5" t="s">
        <v>12835</v>
      </c>
      <c r="C12413" s="5" t="s">
        <v>21</v>
      </c>
      <c r="K12413" s="5">
        <v>250.0</v>
      </c>
      <c r="N12413" s="9">
        <v>45321.0</v>
      </c>
    </row>
    <row r="12414">
      <c r="A12414" s="5">
        <v>12413.0</v>
      </c>
      <c r="B12414" s="5" t="s">
        <v>12836</v>
      </c>
      <c r="C12414" s="5" t="s">
        <v>21</v>
      </c>
      <c r="K12414" s="5">
        <v>450.0</v>
      </c>
      <c r="N12414" s="9">
        <v>44302.0</v>
      </c>
    </row>
    <row r="12415">
      <c r="A12415" s="5">
        <v>12414.0</v>
      </c>
      <c r="B12415" s="5" t="s">
        <v>12837</v>
      </c>
      <c r="C12415" s="5" t="s">
        <v>21</v>
      </c>
      <c r="K12415" s="5">
        <v>900.0</v>
      </c>
      <c r="N12415" s="9">
        <v>44564.0</v>
      </c>
    </row>
    <row r="12416">
      <c r="A12416" s="5">
        <v>12415.0</v>
      </c>
      <c r="B12416" s="5" t="s">
        <v>12838</v>
      </c>
      <c r="C12416" s="5" t="s">
        <v>21</v>
      </c>
      <c r="K12416" s="5">
        <v>1100.0</v>
      </c>
      <c r="N12416" s="9">
        <v>43921.0</v>
      </c>
    </row>
    <row r="12417">
      <c r="A12417" s="5">
        <v>12416.0</v>
      </c>
      <c r="B12417" s="5" t="s">
        <v>12839</v>
      </c>
      <c r="C12417" s="5" t="s">
        <v>21</v>
      </c>
      <c r="K12417" s="5">
        <v>1100.0</v>
      </c>
      <c r="N12417" s="9">
        <v>45577.0</v>
      </c>
    </row>
    <row r="12418">
      <c r="A12418" s="5">
        <v>12417.0</v>
      </c>
      <c r="B12418" s="5" t="s">
        <v>12840</v>
      </c>
      <c r="C12418" s="5" t="s">
        <v>21</v>
      </c>
      <c r="K12418" s="5">
        <v>350.0</v>
      </c>
      <c r="N12418" s="9">
        <v>44205.0</v>
      </c>
    </row>
    <row r="12419">
      <c r="A12419" s="5">
        <v>12418.0</v>
      </c>
      <c r="B12419" s="5" t="s">
        <v>12841</v>
      </c>
      <c r="C12419" s="5" t="s">
        <v>21</v>
      </c>
      <c r="K12419" s="5">
        <v>100.0</v>
      </c>
      <c r="N12419" s="9">
        <v>43919.0</v>
      </c>
    </row>
    <row r="12420">
      <c r="A12420" s="5">
        <v>12419.0</v>
      </c>
      <c r="B12420" s="5" t="s">
        <v>12842</v>
      </c>
      <c r="C12420" s="5" t="s">
        <v>21</v>
      </c>
      <c r="N12420" s="9">
        <v>44906.0</v>
      </c>
    </row>
    <row r="12421">
      <c r="A12421" s="5">
        <v>12420.0</v>
      </c>
      <c r="B12421" s="5" t="s">
        <v>12843</v>
      </c>
      <c r="C12421" s="5" t="s">
        <v>21</v>
      </c>
      <c r="K12421" s="5">
        <v>300.0</v>
      </c>
      <c r="N12421" s="9">
        <v>44532.0</v>
      </c>
    </row>
    <row r="12422">
      <c r="A12422" s="5">
        <v>12421.0</v>
      </c>
      <c r="B12422" s="5" t="s">
        <v>12844</v>
      </c>
      <c r="C12422" s="5" t="s">
        <v>21</v>
      </c>
      <c r="K12422" s="5">
        <v>900.0</v>
      </c>
      <c r="N12422" s="9">
        <v>43941.0</v>
      </c>
    </row>
    <row r="12423">
      <c r="A12423" s="5">
        <v>12422.0</v>
      </c>
      <c r="B12423" s="5" t="s">
        <v>12845</v>
      </c>
      <c r="C12423" s="5" t="s">
        <v>21</v>
      </c>
      <c r="K12423" s="5">
        <v>60.0</v>
      </c>
      <c r="N12423" s="9">
        <v>44574.0</v>
      </c>
    </row>
    <row r="12424">
      <c r="A12424" s="5">
        <v>12423.0</v>
      </c>
      <c r="B12424" s="5" t="s">
        <v>12846</v>
      </c>
      <c r="C12424" s="5" t="s">
        <v>21</v>
      </c>
      <c r="K12424" s="5">
        <v>800.0</v>
      </c>
      <c r="N12424" s="9">
        <v>44549.0</v>
      </c>
    </row>
    <row r="12425">
      <c r="A12425" s="5">
        <v>12424.0</v>
      </c>
      <c r="B12425" s="5" t="s">
        <v>12847</v>
      </c>
      <c r="C12425" s="5" t="s">
        <v>21</v>
      </c>
      <c r="K12425" s="5">
        <v>100.0</v>
      </c>
      <c r="N12425" s="9">
        <v>44554.0</v>
      </c>
    </row>
    <row r="12426">
      <c r="A12426" s="5">
        <v>12425.0</v>
      </c>
      <c r="B12426" s="5" t="s">
        <v>12848</v>
      </c>
      <c r="C12426" s="5" t="s">
        <v>21</v>
      </c>
      <c r="K12426" s="5">
        <v>250.0</v>
      </c>
      <c r="N12426" s="9">
        <v>44273.0</v>
      </c>
    </row>
    <row r="12427">
      <c r="A12427" s="5">
        <v>12426.0</v>
      </c>
      <c r="B12427" s="5" t="s">
        <v>12849</v>
      </c>
      <c r="C12427" s="5" t="s">
        <v>21</v>
      </c>
      <c r="K12427" s="5">
        <v>100.0</v>
      </c>
      <c r="N12427" s="9">
        <v>45203.0</v>
      </c>
    </row>
    <row r="12428">
      <c r="A12428" s="5">
        <v>12427.0</v>
      </c>
      <c r="B12428" s="5" t="s">
        <v>12850</v>
      </c>
      <c r="C12428" s="5" t="s">
        <v>21</v>
      </c>
      <c r="K12428" s="5">
        <v>400.0</v>
      </c>
      <c r="N12428" s="9">
        <v>44667.0</v>
      </c>
    </row>
    <row r="12429">
      <c r="A12429" s="5">
        <v>12428.0</v>
      </c>
      <c r="B12429" s="5" t="s">
        <v>12851</v>
      </c>
      <c r="C12429" s="5" t="s">
        <v>21</v>
      </c>
      <c r="K12429" s="5">
        <v>150.0</v>
      </c>
      <c r="N12429" s="9">
        <v>44102.0</v>
      </c>
    </row>
    <row r="12430">
      <c r="A12430" s="5">
        <v>12429.0</v>
      </c>
      <c r="B12430" s="5" t="s">
        <v>12852</v>
      </c>
      <c r="C12430" s="5" t="s">
        <v>21</v>
      </c>
      <c r="K12430" s="5">
        <v>50.0</v>
      </c>
      <c r="N12430" s="9">
        <v>44671.0</v>
      </c>
    </row>
    <row r="12431">
      <c r="A12431" s="5">
        <v>12430.0</v>
      </c>
      <c r="B12431" s="5" t="s">
        <v>12853</v>
      </c>
      <c r="C12431" s="5" t="s">
        <v>21</v>
      </c>
      <c r="K12431" s="5">
        <v>1100.0</v>
      </c>
      <c r="N12431" s="9">
        <v>44523.0</v>
      </c>
    </row>
    <row r="12432">
      <c r="A12432" s="5">
        <v>12431.0</v>
      </c>
      <c r="B12432" s="5" t="s">
        <v>12854</v>
      </c>
      <c r="C12432" s="5" t="s">
        <v>21</v>
      </c>
      <c r="K12432" s="5">
        <v>10.0</v>
      </c>
      <c r="N12432" s="9">
        <v>43988.0</v>
      </c>
    </row>
    <row r="12433">
      <c r="A12433" s="5">
        <v>12432.0</v>
      </c>
      <c r="B12433" s="5" t="s">
        <v>12855</v>
      </c>
      <c r="C12433" s="5" t="s">
        <v>21</v>
      </c>
      <c r="K12433" s="5">
        <v>250.0</v>
      </c>
      <c r="N12433" s="9">
        <v>44530.0</v>
      </c>
    </row>
    <row r="12434">
      <c r="A12434" s="5">
        <v>12433.0</v>
      </c>
      <c r="B12434" s="5" t="s">
        <v>12856</v>
      </c>
      <c r="C12434" s="5" t="s">
        <v>21</v>
      </c>
      <c r="K12434" s="5">
        <v>60.0</v>
      </c>
      <c r="N12434" s="9">
        <v>44381.0</v>
      </c>
    </row>
    <row r="12435">
      <c r="A12435" s="5">
        <v>12434.0</v>
      </c>
      <c r="B12435" s="5" t="s">
        <v>438</v>
      </c>
      <c r="C12435" s="5" t="s">
        <v>21</v>
      </c>
      <c r="K12435" s="5">
        <v>20.0</v>
      </c>
      <c r="N12435" s="9">
        <v>44843.0</v>
      </c>
    </row>
    <row r="12436">
      <c r="A12436" s="5">
        <v>12435.0</v>
      </c>
      <c r="B12436" s="5" t="s">
        <v>12857</v>
      </c>
      <c r="C12436" s="5" t="s">
        <v>21</v>
      </c>
      <c r="K12436" s="5">
        <v>1800.0</v>
      </c>
      <c r="N12436" s="9">
        <v>44519.0</v>
      </c>
    </row>
    <row r="12437">
      <c r="A12437" s="5">
        <v>12436.0</v>
      </c>
      <c r="B12437" s="5" t="s">
        <v>12858</v>
      </c>
      <c r="C12437" s="5" t="s">
        <v>21</v>
      </c>
      <c r="K12437" s="5">
        <v>350.0</v>
      </c>
      <c r="N12437" s="9">
        <v>44605.0</v>
      </c>
    </row>
    <row r="12438">
      <c r="A12438" s="5">
        <v>12437.0</v>
      </c>
      <c r="B12438" s="5" t="s">
        <v>12859</v>
      </c>
      <c r="C12438" s="5" t="s">
        <v>21</v>
      </c>
      <c r="K12438" s="5">
        <v>200.0</v>
      </c>
      <c r="N12438" s="9">
        <v>44645.0</v>
      </c>
    </row>
    <row r="12439">
      <c r="A12439" s="5">
        <v>12438.0</v>
      </c>
      <c r="B12439" s="5" t="s">
        <v>12860</v>
      </c>
      <c r="C12439" s="5" t="s">
        <v>21</v>
      </c>
      <c r="K12439" s="5">
        <v>1600.0</v>
      </c>
      <c r="N12439" s="9">
        <v>43934.0</v>
      </c>
    </row>
    <row r="12440">
      <c r="A12440" s="5">
        <v>12439.0</v>
      </c>
      <c r="B12440" s="5" t="s">
        <v>12861</v>
      </c>
      <c r="C12440" s="5" t="s">
        <v>21</v>
      </c>
      <c r="K12440" s="5">
        <v>800.0</v>
      </c>
      <c r="N12440" s="9">
        <v>45563.0</v>
      </c>
    </row>
    <row r="12441">
      <c r="A12441" s="5">
        <v>12440.0</v>
      </c>
      <c r="B12441" s="5" t="s">
        <v>12862</v>
      </c>
      <c r="C12441" s="5" t="s">
        <v>21</v>
      </c>
      <c r="K12441" s="5">
        <v>90.0</v>
      </c>
      <c r="N12441" s="9">
        <v>44276.0</v>
      </c>
    </row>
    <row r="12442">
      <c r="A12442" s="5">
        <v>12441.0</v>
      </c>
      <c r="B12442" s="5" t="s">
        <v>12863</v>
      </c>
      <c r="C12442" s="5" t="s">
        <v>21</v>
      </c>
      <c r="K12442" s="5">
        <v>5600.0</v>
      </c>
      <c r="N12442" s="9">
        <v>43922.0</v>
      </c>
    </row>
    <row r="12443">
      <c r="A12443" s="5">
        <v>12442.0</v>
      </c>
      <c r="B12443" s="5" t="s">
        <v>12864</v>
      </c>
      <c r="C12443" s="5" t="s">
        <v>21</v>
      </c>
      <c r="K12443" s="5">
        <v>450.0</v>
      </c>
      <c r="N12443" s="9">
        <v>45061.0</v>
      </c>
    </row>
    <row r="12444">
      <c r="A12444" s="5">
        <v>12443.0</v>
      </c>
      <c r="B12444" s="5" t="s">
        <v>12865</v>
      </c>
      <c r="C12444" s="5" t="s">
        <v>21</v>
      </c>
      <c r="K12444" s="5">
        <v>10.0</v>
      </c>
      <c r="N12444" s="9">
        <v>45414.0</v>
      </c>
    </row>
    <row r="12445">
      <c r="A12445" s="5">
        <v>12444.0</v>
      </c>
      <c r="B12445" s="5" t="s">
        <v>12866</v>
      </c>
      <c r="C12445" s="5" t="s">
        <v>21</v>
      </c>
      <c r="K12445" s="5">
        <v>350.0</v>
      </c>
      <c r="N12445" s="9">
        <v>45058.0</v>
      </c>
    </row>
    <row r="12446">
      <c r="A12446" s="5">
        <v>12445.0</v>
      </c>
      <c r="B12446" s="5" t="s">
        <v>12867</v>
      </c>
      <c r="C12446" s="5" t="s">
        <v>21</v>
      </c>
      <c r="K12446" s="5">
        <v>150.0</v>
      </c>
      <c r="N12446" s="9">
        <v>44589.0</v>
      </c>
    </row>
    <row r="12447">
      <c r="A12447" s="5">
        <v>12446.0</v>
      </c>
      <c r="B12447" s="5" t="s">
        <v>12868</v>
      </c>
      <c r="C12447" s="5" t="s">
        <v>21</v>
      </c>
      <c r="K12447" s="5">
        <v>1700.0</v>
      </c>
      <c r="N12447" s="9">
        <v>44564.0</v>
      </c>
    </row>
    <row r="12448">
      <c r="A12448" s="5">
        <v>12447.0</v>
      </c>
      <c r="B12448" s="5" t="s">
        <v>12869</v>
      </c>
      <c r="C12448" s="5" t="s">
        <v>21</v>
      </c>
      <c r="K12448" s="5">
        <v>900.0</v>
      </c>
      <c r="N12448" s="9">
        <v>44679.0</v>
      </c>
    </row>
    <row r="12449">
      <c r="A12449" s="5">
        <v>12448.0</v>
      </c>
      <c r="B12449" s="5" t="s">
        <v>12870</v>
      </c>
      <c r="C12449" s="5" t="s">
        <v>21</v>
      </c>
      <c r="N12449" s="9">
        <v>44559.0</v>
      </c>
    </row>
    <row r="12450">
      <c r="A12450" s="5">
        <v>12449.0</v>
      </c>
      <c r="B12450" s="5" t="s">
        <v>12871</v>
      </c>
      <c r="C12450" s="5" t="s">
        <v>21</v>
      </c>
      <c r="K12450" s="5">
        <v>200.0</v>
      </c>
      <c r="N12450" s="9">
        <v>44603.0</v>
      </c>
    </row>
    <row r="12451">
      <c r="A12451" s="5">
        <v>12450.0</v>
      </c>
      <c r="B12451" s="5" t="s">
        <v>12872</v>
      </c>
      <c r="C12451" s="5" t="s">
        <v>21</v>
      </c>
      <c r="K12451" s="5">
        <v>150.0</v>
      </c>
      <c r="N12451" s="9">
        <v>44582.0</v>
      </c>
    </row>
    <row r="12452">
      <c r="A12452" s="5">
        <v>12451.0</v>
      </c>
      <c r="B12452" s="5" t="s">
        <v>12873</v>
      </c>
      <c r="C12452" s="5" t="s">
        <v>21</v>
      </c>
      <c r="K12452" s="5">
        <v>20.0</v>
      </c>
      <c r="N12452" s="9">
        <v>44679.0</v>
      </c>
    </row>
    <row r="12453">
      <c r="A12453" s="5">
        <v>12452.0</v>
      </c>
      <c r="B12453" s="5" t="s">
        <v>12874</v>
      </c>
      <c r="C12453" s="5" t="s">
        <v>21</v>
      </c>
      <c r="K12453" s="5">
        <v>500.0</v>
      </c>
      <c r="N12453" s="9">
        <v>45683.0</v>
      </c>
    </row>
    <row r="12454">
      <c r="A12454" s="5">
        <v>12453.0</v>
      </c>
      <c r="B12454" s="5" t="s">
        <v>12875</v>
      </c>
      <c r="C12454" s="5" t="s">
        <v>21</v>
      </c>
      <c r="K12454" s="5">
        <v>10.0</v>
      </c>
      <c r="N12454" s="9">
        <v>44523.0</v>
      </c>
    </row>
    <row r="12455">
      <c r="A12455" s="5">
        <v>12454.0</v>
      </c>
      <c r="B12455" s="5" t="s">
        <v>395</v>
      </c>
      <c r="C12455" s="5" t="s">
        <v>21</v>
      </c>
      <c r="K12455" s="5">
        <v>5200.0</v>
      </c>
      <c r="N12455" s="9">
        <v>43841.0</v>
      </c>
    </row>
    <row r="12456">
      <c r="A12456" s="5">
        <v>12455.0</v>
      </c>
      <c r="B12456" s="5" t="s">
        <v>12876</v>
      </c>
      <c r="C12456" s="5" t="s">
        <v>21</v>
      </c>
      <c r="K12456" s="5">
        <v>350.0</v>
      </c>
      <c r="N12456" s="9">
        <v>44241.0</v>
      </c>
    </row>
    <row r="12457">
      <c r="A12457" s="5">
        <v>12456.0</v>
      </c>
      <c r="B12457" s="5" t="s">
        <v>12877</v>
      </c>
      <c r="C12457" s="5" t="s">
        <v>21</v>
      </c>
      <c r="N12457" s="9">
        <v>44512.0</v>
      </c>
    </row>
    <row r="12458">
      <c r="A12458" s="5">
        <v>12457.0</v>
      </c>
      <c r="B12458" s="5" t="s">
        <v>12878</v>
      </c>
      <c r="C12458" s="5" t="s">
        <v>21</v>
      </c>
      <c r="K12458" s="5">
        <v>2500.0</v>
      </c>
      <c r="N12458" s="9">
        <v>44531.0</v>
      </c>
    </row>
    <row r="12459">
      <c r="A12459" s="5">
        <v>12458.0</v>
      </c>
      <c r="B12459" s="5" t="s">
        <v>12879</v>
      </c>
      <c r="C12459" s="5" t="s">
        <v>21</v>
      </c>
      <c r="K12459" s="5">
        <v>6500.0</v>
      </c>
      <c r="N12459" s="9">
        <v>43983.0</v>
      </c>
    </row>
    <row r="12460">
      <c r="A12460" s="5">
        <v>12459.0</v>
      </c>
      <c r="B12460" s="5" t="s">
        <v>12880</v>
      </c>
      <c r="C12460" s="5" t="s">
        <v>21</v>
      </c>
      <c r="K12460" s="5">
        <v>600.0</v>
      </c>
      <c r="N12460" s="9">
        <v>44955.0</v>
      </c>
    </row>
    <row r="12461">
      <c r="A12461" s="5">
        <v>12460.0</v>
      </c>
      <c r="B12461" s="5" t="s">
        <v>12881</v>
      </c>
      <c r="C12461" s="5" t="s">
        <v>21</v>
      </c>
      <c r="K12461" s="5">
        <v>1000.0</v>
      </c>
      <c r="N12461" s="9">
        <v>44075.0</v>
      </c>
    </row>
    <row r="12462">
      <c r="A12462" s="5">
        <v>12461.0</v>
      </c>
      <c r="B12462" s="5" t="s">
        <v>12882</v>
      </c>
      <c r="C12462" s="5" t="s">
        <v>21</v>
      </c>
      <c r="K12462" s="5">
        <v>4300.0</v>
      </c>
      <c r="N12462" s="9">
        <v>44533.0</v>
      </c>
    </row>
    <row r="12463">
      <c r="A12463" s="5">
        <v>12462.0</v>
      </c>
      <c r="B12463" s="5" t="s">
        <v>12883</v>
      </c>
      <c r="C12463" s="5" t="s">
        <v>21</v>
      </c>
      <c r="K12463" s="5">
        <v>200.0</v>
      </c>
      <c r="N12463" s="9">
        <v>44717.0</v>
      </c>
    </row>
    <row r="12464">
      <c r="A12464" s="5">
        <v>12463.0</v>
      </c>
      <c r="B12464" s="5" t="s">
        <v>12884</v>
      </c>
      <c r="C12464" s="5" t="s">
        <v>21</v>
      </c>
      <c r="K12464" s="5">
        <v>30.0</v>
      </c>
      <c r="N12464" s="9">
        <v>44926.0</v>
      </c>
    </row>
    <row r="12465">
      <c r="A12465" s="5">
        <v>12464.0</v>
      </c>
      <c r="B12465" s="5" t="s">
        <v>12885</v>
      </c>
      <c r="C12465" s="5" t="s">
        <v>21</v>
      </c>
      <c r="N12465" s="9">
        <v>44524.0</v>
      </c>
    </row>
    <row r="12466">
      <c r="A12466" s="5">
        <v>12465.0</v>
      </c>
      <c r="B12466" s="5" t="s">
        <v>12886</v>
      </c>
      <c r="C12466" s="5" t="s">
        <v>21</v>
      </c>
      <c r="K12466" s="5">
        <v>10.0</v>
      </c>
      <c r="N12466" s="9">
        <v>44080.0</v>
      </c>
    </row>
    <row r="12467">
      <c r="A12467" s="5">
        <v>12466.0</v>
      </c>
      <c r="B12467" s="5" t="s">
        <v>12887</v>
      </c>
      <c r="C12467" s="5" t="s">
        <v>21</v>
      </c>
      <c r="K12467" s="5">
        <v>10000.0</v>
      </c>
      <c r="N12467" s="9">
        <v>43882.0</v>
      </c>
    </row>
    <row r="12468">
      <c r="A12468" s="5">
        <v>12467.0</v>
      </c>
      <c r="B12468" s="5" t="s">
        <v>12888</v>
      </c>
      <c r="C12468" s="5" t="s">
        <v>21</v>
      </c>
      <c r="K12468" s="5">
        <v>400.0</v>
      </c>
      <c r="N12468" s="9">
        <v>44711.0</v>
      </c>
    </row>
    <row r="12469">
      <c r="A12469" s="5">
        <v>12468.0</v>
      </c>
      <c r="B12469" s="5" t="s">
        <v>12889</v>
      </c>
      <c r="C12469" s="5" t="s">
        <v>21</v>
      </c>
      <c r="K12469" s="5">
        <v>100.0</v>
      </c>
      <c r="N12469" s="9">
        <v>44297.0</v>
      </c>
    </row>
    <row r="12470">
      <c r="A12470" s="5">
        <v>12469.0</v>
      </c>
      <c r="B12470" s="5" t="s">
        <v>12890</v>
      </c>
      <c r="C12470" s="5" t="s">
        <v>21</v>
      </c>
      <c r="K12470" s="5">
        <v>150.0</v>
      </c>
      <c r="N12470" s="9">
        <v>44467.0</v>
      </c>
    </row>
    <row r="12471">
      <c r="A12471" s="5">
        <v>12470.0</v>
      </c>
      <c r="B12471" s="5" t="s">
        <v>12891</v>
      </c>
      <c r="C12471" s="5" t="s">
        <v>21</v>
      </c>
      <c r="K12471" s="5">
        <v>300.0</v>
      </c>
      <c r="N12471" s="9">
        <v>44799.0</v>
      </c>
    </row>
    <row r="12472">
      <c r="A12472" s="5">
        <v>12471.0</v>
      </c>
      <c r="B12472" s="5" t="s">
        <v>12892</v>
      </c>
      <c r="C12472" s="5" t="s">
        <v>21</v>
      </c>
      <c r="K12472" s="5">
        <v>450.0</v>
      </c>
      <c r="N12472" s="9">
        <v>44758.0</v>
      </c>
    </row>
    <row r="12473">
      <c r="A12473" s="5">
        <v>12472.0</v>
      </c>
      <c r="B12473" s="5" t="s">
        <v>12893</v>
      </c>
      <c r="C12473" s="5" t="s">
        <v>21</v>
      </c>
      <c r="K12473" s="5">
        <v>1400.0</v>
      </c>
      <c r="N12473" s="9">
        <v>46004.0</v>
      </c>
    </row>
    <row r="12474">
      <c r="A12474" s="5">
        <v>12473.0</v>
      </c>
      <c r="B12474" s="5" t="s">
        <v>12894</v>
      </c>
      <c r="C12474" s="5" t="s">
        <v>21</v>
      </c>
      <c r="K12474" s="5">
        <v>600.0</v>
      </c>
      <c r="N12474" s="9">
        <v>44293.0</v>
      </c>
    </row>
    <row r="12475">
      <c r="A12475" s="5">
        <v>12474.0</v>
      </c>
      <c r="B12475" s="5" t="s">
        <v>12895</v>
      </c>
      <c r="C12475" s="5" t="s">
        <v>21</v>
      </c>
      <c r="K12475" s="5">
        <v>200.0</v>
      </c>
      <c r="N12475" s="9">
        <v>44776.0</v>
      </c>
    </row>
    <row r="12476">
      <c r="A12476" s="5">
        <v>12475.0</v>
      </c>
      <c r="B12476" s="5" t="s">
        <v>12896</v>
      </c>
      <c r="C12476" s="5" t="s">
        <v>21</v>
      </c>
      <c r="K12476" s="5">
        <v>500.0</v>
      </c>
      <c r="N12476" s="9">
        <v>44507.0</v>
      </c>
    </row>
    <row r="12477">
      <c r="A12477" s="5">
        <v>12476.0</v>
      </c>
      <c r="B12477" s="5" t="s">
        <v>12897</v>
      </c>
      <c r="C12477" s="5" t="s">
        <v>21</v>
      </c>
      <c r="K12477" s="5">
        <v>150.0</v>
      </c>
      <c r="N12477" s="9">
        <v>45480.0</v>
      </c>
    </row>
    <row r="12478">
      <c r="A12478" s="5">
        <v>12477.0</v>
      </c>
      <c r="B12478" s="5" t="s">
        <v>12898</v>
      </c>
      <c r="C12478" s="5" t="s">
        <v>21</v>
      </c>
      <c r="K12478" s="5">
        <v>600.0</v>
      </c>
      <c r="N12478" s="9">
        <v>45058.0</v>
      </c>
    </row>
    <row r="12479">
      <c r="A12479" s="5">
        <v>12478.0</v>
      </c>
      <c r="B12479" s="5" t="s">
        <v>12899</v>
      </c>
      <c r="C12479" s="5" t="s">
        <v>21</v>
      </c>
      <c r="K12479" s="5">
        <v>450.0</v>
      </c>
      <c r="N12479" s="9">
        <v>45722.0</v>
      </c>
    </row>
    <row r="12480">
      <c r="A12480" s="5">
        <v>12479.0</v>
      </c>
      <c r="B12480" s="5" t="s">
        <v>12900</v>
      </c>
      <c r="C12480" s="5" t="s">
        <v>21</v>
      </c>
      <c r="K12480" s="5">
        <v>700.0</v>
      </c>
      <c r="N12480" s="9">
        <v>44568.0</v>
      </c>
    </row>
    <row r="12481">
      <c r="A12481" s="5">
        <v>12480.0</v>
      </c>
      <c r="B12481" s="5" t="s">
        <v>12901</v>
      </c>
      <c r="C12481" s="5" t="s">
        <v>21</v>
      </c>
      <c r="K12481" s="5">
        <v>100.0</v>
      </c>
      <c r="N12481" s="9">
        <v>44610.0</v>
      </c>
    </row>
    <row r="12482">
      <c r="A12482" s="5">
        <v>12481.0</v>
      </c>
      <c r="B12482" s="5" t="s">
        <v>12902</v>
      </c>
      <c r="C12482" s="5" t="s">
        <v>21</v>
      </c>
      <c r="K12482" s="5">
        <v>1600.0</v>
      </c>
      <c r="N12482" s="9">
        <v>45390.0</v>
      </c>
    </row>
    <row r="12483">
      <c r="A12483" s="5">
        <v>12482.0</v>
      </c>
      <c r="B12483" s="5" t="s">
        <v>12903</v>
      </c>
      <c r="C12483" s="5" t="s">
        <v>21</v>
      </c>
      <c r="K12483" s="5">
        <v>7800.0</v>
      </c>
      <c r="N12483" s="9">
        <v>44014.0</v>
      </c>
    </row>
    <row r="12484">
      <c r="A12484" s="5">
        <v>12483.0</v>
      </c>
      <c r="B12484" s="5" t="s">
        <v>12904</v>
      </c>
      <c r="C12484" s="5" t="s">
        <v>21</v>
      </c>
      <c r="K12484" s="5">
        <v>400.0</v>
      </c>
      <c r="N12484" s="9">
        <v>45091.0</v>
      </c>
    </row>
    <row r="12485">
      <c r="A12485" s="5">
        <v>12484.0</v>
      </c>
      <c r="B12485" s="5" t="s">
        <v>12905</v>
      </c>
      <c r="C12485" s="5" t="s">
        <v>21</v>
      </c>
      <c r="K12485" s="5">
        <v>450.0</v>
      </c>
      <c r="N12485" s="9">
        <v>45072.0</v>
      </c>
    </row>
    <row r="12486">
      <c r="A12486" s="5">
        <v>12485.0</v>
      </c>
      <c r="B12486" s="5" t="s">
        <v>12906</v>
      </c>
      <c r="C12486" s="5" t="s">
        <v>21</v>
      </c>
      <c r="K12486" s="5">
        <v>1100.0</v>
      </c>
      <c r="N12486" s="9">
        <v>45570.0</v>
      </c>
    </row>
    <row r="12487">
      <c r="A12487" s="5">
        <v>12486.0</v>
      </c>
      <c r="B12487" s="5" t="s">
        <v>12907</v>
      </c>
      <c r="C12487" s="5" t="s">
        <v>21</v>
      </c>
      <c r="K12487" s="5">
        <v>200.0</v>
      </c>
      <c r="N12487" s="9">
        <v>44359.0</v>
      </c>
    </row>
    <row r="12488">
      <c r="A12488" s="5">
        <v>12487.0</v>
      </c>
      <c r="B12488" s="5" t="s">
        <v>12908</v>
      </c>
      <c r="C12488" s="5" t="s">
        <v>21</v>
      </c>
      <c r="K12488" s="5">
        <v>450.0</v>
      </c>
      <c r="N12488" s="9">
        <v>44584.0</v>
      </c>
    </row>
    <row r="12489">
      <c r="A12489" s="5">
        <v>12488.0</v>
      </c>
      <c r="B12489" s="5" t="s">
        <v>12909</v>
      </c>
      <c r="C12489" s="5" t="s">
        <v>21</v>
      </c>
      <c r="K12489" s="5">
        <v>10.0</v>
      </c>
      <c r="N12489" s="9">
        <v>44292.0</v>
      </c>
    </row>
    <row r="12490">
      <c r="A12490" s="5">
        <v>12489.0</v>
      </c>
      <c r="B12490" s="5" t="s">
        <v>12910</v>
      </c>
      <c r="C12490" s="5" t="s">
        <v>21</v>
      </c>
      <c r="N12490" s="9">
        <v>44802.0</v>
      </c>
    </row>
    <row r="12491">
      <c r="A12491" s="5">
        <v>12490.0</v>
      </c>
      <c r="B12491" s="5" t="s">
        <v>12911</v>
      </c>
      <c r="C12491" s="5" t="s">
        <v>21</v>
      </c>
      <c r="K12491" s="5">
        <v>2400.0</v>
      </c>
      <c r="N12491" s="9">
        <v>43882.0</v>
      </c>
    </row>
    <row r="12492">
      <c r="A12492" s="5">
        <v>12491.0</v>
      </c>
      <c r="B12492" s="5" t="s">
        <v>12912</v>
      </c>
      <c r="C12492" s="5" t="s">
        <v>21</v>
      </c>
      <c r="K12492" s="5">
        <v>300.0</v>
      </c>
      <c r="N12492" s="9">
        <v>44877.0</v>
      </c>
    </row>
    <row r="12493">
      <c r="A12493" s="5">
        <v>12492.0</v>
      </c>
      <c r="B12493" s="5" t="s">
        <v>12913</v>
      </c>
      <c r="C12493" s="5" t="s">
        <v>21</v>
      </c>
      <c r="K12493" s="5">
        <v>70.0</v>
      </c>
      <c r="N12493" s="9">
        <v>45311.0</v>
      </c>
    </row>
    <row r="12494">
      <c r="A12494" s="5">
        <v>12493.0</v>
      </c>
      <c r="B12494" s="5" t="s">
        <v>12914</v>
      </c>
      <c r="C12494" s="5" t="s">
        <v>21</v>
      </c>
      <c r="K12494" s="5">
        <v>250.0</v>
      </c>
      <c r="N12494" s="9">
        <v>44906.0</v>
      </c>
    </row>
    <row r="12495">
      <c r="A12495" s="5">
        <v>12494.0</v>
      </c>
      <c r="B12495" s="5" t="s">
        <v>12915</v>
      </c>
      <c r="C12495" s="5" t="s">
        <v>21</v>
      </c>
      <c r="K12495" s="5">
        <v>4000.0</v>
      </c>
      <c r="N12495" s="9">
        <v>44295.0</v>
      </c>
    </row>
    <row r="12496">
      <c r="A12496" s="5">
        <v>12495.0</v>
      </c>
      <c r="B12496" s="5" t="s">
        <v>12916</v>
      </c>
      <c r="C12496" s="5" t="s">
        <v>21</v>
      </c>
      <c r="K12496" s="5">
        <v>700.0</v>
      </c>
      <c r="N12496" s="9">
        <v>44845.0</v>
      </c>
    </row>
    <row r="12497">
      <c r="A12497" s="5">
        <v>12496.0</v>
      </c>
      <c r="B12497" s="5" t="s">
        <v>12917</v>
      </c>
      <c r="C12497" s="5" t="s">
        <v>21</v>
      </c>
      <c r="K12497" s="5">
        <v>700.0</v>
      </c>
      <c r="N12497" s="9">
        <v>43925.0</v>
      </c>
    </row>
    <row r="12498">
      <c r="A12498" s="5">
        <v>12497.0</v>
      </c>
      <c r="B12498" s="5" t="s">
        <v>12918</v>
      </c>
      <c r="C12498" s="5" t="s">
        <v>21</v>
      </c>
      <c r="K12498" s="5">
        <v>1400.0</v>
      </c>
      <c r="N12498" s="9">
        <v>44346.0</v>
      </c>
    </row>
    <row r="12499">
      <c r="A12499" s="5">
        <v>12498.0</v>
      </c>
      <c r="B12499" s="5" t="s">
        <v>12919</v>
      </c>
      <c r="C12499" s="5" t="s">
        <v>21</v>
      </c>
      <c r="K12499" s="5">
        <v>500.0</v>
      </c>
      <c r="N12499" s="9">
        <v>43862.0</v>
      </c>
    </row>
    <row r="12500">
      <c r="A12500" s="5">
        <v>12499.0</v>
      </c>
      <c r="B12500" s="5" t="s">
        <v>12920</v>
      </c>
      <c r="C12500" s="5" t="s">
        <v>21</v>
      </c>
      <c r="K12500" s="5">
        <v>800.0</v>
      </c>
      <c r="N12500" s="9">
        <v>43907.0</v>
      </c>
    </row>
    <row r="12501">
      <c r="A12501" s="5">
        <v>12500.0</v>
      </c>
      <c r="B12501" s="5" t="s">
        <v>12921</v>
      </c>
      <c r="C12501" s="5" t="s">
        <v>21</v>
      </c>
      <c r="K12501" s="5">
        <v>200.0</v>
      </c>
      <c r="N12501" s="9">
        <v>44336.0</v>
      </c>
    </row>
    <row r="12502">
      <c r="A12502" s="5">
        <v>12501.0</v>
      </c>
      <c r="B12502" s="5" t="s">
        <v>12922</v>
      </c>
      <c r="C12502" s="5" t="s">
        <v>21</v>
      </c>
      <c r="K12502" s="5">
        <v>450.0</v>
      </c>
      <c r="N12502" s="9">
        <v>45263.0</v>
      </c>
    </row>
    <row r="12503">
      <c r="A12503" s="5">
        <v>12502.0</v>
      </c>
      <c r="B12503" s="5" t="s">
        <v>12923</v>
      </c>
      <c r="C12503" s="5" t="s">
        <v>21</v>
      </c>
      <c r="K12503" s="5">
        <v>700.0</v>
      </c>
      <c r="N12503" s="9">
        <v>44576.0</v>
      </c>
    </row>
    <row r="12504">
      <c r="A12504" s="5">
        <v>12503.0</v>
      </c>
      <c r="B12504" s="5" t="s">
        <v>12924</v>
      </c>
      <c r="C12504" s="5" t="s">
        <v>21</v>
      </c>
      <c r="K12504" s="5">
        <v>30.0</v>
      </c>
      <c r="N12504" s="9">
        <v>44585.0</v>
      </c>
    </row>
    <row r="12505">
      <c r="A12505" s="5">
        <v>12504.0</v>
      </c>
      <c r="B12505" s="5" t="s">
        <v>12925</v>
      </c>
      <c r="C12505" s="5" t="s">
        <v>21</v>
      </c>
      <c r="K12505" s="5">
        <v>100.0</v>
      </c>
      <c r="N12505" s="9">
        <v>44321.0</v>
      </c>
    </row>
    <row r="12506">
      <c r="A12506" s="5">
        <v>12505.0</v>
      </c>
      <c r="B12506" s="5" t="s">
        <v>12926</v>
      </c>
      <c r="C12506" s="5" t="s">
        <v>21</v>
      </c>
      <c r="K12506" s="5">
        <v>400.0</v>
      </c>
      <c r="N12506" s="9">
        <v>43902.0</v>
      </c>
    </row>
    <row r="12507">
      <c r="A12507" s="5">
        <v>12506.0</v>
      </c>
      <c r="B12507" s="5" t="s">
        <v>12927</v>
      </c>
      <c r="C12507" s="5" t="s">
        <v>21</v>
      </c>
      <c r="K12507" s="5">
        <v>300.0</v>
      </c>
      <c r="N12507" s="9">
        <v>44553.0</v>
      </c>
    </row>
    <row r="12508">
      <c r="A12508" s="5">
        <v>12507.0</v>
      </c>
      <c r="B12508" s="5" t="s">
        <v>12928</v>
      </c>
      <c r="C12508" s="5" t="s">
        <v>21</v>
      </c>
      <c r="K12508" s="5">
        <v>350.0</v>
      </c>
      <c r="N12508" s="9">
        <v>44432.0</v>
      </c>
    </row>
    <row r="12509">
      <c r="A12509" s="5">
        <v>12508.0</v>
      </c>
      <c r="B12509" s="5" t="s">
        <v>12929</v>
      </c>
      <c r="C12509" s="5" t="s">
        <v>21</v>
      </c>
      <c r="K12509" s="5">
        <v>800.0</v>
      </c>
      <c r="N12509" s="9">
        <v>44762.0</v>
      </c>
    </row>
    <row r="12510">
      <c r="A12510" s="5">
        <v>12509.0</v>
      </c>
      <c r="B12510" s="5" t="s">
        <v>12930</v>
      </c>
      <c r="C12510" s="5" t="s">
        <v>21</v>
      </c>
      <c r="N12510" s="9">
        <v>44518.0</v>
      </c>
    </row>
    <row r="12511">
      <c r="A12511" s="5">
        <v>12510.0</v>
      </c>
      <c r="B12511" s="5" t="s">
        <v>12931</v>
      </c>
      <c r="C12511" s="5" t="s">
        <v>21</v>
      </c>
      <c r="K12511" s="5">
        <v>20.0</v>
      </c>
      <c r="N12511" s="9">
        <v>44647.0</v>
      </c>
    </row>
    <row r="12512">
      <c r="A12512" s="5">
        <v>12511.0</v>
      </c>
      <c r="B12512" s="5" t="s">
        <v>12932</v>
      </c>
      <c r="C12512" s="5" t="s">
        <v>21</v>
      </c>
      <c r="K12512" s="5">
        <v>200.0</v>
      </c>
      <c r="N12512" s="9">
        <v>44779.0</v>
      </c>
    </row>
    <row r="12513">
      <c r="A12513" s="5">
        <v>12512.0</v>
      </c>
      <c r="B12513" s="5" t="s">
        <v>12933</v>
      </c>
      <c r="C12513" s="5" t="s">
        <v>21</v>
      </c>
      <c r="K12513" s="5">
        <v>1300.0</v>
      </c>
      <c r="N12513" s="9">
        <v>43876.0</v>
      </c>
    </row>
    <row r="12514">
      <c r="A12514" s="5">
        <v>12513.0</v>
      </c>
      <c r="B12514" s="5" t="s">
        <v>12934</v>
      </c>
      <c r="C12514" s="5" t="s">
        <v>21</v>
      </c>
      <c r="K12514" s="5">
        <v>1700.0</v>
      </c>
      <c r="N12514" s="9">
        <v>43905.0</v>
      </c>
    </row>
    <row r="12515">
      <c r="A12515" s="5">
        <v>12514.0</v>
      </c>
      <c r="B12515" s="5" t="s">
        <v>12935</v>
      </c>
      <c r="C12515" s="5" t="s">
        <v>21</v>
      </c>
      <c r="K12515" s="5">
        <v>900.0</v>
      </c>
      <c r="N12515" s="9">
        <v>43869.0</v>
      </c>
    </row>
    <row r="12516">
      <c r="A12516" s="5">
        <v>12515.0</v>
      </c>
      <c r="B12516" s="5" t="s">
        <v>12936</v>
      </c>
      <c r="C12516" s="5" t="s">
        <v>21</v>
      </c>
      <c r="K12516" s="5">
        <v>1500.0</v>
      </c>
      <c r="N12516" s="9">
        <v>44033.0</v>
      </c>
    </row>
    <row r="12517">
      <c r="A12517" s="5">
        <v>12516.0</v>
      </c>
      <c r="B12517" s="5" t="s">
        <v>12937</v>
      </c>
      <c r="C12517" s="5" t="s">
        <v>21</v>
      </c>
      <c r="K12517" s="5">
        <v>300.0</v>
      </c>
      <c r="N12517" s="9">
        <v>44536.0</v>
      </c>
    </row>
    <row r="12518">
      <c r="A12518" s="5">
        <v>12517.0</v>
      </c>
      <c r="B12518" s="5" t="s">
        <v>12938</v>
      </c>
      <c r="C12518" s="5" t="s">
        <v>21</v>
      </c>
      <c r="K12518" s="5">
        <v>20.0</v>
      </c>
      <c r="N12518" s="9">
        <v>44858.0</v>
      </c>
    </row>
    <row r="12519">
      <c r="A12519" s="5">
        <v>12518.0</v>
      </c>
      <c r="B12519" s="5" t="s">
        <v>12939</v>
      </c>
      <c r="C12519" s="5" t="s">
        <v>21</v>
      </c>
      <c r="K12519" s="5">
        <v>150.0</v>
      </c>
      <c r="N12519" s="9">
        <v>44368.0</v>
      </c>
    </row>
    <row r="12520">
      <c r="A12520" s="5">
        <v>12519.0</v>
      </c>
      <c r="B12520" s="5" t="s">
        <v>12940</v>
      </c>
      <c r="C12520" s="5" t="s">
        <v>21</v>
      </c>
      <c r="K12520" s="5">
        <v>3700.0</v>
      </c>
      <c r="N12520" s="9">
        <v>44175.0</v>
      </c>
    </row>
    <row r="12521">
      <c r="A12521" s="5">
        <v>12520.0</v>
      </c>
      <c r="B12521" s="5" t="s">
        <v>12941</v>
      </c>
      <c r="C12521" s="5" t="s">
        <v>21</v>
      </c>
      <c r="K12521" s="5">
        <v>1100.0</v>
      </c>
      <c r="N12521" s="9">
        <v>44565.0</v>
      </c>
    </row>
    <row r="12522">
      <c r="A12522" s="5">
        <v>12521.0</v>
      </c>
      <c r="B12522" s="5" t="s">
        <v>12942</v>
      </c>
      <c r="C12522" s="5" t="s">
        <v>21</v>
      </c>
      <c r="K12522" s="5">
        <v>50.0</v>
      </c>
      <c r="N12522" s="9">
        <v>44843.0</v>
      </c>
    </row>
    <row r="12523">
      <c r="A12523" s="5">
        <v>12522.0</v>
      </c>
      <c r="B12523" s="5" t="s">
        <v>12943</v>
      </c>
      <c r="C12523" s="5" t="s">
        <v>21</v>
      </c>
      <c r="K12523" s="5">
        <v>20.0</v>
      </c>
      <c r="N12523" s="9">
        <v>44362.0</v>
      </c>
    </row>
    <row r="12524">
      <c r="A12524" s="5">
        <v>12523.0</v>
      </c>
      <c r="B12524" s="5" t="s">
        <v>12944</v>
      </c>
      <c r="C12524" s="5" t="s">
        <v>21</v>
      </c>
      <c r="K12524" s="5">
        <v>100.0</v>
      </c>
      <c r="N12524" s="9">
        <v>43911.0</v>
      </c>
    </row>
    <row r="12525">
      <c r="A12525" s="5">
        <v>12524.0</v>
      </c>
      <c r="B12525" s="5" t="s">
        <v>12945</v>
      </c>
      <c r="C12525" s="5" t="s">
        <v>21</v>
      </c>
      <c r="K12525" s="5">
        <v>30.0</v>
      </c>
      <c r="N12525" s="9">
        <v>45410.0</v>
      </c>
    </row>
    <row r="12526">
      <c r="A12526" s="5">
        <v>12525.0</v>
      </c>
      <c r="B12526" s="5" t="s">
        <v>12946</v>
      </c>
      <c r="C12526" s="5" t="s">
        <v>21</v>
      </c>
      <c r="K12526" s="5">
        <v>30.0</v>
      </c>
      <c r="N12526" s="9">
        <v>45452.0</v>
      </c>
    </row>
    <row r="12527">
      <c r="A12527" s="5">
        <v>12526.0</v>
      </c>
      <c r="B12527" s="5" t="s">
        <v>12947</v>
      </c>
      <c r="C12527" s="5" t="s">
        <v>21</v>
      </c>
      <c r="K12527" s="5">
        <v>150.0</v>
      </c>
      <c r="N12527" s="9">
        <v>44758.0</v>
      </c>
    </row>
    <row r="12528">
      <c r="A12528" s="5">
        <v>12527.0</v>
      </c>
      <c r="B12528" s="5" t="s">
        <v>12948</v>
      </c>
      <c r="C12528" s="5" t="s">
        <v>21</v>
      </c>
      <c r="K12528" s="5">
        <v>500.0</v>
      </c>
      <c r="N12528" s="9">
        <v>44704.0</v>
      </c>
    </row>
    <row r="12529">
      <c r="A12529" s="5">
        <v>12528.0</v>
      </c>
      <c r="B12529" s="5" t="s">
        <v>12949</v>
      </c>
      <c r="C12529" s="5" t="s">
        <v>21</v>
      </c>
      <c r="K12529" s="5">
        <v>20.0</v>
      </c>
      <c r="N12529" s="9">
        <v>45524.0</v>
      </c>
    </row>
    <row r="12530">
      <c r="A12530" s="5">
        <v>12529.0</v>
      </c>
      <c r="B12530" s="5" t="s">
        <v>12950</v>
      </c>
      <c r="C12530" s="5" t="s">
        <v>21</v>
      </c>
      <c r="K12530" s="5">
        <v>50.0</v>
      </c>
      <c r="N12530" s="9">
        <v>44922.0</v>
      </c>
    </row>
    <row r="12531">
      <c r="A12531" s="5">
        <v>12530.0</v>
      </c>
      <c r="B12531" s="5" t="s">
        <v>12951</v>
      </c>
      <c r="C12531" s="5" t="s">
        <v>21</v>
      </c>
      <c r="K12531" s="5">
        <v>300.0</v>
      </c>
      <c r="N12531" s="9">
        <v>44180.0</v>
      </c>
    </row>
    <row r="12532">
      <c r="A12532" s="5">
        <v>12531.0</v>
      </c>
      <c r="B12532" s="5" t="s">
        <v>12952</v>
      </c>
      <c r="C12532" s="5" t="s">
        <v>21</v>
      </c>
      <c r="K12532" s="5">
        <v>500.0</v>
      </c>
      <c r="N12532" s="9">
        <v>44519.0</v>
      </c>
    </row>
    <row r="12533">
      <c r="A12533" s="5">
        <v>12532.0</v>
      </c>
      <c r="B12533" s="5" t="s">
        <v>12953</v>
      </c>
      <c r="C12533" s="5" t="s">
        <v>21</v>
      </c>
      <c r="K12533" s="5">
        <v>20.0</v>
      </c>
      <c r="N12533" s="9">
        <v>45507.0</v>
      </c>
    </row>
    <row r="12534">
      <c r="A12534" s="5">
        <v>12533.0</v>
      </c>
      <c r="B12534" s="5" t="s">
        <v>12954</v>
      </c>
      <c r="C12534" s="5" t="s">
        <v>21</v>
      </c>
      <c r="N12534" s="9">
        <v>45170.0</v>
      </c>
    </row>
    <row r="12535">
      <c r="A12535" s="5">
        <v>12534.0</v>
      </c>
      <c r="B12535" s="5" t="s">
        <v>12955</v>
      </c>
      <c r="C12535" s="5" t="s">
        <v>21</v>
      </c>
      <c r="K12535" s="5">
        <v>250.0</v>
      </c>
      <c r="N12535" s="9">
        <v>44665.0</v>
      </c>
    </row>
    <row r="12536">
      <c r="A12536" s="5">
        <v>12535.0</v>
      </c>
      <c r="B12536" s="5" t="s">
        <v>12956</v>
      </c>
      <c r="C12536" s="5" t="s">
        <v>21</v>
      </c>
      <c r="K12536" s="5">
        <v>30.0</v>
      </c>
      <c r="N12536" s="9">
        <v>45074.0</v>
      </c>
    </row>
    <row r="12537">
      <c r="A12537" s="5">
        <v>12536.0</v>
      </c>
      <c r="B12537" s="5" t="s">
        <v>442</v>
      </c>
      <c r="C12537" s="5" t="s">
        <v>21</v>
      </c>
      <c r="K12537" s="5">
        <v>100.0</v>
      </c>
      <c r="N12537" s="9">
        <v>44519.0</v>
      </c>
    </row>
    <row r="12538">
      <c r="A12538" s="5">
        <v>12537.0</v>
      </c>
      <c r="B12538" s="5" t="s">
        <v>12957</v>
      </c>
      <c r="C12538" s="5" t="s">
        <v>21</v>
      </c>
      <c r="K12538" s="5">
        <v>800.0</v>
      </c>
      <c r="N12538" s="9">
        <v>46011.0</v>
      </c>
    </row>
    <row r="12539">
      <c r="A12539" s="5">
        <v>12538.0</v>
      </c>
      <c r="B12539" s="5" t="s">
        <v>12958</v>
      </c>
      <c r="C12539" s="5" t="s">
        <v>21</v>
      </c>
      <c r="K12539" s="5">
        <v>100.0</v>
      </c>
      <c r="N12539" s="9">
        <v>44563.0</v>
      </c>
    </row>
    <row r="12540">
      <c r="A12540" s="5">
        <v>12539.0</v>
      </c>
      <c r="B12540" s="5" t="s">
        <v>12959</v>
      </c>
      <c r="C12540" s="5" t="s">
        <v>21</v>
      </c>
      <c r="K12540" s="5">
        <v>450.0</v>
      </c>
      <c r="N12540" s="9">
        <v>43887.0</v>
      </c>
    </row>
    <row r="12541">
      <c r="A12541" s="5">
        <v>12540.0</v>
      </c>
      <c r="B12541" s="5" t="s">
        <v>12960</v>
      </c>
      <c r="C12541" s="5" t="s">
        <v>21</v>
      </c>
      <c r="K12541" s="5">
        <v>150.0</v>
      </c>
      <c r="N12541" s="9">
        <v>43912.0</v>
      </c>
    </row>
    <row r="12542">
      <c r="A12542" s="5">
        <v>12541.0</v>
      </c>
      <c r="B12542" s="5" t="s">
        <v>12961</v>
      </c>
      <c r="C12542" s="5" t="s">
        <v>21</v>
      </c>
      <c r="K12542" s="5">
        <v>1000.0</v>
      </c>
      <c r="N12542" s="9">
        <v>44496.0</v>
      </c>
    </row>
    <row r="12543">
      <c r="A12543" s="5">
        <v>12542.0</v>
      </c>
      <c r="B12543" s="5" t="s">
        <v>12962</v>
      </c>
      <c r="C12543" s="5" t="s">
        <v>21</v>
      </c>
      <c r="K12543" s="5">
        <v>200.0</v>
      </c>
      <c r="N12543" s="9">
        <v>44400.0</v>
      </c>
    </row>
    <row r="12544">
      <c r="A12544" s="5">
        <v>12543.0</v>
      </c>
      <c r="B12544" s="5" t="s">
        <v>12963</v>
      </c>
      <c r="C12544" s="5" t="s">
        <v>21</v>
      </c>
      <c r="K12544" s="5">
        <v>250.0</v>
      </c>
      <c r="N12544" s="9">
        <v>44732.0</v>
      </c>
    </row>
    <row r="12545">
      <c r="A12545" s="5">
        <v>12544.0</v>
      </c>
      <c r="B12545" s="5" t="s">
        <v>12964</v>
      </c>
      <c r="C12545" s="5" t="s">
        <v>21</v>
      </c>
      <c r="K12545" s="5">
        <v>100.0</v>
      </c>
      <c r="N12545" s="9">
        <v>44505.0</v>
      </c>
    </row>
    <row r="12546">
      <c r="A12546" s="5">
        <v>12545.0</v>
      </c>
      <c r="B12546" s="5" t="s">
        <v>12965</v>
      </c>
      <c r="C12546" s="5" t="s">
        <v>21</v>
      </c>
      <c r="K12546" s="5">
        <v>3200.0</v>
      </c>
      <c r="N12546" s="9">
        <v>44202.0</v>
      </c>
    </row>
    <row r="12547">
      <c r="A12547" s="5">
        <v>12546.0</v>
      </c>
      <c r="B12547" s="5" t="s">
        <v>12966</v>
      </c>
      <c r="C12547" s="5" t="s">
        <v>21</v>
      </c>
      <c r="K12547" s="5">
        <v>800.0</v>
      </c>
      <c r="N12547" s="9">
        <v>43937.0</v>
      </c>
    </row>
    <row r="12548">
      <c r="A12548" s="5">
        <v>12547.0</v>
      </c>
      <c r="B12548" s="5" t="s">
        <v>12967</v>
      </c>
      <c r="C12548" s="5" t="s">
        <v>21</v>
      </c>
      <c r="K12548" s="5">
        <v>20.0</v>
      </c>
      <c r="N12548" s="9">
        <v>44653.0</v>
      </c>
    </row>
    <row r="12549">
      <c r="A12549" s="5">
        <v>12548.0</v>
      </c>
      <c r="B12549" s="5" t="s">
        <v>12968</v>
      </c>
      <c r="C12549" s="5" t="s">
        <v>21</v>
      </c>
      <c r="K12549" s="5">
        <v>700.0</v>
      </c>
      <c r="N12549" s="9">
        <v>45558.0</v>
      </c>
    </row>
    <row r="12550">
      <c r="A12550" s="5">
        <v>12549.0</v>
      </c>
      <c r="B12550" s="5" t="s">
        <v>12969</v>
      </c>
      <c r="C12550" s="5" t="s">
        <v>21</v>
      </c>
      <c r="K12550" s="5">
        <v>150.0</v>
      </c>
      <c r="N12550" s="9">
        <v>45070.0</v>
      </c>
    </row>
    <row r="12551">
      <c r="A12551" s="5">
        <v>12550.0</v>
      </c>
      <c r="B12551" s="5" t="s">
        <v>12970</v>
      </c>
      <c r="C12551" s="5" t="s">
        <v>21</v>
      </c>
      <c r="K12551" s="5">
        <v>350.0</v>
      </c>
      <c r="N12551" s="9">
        <v>44698.0</v>
      </c>
    </row>
    <row r="12552">
      <c r="A12552" s="5">
        <v>12551.0</v>
      </c>
      <c r="B12552" s="5" t="s">
        <v>12971</v>
      </c>
      <c r="C12552" s="5" t="s">
        <v>21</v>
      </c>
      <c r="K12552" s="5">
        <v>150.0</v>
      </c>
      <c r="N12552" s="9">
        <v>44537.0</v>
      </c>
    </row>
    <row r="12553">
      <c r="A12553" s="5">
        <v>12552.0</v>
      </c>
      <c r="B12553" s="5" t="s">
        <v>12972</v>
      </c>
      <c r="C12553" s="5" t="s">
        <v>21</v>
      </c>
      <c r="K12553" s="5">
        <v>700.0</v>
      </c>
      <c r="N12553" s="9">
        <v>44524.0</v>
      </c>
    </row>
    <row r="12554">
      <c r="A12554" s="5">
        <v>12553.0</v>
      </c>
      <c r="B12554" s="5" t="s">
        <v>12973</v>
      </c>
      <c r="C12554" s="5" t="s">
        <v>21</v>
      </c>
      <c r="K12554" s="5">
        <v>100.0</v>
      </c>
      <c r="N12554" s="9">
        <v>44457.0</v>
      </c>
    </row>
    <row r="12555">
      <c r="A12555" s="5">
        <v>12554.0</v>
      </c>
      <c r="B12555" s="5" t="s">
        <v>12974</v>
      </c>
      <c r="C12555" s="5" t="s">
        <v>21</v>
      </c>
      <c r="K12555" s="5">
        <v>200.0</v>
      </c>
      <c r="N12555" s="9">
        <v>44879.0</v>
      </c>
    </row>
    <row r="12556">
      <c r="A12556" s="5">
        <v>12555.0</v>
      </c>
      <c r="B12556" s="5" t="s">
        <v>12975</v>
      </c>
      <c r="C12556" s="5" t="s">
        <v>21</v>
      </c>
      <c r="K12556" s="5">
        <v>70.0</v>
      </c>
      <c r="N12556" s="9">
        <v>44703.0</v>
      </c>
    </row>
    <row r="12557">
      <c r="A12557" s="5">
        <v>12556.0</v>
      </c>
      <c r="B12557" s="5" t="s">
        <v>12976</v>
      </c>
      <c r="C12557" s="5" t="s">
        <v>21</v>
      </c>
      <c r="K12557" s="5">
        <v>300.0</v>
      </c>
      <c r="N12557" s="9">
        <v>45557.0</v>
      </c>
    </row>
    <row r="12558">
      <c r="A12558" s="5">
        <v>12557.0</v>
      </c>
      <c r="B12558" s="5" t="s">
        <v>12977</v>
      </c>
      <c r="C12558" s="5" t="s">
        <v>21</v>
      </c>
      <c r="K12558" s="5">
        <v>250.0</v>
      </c>
      <c r="N12558" s="9">
        <v>44606.0</v>
      </c>
    </row>
    <row r="12559">
      <c r="A12559" s="5">
        <v>12558.0</v>
      </c>
      <c r="B12559" s="5" t="s">
        <v>12978</v>
      </c>
      <c r="C12559" s="5" t="s">
        <v>21</v>
      </c>
      <c r="N12559" s="9">
        <v>45165.0</v>
      </c>
    </row>
    <row r="12560">
      <c r="A12560" s="5">
        <v>12559.0</v>
      </c>
      <c r="B12560" s="5" t="s">
        <v>12979</v>
      </c>
      <c r="C12560" s="5" t="s">
        <v>21</v>
      </c>
      <c r="K12560" s="5">
        <v>1200.0</v>
      </c>
      <c r="N12560" s="9">
        <v>44624.0</v>
      </c>
    </row>
    <row r="12561">
      <c r="A12561" s="5">
        <v>12560.0</v>
      </c>
      <c r="B12561" s="5" t="s">
        <v>12980</v>
      </c>
      <c r="C12561" s="5" t="s">
        <v>21</v>
      </c>
      <c r="K12561" s="5">
        <v>450.0</v>
      </c>
      <c r="N12561" s="9">
        <v>45285.0</v>
      </c>
    </row>
    <row r="12562">
      <c r="A12562" s="5">
        <v>12561.0</v>
      </c>
      <c r="B12562" s="5" t="s">
        <v>12981</v>
      </c>
      <c r="C12562" s="5" t="s">
        <v>21</v>
      </c>
      <c r="N12562" s="9">
        <v>44313.0</v>
      </c>
    </row>
    <row r="12563">
      <c r="A12563" s="5">
        <v>12562.0</v>
      </c>
      <c r="B12563" s="5" t="s">
        <v>12982</v>
      </c>
      <c r="C12563" s="5" t="s">
        <v>21</v>
      </c>
      <c r="K12563" s="5">
        <v>1400.0</v>
      </c>
      <c r="N12563" s="9">
        <v>45530.0</v>
      </c>
    </row>
    <row r="12564">
      <c r="A12564" s="5">
        <v>12563.0</v>
      </c>
      <c r="B12564" s="5" t="s">
        <v>12983</v>
      </c>
      <c r="C12564" s="5" t="s">
        <v>21</v>
      </c>
      <c r="N12564" s="9">
        <v>44892.0</v>
      </c>
    </row>
    <row r="12565">
      <c r="A12565" s="5">
        <v>12564.0</v>
      </c>
      <c r="B12565" s="5" t="s">
        <v>12984</v>
      </c>
      <c r="C12565" s="5" t="s">
        <v>21</v>
      </c>
      <c r="K12565" s="5">
        <v>400.0</v>
      </c>
      <c r="N12565" s="9">
        <v>44950.0</v>
      </c>
    </row>
    <row r="12566">
      <c r="A12566" s="5">
        <v>12565.0</v>
      </c>
      <c r="B12566" s="5" t="s">
        <v>12985</v>
      </c>
      <c r="C12566" s="5" t="s">
        <v>21</v>
      </c>
      <c r="N12566" s="9">
        <v>44095.0</v>
      </c>
    </row>
    <row r="12567">
      <c r="A12567" s="5">
        <v>12566.0</v>
      </c>
      <c r="B12567" s="5" t="s">
        <v>12986</v>
      </c>
      <c r="C12567" s="5" t="s">
        <v>21</v>
      </c>
      <c r="K12567" s="5">
        <v>20.0</v>
      </c>
      <c r="N12567" s="9">
        <v>44533.0</v>
      </c>
    </row>
    <row r="12568">
      <c r="A12568" s="5">
        <v>12567.0</v>
      </c>
      <c r="B12568" s="5" t="s">
        <v>12987</v>
      </c>
      <c r="C12568" s="5" t="s">
        <v>21</v>
      </c>
      <c r="K12568" s="5">
        <v>100.0</v>
      </c>
      <c r="N12568" s="9">
        <v>44756.0</v>
      </c>
    </row>
    <row r="12569">
      <c r="A12569" s="5">
        <v>12568.0</v>
      </c>
      <c r="B12569" s="5" t="s">
        <v>12988</v>
      </c>
      <c r="C12569" s="5" t="s">
        <v>21</v>
      </c>
      <c r="K12569" s="5">
        <v>350.0</v>
      </c>
      <c r="N12569" s="9">
        <v>44533.0</v>
      </c>
    </row>
    <row r="12570">
      <c r="A12570" s="5">
        <v>12569.0</v>
      </c>
      <c r="B12570" s="5" t="s">
        <v>12989</v>
      </c>
      <c r="C12570" s="5" t="s">
        <v>21</v>
      </c>
      <c r="K12570" s="5">
        <v>50.0</v>
      </c>
      <c r="N12570" s="9">
        <v>44920.0</v>
      </c>
    </row>
    <row r="12571">
      <c r="A12571" s="5">
        <v>12570.0</v>
      </c>
      <c r="B12571" s="5" t="s">
        <v>12990</v>
      </c>
      <c r="C12571" s="5" t="s">
        <v>21</v>
      </c>
      <c r="K12571" s="5">
        <v>50.0</v>
      </c>
      <c r="N12571" s="9">
        <v>44530.0</v>
      </c>
    </row>
    <row r="12572">
      <c r="A12572" s="5">
        <v>12571.0</v>
      </c>
      <c r="B12572" s="5" t="s">
        <v>12991</v>
      </c>
      <c r="C12572" s="5" t="s">
        <v>21</v>
      </c>
      <c r="K12572" s="5">
        <v>400.0</v>
      </c>
      <c r="N12572" s="9">
        <v>44704.0</v>
      </c>
    </row>
    <row r="12573">
      <c r="A12573" s="5">
        <v>12572.0</v>
      </c>
      <c r="B12573" s="5" t="s">
        <v>12992</v>
      </c>
      <c r="C12573" s="5" t="s">
        <v>21</v>
      </c>
      <c r="N12573" s="9">
        <v>44680.0</v>
      </c>
    </row>
    <row r="12574">
      <c r="A12574" s="5">
        <v>12573.0</v>
      </c>
      <c r="B12574" s="5" t="s">
        <v>12993</v>
      </c>
      <c r="C12574" s="5" t="s">
        <v>21</v>
      </c>
      <c r="K12574" s="5">
        <v>450.0</v>
      </c>
      <c r="N12574" s="9">
        <v>44584.0</v>
      </c>
    </row>
    <row r="12575">
      <c r="A12575" s="5">
        <v>12574.0</v>
      </c>
      <c r="B12575" s="5" t="s">
        <v>12994</v>
      </c>
      <c r="C12575" s="5" t="s">
        <v>21</v>
      </c>
      <c r="N12575" s="9">
        <v>44644.0</v>
      </c>
    </row>
    <row r="12576">
      <c r="A12576" s="5">
        <v>12575.0</v>
      </c>
      <c r="B12576" s="5" t="s">
        <v>12995</v>
      </c>
      <c r="C12576" s="5" t="s">
        <v>21</v>
      </c>
      <c r="K12576" s="5">
        <v>150.0</v>
      </c>
      <c r="N12576" s="9">
        <v>44190.0</v>
      </c>
    </row>
    <row r="12577">
      <c r="A12577" s="5">
        <v>12576.0</v>
      </c>
      <c r="B12577" s="5" t="s">
        <v>12996</v>
      </c>
      <c r="C12577" s="5" t="s">
        <v>21</v>
      </c>
      <c r="K12577" s="5">
        <v>40.0</v>
      </c>
      <c r="N12577" s="9">
        <v>44740.0</v>
      </c>
    </row>
    <row r="12578">
      <c r="A12578" s="5">
        <v>12577.0</v>
      </c>
      <c r="B12578" s="5" t="s">
        <v>12997</v>
      </c>
      <c r="C12578" s="5" t="s">
        <v>21</v>
      </c>
      <c r="K12578" s="5">
        <v>1200.0</v>
      </c>
      <c r="N12578" s="9">
        <v>43923.0</v>
      </c>
    </row>
    <row r="12579">
      <c r="A12579" s="5">
        <v>12578.0</v>
      </c>
      <c r="B12579" s="5" t="s">
        <v>12998</v>
      </c>
      <c r="C12579" s="5" t="s">
        <v>21</v>
      </c>
      <c r="K12579" s="5">
        <v>800.0</v>
      </c>
      <c r="N12579" s="9">
        <v>44537.0</v>
      </c>
    </row>
    <row r="12580">
      <c r="A12580" s="5">
        <v>12579.0</v>
      </c>
      <c r="B12580" s="5" t="s">
        <v>12999</v>
      </c>
      <c r="C12580" s="5" t="s">
        <v>21</v>
      </c>
      <c r="K12580" s="5">
        <v>90.0</v>
      </c>
      <c r="N12580" s="9">
        <v>44622.0</v>
      </c>
    </row>
    <row r="12581">
      <c r="A12581" s="5">
        <v>12580.0</v>
      </c>
      <c r="B12581" s="5" t="s">
        <v>13000</v>
      </c>
      <c r="C12581" s="5" t="s">
        <v>21</v>
      </c>
      <c r="K12581" s="5">
        <v>400.0</v>
      </c>
      <c r="N12581" s="9">
        <v>44266.0</v>
      </c>
    </row>
    <row r="12582">
      <c r="A12582" s="5">
        <v>12581.0</v>
      </c>
      <c r="B12582" s="5" t="s">
        <v>13001</v>
      </c>
      <c r="C12582" s="5" t="s">
        <v>21</v>
      </c>
      <c r="K12582" s="5">
        <v>80.0</v>
      </c>
      <c r="N12582" s="9">
        <v>44322.0</v>
      </c>
    </row>
    <row r="12583">
      <c r="A12583" s="5">
        <v>12582.0</v>
      </c>
      <c r="B12583" s="5" t="s">
        <v>13002</v>
      </c>
      <c r="C12583" s="5" t="s">
        <v>21</v>
      </c>
      <c r="K12583" s="5">
        <v>70.0</v>
      </c>
      <c r="N12583" s="9">
        <v>45095.0</v>
      </c>
    </row>
    <row r="12584">
      <c r="A12584" s="5">
        <v>12583.0</v>
      </c>
      <c r="B12584" s="5" t="s">
        <v>13003</v>
      </c>
      <c r="C12584" s="5" t="s">
        <v>21</v>
      </c>
      <c r="N12584" s="9">
        <v>44666.0</v>
      </c>
    </row>
    <row r="12585">
      <c r="A12585" s="5">
        <v>12584.0</v>
      </c>
      <c r="B12585" s="5" t="s">
        <v>13004</v>
      </c>
      <c r="C12585" s="5" t="s">
        <v>21</v>
      </c>
      <c r="K12585" s="5">
        <v>100.0</v>
      </c>
      <c r="N12585" s="9">
        <v>44543.0</v>
      </c>
    </row>
    <row r="12586">
      <c r="A12586" s="5">
        <v>12585.0</v>
      </c>
      <c r="B12586" s="5" t="s">
        <v>13005</v>
      </c>
      <c r="C12586" s="5" t="s">
        <v>21</v>
      </c>
      <c r="K12586" s="5">
        <v>600.0</v>
      </c>
      <c r="N12586" s="9">
        <v>44481.0</v>
      </c>
    </row>
    <row r="12587">
      <c r="A12587" s="5">
        <v>12586.0</v>
      </c>
      <c r="B12587" s="5" t="s">
        <v>13006</v>
      </c>
      <c r="C12587" s="5" t="s">
        <v>21</v>
      </c>
      <c r="K12587" s="5">
        <v>2900.0</v>
      </c>
      <c r="N12587" s="9">
        <v>44530.0</v>
      </c>
    </row>
    <row r="12588">
      <c r="A12588" s="5">
        <v>12587.0</v>
      </c>
      <c r="B12588" s="5" t="s">
        <v>13007</v>
      </c>
      <c r="C12588" s="5" t="s">
        <v>21</v>
      </c>
      <c r="K12588" s="5">
        <v>250.0</v>
      </c>
      <c r="N12588" s="9">
        <v>44772.0</v>
      </c>
    </row>
    <row r="12589">
      <c r="A12589" s="5">
        <v>12588.0</v>
      </c>
      <c r="B12589" s="5" t="s">
        <v>13008</v>
      </c>
      <c r="C12589" s="5" t="s">
        <v>21</v>
      </c>
      <c r="K12589" s="5">
        <v>100.0</v>
      </c>
      <c r="N12589" s="9">
        <v>44826.0</v>
      </c>
    </row>
    <row r="12590">
      <c r="A12590" s="5">
        <v>12589.0</v>
      </c>
      <c r="B12590" s="5" t="s">
        <v>13009</v>
      </c>
      <c r="C12590" s="5" t="s">
        <v>21</v>
      </c>
      <c r="K12590" s="5">
        <v>200.0</v>
      </c>
      <c r="N12590" s="9">
        <v>44548.0</v>
      </c>
    </row>
    <row r="12591">
      <c r="A12591" s="5">
        <v>12590.0</v>
      </c>
      <c r="B12591" s="5" t="s">
        <v>13010</v>
      </c>
      <c r="C12591" s="5" t="s">
        <v>21</v>
      </c>
      <c r="K12591" s="5">
        <v>1600.0</v>
      </c>
      <c r="N12591" s="9">
        <v>44281.0</v>
      </c>
    </row>
    <row r="12592">
      <c r="A12592" s="5">
        <v>12591.0</v>
      </c>
      <c r="B12592" s="5" t="s">
        <v>13011</v>
      </c>
      <c r="C12592" s="5" t="s">
        <v>21</v>
      </c>
      <c r="K12592" s="5">
        <v>30.0</v>
      </c>
      <c r="N12592" s="9">
        <v>44665.0</v>
      </c>
    </row>
    <row r="12593">
      <c r="A12593" s="5">
        <v>12592.0</v>
      </c>
      <c r="B12593" s="5" t="s">
        <v>13012</v>
      </c>
      <c r="C12593" s="5" t="s">
        <v>21</v>
      </c>
      <c r="K12593" s="5">
        <v>500.0</v>
      </c>
      <c r="N12593" s="9">
        <v>44638.0</v>
      </c>
    </row>
    <row r="12594">
      <c r="A12594" s="5">
        <v>12593.0</v>
      </c>
      <c r="B12594" s="5" t="s">
        <v>445</v>
      </c>
      <c r="C12594" s="5" t="s">
        <v>21</v>
      </c>
      <c r="K12594" s="5">
        <v>3000.0</v>
      </c>
      <c r="N12594" s="9">
        <v>43993.0</v>
      </c>
    </row>
    <row r="12595">
      <c r="A12595" s="5">
        <v>12594.0</v>
      </c>
      <c r="B12595" s="5" t="s">
        <v>13013</v>
      </c>
      <c r="C12595" s="5" t="s">
        <v>21</v>
      </c>
      <c r="K12595" s="5">
        <v>150.0</v>
      </c>
      <c r="N12595" s="9">
        <v>45352.0</v>
      </c>
    </row>
    <row r="12596">
      <c r="A12596" s="5">
        <v>12595.0</v>
      </c>
      <c r="B12596" s="5" t="s">
        <v>13014</v>
      </c>
      <c r="C12596" s="5" t="s">
        <v>21</v>
      </c>
      <c r="K12596" s="5">
        <v>150.0</v>
      </c>
      <c r="N12596" s="9">
        <v>43991.0</v>
      </c>
    </row>
    <row r="12597">
      <c r="A12597" s="5">
        <v>12596.0</v>
      </c>
      <c r="B12597" s="5" t="s">
        <v>13015</v>
      </c>
      <c r="C12597" s="5" t="s">
        <v>21</v>
      </c>
      <c r="K12597" s="5">
        <v>900.0</v>
      </c>
      <c r="N12597" s="9">
        <v>44473.0</v>
      </c>
    </row>
    <row r="12598">
      <c r="A12598" s="5">
        <v>12597.0</v>
      </c>
      <c r="B12598" s="5" t="s">
        <v>13016</v>
      </c>
      <c r="C12598" s="5" t="s">
        <v>21</v>
      </c>
      <c r="K12598" s="5">
        <v>600.0</v>
      </c>
      <c r="N12598" s="9">
        <v>44570.0</v>
      </c>
    </row>
    <row r="12599">
      <c r="A12599" s="5">
        <v>12598.0</v>
      </c>
      <c r="B12599" s="5" t="s">
        <v>13017</v>
      </c>
      <c r="C12599" s="5" t="s">
        <v>21</v>
      </c>
      <c r="K12599" s="5">
        <v>1600.0</v>
      </c>
      <c r="N12599" s="9">
        <v>45060.0</v>
      </c>
    </row>
    <row r="12600">
      <c r="A12600" s="5">
        <v>12599.0</v>
      </c>
      <c r="B12600" s="5" t="s">
        <v>13018</v>
      </c>
      <c r="C12600" s="5" t="s">
        <v>21</v>
      </c>
      <c r="K12600" s="5">
        <v>450.0</v>
      </c>
      <c r="N12600" s="9">
        <v>43860.0</v>
      </c>
    </row>
    <row r="12601">
      <c r="A12601" s="5">
        <v>12600.0</v>
      </c>
      <c r="B12601" s="5" t="s">
        <v>399</v>
      </c>
      <c r="C12601" s="5" t="s">
        <v>21</v>
      </c>
      <c r="K12601" s="5">
        <v>500.0</v>
      </c>
      <c r="N12601" s="9">
        <v>44875.0</v>
      </c>
    </row>
    <row r="12602">
      <c r="A12602" s="5">
        <v>12601.0</v>
      </c>
      <c r="B12602" s="5" t="s">
        <v>13019</v>
      </c>
      <c r="C12602" s="5" t="s">
        <v>21</v>
      </c>
      <c r="K12602" s="5">
        <v>10.0</v>
      </c>
      <c r="N12602" s="9">
        <v>44606.0</v>
      </c>
    </row>
    <row r="12603">
      <c r="A12603" s="5">
        <v>12602.0</v>
      </c>
      <c r="B12603" s="5" t="s">
        <v>13020</v>
      </c>
      <c r="C12603" s="5" t="s">
        <v>21</v>
      </c>
      <c r="K12603" s="5">
        <v>400.0</v>
      </c>
      <c r="N12603" s="9">
        <v>44660.0</v>
      </c>
    </row>
    <row r="12604">
      <c r="A12604" s="5">
        <v>12603.0</v>
      </c>
      <c r="B12604" s="5" t="s">
        <v>13021</v>
      </c>
      <c r="C12604" s="5" t="s">
        <v>21</v>
      </c>
      <c r="K12604" s="5">
        <v>250.0</v>
      </c>
      <c r="N12604" s="9">
        <v>44719.0</v>
      </c>
    </row>
    <row r="12605">
      <c r="A12605" s="5">
        <v>12604.0</v>
      </c>
      <c r="B12605" s="5" t="s">
        <v>13022</v>
      </c>
      <c r="C12605" s="5" t="s">
        <v>21</v>
      </c>
      <c r="K12605" s="5">
        <v>30.0</v>
      </c>
      <c r="N12605" s="9">
        <v>44724.0</v>
      </c>
    </row>
    <row r="12606">
      <c r="A12606" s="5">
        <v>12605.0</v>
      </c>
      <c r="B12606" s="5" t="s">
        <v>13023</v>
      </c>
      <c r="C12606" s="5" t="s">
        <v>21</v>
      </c>
      <c r="K12606" s="5">
        <v>250.0</v>
      </c>
      <c r="N12606" s="9">
        <v>44664.0</v>
      </c>
    </row>
    <row r="12607">
      <c r="A12607" s="5">
        <v>12606.0</v>
      </c>
      <c r="B12607" s="5" t="s">
        <v>13024</v>
      </c>
      <c r="C12607" s="5" t="s">
        <v>21</v>
      </c>
      <c r="K12607" s="5">
        <v>700.0</v>
      </c>
      <c r="N12607" s="9">
        <v>44580.0</v>
      </c>
    </row>
    <row r="12608">
      <c r="A12608" s="5">
        <v>12607.0</v>
      </c>
      <c r="B12608" s="5" t="s">
        <v>13025</v>
      </c>
      <c r="C12608" s="5" t="s">
        <v>21</v>
      </c>
      <c r="K12608" s="5">
        <v>250.0</v>
      </c>
      <c r="N12608" s="9">
        <v>45081.0</v>
      </c>
    </row>
    <row r="12609">
      <c r="A12609" s="5">
        <v>12608.0</v>
      </c>
      <c r="B12609" s="5" t="s">
        <v>13026</v>
      </c>
      <c r="C12609" s="5" t="s">
        <v>21</v>
      </c>
      <c r="K12609" s="5">
        <v>100.0</v>
      </c>
      <c r="N12609" s="9">
        <v>44268.0</v>
      </c>
    </row>
    <row r="12610">
      <c r="A12610" s="5">
        <v>12609.0</v>
      </c>
      <c r="B12610" s="5" t="s">
        <v>13027</v>
      </c>
      <c r="C12610" s="5" t="s">
        <v>21</v>
      </c>
      <c r="K12610" s="5">
        <v>250.0</v>
      </c>
      <c r="N12610" s="9">
        <v>44544.0</v>
      </c>
    </row>
    <row r="12611">
      <c r="A12611" s="5">
        <v>12610.0</v>
      </c>
      <c r="B12611" s="5" t="s">
        <v>13028</v>
      </c>
      <c r="C12611" s="5" t="s">
        <v>21</v>
      </c>
      <c r="K12611" s="5">
        <v>60.0</v>
      </c>
      <c r="N12611" s="9">
        <v>44564.0</v>
      </c>
    </row>
    <row r="12612">
      <c r="A12612" s="5">
        <v>12611.0</v>
      </c>
      <c r="B12612" s="5" t="s">
        <v>13029</v>
      </c>
      <c r="C12612" s="5" t="s">
        <v>21</v>
      </c>
      <c r="K12612" s="5">
        <v>900.0</v>
      </c>
      <c r="N12612" s="9">
        <v>43862.0</v>
      </c>
    </row>
    <row r="12613">
      <c r="A12613" s="5">
        <v>12612.0</v>
      </c>
      <c r="B12613" s="5" t="s">
        <v>13030</v>
      </c>
      <c r="C12613" s="5" t="s">
        <v>21</v>
      </c>
      <c r="K12613" s="5">
        <v>80.0</v>
      </c>
      <c r="N12613" s="9">
        <v>44645.0</v>
      </c>
    </row>
    <row r="12614">
      <c r="A12614" s="5">
        <v>12613.0</v>
      </c>
      <c r="B12614" s="5" t="s">
        <v>13031</v>
      </c>
      <c r="C12614" s="5" t="s">
        <v>21</v>
      </c>
      <c r="K12614" s="5">
        <v>4000.0</v>
      </c>
      <c r="N12614" s="9">
        <v>44519.0</v>
      </c>
    </row>
    <row r="12615">
      <c r="A12615" s="5">
        <v>12614.0</v>
      </c>
      <c r="B12615" s="5" t="s">
        <v>13032</v>
      </c>
      <c r="C12615" s="5" t="s">
        <v>21</v>
      </c>
      <c r="K12615" s="5">
        <v>150.0</v>
      </c>
      <c r="N12615" s="9">
        <v>45012.0</v>
      </c>
    </row>
    <row r="12616">
      <c r="A12616" s="5">
        <v>12615.0</v>
      </c>
      <c r="B12616" s="5" t="s">
        <v>13033</v>
      </c>
      <c r="C12616" s="5" t="s">
        <v>21</v>
      </c>
      <c r="K12616" s="5">
        <v>350.0</v>
      </c>
      <c r="N12616" s="9">
        <v>44654.0</v>
      </c>
    </row>
    <row r="12617">
      <c r="A12617" s="5">
        <v>12616.0</v>
      </c>
      <c r="B12617" s="5" t="s">
        <v>13034</v>
      </c>
      <c r="C12617" s="5" t="s">
        <v>21</v>
      </c>
      <c r="K12617" s="5">
        <v>20.0</v>
      </c>
      <c r="N12617" s="9">
        <v>44584.0</v>
      </c>
    </row>
    <row r="12618">
      <c r="A12618" s="5">
        <v>12617.0</v>
      </c>
      <c r="B12618" s="5" t="s">
        <v>13035</v>
      </c>
      <c r="C12618" s="5" t="s">
        <v>21</v>
      </c>
      <c r="K12618" s="5">
        <v>90.0</v>
      </c>
      <c r="N12618" s="9">
        <v>44553.0</v>
      </c>
    </row>
    <row r="12619">
      <c r="A12619" s="5">
        <v>12618.0</v>
      </c>
      <c r="B12619" s="5" t="s">
        <v>13036</v>
      </c>
      <c r="C12619" s="5" t="s">
        <v>21</v>
      </c>
      <c r="K12619" s="5">
        <v>600.0</v>
      </c>
      <c r="N12619" s="9">
        <v>44798.0</v>
      </c>
    </row>
    <row r="12620">
      <c r="A12620" s="5">
        <v>12619.0</v>
      </c>
      <c r="B12620" s="5" t="s">
        <v>13037</v>
      </c>
      <c r="C12620" s="5" t="s">
        <v>21</v>
      </c>
      <c r="K12620" s="5">
        <v>250.0</v>
      </c>
      <c r="N12620" s="9">
        <v>45212.0</v>
      </c>
    </row>
    <row r="12621">
      <c r="A12621" s="5">
        <v>12620.0</v>
      </c>
      <c r="B12621" s="5" t="s">
        <v>13038</v>
      </c>
      <c r="C12621" s="5" t="s">
        <v>21</v>
      </c>
      <c r="K12621" s="5">
        <v>3500.0</v>
      </c>
      <c r="N12621" s="9">
        <v>44540.0</v>
      </c>
    </row>
    <row r="12622">
      <c r="A12622" s="5">
        <v>12621.0</v>
      </c>
      <c r="B12622" s="5" t="s">
        <v>13039</v>
      </c>
      <c r="C12622" s="5" t="s">
        <v>21</v>
      </c>
      <c r="K12622" s="5">
        <v>150.0</v>
      </c>
      <c r="N12622" s="9">
        <v>45029.0</v>
      </c>
    </row>
    <row r="12623">
      <c r="A12623" s="5">
        <v>12622.0</v>
      </c>
      <c r="B12623" s="5" t="s">
        <v>13040</v>
      </c>
      <c r="C12623" s="5" t="s">
        <v>21</v>
      </c>
      <c r="K12623" s="5">
        <v>250.0</v>
      </c>
      <c r="N12623" s="9">
        <v>44688.0</v>
      </c>
    </row>
    <row r="12624">
      <c r="A12624" s="5">
        <v>12623.0</v>
      </c>
      <c r="B12624" s="5" t="s">
        <v>13041</v>
      </c>
      <c r="C12624" s="5" t="s">
        <v>21</v>
      </c>
      <c r="K12624" s="5">
        <v>400.0</v>
      </c>
      <c r="N12624" s="9">
        <v>45726.0</v>
      </c>
    </row>
    <row r="12625">
      <c r="A12625" s="5">
        <v>12624.0</v>
      </c>
      <c r="B12625" s="5" t="s">
        <v>13042</v>
      </c>
      <c r="C12625" s="5" t="s">
        <v>21</v>
      </c>
      <c r="K12625" s="5">
        <v>90.0</v>
      </c>
      <c r="N12625" s="9">
        <v>44547.0</v>
      </c>
    </row>
    <row r="12626">
      <c r="A12626" s="5">
        <v>12625.0</v>
      </c>
      <c r="B12626" s="5" t="s">
        <v>13043</v>
      </c>
      <c r="C12626" s="5" t="s">
        <v>21</v>
      </c>
      <c r="K12626" s="5">
        <v>50.0</v>
      </c>
      <c r="N12626" s="9">
        <v>44855.0</v>
      </c>
    </row>
    <row r="12627">
      <c r="A12627" s="5">
        <v>12626.0</v>
      </c>
      <c r="B12627" s="5" t="s">
        <v>13044</v>
      </c>
      <c r="C12627" s="5" t="s">
        <v>21</v>
      </c>
      <c r="K12627" s="5">
        <v>500.0</v>
      </c>
      <c r="N12627" s="9">
        <v>45051.0</v>
      </c>
    </row>
    <row r="12628">
      <c r="A12628" s="5">
        <v>12627.0</v>
      </c>
      <c r="B12628" s="5" t="s">
        <v>13045</v>
      </c>
      <c r="C12628" s="5" t="s">
        <v>21</v>
      </c>
      <c r="K12628" s="5">
        <v>250.0</v>
      </c>
      <c r="N12628" s="9">
        <v>45235.0</v>
      </c>
    </row>
    <row r="12629">
      <c r="A12629" s="5">
        <v>12628.0</v>
      </c>
      <c r="B12629" s="5" t="s">
        <v>13046</v>
      </c>
      <c r="C12629" s="5" t="s">
        <v>21</v>
      </c>
      <c r="K12629" s="5">
        <v>90.0</v>
      </c>
      <c r="N12629" s="9">
        <v>44533.0</v>
      </c>
    </row>
    <row r="12630">
      <c r="A12630" s="5">
        <v>12629.0</v>
      </c>
      <c r="B12630" s="5" t="s">
        <v>448</v>
      </c>
      <c r="C12630" s="5" t="s">
        <v>21</v>
      </c>
      <c r="K12630" s="5">
        <v>100.0</v>
      </c>
      <c r="N12630" s="9">
        <v>44479.0</v>
      </c>
    </row>
    <row r="12631">
      <c r="A12631" s="5">
        <v>12630.0</v>
      </c>
      <c r="B12631" s="5" t="s">
        <v>13047</v>
      </c>
      <c r="C12631" s="5" t="s">
        <v>21</v>
      </c>
      <c r="K12631" s="5">
        <v>500.0</v>
      </c>
      <c r="N12631" s="9">
        <v>45157.0</v>
      </c>
    </row>
    <row r="12632">
      <c r="A12632" s="5">
        <v>12631.0</v>
      </c>
      <c r="B12632" s="5" t="s">
        <v>13048</v>
      </c>
      <c r="C12632" s="5" t="s">
        <v>21</v>
      </c>
      <c r="K12632" s="5">
        <v>2600.0</v>
      </c>
      <c r="N12632" s="9">
        <v>44548.0</v>
      </c>
    </row>
    <row r="12633">
      <c r="A12633" s="5">
        <v>12632.0</v>
      </c>
      <c r="B12633" s="5" t="s">
        <v>13049</v>
      </c>
      <c r="C12633" s="5" t="s">
        <v>21</v>
      </c>
      <c r="K12633" s="5">
        <v>1500.0</v>
      </c>
      <c r="N12633" s="9">
        <v>44184.0</v>
      </c>
    </row>
    <row r="12634">
      <c r="A12634" s="5">
        <v>12633.0</v>
      </c>
      <c r="B12634" s="5" t="s">
        <v>13050</v>
      </c>
      <c r="C12634" s="5" t="s">
        <v>21</v>
      </c>
      <c r="K12634" s="5">
        <v>20.0</v>
      </c>
      <c r="N12634" s="9">
        <v>45071.0</v>
      </c>
    </row>
    <row r="12635">
      <c r="A12635" s="5">
        <v>12634.0</v>
      </c>
      <c r="B12635" s="5" t="s">
        <v>13051</v>
      </c>
      <c r="C12635" s="5" t="s">
        <v>21</v>
      </c>
      <c r="K12635" s="5">
        <v>300.0</v>
      </c>
      <c r="N12635" s="9">
        <v>45165.0</v>
      </c>
    </row>
    <row r="12636">
      <c r="A12636" s="5">
        <v>12635.0</v>
      </c>
      <c r="B12636" s="5" t="s">
        <v>13052</v>
      </c>
      <c r="C12636" s="5" t="s">
        <v>21</v>
      </c>
      <c r="K12636" s="5">
        <v>700.0</v>
      </c>
      <c r="N12636" s="9">
        <v>44406.0</v>
      </c>
    </row>
    <row r="12637">
      <c r="A12637" s="5">
        <v>12636.0</v>
      </c>
      <c r="B12637" s="5" t="s">
        <v>13053</v>
      </c>
      <c r="C12637" s="5" t="s">
        <v>21</v>
      </c>
      <c r="K12637" s="5">
        <v>150.0</v>
      </c>
      <c r="N12637" s="9">
        <v>44764.0</v>
      </c>
    </row>
    <row r="12638">
      <c r="A12638" s="5">
        <v>12637.0</v>
      </c>
      <c r="B12638" s="5" t="s">
        <v>13054</v>
      </c>
      <c r="C12638" s="5" t="s">
        <v>21</v>
      </c>
      <c r="N12638" s="9">
        <v>44523.0</v>
      </c>
    </row>
    <row r="12639">
      <c r="A12639" s="5">
        <v>12638.0</v>
      </c>
      <c r="B12639" s="5" t="s">
        <v>13055</v>
      </c>
      <c r="C12639" s="5" t="s">
        <v>21</v>
      </c>
      <c r="K12639" s="5">
        <v>1200.0</v>
      </c>
      <c r="N12639" s="9">
        <v>43860.0</v>
      </c>
    </row>
    <row r="12640">
      <c r="A12640" s="5">
        <v>12639.0</v>
      </c>
      <c r="B12640" s="5" t="s">
        <v>13056</v>
      </c>
      <c r="C12640" s="5" t="s">
        <v>21</v>
      </c>
      <c r="K12640" s="5">
        <v>10.0</v>
      </c>
      <c r="N12640" s="9">
        <v>44511.0</v>
      </c>
    </row>
    <row r="12641">
      <c r="A12641" s="5">
        <v>12640.0</v>
      </c>
      <c r="B12641" s="5" t="s">
        <v>13057</v>
      </c>
      <c r="C12641" s="5" t="s">
        <v>21</v>
      </c>
      <c r="K12641" s="5">
        <v>150.0</v>
      </c>
      <c r="N12641" s="9">
        <v>44491.0</v>
      </c>
    </row>
    <row r="12642">
      <c r="A12642" s="5">
        <v>12641.0</v>
      </c>
      <c r="B12642" s="5" t="s">
        <v>13058</v>
      </c>
      <c r="C12642" s="5" t="s">
        <v>21</v>
      </c>
      <c r="K12642" s="5">
        <v>5200.0</v>
      </c>
      <c r="N12642" s="9">
        <v>44535.0</v>
      </c>
    </row>
    <row r="12643">
      <c r="A12643" s="5">
        <v>12642.0</v>
      </c>
      <c r="B12643" s="5" t="s">
        <v>13059</v>
      </c>
      <c r="C12643" s="5" t="s">
        <v>21</v>
      </c>
      <c r="K12643" s="5">
        <v>800.0</v>
      </c>
      <c r="N12643" s="9">
        <v>44600.0</v>
      </c>
    </row>
    <row r="12644">
      <c r="A12644" s="5">
        <v>12643.0</v>
      </c>
      <c r="B12644" s="5" t="s">
        <v>13060</v>
      </c>
      <c r="C12644" s="5" t="s">
        <v>21</v>
      </c>
      <c r="K12644" s="5">
        <v>40.0</v>
      </c>
      <c r="N12644" s="9">
        <v>44155.0</v>
      </c>
    </row>
    <row r="12645">
      <c r="A12645" s="5">
        <v>12644.0</v>
      </c>
      <c r="B12645" s="5" t="s">
        <v>13061</v>
      </c>
      <c r="C12645" s="5" t="s">
        <v>21</v>
      </c>
      <c r="K12645" s="5">
        <v>900.0</v>
      </c>
      <c r="N12645" s="9">
        <v>44133.0</v>
      </c>
    </row>
    <row r="12646">
      <c r="A12646" s="5">
        <v>12645.0</v>
      </c>
      <c r="B12646" s="5" t="s">
        <v>13062</v>
      </c>
      <c r="C12646" s="5" t="s">
        <v>21</v>
      </c>
      <c r="K12646" s="5">
        <v>450.0</v>
      </c>
      <c r="N12646" s="9">
        <v>44527.0</v>
      </c>
    </row>
    <row r="12647">
      <c r="A12647" s="5">
        <v>12646.0</v>
      </c>
      <c r="B12647" s="5" t="s">
        <v>13063</v>
      </c>
      <c r="C12647" s="5" t="s">
        <v>21</v>
      </c>
      <c r="K12647" s="5">
        <v>1400.0</v>
      </c>
      <c r="N12647" s="9">
        <v>44910.0</v>
      </c>
    </row>
    <row r="12648">
      <c r="A12648" s="5">
        <v>12647.0</v>
      </c>
      <c r="B12648" s="5" t="s">
        <v>13064</v>
      </c>
      <c r="C12648" s="5" t="s">
        <v>21</v>
      </c>
      <c r="K12648" s="5">
        <v>250.0</v>
      </c>
      <c r="N12648" s="9">
        <v>44591.0</v>
      </c>
    </row>
    <row r="12649">
      <c r="A12649" s="5">
        <v>12648.0</v>
      </c>
      <c r="B12649" s="5" t="s">
        <v>13065</v>
      </c>
      <c r="C12649" s="5" t="s">
        <v>21</v>
      </c>
      <c r="K12649" s="5">
        <v>600.0</v>
      </c>
      <c r="N12649" s="9">
        <v>44736.0</v>
      </c>
    </row>
    <row r="12650">
      <c r="A12650" s="5">
        <v>12649.0</v>
      </c>
      <c r="B12650" s="5" t="s">
        <v>13066</v>
      </c>
      <c r="C12650" s="5" t="s">
        <v>21</v>
      </c>
      <c r="K12650" s="5">
        <v>200.0</v>
      </c>
      <c r="N12650" s="9">
        <v>44536.0</v>
      </c>
    </row>
    <row r="12651">
      <c r="A12651" s="5">
        <v>12650.0</v>
      </c>
      <c r="B12651" s="5" t="s">
        <v>13067</v>
      </c>
      <c r="C12651" s="5" t="s">
        <v>21</v>
      </c>
      <c r="K12651" s="5">
        <v>450.0</v>
      </c>
      <c r="N12651" s="9">
        <v>44718.0</v>
      </c>
    </row>
    <row r="12652">
      <c r="A12652" s="5">
        <v>12651.0</v>
      </c>
      <c r="B12652" s="5" t="s">
        <v>13068</v>
      </c>
      <c r="C12652" s="5" t="s">
        <v>21</v>
      </c>
      <c r="K12652" s="5">
        <v>200.0</v>
      </c>
      <c r="N12652" s="9">
        <v>44800.0</v>
      </c>
    </row>
    <row r="12653">
      <c r="A12653" s="5">
        <v>12652.0</v>
      </c>
      <c r="B12653" s="5" t="s">
        <v>13069</v>
      </c>
      <c r="C12653" s="5" t="s">
        <v>21</v>
      </c>
      <c r="K12653" s="5">
        <v>2600.0</v>
      </c>
      <c r="N12653" s="9">
        <v>44343.0</v>
      </c>
    </row>
    <row r="12654">
      <c r="A12654" s="5">
        <v>12653.0</v>
      </c>
      <c r="B12654" s="5" t="s">
        <v>13070</v>
      </c>
      <c r="C12654" s="5" t="s">
        <v>21</v>
      </c>
      <c r="K12654" s="5">
        <v>250.0</v>
      </c>
      <c r="N12654" s="9">
        <v>43957.0</v>
      </c>
    </row>
    <row r="12655">
      <c r="A12655" s="5">
        <v>12654.0</v>
      </c>
      <c r="B12655" s="5" t="s">
        <v>13071</v>
      </c>
      <c r="C12655" s="5" t="s">
        <v>21</v>
      </c>
      <c r="K12655" s="5">
        <v>10.0</v>
      </c>
      <c r="N12655" s="9">
        <v>44801.0</v>
      </c>
    </row>
    <row r="12656">
      <c r="A12656" s="5">
        <v>12655.0</v>
      </c>
      <c r="B12656" s="5" t="s">
        <v>13072</v>
      </c>
      <c r="C12656" s="5" t="s">
        <v>21</v>
      </c>
      <c r="K12656" s="5">
        <v>250.0</v>
      </c>
      <c r="N12656" s="9">
        <v>44520.0</v>
      </c>
    </row>
    <row r="12657">
      <c r="A12657" s="5">
        <v>12656.0</v>
      </c>
      <c r="B12657" s="5" t="s">
        <v>13073</v>
      </c>
      <c r="C12657" s="5" t="s">
        <v>21</v>
      </c>
      <c r="K12657" s="5">
        <v>100.0</v>
      </c>
      <c r="N12657" s="9">
        <v>44870.0</v>
      </c>
    </row>
    <row r="12658">
      <c r="A12658" s="5">
        <v>12657.0</v>
      </c>
      <c r="B12658" s="5" t="s">
        <v>13074</v>
      </c>
      <c r="C12658" s="5" t="s">
        <v>21</v>
      </c>
      <c r="K12658" s="5">
        <v>200.0</v>
      </c>
      <c r="N12658" s="9">
        <v>45263.0</v>
      </c>
    </row>
    <row r="12659">
      <c r="A12659" s="5">
        <v>12658.0</v>
      </c>
      <c r="B12659" s="5" t="s">
        <v>13075</v>
      </c>
      <c r="C12659" s="5" t="s">
        <v>21</v>
      </c>
      <c r="K12659" s="5">
        <v>350.0</v>
      </c>
      <c r="N12659" s="9">
        <v>44709.0</v>
      </c>
    </row>
    <row r="12660">
      <c r="A12660" s="5">
        <v>12659.0</v>
      </c>
      <c r="B12660" s="5" t="s">
        <v>13076</v>
      </c>
      <c r="C12660" s="5" t="s">
        <v>21</v>
      </c>
      <c r="K12660" s="5">
        <v>600.0</v>
      </c>
      <c r="N12660" s="9">
        <v>45029.0</v>
      </c>
    </row>
    <row r="12661">
      <c r="A12661" s="5">
        <v>12660.0</v>
      </c>
      <c r="B12661" s="5" t="s">
        <v>13077</v>
      </c>
      <c r="C12661" s="5" t="s">
        <v>21</v>
      </c>
      <c r="K12661" s="5">
        <v>400.0</v>
      </c>
      <c r="N12661" s="9">
        <v>44243.0</v>
      </c>
    </row>
    <row r="12662">
      <c r="A12662" s="5">
        <v>12661.0</v>
      </c>
      <c r="B12662" s="5" t="s">
        <v>13078</v>
      </c>
      <c r="C12662" s="5" t="s">
        <v>21</v>
      </c>
      <c r="K12662" s="5">
        <v>70.0</v>
      </c>
      <c r="N12662" s="9">
        <v>44394.0</v>
      </c>
    </row>
    <row r="12663">
      <c r="A12663" s="5">
        <v>12662.0</v>
      </c>
      <c r="B12663" s="5" t="s">
        <v>13079</v>
      </c>
      <c r="C12663" s="5" t="s">
        <v>21</v>
      </c>
      <c r="K12663" s="5">
        <v>700.0</v>
      </c>
      <c r="N12663" s="9">
        <v>44097.0</v>
      </c>
    </row>
    <row r="12664">
      <c r="A12664" s="5">
        <v>12663.0</v>
      </c>
      <c r="B12664" s="5" t="s">
        <v>13080</v>
      </c>
      <c r="C12664" s="5" t="s">
        <v>21</v>
      </c>
      <c r="K12664" s="5">
        <v>400.0</v>
      </c>
      <c r="N12664" s="9">
        <v>44267.0</v>
      </c>
    </row>
    <row r="12665">
      <c r="A12665" s="5">
        <v>12664.0</v>
      </c>
      <c r="B12665" s="5" t="s">
        <v>13081</v>
      </c>
      <c r="C12665" s="5" t="s">
        <v>21</v>
      </c>
      <c r="K12665" s="5">
        <v>450.0</v>
      </c>
      <c r="N12665" s="9">
        <v>44516.0</v>
      </c>
    </row>
    <row r="12666">
      <c r="A12666" s="5">
        <v>12665.0</v>
      </c>
      <c r="B12666" s="5" t="s">
        <v>13082</v>
      </c>
      <c r="C12666" s="5" t="s">
        <v>21</v>
      </c>
      <c r="K12666" s="5">
        <v>250.0</v>
      </c>
      <c r="N12666" s="9">
        <v>44334.0</v>
      </c>
    </row>
    <row r="12667">
      <c r="A12667" s="5">
        <v>12666.0</v>
      </c>
      <c r="B12667" s="5" t="s">
        <v>13083</v>
      </c>
      <c r="C12667" s="5" t="s">
        <v>21</v>
      </c>
      <c r="K12667" s="5">
        <v>400.0</v>
      </c>
      <c r="N12667" s="9">
        <v>44479.0</v>
      </c>
    </row>
    <row r="12668">
      <c r="A12668" s="5">
        <v>12667.0</v>
      </c>
      <c r="B12668" s="5" t="s">
        <v>13084</v>
      </c>
      <c r="C12668" s="5" t="s">
        <v>21</v>
      </c>
      <c r="K12668" s="5">
        <v>100.0</v>
      </c>
      <c r="N12668" s="9">
        <v>44613.0</v>
      </c>
    </row>
    <row r="12669">
      <c r="A12669" s="5">
        <v>12668.0</v>
      </c>
      <c r="B12669" s="5" t="s">
        <v>13085</v>
      </c>
      <c r="C12669" s="5" t="s">
        <v>21</v>
      </c>
      <c r="K12669" s="5">
        <v>300.0</v>
      </c>
      <c r="N12669" s="9">
        <v>45124.0</v>
      </c>
    </row>
    <row r="12670">
      <c r="A12670" s="5">
        <v>12669.0</v>
      </c>
      <c r="B12670" s="5" t="s">
        <v>13086</v>
      </c>
      <c r="C12670" s="5" t="s">
        <v>21</v>
      </c>
      <c r="K12670" s="5">
        <v>600.0</v>
      </c>
      <c r="N12670" s="9">
        <v>44719.0</v>
      </c>
    </row>
    <row r="12671">
      <c r="A12671" s="5">
        <v>12670.0</v>
      </c>
      <c r="B12671" s="5" t="s">
        <v>13087</v>
      </c>
      <c r="C12671" s="5" t="s">
        <v>21</v>
      </c>
      <c r="K12671" s="5">
        <v>90.0</v>
      </c>
      <c r="N12671" s="9">
        <v>44714.0</v>
      </c>
    </row>
    <row r="12672">
      <c r="A12672" s="5">
        <v>12671.0</v>
      </c>
      <c r="B12672" s="5" t="s">
        <v>13088</v>
      </c>
      <c r="C12672" s="5" t="s">
        <v>21</v>
      </c>
      <c r="K12672" s="5">
        <v>60.0</v>
      </c>
      <c r="N12672" s="9">
        <v>44557.0</v>
      </c>
    </row>
    <row r="12673">
      <c r="A12673" s="5">
        <v>12672.0</v>
      </c>
      <c r="B12673" s="5" t="s">
        <v>13089</v>
      </c>
      <c r="C12673" s="5" t="s">
        <v>21</v>
      </c>
      <c r="K12673" s="5">
        <v>200.0</v>
      </c>
      <c r="N12673" s="9">
        <v>44307.0</v>
      </c>
    </row>
    <row r="12674">
      <c r="A12674" s="5">
        <v>12673.0</v>
      </c>
      <c r="B12674" s="5" t="s">
        <v>13090</v>
      </c>
      <c r="C12674" s="5" t="s">
        <v>21</v>
      </c>
      <c r="K12674" s="5">
        <v>1000.0</v>
      </c>
      <c r="N12674" s="9">
        <v>44818.0</v>
      </c>
    </row>
    <row r="12675">
      <c r="A12675" s="5">
        <v>12674.0</v>
      </c>
      <c r="B12675" s="5" t="s">
        <v>13091</v>
      </c>
      <c r="C12675" s="5" t="s">
        <v>21</v>
      </c>
      <c r="K12675" s="5">
        <v>450.0</v>
      </c>
      <c r="N12675" s="9">
        <v>44481.0</v>
      </c>
    </row>
    <row r="12676">
      <c r="A12676" s="5">
        <v>12675.0</v>
      </c>
      <c r="B12676" s="5" t="s">
        <v>13092</v>
      </c>
      <c r="C12676" s="5" t="s">
        <v>21</v>
      </c>
      <c r="K12676" s="5">
        <v>700.0</v>
      </c>
      <c r="N12676" s="9">
        <v>44409.0</v>
      </c>
    </row>
    <row r="12677">
      <c r="A12677" s="5">
        <v>12676.0</v>
      </c>
      <c r="B12677" s="5" t="s">
        <v>13093</v>
      </c>
      <c r="C12677" s="5" t="s">
        <v>21</v>
      </c>
      <c r="K12677" s="5">
        <v>600.0</v>
      </c>
      <c r="N12677" s="9">
        <v>45314.0</v>
      </c>
    </row>
    <row r="12678">
      <c r="A12678" s="5">
        <v>12677.0</v>
      </c>
      <c r="B12678" s="5" t="s">
        <v>13094</v>
      </c>
      <c r="C12678" s="5" t="s">
        <v>21</v>
      </c>
      <c r="K12678" s="5">
        <v>100.0</v>
      </c>
      <c r="N12678" s="9">
        <v>44337.0</v>
      </c>
    </row>
    <row r="12679">
      <c r="A12679" s="5">
        <v>12678.0</v>
      </c>
      <c r="B12679" s="5" t="s">
        <v>13095</v>
      </c>
      <c r="C12679" s="5" t="s">
        <v>21</v>
      </c>
      <c r="K12679" s="5">
        <v>150.0</v>
      </c>
      <c r="N12679" s="9">
        <v>44562.0</v>
      </c>
    </row>
    <row r="12680">
      <c r="A12680" s="5">
        <v>12679.0</v>
      </c>
      <c r="B12680" s="5" t="s">
        <v>13096</v>
      </c>
      <c r="C12680" s="5" t="s">
        <v>21</v>
      </c>
      <c r="K12680" s="5">
        <v>800.0</v>
      </c>
      <c r="N12680" s="9">
        <v>44377.0</v>
      </c>
    </row>
    <row r="12681">
      <c r="A12681" s="5">
        <v>12680.0</v>
      </c>
      <c r="B12681" s="5" t="s">
        <v>13097</v>
      </c>
      <c r="C12681" s="5" t="s">
        <v>21</v>
      </c>
      <c r="K12681" s="5">
        <v>200.0</v>
      </c>
      <c r="N12681" s="9">
        <v>44690.0</v>
      </c>
    </row>
    <row r="12682">
      <c r="A12682" s="5">
        <v>12681.0</v>
      </c>
      <c r="B12682" s="5" t="s">
        <v>13098</v>
      </c>
      <c r="C12682" s="5" t="s">
        <v>21</v>
      </c>
      <c r="K12682" s="5">
        <v>300.0</v>
      </c>
      <c r="N12682" s="9">
        <v>44899.0</v>
      </c>
    </row>
    <row r="12683">
      <c r="A12683" s="5">
        <v>12682.0</v>
      </c>
      <c r="B12683" s="5" t="s">
        <v>13099</v>
      </c>
      <c r="C12683" s="5" t="s">
        <v>21</v>
      </c>
      <c r="K12683" s="5">
        <v>9700.0</v>
      </c>
      <c r="N12683" s="9">
        <v>43861.0</v>
      </c>
    </row>
    <row r="12684">
      <c r="A12684" s="5">
        <v>12683.0</v>
      </c>
      <c r="B12684" s="5" t="s">
        <v>13100</v>
      </c>
      <c r="C12684" s="5" t="s">
        <v>21</v>
      </c>
      <c r="K12684" s="5">
        <v>150.0</v>
      </c>
      <c r="N12684" s="9">
        <v>45416.0</v>
      </c>
    </row>
    <row r="12685">
      <c r="A12685" s="5">
        <v>12684.0</v>
      </c>
      <c r="B12685" s="5" t="s">
        <v>13101</v>
      </c>
      <c r="C12685" s="5" t="s">
        <v>21</v>
      </c>
      <c r="K12685" s="5">
        <v>250.0</v>
      </c>
      <c r="N12685" s="9">
        <v>44392.0</v>
      </c>
    </row>
    <row r="12686">
      <c r="A12686" s="5">
        <v>12685.0</v>
      </c>
      <c r="B12686" s="5" t="s">
        <v>13102</v>
      </c>
      <c r="C12686" s="5" t="s">
        <v>21</v>
      </c>
      <c r="K12686" s="5">
        <v>300.0</v>
      </c>
      <c r="N12686" s="9">
        <v>44579.0</v>
      </c>
    </row>
    <row r="12687">
      <c r="A12687" s="5">
        <v>12686.0</v>
      </c>
      <c r="B12687" s="5" t="s">
        <v>13103</v>
      </c>
      <c r="C12687" s="5" t="s">
        <v>21</v>
      </c>
      <c r="K12687" s="5">
        <v>30.0</v>
      </c>
      <c r="N12687" s="9">
        <v>44973.0</v>
      </c>
    </row>
    <row r="12688">
      <c r="A12688" s="5">
        <v>12687.0</v>
      </c>
      <c r="B12688" s="5" t="s">
        <v>13104</v>
      </c>
      <c r="C12688" s="5" t="s">
        <v>21</v>
      </c>
      <c r="K12688" s="5">
        <v>300.0</v>
      </c>
      <c r="N12688" s="9">
        <v>44701.0</v>
      </c>
    </row>
    <row r="12689">
      <c r="A12689" s="5">
        <v>12688.0</v>
      </c>
      <c r="B12689" s="5" t="s">
        <v>13105</v>
      </c>
      <c r="C12689" s="5" t="s">
        <v>21</v>
      </c>
      <c r="K12689" s="5">
        <v>150.0</v>
      </c>
      <c r="N12689" s="9">
        <v>44727.0</v>
      </c>
    </row>
    <row r="12690">
      <c r="A12690" s="5">
        <v>12689.0</v>
      </c>
      <c r="B12690" s="5" t="s">
        <v>13106</v>
      </c>
      <c r="C12690" s="5" t="s">
        <v>21</v>
      </c>
      <c r="K12690" s="5">
        <v>80.0</v>
      </c>
      <c r="N12690" s="9">
        <v>44696.0</v>
      </c>
    </row>
    <row r="12691">
      <c r="A12691" s="5">
        <v>12690.0</v>
      </c>
      <c r="B12691" s="5" t="s">
        <v>13107</v>
      </c>
      <c r="C12691" s="5" t="s">
        <v>21</v>
      </c>
      <c r="K12691" s="5">
        <v>100.0</v>
      </c>
      <c r="N12691" s="9">
        <v>44516.0</v>
      </c>
    </row>
    <row r="12692">
      <c r="A12692" s="5">
        <v>12691.0</v>
      </c>
      <c r="B12692" s="5" t="s">
        <v>13108</v>
      </c>
      <c r="C12692" s="5" t="s">
        <v>21</v>
      </c>
      <c r="K12692" s="5">
        <v>1200.0</v>
      </c>
      <c r="N12692" s="9">
        <v>44638.0</v>
      </c>
    </row>
    <row r="12693">
      <c r="A12693" s="5">
        <v>12692.0</v>
      </c>
      <c r="B12693" s="5" t="s">
        <v>13109</v>
      </c>
      <c r="C12693" s="5" t="s">
        <v>21</v>
      </c>
      <c r="K12693" s="5">
        <v>1500.0</v>
      </c>
      <c r="N12693" s="9">
        <v>44521.0</v>
      </c>
    </row>
    <row r="12694">
      <c r="A12694" s="5">
        <v>12693.0</v>
      </c>
      <c r="B12694" s="5" t="s">
        <v>13110</v>
      </c>
      <c r="C12694" s="5" t="s">
        <v>21</v>
      </c>
      <c r="K12694" s="5">
        <v>250.0</v>
      </c>
      <c r="N12694" s="9">
        <v>45423.0</v>
      </c>
    </row>
    <row r="12695">
      <c r="A12695" s="5">
        <v>12694.0</v>
      </c>
      <c r="B12695" s="5" t="s">
        <v>13111</v>
      </c>
      <c r="C12695" s="5" t="s">
        <v>21</v>
      </c>
      <c r="K12695" s="5">
        <v>450.0</v>
      </c>
      <c r="N12695" s="9">
        <v>43950.0</v>
      </c>
    </row>
    <row r="12696">
      <c r="A12696" s="5">
        <v>12695.0</v>
      </c>
      <c r="B12696" s="5" t="s">
        <v>13112</v>
      </c>
      <c r="C12696" s="5" t="s">
        <v>21</v>
      </c>
      <c r="K12696" s="5">
        <v>500.0</v>
      </c>
      <c r="N12696" s="9">
        <v>44533.0</v>
      </c>
    </row>
    <row r="12697">
      <c r="A12697" s="5">
        <v>12696.0</v>
      </c>
      <c r="B12697" s="5" t="s">
        <v>13113</v>
      </c>
      <c r="C12697" s="5" t="s">
        <v>21</v>
      </c>
      <c r="K12697" s="5">
        <v>1300.0</v>
      </c>
      <c r="N12697" s="9">
        <v>43842.0</v>
      </c>
    </row>
    <row r="12698">
      <c r="A12698" s="5">
        <v>12697.0</v>
      </c>
      <c r="B12698" s="5" t="s">
        <v>13114</v>
      </c>
      <c r="C12698" s="5" t="s">
        <v>21</v>
      </c>
      <c r="K12698" s="5">
        <v>200.0</v>
      </c>
      <c r="N12698" s="9">
        <v>44146.0</v>
      </c>
    </row>
    <row r="12699">
      <c r="A12699" s="5">
        <v>12698.0</v>
      </c>
      <c r="B12699" s="5" t="s">
        <v>451</v>
      </c>
      <c r="C12699" s="5" t="s">
        <v>21</v>
      </c>
      <c r="K12699" s="5">
        <v>60.0</v>
      </c>
      <c r="N12699" s="9">
        <v>45574.0</v>
      </c>
    </row>
    <row r="12700">
      <c r="A12700" s="5">
        <v>12699.0</v>
      </c>
      <c r="B12700" s="5" t="s">
        <v>13115</v>
      </c>
      <c r="C12700" s="5" t="s">
        <v>21</v>
      </c>
      <c r="K12700" s="5">
        <v>70.0</v>
      </c>
      <c r="N12700" s="9">
        <v>45257.0</v>
      </c>
    </row>
    <row r="12701">
      <c r="A12701" s="5">
        <v>12700.0</v>
      </c>
      <c r="B12701" s="5" t="s">
        <v>13116</v>
      </c>
      <c r="C12701" s="5" t="s">
        <v>21</v>
      </c>
      <c r="K12701" s="5">
        <v>350.0</v>
      </c>
      <c r="N12701" s="9">
        <v>44529.0</v>
      </c>
    </row>
    <row r="12702">
      <c r="A12702" s="5">
        <v>12701.0</v>
      </c>
      <c r="B12702" s="5" t="s">
        <v>453</v>
      </c>
      <c r="C12702" s="5" t="s">
        <v>21</v>
      </c>
      <c r="K12702" s="5">
        <v>500.0</v>
      </c>
      <c r="N12702" s="9">
        <v>44423.0</v>
      </c>
    </row>
    <row r="12703">
      <c r="A12703" s="5">
        <v>12702.0</v>
      </c>
      <c r="B12703" s="5" t="s">
        <v>13117</v>
      </c>
      <c r="C12703" s="5" t="s">
        <v>21</v>
      </c>
      <c r="K12703" s="5">
        <v>400.0</v>
      </c>
      <c r="N12703" s="9">
        <v>44598.0</v>
      </c>
    </row>
    <row r="12704">
      <c r="A12704" s="5">
        <v>12703.0</v>
      </c>
      <c r="B12704" s="5" t="s">
        <v>13118</v>
      </c>
      <c r="C12704" s="5" t="s">
        <v>21</v>
      </c>
      <c r="K12704" s="5">
        <v>250.0</v>
      </c>
      <c r="N12704" s="9">
        <v>44309.0</v>
      </c>
    </row>
    <row r="12705">
      <c r="A12705" s="5">
        <v>12704.0</v>
      </c>
      <c r="B12705" s="5" t="s">
        <v>13119</v>
      </c>
      <c r="C12705" s="5" t="s">
        <v>21</v>
      </c>
      <c r="N12705" s="9">
        <v>44518.0</v>
      </c>
    </row>
    <row r="12706">
      <c r="A12706" s="5">
        <v>12705.0</v>
      </c>
      <c r="B12706" s="5" t="s">
        <v>13120</v>
      </c>
      <c r="C12706" s="5" t="s">
        <v>21</v>
      </c>
      <c r="K12706" s="5">
        <v>20.0</v>
      </c>
      <c r="N12706" s="9">
        <v>44866.0</v>
      </c>
    </row>
    <row r="12707">
      <c r="A12707" s="5">
        <v>12706.0</v>
      </c>
      <c r="B12707" s="5" t="s">
        <v>13121</v>
      </c>
      <c r="C12707" s="5" t="s">
        <v>21</v>
      </c>
      <c r="K12707" s="5">
        <v>400.0</v>
      </c>
      <c r="N12707" s="9">
        <v>44562.0</v>
      </c>
    </row>
    <row r="12708">
      <c r="A12708" s="5">
        <v>12707.0</v>
      </c>
      <c r="B12708" s="5" t="s">
        <v>13122</v>
      </c>
      <c r="C12708" s="5" t="s">
        <v>21</v>
      </c>
      <c r="K12708" s="5">
        <v>1000.0</v>
      </c>
      <c r="N12708" s="9">
        <v>44226.0</v>
      </c>
    </row>
    <row r="12709">
      <c r="A12709" s="5">
        <v>12708.0</v>
      </c>
      <c r="B12709" s="5" t="s">
        <v>13123</v>
      </c>
      <c r="C12709" s="5" t="s">
        <v>21</v>
      </c>
      <c r="K12709" s="5">
        <v>600.0</v>
      </c>
      <c r="N12709" s="9">
        <v>44400.0</v>
      </c>
    </row>
    <row r="12710">
      <c r="A12710" s="5">
        <v>12709.0</v>
      </c>
      <c r="B12710" s="5" t="s">
        <v>13124</v>
      </c>
      <c r="C12710" s="5" t="s">
        <v>21</v>
      </c>
      <c r="K12710" s="5">
        <v>150.0</v>
      </c>
      <c r="N12710" s="9">
        <v>44878.0</v>
      </c>
    </row>
    <row r="12711">
      <c r="A12711" s="5">
        <v>12710.0</v>
      </c>
      <c r="B12711" s="5" t="s">
        <v>13125</v>
      </c>
      <c r="C12711" s="5" t="s">
        <v>21</v>
      </c>
      <c r="K12711" s="5">
        <v>600.0</v>
      </c>
      <c r="N12711" s="9">
        <v>44530.0</v>
      </c>
    </row>
    <row r="12712">
      <c r="A12712" s="5">
        <v>12711.0</v>
      </c>
      <c r="B12712" s="5" t="s">
        <v>13126</v>
      </c>
      <c r="C12712" s="5" t="s">
        <v>21</v>
      </c>
      <c r="K12712" s="5">
        <v>400.0</v>
      </c>
      <c r="N12712" s="9">
        <v>45126.0</v>
      </c>
    </row>
    <row r="12713">
      <c r="A12713" s="5">
        <v>12712.0</v>
      </c>
      <c r="B12713" s="5" t="s">
        <v>13127</v>
      </c>
      <c r="C12713" s="5" t="s">
        <v>21</v>
      </c>
      <c r="K12713" s="5">
        <v>200.0</v>
      </c>
      <c r="N12713" s="9">
        <v>44753.0</v>
      </c>
    </row>
    <row r="12714">
      <c r="A12714" s="5">
        <v>12713.0</v>
      </c>
      <c r="B12714" s="5" t="s">
        <v>13128</v>
      </c>
      <c r="C12714" s="5" t="s">
        <v>21</v>
      </c>
      <c r="K12714" s="5">
        <v>300.0</v>
      </c>
      <c r="N12714" s="9">
        <v>44335.0</v>
      </c>
    </row>
    <row r="12715">
      <c r="A12715" s="5">
        <v>12714.0</v>
      </c>
      <c r="B12715" s="5" t="s">
        <v>13129</v>
      </c>
      <c r="C12715" s="5" t="s">
        <v>21</v>
      </c>
      <c r="K12715" s="5">
        <v>200.0</v>
      </c>
      <c r="N12715" s="9">
        <v>45480.0</v>
      </c>
    </row>
    <row r="12716">
      <c r="A12716" s="5">
        <v>12715.0</v>
      </c>
      <c r="B12716" s="5" t="s">
        <v>13130</v>
      </c>
      <c r="C12716" s="5" t="s">
        <v>21</v>
      </c>
      <c r="K12716" s="5">
        <v>350.0</v>
      </c>
      <c r="N12716" s="9">
        <v>45558.0</v>
      </c>
    </row>
    <row r="12717">
      <c r="A12717" s="5">
        <v>12716.0</v>
      </c>
      <c r="B12717" s="5" t="s">
        <v>13131</v>
      </c>
      <c r="C12717" s="5" t="s">
        <v>21</v>
      </c>
      <c r="K12717" s="5">
        <v>50.0</v>
      </c>
      <c r="N12717" s="9">
        <v>44484.0</v>
      </c>
    </row>
    <row r="12718">
      <c r="A12718" s="5">
        <v>12717.0</v>
      </c>
      <c r="B12718" s="5" t="s">
        <v>13132</v>
      </c>
      <c r="C12718" s="5" t="s">
        <v>21</v>
      </c>
      <c r="N12718" s="9">
        <v>44633.0</v>
      </c>
    </row>
    <row r="12719">
      <c r="A12719" s="5">
        <v>12718.0</v>
      </c>
      <c r="B12719" s="5" t="s">
        <v>13133</v>
      </c>
      <c r="C12719" s="5" t="s">
        <v>21</v>
      </c>
      <c r="K12719" s="5">
        <v>300.0</v>
      </c>
      <c r="N12719" s="9">
        <v>44571.0</v>
      </c>
    </row>
    <row r="12720">
      <c r="A12720" s="5">
        <v>12719.0</v>
      </c>
      <c r="B12720" s="5" t="s">
        <v>13134</v>
      </c>
      <c r="C12720" s="5" t="s">
        <v>21</v>
      </c>
      <c r="K12720" s="5">
        <v>200.0</v>
      </c>
      <c r="N12720" s="9">
        <v>45029.0</v>
      </c>
    </row>
    <row r="12721">
      <c r="A12721" s="5">
        <v>12720.0</v>
      </c>
      <c r="B12721" s="5" t="s">
        <v>13135</v>
      </c>
      <c r="C12721" s="5" t="s">
        <v>21</v>
      </c>
      <c r="K12721" s="5">
        <v>1000.0</v>
      </c>
      <c r="N12721" s="9">
        <v>44526.0</v>
      </c>
    </row>
    <row r="12722">
      <c r="A12722" s="5">
        <v>12721.0</v>
      </c>
      <c r="B12722" s="5" t="s">
        <v>13136</v>
      </c>
      <c r="C12722" s="5" t="s">
        <v>21</v>
      </c>
      <c r="K12722" s="5">
        <v>90.0</v>
      </c>
      <c r="N12722" s="9">
        <v>43938.0</v>
      </c>
    </row>
    <row r="12723">
      <c r="A12723" s="5">
        <v>12722.0</v>
      </c>
      <c r="B12723" s="5" t="s">
        <v>13137</v>
      </c>
      <c r="C12723" s="5" t="s">
        <v>21</v>
      </c>
      <c r="K12723" s="5">
        <v>250.0</v>
      </c>
      <c r="N12723" s="9">
        <v>44577.0</v>
      </c>
    </row>
    <row r="12724">
      <c r="A12724" s="5">
        <v>12723.0</v>
      </c>
      <c r="B12724" s="5" t="s">
        <v>13138</v>
      </c>
      <c r="C12724" s="5" t="s">
        <v>21</v>
      </c>
      <c r="K12724" s="5">
        <v>60.0</v>
      </c>
      <c r="N12724" s="9">
        <v>45471.0</v>
      </c>
    </row>
    <row r="12725">
      <c r="A12725" s="5">
        <v>12724.0</v>
      </c>
      <c r="B12725" s="5" t="s">
        <v>13139</v>
      </c>
      <c r="C12725" s="5" t="s">
        <v>21</v>
      </c>
      <c r="K12725" s="5">
        <v>30.0</v>
      </c>
      <c r="N12725" s="9">
        <v>44396.0</v>
      </c>
    </row>
    <row r="12726">
      <c r="A12726" s="5">
        <v>12725.0</v>
      </c>
      <c r="B12726" s="5" t="s">
        <v>13140</v>
      </c>
      <c r="C12726" s="5" t="s">
        <v>21</v>
      </c>
      <c r="K12726" s="5">
        <v>1000.0</v>
      </c>
      <c r="N12726" s="9">
        <v>44557.0</v>
      </c>
    </row>
    <row r="12727">
      <c r="A12727" s="5">
        <v>12726.0</v>
      </c>
      <c r="B12727" s="5" t="s">
        <v>13141</v>
      </c>
      <c r="C12727" s="5" t="s">
        <v>21</v>
      </c>
      <c r="K12727" s="5">
        <v>200.0</v>
      </c>
      <c r="N12727" s="9">
        <v>44640.0</v>
      </c>
    </row>
    <row r="12728">
      <c r="A12728" s="5">
        <v>12727.0</v>
      </c>
      <c r="B12728" s="5" t="s">
        <v>13142</v>
      </c>
      <c r="C12728" s="5" t="s">
        <v>21</v>
      </c>
      <c r="K12728" s="5">
        <v>350.0</v>
      </c>
      <c r="N12728" s="9">
        <v>45599.0</v>
      </c>
    </row>
    <row r="12729">
      <c r="A12729" s="5">
        <v>12728.0</v>
      </c>
      <c r="B12729" s="5" t="s">
        <v>13143</v>
      </c>
      <c r="C12729" s="5" t="s">
        <v>21</v>
      </c>
      <c r="K12729" s="5">
        <v>350.0</v>
      </c>
      <c r="N12729" s="9">
        <v>44625.0</v>
      </c>
    </row>
    <row r="12730">
      <c r="A12730" s="5">
        <v>12729.0</v>
      </c>
      <c r="B12730" s="5" t="s">
        <v>13144</v>
      </c>
      <c r="C12730" s="5" t="s">
        <v>21</v>
      </c>
      <c r="K12730" s="5">
        <v>300.0</v>
      </c>
      <c r="N12730" s="9">
        <v>45119.0</v>
      </c>
    </row>
    <row r="12731">
      <c r="A12731" s="5">
        <v>12730.0</v>
      </c>
      <c r="B12731" s="5" t="s">
        <v>13145</v>
      </c>
      <c r="C12731" s="5" t="s">
        <v>21</v>
      </c>
      <c r="K12731" s="5">
        <v>800.0</v>
      </c>
      <c r="N12731" s="9">
        <v>44583.0</v>
      </c>
    </row>
    <row r="12732">
      <c r="A12732" s="5">
        <v>12731.0</v>
      </c>
      <c r="B12732" s="5" t="s">
        <v>13146</v>
      </c>
      <c r="C12732" s="5" t="s">
        <v>21</v>
      </c>
      <c r="K12732" s="5">
        <v>300.0</v>
      </c>
      <c r="N12732" s="9">
        <v>44624.0</v>
      </c>
    </row>
    <row r="12733">
      <c r="A12733" s="5">
        <v>12732.0</v>
      </c>
      <c r="B12733" s="5" t="s">
        <v>13147</v>
      </c>
      <c r="C12733" s="5" t="s">
        <v>21</v>
      </c>
      <c r="K12733" s="5">
        <v>1400.0</v>
      </c>
      <c r="N12733" s="9">
        <v>43845.0</v>
      </c>
    </row>
    <row r="12734">
      <c r="A12734" s="5">
        <v>12733.0</v>
      </c>
      <c r="B12734" s="5" t="s">
        <v>13148</v>
      </c>
      <c r="C12734" s="5" t="s">
        <v>21</v>
      </c>
      <c r="K12734" s="5">
        <v>250.0</v>
      </c>
      <c r="N12734" s="9">
        <v>43969.0</v>
      </c>
    </row>
    <row r="12735">
      <c r="A12735" s="5">
        <v>12734.0</v>
      </c>
      <c r="B12735" s="5" t="s">
        <v>13149</v>
      </c>
      <c r="C12735" s="5" t="s">
        <v>21</v>
      </c>
      <c r="K12735" s="5">
        <v>1300.0</v>
      </c>
      <c r="N12735" s="9">
        <v>44547.0</v>
      </c>
    </row>
    <row r="12736">
      <c r="A12736" s="5">
        <v>12735.0</v>
      </c>
      <c r="B12736" s="5" t="s">
        <v>13150</v>
      </c>
      <c r="C12736" s="5" t="s">
        <v>21</v>
      </c>
      <c r="K12736" s="5">
        <v>250.0</v>
      </c>
      <c r="N12736" s="9">
        <v>44667.0</v>
      </c>
    </row>
    <row r="12737">
      <c r="A12737" s="5">
        <v>12736.0</v>
      </c>
      <c r="B12737" s="5" t="s">
        <v>13151</v>
      </c>
      <c r="C12737" s="5" t="s">
        <v>21</v>
      </c>
      <c r="K12737" s="5">
        <v>10.0</v>
      </c>
      <c r="N12737" s="9">
        <v>44816.0</v>
      </c>
    </row>
    <row r="12738">
      <c r="A12738" s="5">
        <v>12737.0</v>
      </c>
      <c r="B12738" s="5" t="s">
        <v>13152</v>
      </c>
      <c r="C12738" s="5" t="s">
        <v>21</v>
      </c>
      <c r="K12738" s="5">
        <v>60.0</v>
      </c>
      <c r="N12738" s="9">
        <v>44553.0</v>
      </c>
    </row>
    <row r="12739">
      <c r="A12739" s="5">
        <v>12738.0</v>
      </c>
      <c r="B12739" s="5" t="s">
        <v>13153</v>
      </c>
      <c r="C12739" s="5" t="s">
        <v>21</v>
      </c>
      <c r="K12739" s="5">
        <v>150.0</v>
      </c>
      <c r="N12739" s="9">
        <v>44657.0</v>
      </c>
    </row>
    <row r="12740">
      <c r="A12740" s="5">
        <v>12739.0</v>
      </c>
      <c r="B12740" s="5" t="s">
        <v>13154</v>
      </c>
      <c r="C12740" s="5" t="s">
        <v>21</v>
      </c>
      <c r="K12740" s="5">
        <v>500.0</v>
      </c>
      <c r="N12740" s="9">
        <v>44594.0</v>
      </c>
    </row>
    <row r="12741">
      <c r="A12741" s="5">
        <v>12740.0</v>
      </c>
      <c r="B12741" s="5" t="s">
        <v>13155</v>
      </c>
      <c r="C12741" s="5" t="s">
        <v>21</v>
      </c>
      <c r="K12741" s="5">
        <v>200.0</v>
      </c>
      <c r="N12741" s="9">
        <v>44652.0</v>
      </c>
    </row>
    <row r="12742">
      <c r="A12742" s="5">
        <v>12741.0</v>
      </c>
      <c r="B12742" s="5" t="s">
        <v>13156</v>
      </c>
      <c r="C12742" s="5" t="s">
        <v>21</v>
      </c>
      <c r="K12742" s="5">
        <v>500.0</v>
      </c>
      <c r="N12742" s="9">
        <v>44469.0</v>
      </c>
    </row>
    <row r="12743">
      <c r="A12743" s="5">
        <v>12742.0</v>
      </c>
      <c r="B12743" s="5" t="s">
        <v>13157</v>
      </c>
      <c r="C12743" s="5" t="s">
        <v>21</v>
      </c>
      <c r="K12743" s="5">
        <v>250.0</v>
      </c>
      <c r="N12743" s="9">
        <v>44198.0</v>
      </c>
    </row>
    <row r="12744">
      <c r="A12744" s="5">
        <v>12743.0</v>
      </c>
      <c r="B12744" s="5" t="s">
        <v>13158</v>
      </c>
      <c r="C12744" s="5" t="s">
        <v>21</v>
      </c>
      <c r="K12744" s="5">
        <v>700.0</v>
      </c>
      <c r="N12744" s="9">
        <v>45581.0</v>
      </c>
    </row>
    <row r="12745">
      <c r="A12745" s="5">
        <v>12744.0</v>
      </c>
      <c r="B12745" s="5" t="s">
        <v>13159</v>
      </c>
      <c r="C12745" s="5" t="s">
        <v>21</v>
      </c>
      <c r="N12745" s="9">
        <v>44518.0</v>
      </c>
    </row>
    <row r="12746">
      <c r="A12746" s="5">
        <v>12745.0</v>
      </c>
      <c r="B12746" s="5" t="s">
        <v>13160</v>
      </c>
      <c r="C12746" s="5" t="s">
        <v>21</v>
      </c>
      <c r="K12746" s="5">
        <v>600.0</v>
      </c>
      <c r="N12746" s="9">
        <v>44122.0</v>
      </c>
    </row>
    <row r="12747">
      <c r="A12747" s="5">
        <v>12746.0</v>
      </c>
      <c r="B12747" s="5" t="s">
        <v>13161</v>
      </c>
      <c r="C12747" s="5" t="s">
        <v>21</v>
      </c>
      <c r="K12747" s="5">
        <v>400.0</v>
      </c>
      <c r="N12747" s="9">
        <v>44188.0</v>
      </c>
    </row>
    <row r="12748">
      <c r="A12748" s="5">
        <v>12747.0</v>
      </c>
      <c r="B12748" s="5" t="s">
        <v>13162</v>
      </c>
      <c r="C12748" s="5" t="s">
        <v>21</v>
      </c>
      <c r="K12748" s="5">
        <v>400.0</v>
      </c>
      <c r="N12748" s="9">
        <v>44727.0</v>
      </c>
    </row>
    <row r="12749">
      <c r="A12749" s="5">
        <v>12748.0</v>
      </c>
      <c r="B12749" s="5" t="s">
        <v>13163</v>
      </c>
      <c r="C12749" s="5" t="s">
        <v>21</v>
      </c>
      <c r="K12749" s="5">
        <v>40.0</v>
      </c>
      <c r="N12749" s="9">
        <v>44942.0</v>
      </c>
    </row>
    <row r="12750">
      <c r="A12750" s="5">
        <v>12749.0</v>
      </c>
      <c r="B12750" s="5" t="s">
        <v>13164</v>
      </c>
      <c r="C12750" s="5" t="s">
        <v>21</v>
      </c>
      <c r="K12750" s="5">
        <v>1000.0</v>
      </c>
      <c r="N12750" s="9">
        <v>44533.0</v>
      </c>
    </row>
    <row r="12751">
      <c r="A12751" s="5">
        <v>12750.0</v>
      </c>
      <c r="B12751" s="5" t="s">
        <v>13165</v>
      </c>
      <c r="C12751" s="5" t="s">
        <v>21</v>
      </c>
      <c r="K12751" s="5">
        <v>350.0</v>
      </c>
      <c r="N12751" s="9">
        <v>44733.0</v>
      </c>
    </row>
    <row r="12752">
      <c r="A12752" s="5">
        <v>12751.0</v>
      </c>
      <c r="B12752" s="5" t="s">
        <v>13166</v>
      </c>
      <c r="C12752" s="5" t="s">
        <v>21</v>
      </c>
      <c r="K12752" s="5">
        <v>700.0</v>
      </c>
      <c r="N12752" s="9">
        <v>44518.0</v>
      </c>
    </row>
    <row r="12753">
      <c r="A12753" s="5">
        <v>12752.0</v>
      </c>
      <c r="B12753" s="5" t="s">
        <v>13167</v>
      </c>
      <c r="C12753" s="5" t="s">
        <v>21</v>
      </c>
      <c r="K12753" s="5">
        <v>800.0</v>
      </c>
      <c r="N12753" s="9">
        <v>44730.0</v>
      </c>
    </row>
    <row r="12754">
      <c r="A12754" s="5">
        <v>12753.0</v>
      </c>
      <c r="B12754" s="5" t="s">
        <v>13168</v>
      </c>
      <c r="C12754" s="5" t="s">
        <v>21</v>
      </c>
      <c r="K12754" s="5">
        <v>150.0</v>
      </c>
      <c r="N12754" s="9">
        <v>45607.0</v>
      </c>
    </row>
    <row r="12755">
      <c r="A12755" s="5">
        <v>12754.0</v>
      </c>
      <c r="B12755" s="5" t="s">
        <v>13169</v>
      </c>
      <c r="C12755" s="5" t="s">
        <v>21</v>
      </c>
      <c r="K12755" s="5">
        <v>350.0</v>
      </c>
      <c r="N12755" s="9">
        <v>44597.0</v>
      </c>
    </row>
    <row r="12756">
      <c r="A12756" s="5">
        <v>12755.0</v>
      </c>
      <c r="B12756" s="5" t="s">
        <v>402</v>
      </c>
      <c r="C12756" s="5" t="s">
        <v>21</v>
      </c>
      <c r="K12756" s="5">
        <v>1700.0</v>
      </c>
      <c r="N12756" s="9">
        <v>43951.0</v>
      </c>
    </row>
    <row r="12757">
      <c r="A12757" s="5">
        <v>12756.0</v>
      </c>
      <c r="B12757" s="5" t="s">
        <v>13170</v>
      </c>
      <c r="C12757" s="5" t="s">
        <v>21</v>
      </c>
      <c r="K12757" s="5">
        <v>10.0</v>
      </c>
      <c r="N12757" s="9">
        <v>45282.0</v>
      </c>
    </row>
    <row r="12758">
      <c r="A12758" s="5">
        <v>12757.0</v>
      </c>
      <c r="B12758" s="5" t="s">
        <v>13171</v>
      </c>
      <c r="C12758" s="5" t="s">
        <v>21</v>
      </c>
      <c r="K12758" s="5">
        <v>200.0</v>
      </c>
      <c r="N12758" s="9">
        <v>44600.0</v>
      </c>
    </row>
    <row r="12759">
      <c r="A12759" s="5">
        <v>12758.0</v>
      </c>
      <c r="B12759" s="5" t="s">
        <v>13172</v>
      </c>
      <c r="C12759" s="5" t="s">
        <v>21</v>
      </c>
      <c r="K12759" s="5">
        <v>800.0</v>
      </c>
      <c r="N12759" s="9">
        <v>44640.0</v>
      </c>
    </row>
    <row r="12760">
      <c r="A12760" s="5">
        <v>12759.0</v>
      </c>
      <c r="B12760" s="5" t="s">
        <v>13173</v>
      </c>
      <c r="C12760" s="5" t="s">
        <v>21</v>
      </c>
      <c r="K12760" s="5">
        <v>350.0</v>
      </c>
      <c r="N12760" s="9">
        <v>44789.0</v>
      </c>
    </row>
    <row r="12761">
      <c r="A12761" s="5">
        <v>12760.0</v>
      </c>
      <c r="B12761" s="5" t="s">
        <v>13174</v>
      </c>
      <c r="C12761" s="5" t="s">
        <v>21</v>
      </c>
      <c r="K12761" s="5">
        <v>150.0</v>
      </c>
      <c r="N12761" s="9">
        <v>45107.0</v>
      </c>
    </row>
    <row r="12762">
      <c r="A12762" s="5">
        <v>12761.0</v>
      </c>
      <c r="B12762" s="5" t="s">
        <v>13175</v>
      </c>
      <c r="C12762" s="5" t="s">
        <v>21</v>
      </c>
      <c r="K12762" s="5">
        <v>39000.0</v>
      </c>
      <c r="N12762" s="9">
        <v>45131.0</v>
      </c>
    </row>
    <row r="12763">
      <c r="A12763" s="5">
        <v>12762.0</v>
      </c>
      <c r="B12763" s="5" t="s">
        <v>13176</v>
      </c>
      <c r="C12763" s="5" t="s">
        <v>21</v>
      </c>
      <c r="K12763" s="5">
        <v>2100.0</v>
      </c>
      <c r="N12763" s="9">
        <v>45690.0</v>
      </c>
    </row>
    <row r="12764">
      <c r="A12764" s="5">
        <v>12763.0</v>
      </c>
      <c r="B12764" s="5" t="s">
        <v>13177</v>
      </c>
      <c r="C12764" s="5" t="s">
        <v>21</v>
      </c>
      <c r="K12764" s="5">
        <v>350.0</v>
      </c>
      <c r="N12764" s="9">
        <v>44589.0</v>
      </c>
    </row>
    <row r="12765">
      <c r="A12765" s="5">
        <v>12764.0</v>
      </c>
      <c r="B12765" s="5" t="s">
        <v>13178</v>
      </c>
      <c r="C12765" s="5" t="s">
        <v>21</v>
      </c>
      <c r="K12765" s="5">
        <v>500.0</v>
      </c>
      <c r="N12765" s="9">
        <v>45722.0</v>
      </c>
    </row>
    <row r="12766">
      <c r="A12766" s="5">
        <v>12765.0</v>
      </c>
      <c r="B12766" s="5" t="s">
        <v>13179</v>
      </c>
      <c r="C12766" s="5" t="s">
        <v>21</v>
      </c>
      <c r="K12766" s="5">
        <v>200.0</v>
      </c>
      <c r="N12766" s="9">
        <v>44539.0</v>
      </c>
    </row>
    <row r="12767">
      <c r="A12767" s="5">
        <v>12766.0</v>
      </c>
      <c r="B12767" s="5" t="s">
        <v>13180</v>
      </c>
      <c r="C12767" s="5" t="s">
        <v>21</v>
      </c>
      <c r="K12767" s="5">
        <v>2800.0</v>
      </c>
      <c r="N12767" s="9">
        <v>45501.0</v>
      </c>
    </row>
    <row r="12768">
      <c r="A12768" s="5">
        <v>12767.0</v>
      </c>
      <c r="B12768" s="5" t="s">
        <v>13181</v>
      </c>
      <c r="C12768" s="5" t="s">
        <v>21</v>
      </c>
      <c r="K12768" s="5">
        <v>200.0</v>
      </c>
      <c r="N12768" s="9">
        <v>44579.0</v>
      </c>
    </row>
    <row r="12769">
      <c r="A12769" s="5">
        <v>12768.0</v>
      </c>
      <c r="B12769" s="5" t="s">
        <v>13182</v>
      </c>
      <c r="C12769" s="5" t="s">
        <v>21</v>
      </c>
      <c r="K12769" s="5">
        <v>90.0</v>
      </c>
      <c r="N12769" s="9">
        <v>44748.0</v>
      </c>
    </row>
    <row r="12770">
      <c r="A12770" s="5">
        <v>12769.0</v>
      </c>
      <c r="B12770" s="5" t="s">
        <v>13183</v>
      </c>
      <c r="C12770" s="5" t="s">
        <v>21</v>
      </c>
      <c r="K12770" s="5">
        <v>2900.0</v>
      </c>
      <c r="N12770" s="9">
        <v>45319.0</v>
      </c>
    </row>
    <row r="12771">
      <c r="A12771" s="5">
        <v>12770.0</v>
      </c>
      <c r="B12771" s="5" t="s">
        <v>13184</v>
      </c>
      <c r="C12771" s="5" t="s">
        <v>21</v>
      </c>
      <c r="K12771" s="5">
        <v>500.0</v>
      </c>
      <c r="N12771" s="9">
        <v>44072.0</v>
      </c>
    </row>
    <row r="12772">
      <c r="A12772" s="5">
        <v>12771.0</v>
      </c>
      <c r="B12772" s="5" t="s">
        <v>13185</v>
      </c>
      <c r="C12772" s="5" t="s">
        <v>21</v>
      </c>
      <c r="K12772" s="5">
        <v>600.0</v>
      </c>
      <c r="N12772" s="9">
        <v>43988.0</v>
      </c>
    </row>
    <row r="12773">
      <c r="A12773" s="5">
        <v>12772.0</v>
      </c>
      <c r="B12773" s="5" t="s">
        <v>13186</v>
      </c>
      <c r="C12773" s="5" t="s">
        <v>21</v>
      </c>
      <c r="K12773" s="5">
        <v>76000.0</v>
      </c>
      <c r="N12773" s="9">
        <v>43841.0</v>
      </c>
    </row>
    <row r="12774">
      <c r="A12774" s="5">
        <v>12773.0</v>
      </c>
      <c r="B12774" s="5" t="s">
        <v>13187</v>
      </c>
      <c r="C12774" s="5" t="s">
        <v>21</v>
      </c>
      <c r="K12774" s="5">
        <v>400.0</v>
      </c>
      <c r="N12774" s="9">
        <v>45407.0</v>
      </c>
    </row>
    <row r="12775">
      <c r="A12775" s="5">
        <v>12774.0</v>
      </c>
      <c r="B12775" s="5" t="s">
        <v>13188</v>
      </c>
      <c r="C12775" s="5" t="s">
        <v>21</v>
      </c>
      <c r="K12775" s="5">
        <v>30.0</v>
      </c>
      <c r="N12775" s="9">
        <v>44161.0</v>
      </c>
    </row>
    <row r="12776">
      <c r="A12776" s="5">
        <v>12775.0</v>
      </c>
      <c r="B12776" s="5" t="s">
        <v>13189</v>
      </c>
      <c r="C12776" s="5" t="s">
        <v>21</v>
      </c>
      <c r="K12776" s="5">
        <v>60.0</v>
      </c>
      <c r="N12776" s="9">
        <v>42496.0</v>
      </c>
      <c r="O12776" s="5" t="s">
        <v>25</v>
      </c>
      <c r="P12776" s="5" t="s">
        <v>26</v>
      </c>
      <c r="S12776" s="5" t="s">
        <v>29</v>
      </c>
    </row>
    <row r="12777">
      <c r="A12777" s="5">
        <v>12776.0</v>
      </c>
      <c r="B12777" s="5" t="s">
        <v>13190</v>
      </c>
      <c r="C12777" s="5" t="s">
        <v>21</v>
      </c>
      <c r="K12777" s="5">
        <v>1100.0</v>
      </c>
      <c r="N12777" s="9">
        <v>45279.0</v>
      </c>
    </row>
    <row r="12778">
      <c r="A12778" s="5">
        <v>12777.0</v>
      </c>
      <c r="B12778" s="5" t="s">
        <v>13191</v>
      </c>
      <c r="C12778" s="5" t="s">
        <v>21</v>
      </c>
      <c r="K12778" s="5">
        <v>11000.0</v>
      </c>
      <c r="N12778" s="9">
        <v>43916.0</v>
      </c>
    </row>
    <row r="12779">
      <c r="A12779" s="5">
        <v>12778.0</v>
      </c>
      <c r="B12779" s="5" t="s">
        <v>13192</v>
      </c>
      <c r="C12779" s="5" t="s">
        <v>21</v>
      </c>
      <c r="K12779" s="5">
        <v>200.0</v>
      </c>
      <c r="N12779" s="9">
        <v>44928.0</v>
      </c>
    </row>
    <row r="12780">
      <c r="A12780" s="5">
        <v>12779.0</v>
      </c>
      <c r="B12780" s="5" t="s">
        <v>13193</v>
      </c>
      <c r="C12780" s="5" t="s">
        <v>21</v>
      </c>
      <c r="K12780" s="5">
        <v>150.0</v>
      </c>
      <c r="N12780" s="9">
        <v>44672.0</v>
      </c>
    </row>
    <row r="12781">
      <c r="A12781" s="5">
        <v>12780.0</v>
      </c>
      <c r="B12781" s="5" t="s">
        <v>13194</v>
      </c>
      <c r="C12781" s="5" t="s">
        <v>21</v>
      </c>
      <c r="K12781" s="5">
        <v>250.0</v>
      </c>
      <c r="N12781" s="9">
        <v>44347.0</v>
      </c>
    </row>
    <row r="12782">
      <c r="A12782" s="5">
        <v>12781.0</v>
      </c>
      <c r="B12782" s="5" t="s">
        <v>13195</v>
      </c>
      <c r="C12782" s="5" t="s">
        <v>21</v>
      </c>
      <c r="K12782" s="5">
        <v>2400.0</v>
      </c>
      <c r="N12782" s="9">
        <v>44158.0</v>
      </c>
    </row>
    <row r="12783">
      <c r="A12783" s="5">
        <v>12782.0</v>
      </c>
      <c r="B12783" s="5" t="s">
        <v>13196</v>
      </c>
      <c r="C12783" s="5" t="s">
        <v>21</v>
      </c>
      <c r="K12783" s="5">
        <v>250.0</v>
      </c>
      <c r="N12783" s="9">
        <v>44208.0</v>
      </c>
    </row>
    <row r="12784">
      <c r="A12784" s="5">
        <v>12783.0</v>
      </c>
      <c r="B12784" s="5" t="s">
        <v>13197</v>
      </c>
      <c r="C12784" s="5" t="s">
        <v>21</v>
      </c>
      <c r="K12784" s="5">
        <v>150.0</v>
      </c>
      <c r="N12784" s="9">
        <v>44651.0</v>
      </c>
    </row>
    <row r="12785">
      <c r="A12785" s="5">
        <v>12784.0</v>
      </c>
      <c r="B12785" s="5" t="s">
        <v>13198</v>
      </c>
      <c r="C12785" s="5" t="s">
        <v>21</v>
      </c>
      <c r="K12785" s="5">
        <v>900.0</v>
      </c>
      <c r="N12785" s="9">
        <v>44533.0</v>
      </c>
    </row>
    <row r="12786">
      <c r="A12786" s="5">
        <v>12785.0</v>
      </c>
      <c r="B12786" s="5" t="s">
        <v>13199</v>
      </c>
      <c r="C12786" s="5" t="s">
        <v>21</v>
      </c>
      <c r="K12786" s="5">
        <v>40.0</v>
      </c>
      <c r="N12786" s="9">
        <v>44175.0</v>
      </c>
    </row>
    <row r="12787">
      <c r="A12787" s="5">
        <v>12786.0</v>
      </c>
      <c r="B12787" s="5" t="s">
        <v>13200</v>
      </c>
      <c r="C12787" s="5" t="s">
        <v>21</v>
      </c>
      <c r="K12787" s="5">
        <v>450.0</v>
      </c>
      <c r="N12787" s="9">
        <v>45264.0</v>
      </c>
    </row>
    <row r="12788">
      <c r="A12788" s="5">
        <v>12787.0</v>
      </c>
      <c r="B12788" s="5" t="s">
        <v>13201</v>
      </c>
      <c r="C12788" s="5" t="s">
        <v>21</v>
      </c>
      <c r="K12788" s="5">
        <v>20.0</v>
      </c>
      <c r="N12788" s="9">
        <v>45612.0</v>
      </c>
    </row>
    <row r="12789">
      <c r="A12789" s="5">
        <v>12788.0</v>
      </c>
      <c r="B12789" s="5" t="s">
        <v>13202</v>
      </c>
      <c r="C12789" s="5" t="s">
        <v>21</v>
      </c>
      <c r="K12789" s="5">
        <v>4100.0</v>
      </c>
      <c r="N12789" s="9">
        <v>43846.0</v>
      </c>
    </row>
    <row r="12790">
      <c r="A12790" s="5">
        <v>12789.0</v>
      </c>
      <c r="B12790" s="5" t="s">
        <v>405</v>
      </c>
      <c r="C12790" s="5" t="s">
        <v>21</v>
      </c>
      <c r="K12790" s="5">
        <v>8200.0</v>
      </c>
      <c r="N12790" s="9">
        <v>43881.0</v>
      </c>
    </row>
    <row r="12791">
      <c r="A12791" s="5">
        <v>12790.0</v>
      </c>
      <c r="B12791" s="5" t="s">
        <v>13203</v>
      </c>
      <c r="C12791" s="5" t="s">
        <v>21</v>
      </c>
      <c r="K12791" s="5">
        <v>50.0</v>
      </c>
      <c r="N12791" s="9">
        <v>44969.0</v>
      </c>
    </row>
    <row r="12792">
      <c r="A12792" s="5">
        <v>12791.0</v>
      </c>
      <c r="B12792" s="5" t="s">
        <v>13204</v>
      </c>
      <c r="C12792" s="5" t="s">
        <v>21</v>
      </c>
      <c r="K12792" s="5">
        <v>900.0</v>
      </c>
      <c r="N12792" s="9">
        <v>45067.0</v>
      </c>
    </row>
    <row r="12793">
      <c r="A12793" s="5">
        <v>12792.0</v>
      </c>
      <c r="B12793" s="5" t="s">
        <v>13205</v>
      </c>
      <c r="C12793" s="5" t="s">
        <v>21</v>
      </c>
      <c r="K12793" s="5">
        <v>450.0</v>
      </c>
      <c r="N12793" s="9">
        <v>44723.0</v>
      </c>
    </row>
    <row r="12794">
      <c r="A12794" s="5">
        <v>12793.0</v>
      </c>
      <c r="B12794" s="5" t="s">
        <v>13206</v>
      </c>
      <c r="C12794" s="5" t="s">
        <v>21</v>
      </c>
      <c r="K12794" s="5">
        <v>150.0</v>
      </c>
      <c r="N12794" s="9">
        <v>44357.0</v>
      </c>
    </row>
    <row r="12795">
      <c r="A12795" s="5">
        <v>12794.0</v>
      </c>
      <c r="B12795" s="5" t="s">
        <v>13207</v>
      </c>
      <c r="C12795" s="5" t="s">
        <v>21</v>
      </c>
      <c r="K12795" s="5">
        <v>500.0</v>
      </c>
      <c r="N12795" s="9">
        <v>44570.0</v>
      </c>
    </row>
    <row r="12796">
      <c r="A12796" s="5">
        <v>12795.0</v>
      </c>
      <c r="B12796" s="5" t="s">
        <v>13208</v>
      </c>
      <c r="C12796" s="5" t="s">
        <v>21</v>
      </c>
      <c r="N12796" s="9">
        <v>44332.0</v>
      </c>
    </row>
    <row r="12797">
      <c r="A12797" s="5">
        <v>12796.0</v>
      </c>
      <c r="B12797" s="5" t="s">
        <v>13209</v>
      </c>
      <c r="C12797" s="5" t="s">
        <v>21</v>
      </c>
      <c r="K12797" s="5">
        <v>90.0</v>
      </c>
      <c r="N12797" s="9">
        <v>44569.0</v>
      </c>
    </row>
    <row r="12798">
      <c r="A12798" s="5">
        <v>12797.0</v>
      </c>
      <c r="B12798" s="5" t="s">
        <v>13210</v>
      </c>
      <c r="C12798" s="5" t="s">
        <v>21</v>
      </c>
      <c r="K12798" s="5">
        <v>100.0</v>
      </c>
      <c r="N12798" s="9">
        <v>44852.0</v>
      </c>
    </row>
    <row r="12799">
      <c r="A12799" s="5">
        <v>12798.0</v>
      </c>
      <c r="B12799" s="5" t="s">
        <v>13211</v>
      </c>
      <c r="C12799" s="5" t="s">
        <v>21</v>
      </c>
      <c r="K12799" s="5">
        <v>30.0</v>
      </c>
      <c r="N12799" s="9">
        <v>44638.0</v>
      </c>
    </row>
    <row r="12800">
      <c r="A12800" s="5">
        <v>12799.0</v>
      </c>
      <c r="B12800" s="5" t="s">
        <v>13212</v>
      </c>
      <c r="C12800" s="5" t="s">
        <v>21</v>
      </c>
      <c r="K12800" s="5">
        <v>20.0</v>
      </c>
      <c r="N12800" s="9">
        <v>45538.0</v>
      </c>
    </row>
    <row r="12801">
      <c r="A12801" s="5">
        <v>12800.0</v>
      </c>
      <c r="B12801" s="5" t="s">
        <v>13213</v>
      </c>
      <c r="C12801" s="5" t="s">
        <v>21</v>
      </c>
      <c r="K12801" s="5">
        <v>20.0</v>
      </c>
      <c r="N12801" s="9">
        <v>44690.0</v>
      </c>
    </row>
    <row r="12802">
      <c r="A12802" s="5">
        <v>12801.0</v>
      </c>
      <c r="B12802" s="5" t="s">
        <v>13214</v>
      </c>
      <c r="C12802" s="5" t="s">
        <v>21</v>
      </c>
      <c r="K12802" s="5">
        <v>300.0</v>
      </c>
      <c r="N12802" s="9">
        <v>44342.0</v>
      </c>
    </row>
    <row r="12803">
      <c r="A12803" s="5">
        <v>12802.0</v>
      </c>
      <c r="B12803" s="5" t="s">
        <v>13215</v>
      </c>
      <c r="C12803" s="5" t="s">
        <v>21</v>
      </c>
      <c r="K12803" s="5">
        <v>300.0</v>
      </c>
      <c r="N12803" s="9">
        <v>45248.0</v>
      </c>
    </row>
    <row r="12804">
      <c r="A12804" s="5">
        <v>12803.0</v>
      </c>
      <c r="B12804" s="5" t="s">
        <v>13216</v>
      </c>
      <c r="C12804" s="5" t="s">
        <v>21</v>
      </c>
      <c r="K12804" s="5">
        <v>150.0</v>
      </c>
      <c r="N12804" s="9">
        <v>45339.0</v>
      </c>
    </row>
    <row r="12805">
      <c r="A12805" s="5">
        <v>12804.0</v>
      </c>
      <c r="B12805" s="5" t="s">
        <v>13217</v>
      </c>
      <c r="C12805" s="5" t="s">
        <v>21</v>
      </c>
      <c r="K12805" s="5">
        <v>900.0</v>
      </c>
      <c r="N12805" s="9">
        <v>44561.0</v>
      </c>
    </row>
    <row r="12806">
      <c r="A12806" s="5">
        <v>12805.0</v>
      </c>
      <c r="B12806" s="5" t="s">
        <v>13218</v>
      </c>
      <c r="C12806" s="5" t="s">
        <v>21</v>
      </c>
      <c r="K12806" s="5">
        <v>80.0</v>
      </c>
      <c r="N12806" s="9">
        <v>45170.0</v>
      </c>
    </row>
    <row r="12807">
      <c r="A12807" s="5">
        <v>12806.0</v>
      </c>
      <c r="B12807" s="5" t="s">
        <v>13219</v>
      </c>
      <c r="C12807" s="5" t="s">
        <v>21</v>
      </c>
      <c r="K12807" s="5">
        <v>500.0</v>
      </c>
      <c r="N12807" s="9">
        <v>44036.0</v>
      </c>
    </row>
    <row r="12808">
      <c r="A12808" s="5">
        <v>12807.0</v>
      </c>
      <c r="B12808" s="5" t="s">
        <v>13220</v>
      </c>
      <c r="C12808" s="5" t="s">
        <v>21</v>
      </c>
      <c r="K12808" s="5">
        <v>400.0</v>
      </c>
      <c r="N12808" s="9">
        <v>44583.0</v>
      </c>
    </row>
    <row r="12809">
      <c r="A12809" s="5">
        <v>12808.0</v>
      </c>
      <c r="B12809" s="5" t="s">
        <v>13221</v>
      </c>
      <c r="C12809" s="5" t="s">
        <v>21</v>
      </c>
      <c r="K12809" s="5">
        <v>450.0</v>
      </c>
      <c r="N12809" s="9">
        <v>45569.0</v>
      </c>
    </row>
    <row r="12810">
      <c r="A12810" s="5">
        <v>12809.0</v>
      </c>
      <c r="B12810" s="5" t="s">
        <v>13222</v>
      </c>
      <c r="C12810" s="5" t="s">
        <v>21</v>
      </c>
      <c r="N12810" s="9">
        <v>44524.0</v>
      </c>
    </row>
    <row r="12811">
      <c r="A12811" s="5">
        <v>12810.0</v>
      </c>
      <c r="B12811" s="5" t="s">
        <v>13223</v>
      </c>
      <c r="C12811" s="5" t="s">
        <v>21</v>
      </c>
      <c r="K12811" s="5">
        <v>1700.0</v>
      </c>
      <c r="N12811" s="9">
        <v>44222.0</v>
      </c>
    </row>
    <row r="12812">
      <c r="A12812" s="5">
        <v>12811.0</v>
      </c>
      <c r="B12812" s="5" t="s">
        <v>13224</v>
      </c>
      <c r="C12812" s="5" t="s">
        <v>21</v>
      </c>
      <c r="K12812" s="5">
        <v>100.0</v>
      </c>
      <c r="N12812" s="9">
        <v>45265.0</v>
      </c>
    </row>
    <row r="12813">
      <c r="A12813" s="5">
        <v>12812.0</v>
      </c>
      <c r="B12813" s="5" t="s">
        <v>13225</v>
      </c>
      <c r="C12813" s="5" t="s">
        <v>21</v>
      </c>
      <c r="K12813" s="5">
        <v>200.0</v>
      </c>
      <c r="N12813" s="9">
        <v>43852.0</v>
      </c>
    </row>
    <row r="12814">
      <c r="A12814" s="5">
        <v>12813.0</v>
      </c>
      <c r="B12814" s="5" t="s">
        <v>13226</v>
      </c>
      <c r="C12814" s="5" t="s">
        <v>21</v>
      </c>
      <c r="K12814" s="5">
        <v>100.0</v>
      </c>
      <c r="N12814" s="9">
        <v>44852.0</v>
      </c>
    </row>
    <row r="12815">
      <c r="A12815" s="5">
        <v>12814.0</v>
      </c>
      <c r="B12815" s="5" t="s">
        <v>13227</v>
      </c>
      <c r="C12815" s="5" t="s">
        <v>21</v>
      </c>
      <c r="K12815" s="5">
        <v>900.0</v>
      </c>
      <c r="N12815" s="9">
        <v>44379.0</v>
      </c>
    </row>
    <row r="12816">
      <c r="A12816" s="5">
        <v>12815.0</v>
      </c>
      <c r="B12816" s="5" t="s">
        <v>13228</v>
      </c>
      <c r="C12816" s="5" t="s">
        <v>21</v>
      </c>
      <c r="K12816" s="5">
        <v>50.0</v>
      </c>
      <c r="N12816" s="9">
        <v>43876.0</v>
      </c>
    </row>
    <row r="12817">
      <c r="A12817" s="5">
        <v>12816.0</v>
      </c>
      <c r="B12817" s="5" t="s">
        <v>13229</v>
      </c>
      <c r="C12817" s="5" t="s">
        <v>21</v>
      </c>
      <c r="K12817" s="5">
        <v>30.0</v>
      </c>
      <c r="N12817" s="9">
        <v>45308.0</v>
      </c>
    </row>
    <row r="12818">
      <c r="A12818" s="5">
        <v>12817.0</v>
      </c>
      <c r="B12818" s="5" t="s">
        <v>13230</v>
      </c>
      <c r="C12818" s="5" t="s">
        <v>21</v>
      </c>
      <c r="K12818" s="5">
        <v>150.0</v>
      </c>
      <c r="N12818" s="9">
        <v>44983.0</v>
      </c>
    </row>
    <row r="12819">
      <c r="A12819" s="5">
        <v>12818.0</v>
      </c>
      <c r="B12819" s="5" t="s">
        <v>13231</v>
      </c>
      <c r="C12819" s="5" t="s">
        <v>21</v>
      </c>
      <c r="K12819" s="5">
        <v>300.0</v>
      </c>
      <c r="N12819" s="9">
        <v>45080.0</v>
      </c>
    </row>
    <row r="12820">
      <c r="A12820" s="5">
        <v>12819.0</v>
      </c>
      <c r="B12820" s="5" t="s">
        <v>13232</v>
      </c>
      <c r="C12820" s="5" t="s">
        <v>21</v>
      </c>
      <c r="K12820" s="5">
        <v>20.0</v>
      </c>
      <c r="N12820" s="9">
        <v>44087.0</v>
      </c>
    </row>
    <row r="12821">
      <c r="A12821" s="5">
        <v>12820.0</v>
      </c>
      <c r="B12821" s="5" t="s">
        <v>13233</v>
      </c>
      <c r="C12821" s="5" t="s">
        <v>21</v>
      </c>
      <c r="K12821" s="5">
        <v>350.0</v>
      </c>
      <c r="N12821" s="9">
        <v>44519.0</v>
      </c>
    </row>
    <row r="12822">
      <c r="A12822" s="5">
        <v>12821.0</v>
      </c>
      <c r="B12822" s="5" t="s">
        <v>13234</v>
      </c>
      <c r="C12822" s="5" t="s">
        <v>21</v>
      </c>
      <c r="K12822" s="5">
        <v>1000.0</v>
      </c>
      <c r="N12822" s="9">
        <v>44705.0</v>
      </c>
    </row>
    <row r="12823">
      <c r="A12823" s="5">
        <v>12822.0</v>
      </c>
      <c r="B12823" s="5" t="s">
        <v>13235</v>
      </c>
      <c r="C12823" s="5" t="s">
        <v>21</v>
      </c>
      <c r="K12823" s="5">
        <v>150.0</v>
      </c>
      <c r="N12823" s="9">
        <v>44264.0</v>
      </c>
    </row>
    <row r="12824">
      <c r="A12824" s="5">
        <v>12823.0</v>
      </c>
      <c r="B12824" s="5" t="s">
        <v>13236</v>
      </c>
      <c r="C12824" s="5" t="s">
        <v>21</v>
      </c>
      <c r="K12824" s="5">
        <v>300.0</v>
      </c>
      <c r="N12824" s="9">
        <v>44545.0</v>
      </c>
    </row>
    <row r="12825">
      <c r="A12825" s="5">
        <v>12824.0</v>
      </c>
      <c r="B12825" s="5" t="s">
        <v>13237</v>
      </c>
      <c r="C12825" s="5" t="s">
        <v>21</v>
      </c>
      <c r="K12825" s="5">
        <v>1000.0</v>
      </c>
      <c r="N12825" s="9">
        <v>44057.0</v>
      </c>
    </row>
    <row r="12826">
      <c r="A12826" s="5">
        <v>12825.0</v>
      </c>
      <c r="B12826" s="5" t="s">
        <v>13238</v>
      </c>
      <c r="C12826" s="5" t="s">
        <v>21</v>
      </c>
      <c r="K12826" s="5">
        <v>80.0</v>
      </c>
      <c r="N12826" s="9">
        <v>44564.0</v>
      </c>
    </row>
    <row r="12827">
      <c r="A12827" s="5">
        <v>12826.0</v>
      </c>
      <c r="B12827" s="5" t="s">
        <v>13239</v>
      </c>
      <c r="C12827" s="5" t="s">
        <v>21</v>
      </c>
      <c r="K12827" s="5">
        <v>800.0</v>
      </c>
      <c r="N12827" s="9">
        <v>43990.0</v>
      </c>
    </row>
    <row r="12828">
      <c r="A12828" s="5">
        <v>12827.0</v>
      </c>
      <c r="B12828" s="5" t="s">
        <v>13240</v>
      </c>
      <c r="C12828" s="5" t="s">
        <v>21</v>
      </c>
      <c r="K12828" s="5">
        <v>400.0</v>
      </c>
      <c r="N12828" s="9">
        <v>44542.0</v>
      </c>
    </row>
    <row r="12829">
      <c r="A12829" s="5">
        <v>12828.0</v>
      </c>
      <c r="B12829" s="5" t="s">
        <v>13241</v>
      </c>
      <c r="C12829" s="5" t="s">
        <v>21</v>
      </c>
      <c r="K12829" s="5">
        <v>30.0</v>
      </c>
      <c r="N12829" s="9">
        <v>44516.0</v>
      </c>
    </row>
    <row r="12830">
      <c r="A12830" s="5">
        <v>12829.0</v>
      </c>
      <c r="B12830" s="5" t="s">
        <v>13242</v>
      </c>
      <c r="C12830" s="5" t="s">
        <v>21</v>
      </c>
      <c r="K12830" s="5">
        <v>30.0</v>
      </c>
      <c r="N12830" s="9">
        <v>45665.0</v>
      </c>
    </row>
    <row r="12831">
      <c r="A12831" s="5">
        <v>12830.0</v>
      </c>
      <c r="B12831" s="5" t="s">
        <v>13243</v>
      </c>
      <c r="C12831" s="5" t="s">
        <v>21</v>
      </c>
      <c r="K12831" s="5">
        <v>1300.0</v>
      </c>
      <c r="N12831" s="9">
        <v>44273.0</v>
      </c>
    </row>
    <row r="12832">
      <c r="A12832" s="5">
        <v>12831.0</v>
      </c>
      <c r="B12832" s="5" t="s">
        <v>13244</v>
      </c>
      <c r="C12832" s="5" t="s">
        <v>21</v>
      </c>
      <c r="K12832" s="5">
        <v>500.0</v>
      </c>
      <c r="N12832" s="9">
        <v>43870.0</v>
      </c>
    </row>
    <row r="12833">
      <c r="A12833" s="5">
        <v>12832.0</v>
      </c>
      <c r="B12833" s="5" t="s">
        <v>13245</v>
      </c>
      <c r="C12833" s="5" t="s">
        <v>21</v>
      </c>
      <c r="K12833" s="5">
        <v>150.0</v>
      </c>
      <c r="N12833" s="9">
        <v>44734.0</v>
      </c>
    </row>
    <row r="12834">
      <c r="A12834" s="5">
        <v>12833.0</v>
      </c>
      <c r="B12834" s="5" t="s">
        <v>13246</v>
      </c>
      <c r="C12834" s="5" t="s">
        <v>21</v>
      </c>
      <c r="K12834" s="5">
        <v>250.0</v>
      </c>
      <c r="N12834" s="9">
        <v>44679.0</v>
      </c>
    </row>
    <row r="12835">
      <c r="A12835" s="5">
        <v>12834.0</v>
      </c>
      <c r="B12835" s="5" t="s">
        <v>13247</v>
      </c>
      <c r="C12835" s="5" t="s">
        <v>21</v>
      </c>
      <c r="K12835" s="5">
        <v>500.0</v>
      </c>
      <c r="N12835" s="9">
        <v>44757.0</v>
      </c>
    </row>
    <row r="12836">
      <c r="A12836" s="5">
        <v>12835.0</v>
      </c>
      <c r="B12836" s="5" t="s">
        <v>13248</v>
      </c>
      <c r="C12836" s="5" t="s">
        <v>21</v>
      </c>
      <c r="K12836" s="5">
        <v>450.0</v>
      </c>
      <c r="N12836" s="9">
        <v>45120.0</v>
      </c>
    </row>
    <row r="12837">
      <c r="A12837" s="5">
        <v>12836.0</v>
      </c>
      <c r="B12837" s="5" t="s">
        <v>13249</v>
      </c>
      <c r="C12837" s="5" t="s">
        <v>21</v>
      </c>
      <c r="K12837" s="5">
        <v>50.0</v>
      </c>
      <c r="N12837" s="9">
        <v>44447.0</v>
      </c>
    </row>
    <row r="12838">
      <c r="A12838" s="5">
        <v>12837.0</v>
      </c>
      <c r="B12838" s="5" t="s">
        <v>13250</v>
      </c>
      <c r="C12838" s="5" t="s">
        <v>21</v>
      </c>
      <c r="K12838" s="5">
        <v>80.0</v>
      </c>
      <c r="N12838" s="9">
        <v>44559.0</v>
      </c>
    </row>
    <row r="12839">
      <c r="A12839" s="5">
        <v>12838.0</v>
      </c>
      <c r="B12839" s="5" t="s">
        <v>13251</v>
      </c>
      <c r="C12839" s="5" t="s">
        <v>21</v>
      </c>
      <c r="K12839" s="5">
        <v>10.0</v>
      </c>
      <c r="N12839" s="9">
        <v>44574.0</v>
      </c>
    </row>
    <row r="12840">
      <c r="A12840" s="5">
        <v>12839.0</v>
      </c>
      <c r="B12840" s="5" t="s">
        <v>13252</v>
      </c>
      <c r="C12840" s="5" t="s">
        <v>21</v>
      </c>
      <c r="K12840" s="5">
        <v>900.0</v>
      </c>
      <c r="N12840" s="9">
        <v>44564.0</v>
      </c>
    </row>
    <row r="12841">
      <c r="A12841" s="5">
        <v>12840.0</v>
      </c>
      <c r="B12841" s="5" t="s">
        <v>13253</v>
      </c>
      <c r="C12841" s="5" t="s">
        <v>21</v>
      </c>
      <c r="K12841" s="5">
        <v>900.0</v>
      </c>
      <c r="N12841" s="9">
        <v>45117.0</v>
      </c>
    </row>
    <row r="12842">
      <c r="A12842" s="5">
        <v>12841.0</v>
      </c>
      <c r="B12842" s="5" t="s">
        <v>13254</v>
      </c>
      <c r="C12842" s="5" t="s">
        <v>21</v>
      </c>
      <c r="K12842" s="5">
        <v>283000.0</v>
      </c>
      <c r="N12842" s="9">
        <v>46083.0</v>
      </c>
    </row>
    <row r="12843">
      <c r="A12843" s="5">
        <v>12842.0</v>
      </c>
      <c r="B12843" s="5" t="s">
        <v>13255</v>
      </c>
      <c r="C12843" s="5" t="s">
        <v>21</v>
      </c>
      <c r="K12843" s="5">
        <v>2200.0</v>
      </c>
      <c r="N12843" s="9">
        <v>44552.0</v>
      </c>
    </row>
    <row r="12844">
      <c r="A12844" s="5">
        <v>12843.0</v>
      </c>
      <c r="B12844" s="5" t="s">
        <v>13256</v>
      </c>
      <c r="C12844" s="5" t="s">
        <v>21</v>
      </c>
      <c r="K12844" s="5">
        <v>150.0</v>
      </c>
      <c r="N12844" s="9">
        <v>44516.0</v>
      </c>
    </row>
    <row r="12845">
      <c r="A12845" s="5">
        <v>12844.0</v>
      </c>
      <c r="B12845" s="5" t="s">
        <v>456</v>
      </c>
      <c r="C12845" s="5" t="s">
        <v>21</v>
      </c>
      <c r="K12845" s="5">
        <v>5600.0</v>
      </c>
      <c r="N12845" s="9">
        <v>45685.0</v>
      </c>
    </row>
    <row r="12846">
      <c r="A12846" s="5">
        <v>12845.0</v>
      </c>
      <c r="B12846" s="5" t="s">
        <v>13257</v>
      </c>
      <c r="C12846" s="5" t="s">
        <v>21</v>
      </c>
      <c r="K12846" s="5">
        <v>900.0</v>
      </c>
      <c r="N12846" s="9">
        <v>45534.0</v>
      </c>
    </row>
    <row r="12847">
      <c r="A12847" s="5">
        <v>12846.0</v>
      </c>
      <c r="B12847" s="5" t="s">
        <v>13258</v>
      </c>
      <c r="C12847" s="5" t="s">
        <v>21</v>
      </c>
      <c r="K12847" s="5">
        <v>350.0</v>
      </c>
      <c r="N12847" s="9">
        <v>44222.0</v>
      </c>
    </row>
    <row r="12848">
      <c r="A12848" s="5">
        <v>12847.0</v>
      </c>
      <c r="B12848" s="5" t="s">
        <v>13259</v>
      </c>
      <c r="C12848" s="5" t="s">
        <v>21</v>
      </c>
      <c r="K12848" s="5">
        <v>450.0</v>
      </c>
      <c r="N12848" s="9">
        <v>44579.0</v>
      </c>
    </row>
    <row r="12849">
      <c r="A12849" s="5">
        <v>12848.0</v>
      </c>
      <c r="B12849" s="5" t="s">
        <v>13260</v>
      </c>
      <c r="C12849" s="5" t="s">
        <v>21</v>
      </c>
      <c r="K12849" s="5">
        <v>400.0</v>
      </c>
      <c r="N12849" s="9">
        <v>44537.0</v>
      </c>
    </row>
    <row r="12850">
      <c r="A12850" s="5">
        <v>12849.0</v>
      </c>
      <c r="B12850" s="5" t="s">
        <v>13261</v>
      </c>
      <c r="C12850" s="5" t="s">
        <v>21</v>
      </c>
      <c r="K12850" s="5">
        <v>700.0</v>
      </c>
      <c r="N12850" s="9">
        <v>44736.0</v>
      </c>
    </row>
    <row r="12851">
      <c r="A12851" s="5">
        <v>12850.0</v>
      </c>
      <c r="B12851" s="5" t="s">
        <v>13262</v>
      </c>
      <c r="C12851" s="5" t="s">
        <v>21</v>
      </c>
      <c r="K12851" s="5">
        <v>300.0</v>
      </c>
      <c r="N12851" s="9">
        <v>44580.0</v>
      </c>
    </row>
    <row r="12852">
      <c r="A12852" s="5">
        <v>12851.0</v>
      </c>
      <c r="B12852" s="5" t="s">
        <v>13263</v>
      </c>
      <c r="C12852" s="5" t="s">
        <v>21</v>
      </c>
      <c r="N12852" s="9">
        <v>44531.0</v>
      </c>
    </row>
    <row r="12853">
      <c r="A12853" s="5">
        <v>12852.0</v>
      </c>
      <c r="B12853" s="5" t="s">
        <v>13264</v>
      </c>
      <c r="C12853" s="5" t="s">
        <v>21</v>
      </c>
      <c r="K12853" s="5">
        <v>300.0</v>
      </c>
      <c r="N12853" s="9">
        <v>43912.0</v>
      </c>
    </row>
    <row r="12854">
      <c r="A12854" s="5">
        <v>12853.0</v>
      </c>
      <c r="B12854" s="5" t="s">
        <v>13265</v>
      </c>
      <c r="C12854" s="5" t="s">
        <v>21</v>
      </c>
      <c r="K12854" s="5">
        <v>150.0</v>
      </c>
      <c r="N12854" s="9">
        <v>45160.0</v>
      </c>
    </row>
    <row r="12855">
      <c r="A12855" s="5">
        <v>12854.0</v>
      </c>
      <c r="B12855" s="5" t="s">
        <v>13266</v>
      </c>
      <c r="C12855" s="5" t="s">
        <v>21</v>
      </c>
      <c r="K12855" s="5">
        <v>30.0</v>
      </c>
      <c r="N12855" s="9">
        <v>45346.0</v>
      </c>
    </row>
    <row r="12856">
      <c r="A12856" s="5">
        <v>12855.0</v>
      </c>
      <c r="B12856" s="5" t="s">
        <v>13267</v>
      </c>
      <c r="C12856" s="5" t="s">
        <v>21</v>
      </c>
      <c r="K12856" s="5">
        <v>150.0</v>
      </c>
      <c r="N12856" s="9">
        <v>44313.0</v>
      </c>
    </row>
    <row r="12857">
      <c r="A12857" s="5">
        <v>12856.0</v>
      </c>
      <c r="B12857" s="5" t="s">
        <v>13268</v>
      </c>
      <c r="C12857" s="5" t="s">
        <v>21</v>
      </c>
      <c r="K12857" s="5">
        <v>200.0</v>
      </c>
      <c r="N12857" s="9">
        <v>44278.0</v>
      </c>
    </row>
    <row r="12858">
      <c r="A12858" s="5">
        <v>12857.0</v>
      </c>
      <c r="B12858" s="5" t="s">
        <v>13269</v>
      </c>
      <c r="C12858" s="5" t="s">
        <v>21</v>
      </c>
      <c r="K12858" s="5">
        <v>600.0</v>
      </c>
      <c r="N12858" s="9">
        <v>44570.0</v>
      </c>
    </row>
    <row r="12859">
      <c r="A12859" s="5">
        <v>12858.0</v>
      </c>
      <c r="B12859" s="5" t="s">
        <v>13270</v>
      </c>
      <c r="C12859" s="5" t="s">
        <v>21</v>
      </c>
      <c r="K12859" s="5">
        <v>300.0</v>
      </c>
      <c r="N12859" s="9">
        <v>44584.0</v>
      </c>
    </row>
    <row r="12860">
      <c r="A12860" s="5">
        <v>12859.0</v>
      </c>
      <c r="B12860" s="5" t="s">
        <v>13271</v>
      </c>
      <c r="C12860" s="5" t="s">
        <v>21</v>
      </c>
      <c r="K12860" s="5">
        <v>450.0</v>
      </c>
      <c r="N12860" s="9">
        <v>44395.0</v>
      </c>
    </row>
    <row r="12861">
      <c r="A12861" s="5">
        <v>12860.0</v>
      </c>
      <c r="B12861" s="5" t="s">
        <v>13272</v>
      </c>
      <c r="C12861" s="5" t="s">
        <v>21</v>
      </c>
      <c r="K12861" s="5">
        <v>50.0</v>
      </c>
      <c r="N12861" s="9">
        <v>44755.0</v>
      </c>
    </row>
    <row r="12862">
      <c r="A12862" s="5">
        <v>12861.0</v>
      </c>
      <c r="B12862" s="5" t="s">
        <v>13273</v>
      </c>
      <c r="C12862" s="5" t="s">
        <v>21</v>
      </c>
      <c r="K12862" s="5">
        <v>700.0</v>
      </c>
      <c r="N12862" s="9">
        <v>44635.0</v>
      </c>
    </row>
    <row r="12863">
      <c r="A12863" s="5">
        <v>12862.0</v>
      </c>
      <c r="B12863" s="5" t="s">
        <v>13274</v>
      </c>
      <c r="C12863" s="5" t="s">
        <v>21</v>
      </c>
      <c r="K12863" s="5">
        <v>250.0</v>
      </c>
      <c r="N12863" s="9">
        <v>43920.0</v>
      </c>
    </row>
    <row r="12864">
      <c r="A12864" s="5">
        <v>12863.0</v>
      </c>
      <c r="B12864" s="5" t="s">
        <v>13275</v>
      </c>
      <c r="C12864" s="5" t="s">
        <v>21</v>
      </c>
      <c r="K12864" s="5">
        <v>450.0</v>
      </c>
      <c r="N12864" s="9">
        <v>45169.0</v>
      </c>
    </row>
    <row r="12865">
      <c r="A12865" s="5">
        <v>12864.0</v>
      </c>
      <c r="B12865" s="5" t="s">
        <v>13276</v>
      </c>
      <c r="C12865" s="5" t="s">
        <v>21</v>
      </c>
      <c r="K12865" s="5">
        <v>700.0</v>
      </c>
      <c r="N12865" s="9">
        <v>44667.0</v>
      </c>
    </row>
    <row r="12866">
      <c r="A12866" s="5">
        <v>12865.0</v>
      </c>
      <c r="B12866" s="5" t="s">
        <v>13277</v>
      </c>
      <c r="C12866" s="5" t="s">
        <v>21</v>
      </c>
      <c r="K12866" s="5">
        <v>300.0</v>
      </c>
      <c r="N12866" s="9">
        <v>45323.0</v>
      </c>
    </row>
    <row r="12867">
      <c r="A12867" s="5">
        <v>12866.0</v>
      </c>
      <c r="B12867" s="5" t="s">
        <v>13278</v>
      </c>
      <c r="C12867" s="5" t="s">
        <v>21</v>
      </c>
      <c r="K12867" s="5">
        <v>60.0</v>
      </c>
      <c r="N12867" s="9">
        <v>44631.0</v>
      </c>
    </row>
    <row r="12868">
      <c r="A12868" s="5">
        <v>12867.0</v>
      </c>
      <c r="B12868" s="5" t="s">
        <v>13279</v>
      </c>
      <c r="C12868" s="5" t="s">
        <v>21</v>
      </c>
      <c r="K12868" s="5">
        <v>50.0</v>
      </c>
      <c r="N12868" s="9">
        <v>44502.0</v>
      </c>
    </row>
    <row r="12869">
      <c r="A12869" s="5">
        <v>12868.0</v>
      </c>
      <c r="B12869" s="5" t="s">
        <v>13280</v>
      </c>
      <c r="C12869" s="5" t="s">
        <v>21</v>
      </c>
      <c r="K12869" s="5">
        <v>350.0</v>
      </c>
      <c r="N12869" s="9">
        <v>44771.0</v>
      </c>
    </row>
    <row r="12870">
      <c r="A12870" s="5">
        <v>12869.0</v>
      </c>
      <c r="B12870" s="5" t="s">
        <v>13281</v>
      </c>
      <c r="C12870" s="5" t="s">
        <v>21</v>
      </c>
      <c r="K12870" s="5">
        <v>20.0</v>
      </c>
      <c r="N12870" s="9">
        <v>44668.0</v>
      </c>
    </row>
    <row r="12871">
      <c r="A12871" s="5">
        <v>12870.0</v>
      </c>
      <c r="B12871" s="5" t="s">
        <v>13282</v>
      </c>
      <c r="C12871" s="5" t="s">
        <v>21</v>
      </c>
      <c r="K12871" s="5">
        <v>400.0</v>
      </c>
      <c r="N12871" s="9">
        <v>45467.0</v>
      </c>
    </row>
    <row r="12872">
      <c r="A12872" s="5">
        <v>12871.0</v>
      </c>
      <c r="B12872" s="5" t="s">
        <v>13283</v>
      </c>
      <c r="C12872" s="5" t="s">
        <v>21</v>
      </c>
      <c r="K12872" s="5">
        <v>600.0</v>
      </c>
      <c r="N12872" s="9">
        <v>45065.0</v>
      </c>
    </row>
    <row r="12873">
      <c r="A12873" s="5">
        <v>12872.0</v>
      </c>
      <c r="B12873" s="5" t="s">
        <v>13284</v>
      </c>
      <c r="C12873" s="5" t="s">
        <v>21</v>
      </c>
      <c r="K12873" s="5">
        <v>350.0</v>
      </c>
      <c r="N12873" s="9">
        <v>44825.0</v>
      </c>
    </row>
    <row r="12874">
      <c r="A12874" s="5">
        <v>12873.0</v>
      </c>
      <c r="B12874" s="5" t="s">
        <v>13285</v>
      </c>
      <c r="C12874" s="5" t="s">
        <v>21</v>
      </c>
      <c r="K12874" s="5">
        <v>300.0</v>
      </c>
      <c r="N12874" s="9">
        <v>44697.0</v>
      </c>
    </row>
    <row r="12875">
      <c r="A12875" s="5">
        <v>12874.0</v>
      </c>
      <c r="B12875" s="5" t="s">
        <v>13286</v>
      </c>
      <c r="C12875" s="5" t="s">
        <v>21</v>
      </c>
      <c r="K12875" s="5">
        <v>1300.0</v>
      </c>
      <c r="N12875" s="9">
        <v>44533.0</v>
      </c>
    </row>
    <row r="12876">
      <c r="A12876" s="5">
        <v>12875.0</v>
      </c>
      <c r="B12876" s="5" t="s">
        <v>13287</v>
      </c>
      <c r="C12876" s="5" t="s">
        <v>21</v>
      </c>
      <c r="K12876" s="5">
        <v>200.0</v>
      </c>
      <c r="N12876" s="9">
        <v>45322.0</v>
      </c>
    </row>
    <row r="12877">
      <c r="A12877" s="5">
        <v>12876.0</v>
      </c>
      <c r="B12877" s="5" t="s">
        <v>13288</v>
      </c>
      <c r="C12877" s="5" t="s">
        <v>21</v>
      </c>
      <c r="K12877" s="5">
        <v>200.0</v>
      </c>
      <c r="N12877" s="9">
        <v>45606.0</v>
      </c>
    </row>
    <row r="12878">
      <c r="A12878" s="5">
        <v>12877.0</v>
      </c>
      <c r="B12878" s="5" t="s">
        <v>13289</v>
      </c>
      <c r="C12878" s="5" t="s">
        <v>21</v>
      </c>
      <c r="K12878" s="5">
        <v>500.0</v>
      </c>
      <c r="N12878" s="9">
        <v>44709.0</v>
      </c>
    </row>
    <row r="12879">
      <c r="A12879" s="5">
        <v>12878.0</v>
      </c>
      <c r="B12879" s="5" t="s">
        <v>13290</v>
      </c>
      <c r="C12879" s="5" t="s">
        <v>21</v>
      </c>
      <c r="K12879" s="5">
        <v>150.0</v>
      </c>
      <c r="N12879" s="9">
        <v>44219.0</v>
      </c>
    </row>
    <row r="12880">
      <c r="A12880" s="5">
        <v>12879.0</v>
      </c>
      <c r="B12880" s="5" t="s">
        <v>13291</v>
      </c>
      <c r="C12880" s="5" t="s">
        <v>21</v>
      </c>
      <c r="K12880" s="5">
        <v>300.0</v>
      </c>
      <c r="N12880" s="9">
        <v>44530.0</v>
      </c>
    </row>
    <row r="12881">
      <c r="A12881" s="5">
        <v>12880.0</v>
      </c>
      <c r="B12881" s="5" t="s">
        <v>13292</v>
      </c>
      <c r="C12881" s="5" t="s">
        <v>21</v>
      </c>
      <c r="K12881" s="5">
        <v>200.0</v>
      </c>
      <c r="N12881" s="9">
        <v>45556.0</v>
      </c>
    </row>
    <row r="12882">
      <c r="A12882" s="5">
        <v>12881.0</v>
      </c>
      <c r="B12882" s="5" t="s">
        <v>13293</v>
      </c>
      <c r="C12882" s="5" t="s">
        <v>21</v>
      </c>
      <c r="K12882" s="5">
        <v>3400.0</v>
      </c>
      <c r="N12882" s="9">
        <v>45061.0</v>
      </c>
    </row>
    <row r="12883">
      <c r="A12883" s="5">
        <v>12882.0</v>
      </c>
      <c r="B12883" s="5" t="s">
        <v>13294</v>
      </c>
      <c r="C12883" s="5" t="s">
        <v>21</v>
      </c>
      <c r="K12883" s="5">
        <v>500.0</v>
      </c>
      <c r="N12883" s="9">
        <v>44271.0</v>
      </c>
    </row>
    <row r="12884">
      <c r="A12884" s="5">
        <v>12883.0</v>
      </c>
      <c r="B12884" s="5" t="s">
        <v>13295</v>
      </c>
      <c r="C12884" s="5" t="s">
        <v>21</v>
      </c>
      <c r="K12884" s="5">
        <v>250.0</v>
      </c>
      <c r="N12884" s="9">
        <v>45002.0</v>
      </c>
    </row>
    <row r="12885">
      <c r="A12885" s="5">
        <v>12884.0</v>
      </c>
      <c r="B12885" s="5" t="s">
        <v>13296</v>
      </c>
      <c r="C12885" s="5" t="s">
        <v>21</v>
      </c>
      <c r="N12885" s="9">
        <v>45106.0</v>
      </c>
    </row>
    <row r="12886">
      <c r="A12886" s="5">
        <v>12885.0</v>
      </c>
      <c r="B12886" s="5" t="s">
        <v>13297</v>
      </c>
      <c r="C12886" s="5" t="s">
        <v>21</v>
      </c>
      <c r="K12886" s="5">
        <v>2800.0</v>
      </c>
      <c r="N12886" s="9">
        <v>44171.0</v>
      </c>
    </row>
    <row r="12887">
      <c r="A12887" s="5">
        <v>12886.0</v>
      </c>
      <c r="B12887" s="5" t="s">
        <v>13298</v>
      </c>
      <c r="C12887" s="5" t="s">
        <v>21</v>
      </c>
      <c r="K12887" s="5">
        <v>500.0</v>
      </c>
      <c r="N12887" s="9">
        <v>44883.0</v>
      </c>
    </row>
    <row r="12888">
      <c r="A12888" s="5">
        <v>12887.0</v>
      </c>
      <c r="B12888" s="5" t="s">
        <v>13299</v>
      </c>
      <c r="C12888" s="5" t="s">
        <v>21</v>
      </c>
      <c r="K12888" s="5">
        <v>11000.0</v>
      </c>
      <c r="N12888" s="9">
        <v>43880.0</v>
      </c>
    </row>
    <row r="12889">
      <c r="A12889" s="5">
        <v>12888.0</v>
      </c>
      <c r="B12889" s="5" t="s">
        <v>13300</v>
      </c>
      <c r="C12889" s="5" t="s">
        <v>21</v>
      </c>
      <c r="K12889" s="5">
        <v>350.0</v>
      </c>
      <c r="N12889" s="9">
        <v>44388.0</v>
      </c>
    </row>
    <row r="12890">
      <c r="A12890" s="5">
        <v>12889.0</v>
      </c>
      <c r="B12890" s="5" t="s">
        <v>13301</v>
      </c>
      <c r="C12890" s="5" t="s">
        <v>21</v>
      </c>
      <c r="K12890" s="5">
        <v>10.0</v>
      </c>
      <c r="N12890" s="9">
        <v>44515.0</v>
      </c>
    </row>
    <row r="12891">
      <c r="A12891" s="5">
        <v>12890.0</v>
      </c>
      <c r="B12891" s="5" t="s">
        <v>13302</v>
      </c>
      <c r="C12891" s="5" t="s">
        <v>21</v>
      </c>
      <c r="K12891" s="5">
        <v>50.0</v>
      </c>
      <c r="N12891" s="9">
        <v>44603.0</v>
      </c>
    </row>
    <row r="12892">
      <c r="A12892" s="5">
        <v>12891.0</v>
      </c>
      <c r="B12892" s="5" t="s">
        <v>13303</v>
      </c>
      <c r="C12892" s="5" t="s">
        <v>21</v>
      </c>
      <c r="K12892" s="5">
        <v>40.0</v>
      </c>
      <c r="N12892" s="9">
        <v>44643.0</v>
      </c>
    </row>
    <row r="12893">
      <c r="A12893" s="5">
        <v>12892.0</v>
      </c>
      <c r="B12893" s="5" t="s">
        <v>13304</v>
      </c>
      <c r="C12893" s="5" t="s">
        <v>21</v>
      </c>
      <c r="K12893" s="5">
        <v>900.0</v>
      </c>
      <c r="N12893" s="9">
        <v>43873.0</v>
      </c>
    </row>
    <row r="12894">
      <c r="A12894" s="5">
        <v>12893.0</v>
      </c>
      <c r="B12894" s="5" t="s">
        <v>13305</v>
      </c>
      <c r="C12894" s="5" t="s">
        <v>21</v>
      </c>
      <c r="K12894" s="5">
        <v>90.0</v>
      </c>
      <c r="N12894" s="9">
        <v>44573.0</v>
      </c>
    </row>
    <row r="12895">
      <c r="A12895" s="5">
        <v>12894.0</v>
      </c>
      <c r="B12895" s="5" t="s">
        <v>459</v>
      </c>
      <c r="C12895" s="5" t="s">
        <v>21</v>
      </c>
      <c r="K12895" s="5">
        <v>150.0</v>
      </c>
      <c r="N12895" s="9">
        <v>44115.0</v>
      </c>
    </row>
    <row r="12896">
      <c r="A12896" s="5">
        <v>12895.0</v>
      </c>
      <c r="B12896" s="5" t="s">
        <v>13306</v>
      </c>
      <c r="C12896" s="5" t="s">
        <v>21</v>
      </c>
      <c r="K12896" s="5">
        <v>700.0</v>
      </c>
      <c r="N12896" s="9">
        <v>45508.0</v>
      </c>
    </row>
    <row r="12897">
      <c r="A12897" s="5">
        <v>12896.0</v>
      </c>
      <c r="B12897" s="5" t="s">
        <v>409</v>
      </c>
      <c r="C12897" s="5" t="s">
        <v>21</v>
      </c>
      <c r="K12897" s="5">
        <v>8600.0</v>
      </c>
      <c r="N12897" s="9">
        <v>43915.0</v>
      </c>
    </row>
    <row r="12898">
      <c r="A12898" s="5">
        <v>12897.0</v>
      </c>
      <c r="B12898" s="5" t="s">
        <v>13307</v>
      </c>
      <c r="C12898" s="5" t="s">
        <v>21</v>
      </c>
      <c r="K12898" s="5">
        <v>700.0</v>
      </c>
      <c r="N12898" s="9">
        <v>43867.0</v>
      </c>
    </row>
    <row r="12899">
      <c r="A12899" s="5">
        <v>12898.0</v>
      </c>
      <c r="B12899" s="5" t="s">
        <v>13308</v>
      </c>
      <c r="C12899" s="5" t="s">
        <v>21</v>
      </c>
      <c r="K12899" s="5">
        <v>800.0</v>
      </c>
      <c r="N12899" s="9">
        <v>44604.0</v>
      </c>
    </row>
    <row r="12900">
      <c r="A12900" s="5">
        <v>12899.0</v>
      </c>
      <c r="B12900" s="5" t="s">
        <v>13309</v>
      </c>
      <c r="C12900" s="5" t="s">
        <v>21</v>
      </c>
      <c r="K12900" s="5">
        <v>200.0</v>
      </c>
      <c r="N12900" s="9">
        <v>44562.0</v>
      </c>
    </row>
    <row r="12901">
      <c r="A12901" s="5">
        <v>12900.0</v>
      </c>
      <c r="B12901" s="5" t="s">
        <v>13310</v>
      </c>
      <c r="C12901" s="5" t="s">
        <v>21</v>
      </c>
      <c r="K12901" s="5">
        <v>200.0</v>
      </c>
      <c r="N12901" s="9">
        <v>44522.0</v>
      </c>
    </row>
    <row r="12902">
      <c r="A12902" s="5">
        <v>12901.0</v>
      </c>
      <c r="B12902" s="5" t="s">
        <v>13311</v>
      </c>
      <c r="C12902" s="5" t="s">
        <v>21</v>
      </c>
      <c r="N12902" s="9">
        <v>43857.0</v>
      </c>
    </row>
    <row r="12903">
      <c r="A12903" s="5">
        <v>12902.0</v>
      </c>
      <c r="B12903" s="5" t="s">
        <v>13312</v>
      </c>
      <c r="C12903" s="5" t="s">
        <v>21</v>
      </c>
      <c r="N12903" s="9">
        <v>44519.0</v>
      </c>
    </row>
    <row r="12904">
      <c r="A12904" s="5">
        <v>12903.0</v>
      </c>
      <c r="B12904" s="5" t="s">
        <v>13313</v>
      </c>
      <c r="C12904" s="5" t="s">
        <v>21</v>
      </c>
      <c r="K12904" s="5">
        <v>900.0</v>
      </c>
      <c r="N12904" s="9">
        <v>43928.0</v>
      </c>
    </row>
    <row r="12905">
      <c r="A12905" s="5">
        <v>12904.0</v>
      </c>
      <c r="B12905" s="5" t="s">
        <v>13314</v>
      </c>
      <c r="C12905" s="5" t="s">
        <v>21</v>
      </c>
      <c r="K12905" s="5">
        <v>600.0</v>
      </c>
      <c r="N12905" s="9">
        <v>44515.0</v>
      </c>
    </row>
    <row r="12906">
      <c r="A12906" s="5">
        <v>12905.0</v>
      </c>
      <c r="B12906" s="5" t="s">
        <v>13315</v>
      </c>
      <c r="C12906" s="5" t="s">
        <v>21</v>
      </c>
      <c r="K12906" s="5">
        <v>300.0</v>
      </c>
      <c r="N12906" s="9">
        <v>44525.0</v>
      </c>
    </row>
    <row r="12907">
      <c r="A12907" s="5">
        <v>12906.0</v>
      </c>
      <c r="B12907" s="5" t="s">
        <v>13316</v>
      </c>
      <c r="C12907" s="5" t="s">
        <v>21</v>
      </c>
      <c r="K12907" s="5">
        <v>300.0</v>
      </c>
      <c r="N12907" s="9">
        <v>44277.0</v>
      </c>
    </row>
    <row r="12908">
      <c r="A12908" s="5">
        <v>12907.0</v>
      </c>
      <c r="B12908" s="5" t="s">
        <v>13317</v>
      </c>
      <c r="C12908" s="5" t="s">
        <v>21</v>
      </c>
      <c r="K12908" s="5">
        <v>50.0</v>
      </c>
      <c r="N12908" s="9">
        <v>45014.0</v>
      </c>
    </row>
    <row r="12909">
      <c r="A12909" s="5">
        <v>12908.0</v>
      </c>
      <c r="B12909" s="5" t="s">
        <v>13318</v>
      </c>
      <c r="C12909" s="5" t="s">
        <v>21</v>
      </c>
      <c r="K12909" s="5">
        <v>700.0</v>
      </c>
      <c r="N12909" s="9">
        <v>44227.0</v>
      </c>
    </row>
    <row r="12910">
      <c r="A12910" s="5">
        <v>12909.0</v>
      </c>
      <c r="B12910" s="5" t="s">
        <v>13319</v>
      </c>
      <c r="C12910" s="5" t="s">
        <v>21</v>
      </c>
      <c r="K12910" s="5">
        <v>150.0</v>
      </c>
      <c r="N12910" s="9">
        <v>43929.0</v>
      </c>
    </row>
    <row r="12911">
      <c r="A12911" s="5">
        <v>12910.0</v>
      </c>
      <c r="B12911" s="5" t="s">
        <v>13320</v>
      </c>
      <c r="C12911" s="5" t="s">
        <v>21</v>
      </c>
      <c r="K12911" s="5">
        <v>300.0</v>
      </c>
      <c r="N12911" s="9">
        <v>44886.0</v>
      </c>
    </row>
    <row r="12912">
      <c r="A12912" s="5">
        <v>12911.0</v>
      </c>
      <c r="B12912" s="5" t="s">
        <v>13321</v>
      </c>
      <c r="C12912" s="5" t="s">
        <v>21</v>
      </c>
      <c r="K12912" s="5">
        <v>300.0</v>
      </c>
      <c r="N12912" s="9">
        <v>44727.0</v>
      </c>
    </row>
    <row r="12913">
      <c r="A12913" s="5">
        <v>12912.0</v>
      </c>
      <c r="B12913" s="5" t="s">
        <v>13322</v>
      </c>
      <c r="C12913" s="5" t="s">
        <v>21</v>
      </c>
      <c r="K12913" s="5">
        <v>3600.0</v>
      </c>
      <c r="N12913" s="9">
        <v>43888.0</v>
      </c>
    </row>
    <row r="12914">
      <c r="A12914" s="5">
        <v>12913.0</v>
      </c>
      <c r="B12914" s="5" t="s">
        <v>13323</v>
      </c>
      <c r="C12914" s="5" t="s">
        <v>21</v>
      </c>
      <c r="K12914" s="5">
        <v>30.0</v>
      </c>
      <c r="N12914" s="9">
        <v>44522.0</v>
      </c>
    </row>
    <row r="12915">
      <c r="A12915" s="5">
        <v>12914.0</v>
      </c>
      <c r="B12915" s="5" t="s">
        <v>13324</v>
      </c>
      <c r="C12915" s="5" t="s">
        <v>21</v>
      </c>
      <c r="K12915" s="5">
        <v>70.0</v>
      </c>
      <c r="N12915" s="9">
        <v>45524.0</v>
      </c>
    </row>
    <row r="12916">
      <c r="A12916" s="5">
        <v>12915.0</v>
      </c>
      <c r="B12916" s="5" t="s">
        <v>13325</v>
      </c>
      <c r="C12916" s="5" t="s">
        <v>21</v>
      </c>
      <c r="K12916" s="5">
        <v>10.0</v>
      </c>
      <c r="N12916" s="9">
        <v>44627.0</v>
      </c>
    </row>
    <row r="12917">
      <c r="A12917" s="5">
        <v>12916.0</v>
      </c>
      <c r="B12917" s="5" t="s">
        <v>13326</v>
      </c>
      <c r="C12917" s="5" t="s">
        <v>21</v>
      </c>
      <c r="K12917" s="5">
        <v>400.0</v>
      </c>
      <c r="N12917" s="9">
        <v>43887.0</v>
      </c>
    </row>
    <row r="12918">
      <c r="A12918" s="5">
        <v>12917.0</v>
      </c>
      <c r="B12918" s="5" t="s">
        <v>13327</v>
      </c>
      <c r="C12918" s="5" t="s">
        <v>21</v>
      </c>
      <c r="K12918" s="5">
        <v>10.0</v>
      </c>
      <c r="N12918" s="9">
        <v>44590.0</v>
      </c>
    </row>
    <row r="12919">
      <c r="A12919" s="5">
        <v>12918.0</v>
      </c>
      <c r="B12919" s="5" t="s">
        <v>13328</v>
      </c>
      <c r="C12919" s="5" t="s">
        <v>21</v>
      </c>
      <c r="K12919" s="5">
        <v>900.0</v>
      </c>
      <c r="N12919" s="9">
        <v>43862.0</v>
      </c>
    </row>
    <row r="12920">
      <c r="A12920" s="5">
        <v>12919.0</v>
      </c>
      <c r="B12920" s="5" t="s">
        <v>13329</v>
      </c>
      <c r="C12920" s="5" t="s">
        <v>21</v>
      </c>
      <c r="K12920" s="5">
        <v>20.0</v>
      </c>
      <c r="N12920" s="9">
        <v>45509.0</v>
      </c>
    </row>
    <row r="12921">
      <c r="A12921" s="5">
        <v>12920.0</v>
      </c>
      <c r="B12921" s="5" t="s">
        <v>13330</v>
      </c>
      <c r="C12921" s="5" t="s">
        <v>21</v>
      </c>
      <c r="K12921" s="5">
        <v>600.0</v>
      </c>
      <c r="N12921" s="9">
        <v>44403.0</v>
      </c>
    </row>
    <row r="12922">
      <c r="A12922" s="5">
        <v>12921.0</v>
      </c>
      <c r="B12922" s="5" t="s">
        <v>13331</v>
      </c>
      <c r="C12922" s="5" t="s">
        <v>21</v>
      </c>
      <c r="K12922" s="5">
        <v>200.0</v>
      </c>
      <c r="N12922" s="9">
        <v>44520.0</v>
      </c>
    </row>
    <row r="12923">
      <c r="A12923" s="5">
        <v>12922.0</v>
      </c>
      <c r="B12923" s="5" t="s">
        <v>13332</v>
      </c>
      <c r="C12923" s="5" t="s">
        <v>21</v>
      </c>
      <c r="K12923" s="5">
        <v>30.0</v>
      </c>
      <c r="N12923" s="9">
        <v>44704.0</v>
      </c>
    </row>
    <row r="12924">
      <c r="A12924" s="5">
        <v>12923.0</v>
      </c>
      <c r="B12924" s="5" t="s">
        <v>13333</v>
      </c>
      <c r="C12924" s="5" t="s">
        <v>21</v>
      </c>
      <c r="K12924" s="5">
        <v>2000.0</v>
      </c>
      <c r="N12924" s="9">
        <v>43919.0</v>
      </c>
    </row>
    <row r="12925">
      <c r="A12925" s="5">
        <v>12924.0</v>
      </c>
      <c r="B12925" s="5" t="s">
        <v>13334</v>
      </c>
      <c r="C12925" s="5" t="s">
        <v>21</v>
      </c>
      <c r="K12925" s="5">
        <v>900.0</v>
      </c>
      <c r="N12925" s="9">
        <v>45262.0</v>
      </c>
    </row>
    <row r="12926">
      <c r="A12926" s="5">
        <v>12925.0</v>
      </c>
      <c r="B12926" s="5" t="s">
        <v>13335</v>
      </c>
      <c r="C12926" s="5" t="s">
        <v>21</v>
      </c>
      <c r="K12926" s="5">
        <v>200.0</v>
      </c>
      <c r="N12926" s="9">
        <v>44490.0</v>
      </c>
    </row>
    <row r="12927">
      <c r="A12927" s="5">
        <v>12926.0</v>
      </c>
      <c r="B12927" s="5" t="s">
        <v>13336</v>
      </c>
      <c r="C12927" s="5" t="s">
        <v>21</v>
      </c>
      <c r="K12927" s="5">
        <v>200.0</v>
      </c>
      <c r="N12927" s="9">
        <v>44492.0</v>
      </c>
    </row>
    <row r="12928">
      <c r="A12928" s="5">
        <v>12927.0</v>
      </c>
      <c r="B12928" s="5" t="s">
        <v>13337</v>
      </c>
      <c r="C12928" s="5" t="s">
        <v>21</v>
      </c>
      <c r="K12928" s="5">
        <v>500.0</v>
      </c>
      <c r="N12928" s="9">
        <v>45547.0</v>
      </c>
    </row>
    <row r="12929">
      <c r="A12929" s="5">
        <v>12928.0</v>
      </c>
      <c r="B12929" s="5" t="s">
        <v>13338</v>
      </c>
      <c r="C12929" s="5" t="s">
        <v>21</v>
      </c>
      <c r="K12929" s="5">
        <v>1800.0</v>
      </c>
      <c r="N12929" s="9">
        <v>44387.0</v>
      </c>
    </row>
    <row r="12930">
      <c r="A12930" s="5">
        <v>12929.0</v>
      </c>
      <c r="B12930" s="5" t="s">
        <v>13339</v>
      </c>
      <c r="C12930" s="5" t="s">
        <v>21</v>
      </c>
      <c r="K12930" s="5">
        <v>6500.0</v>
      </c>
      <c r="N12930" s="9">
        <v>43960.0</v>
      </c>
    </row>
    <row r="12931">
      <c r="A12931" s="5">
        <v>12930.0</v>
      </c>
      <c r="B12931" s="5" t="s">
        <v>13340</v>
      </c>
      <c r="C12931" s="5" t="s">
        <v>21</v>
      </c>
      <c r="K12931" s="5">
        <v>1000.0</v>
      </c>
      <c r="N12931" s="9">
        <v>44926.0</v>
      </c>
    </row>
    <row r="12932">
      <c r="A12932" s="5">
        <v>12931.0</v>
      </c>
      <c r="B12932" s="5" t="s">
        <v>13341</v>
      </c>
      <c r="C12932" s="5" t="s">
        <v>21</v>
      </c>
      <c r="N12932" s="9">
        <v>44553.0</v>
      </c>
    </row>
    <row r="12933">
      <c r="A12933" s="5">
        <v>12932.0</v>
      </c>
      <c r="B12933" s="5" t="s">
        <v>13342</v>
      </c>
      <c r="C12933" s="5" t="s">
        <v>21</v>
      </c>
      <c r="K12933" s="5">
        <v>200.0</v>
      </c>
      <c r="N12933" s="9">
        <v>44678.0</v>
      </c>
    </row>
    <row r="12934">
      <c r="A12934" s="5">
        <v>12933.0</v>
      </c>
      <c r="B12934" s="5" t="s">
        <v>13343</v>
      </c>
      <c r="C12934" s="5" t="s">
        <v>21</v>
      </c>
      <c r="K12934" s="5">
        <v>700.0</v>
      </c>
      <c r="N12934" s="9">
        <v>45711.0</v>
      </c>
    </row>
    <row r="12935">
      <c r="A12935" s="5">
        <v>12934.0</v>
      </c>
      <c r="B12935" s="5" t="s">
        <v>13344</v>
      </c>
      <c r="C12935" s="5" t="s">
        <v>21</v>
      </c>
      <c r="K12935" s="5">
        <v>400.0</v>
      </c>
      <c r="N12935" s="9">
        <v>44506.0</v>
      </c>
    </row>
    <row r="12936">
      <c r="A12936" s="5">
        <v>12935.0</v>
      </c>
      <c r="B12936" s="5" t="s">
        <v>13345</v>
      </c>
      <c r="C12936" s="5" t="s">
        <v>21</v>
      </c>
      <c r="K12936" s="5">
        <v>90.0</v>
      </c>
      <c r="N12936" s="9">
        <v>46129.0</v>
      </c>
    </row>
    <row r="12937">
      <c r="A12937" s="5">
        <v>12936.0</v>
      </c>
      <c r="B12937" s="5" t="s">
        <v>13346</v>
      </c>
      <c r="C12937" s="5" t="s">
        <v>21</v>
      </c>
      <c r="K12937" s="5">
        <v>1000.0</v>
      </c>
      <c r="N12937" s="9">
        <v>43907.0</v>
      </c>
    </row>
    <row r="12938">
      <c r="A12938" s="5">
        <v>12937.0</v>
      </c>
      <c r="B12938" s="5" t="s">
        <v>13347</v>
      </c>
      <c r="C12938" s="5" t="s">
        <v>21</v>
      </c>
      <c r="K12938" s="5">
        <v>600.0</v>
      </c>
      <c r="N12938" s="9">
        <v>44288.0</v>
      </c>
    </row>
    <row r="12939">
      <c r="A12939" s="5">
        <v>12938.0</v>
      </c>
      <c r="B12939" s="5" t="s">
        <v>13348</v>
      </c>
      <c r="C12939" s="5" t="s">
        <v>21</v>
      </c>
      <c r="K12939" s="5">
        <v>50.0</v>
      </c>
      <c r="N12939" s="9">
        <v>44625.0</v>
      </c>
    </row>
    <row r="12940">
      <c r="A12940" s="5">
        <v>12939.0</v>
      </c>
      <c r="B12940" s="5" t="s">
        <v>13349</v>
      </c>
      <c r="C12940" s="5" t="s">
        <v>21</v>
      </c>
      <c r="K12940" s="5">
        <v>150.0</v>
      </c>
      <c r="N12940" s="9">
        <v>44695.0</v>
      </c>
    </row>
    <row r="12941">
      <c r="A12941" s="5">
        <v>12940.0</v>
      </c>
      <c r="B12941" s="5" t="s">
        <v>13350</v>
      </c>
      <c r="C12941" s="5" t="s">
        <v>21</v>
      </c>
      <c r="K12941" s="5">
        <v>60.0</v>
      </c>
      <c r="N12941" s="9">
        <v>44571.0</v>
      </c>
    </row>
    <row r="12942">
      <c r="A12942" s="5">
        <v>12941.0</v>
      </c>
      <c r="B12942" s="5" t="s">
        <v>13351</v>
      </c>
      <c r="C12942" s="5" t="s">
        <v>21</v>
      </c>
      <c r="N12942" s="9">
        <v>44301.0</v>
      </c>
    </row>
    <row r="12943">
      <c r="A12943" s="5">
        <v>12942.0</v>
      </c>
      <c r="B12943" s="5" t="s">
        <v>13352</v>
      </c>
      <c r="C12943" s="5" t="s">
        <v>21</v>
      </c>
      <c r="K12943" s="5">
        <v>60.0</v>
      </c>
      <c r="N12943" s="9">
        <v>44633.0</v>
      </c>
    </row>
    <row r="12944">
      <c r="A12944" s="5">
        <v>12943.0</v>
      </c>
      <c r="B12944" s="5" t="s">
        <v>13353</v>
      </c>
      <c r="C12944" s="5" t="s">
        <v>21</v>
      </c>
      <c r="K12944" s="5">
        <v>500.0</v>
      </c>
      <c r="N12944" s="9">
        <v>45066.0</v>
      </c>
    </row>
    <row r="12945">
      <c r="A12945" s="5">
        <v>12944.0</v>
      </c>
      <c r="B12945" s="5" t="s">
        <v>13354</v>
      </c>
      <c r="C12945" s="5" t="s">
        <v>21</v>
      </c>
      <c r="K12945" s="5">
        <v>250.0</v>
      </c>
      <c r="N12945" s="9">
        <v>44259.0</v>
      </c>
    </row>
    <row r="12946">
      <c r="A12946" s="5">
        <v>12945.0</v>
      </c>
      <c r="B12946" s="5" t="s">
        <v>13355</v>
      </c>
      <c r="C12946" s="5" t="s">
        <v>21</v>
      </c>
      <c r="K12946" s="5">
        <v>60.0</v>
      </c>
      <c r="N12946" s="9">
        <v>44756.0</v>
      </c>
    </row>
    <row r="12947">
      <c r="A12947" s="5">
        <v>12946.0</v>
      </c>
      <c r="B12947" s="5" t="s">
        <v>13356</v>
      </c>
      <c r="C12947" s="5" t="s">
        <v>21</v>
      </c>
      <c r="K12947" s="5">
        <v>250.0</v>
      </c>
      <c r="N12947" s="9">
        <v>44620.0</v>
      </c>
    </row>
    <row r="12948">
      <c r="A12948" s="5">
        <v>12947.0</v>
      </c>
      <c r="B12948" s="5" t="s">
        <v>13357</v>
      </c>
      <c r="C12948" s="5" t="s">
        <v>21</v>
      </c>
      <c r="N12948" s="9">
        <v>44613.0</v>
      </c>
    </row>
    <row r="12949">
      <c r="A12949" s="5">
        <v>12948.0</v>
      </c>
      <c r="B12949" s="5" t="s">
        <v>13358</v>
      </c>
      <c r="C12949" s="5" t="s">
        <v>21</v>
      </c>
      <c r="K12949" s="5">
        <v>200.0</v>
      </c>
      <c r="N12949" s="9">
        <v>45421.0</v>
      </c>
    </row>
    <row r="12950">
      <c r="A12950" s="5">
        <v>12949.0</v>
      </c>
      <c r="B12950" s="5" t="s">
        <v>13359</v>
      </c>
      <c r="C12950" s="5" t="s">
        <v>21</v>
      </c>
      <c r="K12950" s="5">
        <v>1000.0</v>
      </c>
      <c r="N12950" s="9">
        <v>44746.0</v>
      </c>
    </row>
    <row r="12951">
      <c r="A12951" s="5">
        <v>12950.0</v>
      </c>
      <c r="B12951" s="5" t="s">
        <v>13360</v>
      </c>
      <c r="C12951" s="5" t="s">
        <v>21</v>
      </c>
      <c r="N12951" s="9">
        <v>44521.0</v>
      </c>
    </row>
    <row r="12952">
      <c r="A12952" s="5">
        <v>12951.0</v>
      </c>
      <c r="B12952" s="5" t="s">
        <v>13361</v>
      </c>
      <c r="C12952" s="5" t="s">
        <v>21</v>
      </c>
      <c r="K12952" s="5">
        <v>1300.0</v>
      </c>
      <c r="N12952" s="9">
        <v>44525.0</v>
      </c>
    </row>
    <row r="12953">
      <c r="A12953" s="5">
        <v>12952.0</v>
      </c>
      <c r="B12953" s="5" t="s">
        <v>13362</v>
      </c>
      <c r="C12953" s="5" t="s">
        <v>21</v>
      </c>
      <c r="K12953" s="5">
        <v>350.0</v>
      </c>
      <c r="N12953" s="9">
        <v>44566.0</v>
      </c>
    </row>
    <row r="12954">
      <c r="A12954" s="5">
        <v>12953.0</v>
      </c>
      <c r="B12954" s="5" t="s">
        <v>13363</v>
      </c>
      <c r="C12954" s="5" t="s">
        <v>21</v>
      </c>
      <c r="K12954" s="5">
        <v>200.0</v>
      </c>
      <c r="N12954" s="9">
        <v>44820.0</v>
      </c>
    </row>
    <row r="12955">
      <c r="A12955" s="5">
        <v>12954.0</v>
      </c>
      <c r="B12955" s="5" t="s">
        <v>13364</v>
      </c>
      <c r="C12955" s="5" t="s">
        <v>21</v>
      </c>
      <c r="K12955" s="5">
        <v>400.0</v>
      </c>
      <c r="N12955" s="9">
        <v>45307.0</v>
      </c>
    </row>
    <row r="12956">
      <c r="A12956" s="5">
        <v>12955.0</v>
      </c>
      <c r="B12956" s="5" t="s">
        <v>13365</v>
      </c>
      <c r="C12956" s="5" t="s">
        <v>21</v>
      </c>
      <c r="K12956" s="5">
        <v>90.0</v>
      </c>
      <c r="N12956" s="9">
        <v>44613.0</v>
      </c>
    </row>
    <row r="12957">
      <c r="A12957" s="5">
        <v>12956.0</v>
      </c>
      <c r="B12957" s="5" t="s">
        <v>13366</v>
      </c>
      <c r="C12957" s="5" t="s">
        <v>21</v>
      </c>
      <c r="K12957" s="5">
        <v>40.0</v>
      </c>
      <c r="N12957" s="9">
        <v>43947.0</v>
      </c>
    </row>
    <row r="12958">
      <c r="A12958" s="5">
        <v>12957.0</v>
      </c>
      <c r="B12958" s="5" t="s">
        <v>13367</v>
      </c>
      <c r="C12958" s="5" t="s">
        <v>21</v>
      </c>
      <c r="K12958" s="5">
        <v>200.0</v>
      </c>
      <c r="N12958" s="9">
        <v>44551.0</v>
      </c>
    </row>
    <row r="12959">
      <c r="A12959" s="5">
        <v>12958.0</v>
      </c>
      <c r="B12959" s="5" t="s">
        <v>13368</v>
      </c>
      <c r="C12959" s="5" t="s">
        <v>21</v>
      </c>
      <c r="K12959" s="5">
        <v>3600.0</v>
      </c>
      <c r="N12959" s="9">
        <v>44617.0</v>
      </c>
    </row>
    <row r="12960">
      <c r="A12960" s="5">
        <v>12959.0</v>
      </c>
      <c r="B12960" s="5" t="s">
        <v>13369</v>
      </c>
      <c r="C12960" s="5" t="s">
        <v>21</v>
      </c>
      <c r="K12960" s="5">
        <v>350.0</v>
      </c>
      <c r="N12960" s="9">
        <v>44337.0</v>
      </c>
    </row>
    <row r="12961">
      <c r="A12961" s="5">
        <v>12960.0</v>
      </c>
      <c r="B12961" s="5" t="s">
        <v>13370</v>
      </c>
      <c r="C12961" s="5" t="s">
        <v>21</v>
      </c>
      <c r="K12961" s="5">
        <v>4500.0</v>
      </c>
      <c r="N12961" s="9">
        <v>44338.0</v>
      </c>
    </row>
    <row r="12962">
      <c r="A12962" s="5">
        <v>12961.0</v>
      </c>
      <c r="B12962" s="5" t="s">
        <v>13371</v>
      </c>
      <c r="C12962" s="5" t="s">
        <v>21</v>
      </c>
      <c r="K12962" s="5">
        <v>500.0</v>
      </c>
      <c r="N12962" s="9">
        <v>44746.0</v>
      </c>
    </row>
    <row r="12963">
      <c r="A12963" s="5">
        <v>12962.0</v>
      </c>
      <c r="B12963" s="5" t="s">
        <v>13372</v>
      </c>
      <c r="C12963" s="5" t="s">
        <v>21</v>
      </c>
      <c r="K12963" s="5">
        <v>200.0</v>
      </c>
      <c r="N12963" s="9">
        <v>44553.0</v>
      </c>
    </row>
    <row r="12964">
      <c r="A12964" s="5">
        <v>12963.0</v>
      </c>
      <c r="B12964" s="5" t="s">
        <v>13373</v>
      </c>
      <c r="C12964" s="5" t="s">
        <v>21</v>
      </c>
      <c r="K12964" s="5">
        <v>2500.0</v>
      </c>
      <c r="N12964" s="9">
        <v>45547.0</v>
      </c>
    </row>
    <row r="12965">
      <c r="A12965" s="5">
        <v>12964.0</v>
      </c>
      <c r="B12965" s="5" t="s">
        <v>13374</v>
      </c>
      <c r="C12965" s="5" t="s">
        <v>21</v>
      </c>
      <c r="K12965" s="5">
        <v>600.0</v>
      </c>
      <c r="N12965" s="9">
        <v>43926.0</v>
      </c>
    </row>
    <row r="12966">
      <c r="A12966" s="5">
        <v>12965.0</v>
      </c>
      <c r="B12966" s="5" t="s">
        <v>13375</v>
      </c>
      <c r="C12966" s="5" t="s">
        <v>21</v>
      </c>
      <c r="K12966" s="5">
        <v>150.0</v>
      </c>
      <c r="N12966" s="9">
        <v>44518.0</v>
      </c>
    </row>
    <row r="12967">
      <c r="A12967" s="5">
        <v>12966.0</v>
      </c>
      <c r="B12967" s="5" t="s">
        <v>13376</v>
      </c>
      <c r="C12967" s="5" t="s">
        <v>21</v>
      </c>
      <c r="K12967" s="5">
        <v>1300.0</v>
      </c>
      <c r="N12967" s="9">
        <v>43990.0</v>
      </c>
    </row>
    <row r="12968">
      <c r="A12968" s="5">
        <v>12967.0</v>
      </c>
      <c r="B12968" s="5" t="s">
        <v>13377</v>
      </c>
      <c r="C12968" s="5" t="s">
        <v>21</v>
      </c>
      <c r="K12968" s="5">
        <v>250.0</v>
      </c>
      <c r="N12968" s="9">
        <v>45267.0</v>
      </c>
    </row>
    <row r="12969">
      <c r="A12969" s="5">
        <v>12968.0</v>
      </c>
      <c r="B12969" s="5" t="s">
        <v>13378</v>
      </c>
      <c r="C12969" s="5" t="s">
        <v>21</v>
      </c>
      <c r="N12969" s="9">
        <v>44683.0</v>
      </c>
    </row>
    <row r="12970">
      <c r="A12970" s="5">
        <v>12969.0</v>
      </c>
      <c r="B12970" s="5" t="s">
        <v>13379</v>
      </c>
      <c r="C12970" s="5" t="s">
        <v>21</v>
      </c>
      <c r="K12970" s="5">
        <v>500.0</v>
      </c>
      <c r="N12970" s="9">
        <v>43944.0</v>
      </c>
    </row>
    <row r="12971">
      <c r="A12971" s="5">
        <v>12970.0</v>
      </c>
      <c r="B12971" s="5" t="s">
        <v>13380</v>
      </c>
      <c r="C12971" s="5" t="s">
        <v>21</v>
      </c>
      <c r="K12971" s="5">
        <v>600.0</v>
      </c>
      <c r="N12971" s="9">
        <v>44874.0</v>
      </c>
    </row>
    <row r="12972">
      <c r="A12972" s="5">
        <v>12971.0</v>
      </c>
      <c r="B12972" s="5" t="s">
        <v>13381</v>
      </c>
      <c r="C12972" s="5" t="s">
        <v>21</v>
      </c>
      <c r="K12972" s="5">
        <v>1700.0</v>
      </c>
      <c r="N12972" s="9">
        <v>44061.0</v>
      </c>
    </row>
    <row r="12973">
      <c r="A12973" s="5">
        <v>12972.0</v>
      </c>
      <c r="B12973" s="5" t="s">
        <v>13382</v>
      </c>
      <c r="C12973" s="5" t="s">
        <v>21</v>
      </c>
      <c r="K12973" s="5">
        <v>2100.0</v>
      </c>
      <c r="N12973" s="9">
        <v>43846.0</v>
      </c>
    </row>
    <row r="12974">
      <c r="A12974" s="5">
        <v>12973.0</v>
      </c>
      <c r="B12974" s="5" t="s">
        <v>13383</v>
      </c>
      <c r="C12974" s="5" t="s">
        <v>21</v>
      </c>
      <c r="K12974" s="5">
        <v>1100.0</v>
      </c>
      <c r="N12974" s="9">
        <v>45740.0</v>
      </c>
    </row>
    <row r="12975">
      <c r="A12975" s="5">
        <v>12974.0</v>
      </c>
      <c r="B12975" s="5" t="s">
        <v>13384</v>
      </c>
      <c r="C12975" s="5" t="s">
        <v>21</v>
      </c>
      <c r="N12975" s="9">
        <v>44539.0</v>
      </c>
    </row>
    <row r="12976">
      <c r="A12976" s="5">
        <v>12975.0</v>
      </c>
      <c r="B12976" s="5" t="s">
        <v>13385</v>
      </c>
      <c r="C12976" s="5" t="s">
        <v>21</v>
      </c>
      <c r="K12976" s="5">
        <v>200.0</v>
      </c>
      <c r="N12976" s="9">
        <v>44016.0</v>
      </c>
    </row>
    <row r="12977">
      <c r="A12977" s="5">
        <v>12976.0</v>
      </c>
      <c r="B12977" s="5" t="s">
        <v>13386</v>
      </c>
      <c r="C12977" s="5" t="s">
        <v>21</v>
      </c>
      <c r="K12977" s="5">
        <v>2900.0</v>
      </c>
      <c r="N12977" s="9">
        <v>44289.0</v>
      </c>
    </row>
    <row r="12978">
      <c r="A12978" s="5">
        <v>12977.0</v>
      </c>
      <c r="B12978" s="5" t="s">
        <v>13387</v>
      </c>
      <c r="C12978" s="5" t="s">
        <v>21</v>
      </c>
      <c r="K12978" s="5">
        <v>250.0</v>
      </c>
      <c r="N12978" s="9">
        <v>44523.0</v>
      </c>
    </row>
    <row r="12979">
      <c r="A12979" s="5">
        <v>12978.0</v>
      </c>
      <c r="B12979" s="5" t="s">
        <v>13388</v>
      </c>
      <c r="C12979" s="5" t="s">
        <v>21</v>
      </c>
      <c r="K12979" s="5">
        <v>250.0</v>
      </c>
      <c r="N12979" s="9">
        <v>44544.0</v>
      </c>
    </row>
    <row r="12980">
      <c r="A12980" s="5">
        <v>12979.0</v>
      </c>
      <c r="B12980" s="5" t="s">
        <v>13389</v>
      </c>
      <c r="C12980" s="5" t="s">
        <v>21</v>
      </c>
      <c r="K12980" s="5">
        <v>8900.0</v>
      </c>
      <c r="N12980" s="9">
        <v>45262.0</v>
      </c>
    </row>
    <row r="12981">
      <c r="A12981" s="5">
        <v>12980.0</v>
      </c>
      <c r="B12981" s="5" t="s">
        <v>13390</v>
      </c>
      <c r="C12981" s="5" t="s">
        <v>21</v>
      </c>
      <c r="K12981" s="5">
        <v>150.0</v>
      </c>
      <c r="N12981" s="9">
        <v>44195.0</v>
      </c>
    </row>
    <row r="12982">
      <c r="A12982" s="5">
        <v>12981.0</v>
      </c>
      <c r="B12982" s="5" t="s">
        <v>13391</v>
      </c>
      <c r="C12982" s="5" t="s">
        <v>21</v>
      </c>
      <c r="K12982" s="5">
        <v>300.0</v>
      </c>
      <c r="N12982" s="9">
        <v>44666.0</v>
      </c>
    </row>
    <row r="12983">
      <c r="A12983" s="5">
        <v>12982.0</v>
      </c>
      <c r="B12983" s="5" t="s">
        <v>13392</v>
      </c>
      <c r="C12983" s="5" t="s">
        <v>21</v>
      </c>
      <c r="K12983" s="5">
        <v>600.0</v>
      </c>
      <c r="N12983" s="9">
        <v>44395.0</v>
      </c>
    </row>
    <row r="12984">
      <c r="A12984" s="5">
        <v>12983.0</v>
      </c>
      <c r="B12984" s="5" t="s">
        <v>13393</v>
      </c>
      <c r="C12984" s="5" t="s">
        <v>21</v>
      </c>
      <c r="K12984" s="5">
        <v>1000.0</v>
      </c>
      <c r="N12984" s="9">
        <v>45532.0</v>
      </c>
    </row>
    <row r="12985">
      <c r="A12985" s="5">
        <v>12984.0</v>
      </c>
      <c r="B12985" s="5" t="s">
        <v>13394</v>
      </c>
      <c r="C12985" s="5" t="s">
        <v>21</v>
      </c>
      <c r="K12985" s="5">
        <v>300.0</v>
      </c>
      <c r="N12985" s="9">
        <v>45639.0</v>
      </c>
    </row>
    <row r="12986">
      <c r="A12986" s="5">
        <v>12985.0</v>
      </c>
      <c r="B12986" s="5" t="s">
        <v>13395</v>
      </c>
      <c r="C12986" s="5" t="s">
        <v>21</v>
      </c>
      <c r="K12986" s="5">
        <v>200.0</v>
      </c>
      <c r="N12986" s="9">
        <v>44510.0</v>
      </c>
    </row>
    <row r="12987">
      <c r="A12987" s="5">
        <v>12986.0</v>
      </c>
      <c r="B12987" s="5" t="s">
        <v>13396</v>
      </c>
      <c r="C12987" s="5" t="s">
        <v>21</v>
      </c>
      <c r="K12987" s="5">
        <v>150.0</v>
      </c>
      <c r="N12987" s="9">
        <v>44570.0</v>
      </c>
    </row>
    <row r="12988">
      <c r="A12988" s="5">
        <v>12987.0</v>
      </c>
      <c r="B12988" s="5" t="s">
        <v>13397</v>
      </c>
      <c r="C12988" s="5" t="s">
        <v>21</v>
      </c>
      <c r="K12988" s="5">
        <v>150.0</v>
      </c>
      <c r="N12988" s="9">
        <v>45306.0</v>
      </c>
    </row>
    <row r="12989">
      <c r="A12989" s="5">
        <v>12988.0</v>
      </c>
      <c r="B12989" s="5" t="s">
        <v>13398</v>
      </c>
      <c r="C12989" s="5" t="s">
        <v>21</v>
      </c>
      <c r="K12989" s="5">
        <v>800.0</v>
      </c>
      <c r="N12989" s="9">
        <v>43862.0</v>
      </c>
    </row>
    <row r="12990">
      <c r="A12990" s="5">
        <v>12989.0</v>
      </c>
      <c r="B12990" s="5" t="s">
        <v>13399</v>
      </c>
      <c r="C12990" s="5" t="s">
        <v>21</v>
      </c>
      <c r="K12990" s="5">
        <v>150.0</v>
      </c>
      <c r="N12990" s="9">
        <v>43863.0</v>
      </c>
    </row>
    <row r="12991">
      <c r="A12991" s="5">
        <v>12990.0</v>
      </c>
      <c r="B12991" s="5" t="s">
        <v>13400</v>
      </c>
      <c r="C12991" s="5" t="s">
        <v>21</v>
      </c>
      <c r="K12991" s="5">
        <v>700.0</v>
      </c>
      <c r="N12991" s="9">
        <v>43854.0</v>
      </c>
    </row>
    <row r="12992">
      <c r="A12992" s="5">
        <v>12991.0</v>
      </c>
      <c r="B12992" s="5" t="s">
        <v>13401</v>
      </c>
      <c r="C12992" s="5" t="s">
        <v>21</v>
      </c>
      <c r="K12992" s="5">
        <v>400.0</v>
      </c>
      <c r="N12992" s="9">
        <v>45365.0</v>
      </c>
    </row>
    <row r="12993">
      <c r="A12993" s="5">
        <v>12992.0</v>
      </c>
      <c r="B12993" s="5" t="s">
        <v>13402</v>
      </c>
      <c r="C12993" s="5" t="s">
        <v>21</v>
      </c>
      <c r="K12993" s="5">
        <v>500.0</v>
      </c>
      <c r="N12993" s="9">
        <v>44558.0</v>
      </c>
    </row>
    <row r="12994">
      <c r="A12994" s="5">
        <v>12993.0</v>
      </c>
      <c r="B12994" s="5" t="s">
        <v>13403</v>
      </c>
      <c r="C12994" s="5" t="s">
        <v>21</v>
      </c>
      <c r="K12994" s="5">
        <v>250.0</v>
      </c>
      <c r="N12994" s="9">
        <v>44622.0</v>
      </c>
    </row>
    <row r="12995">
      <c r="A12995" s="5">
        <v>12994.0</v>
      </c>
      <c r="B12995" s="5" t="s">
        <v>13404</v>
      </c>
      <c r="C12995" s="5" t="s">
        <v>21</v>
      </c>
      <c r="N12995" s="9">
        <v>44801.0</v>
      </c>
    </row>
    <row r="12996">
      <c r="A12996" s="5">
        <v>12995.0</v>
      </c>
      <c r="B12996" s="5" t="s">
        <v>13405</v>
      </c>
      <c r="C12996" s="5" t="s">
        <v>21</v>
      </c>
      <c r="K12996" s="5">
        <v>900.0</v>
      </c>
      <c r="N12996" s="9">
        <v>44046.0</v>
      </c>
    </row>
    <row r="12997">
      <c r="A12997" s="5">
        <v>12996.0</v>
      </c>
      <c r="B12997" s="5" t="s">
        <v>13406</v>
      </c>
      <c r="C12997" s="5" t="s">
        <v>21</v>
      </c>
      <c r="N12997" s="9">
        <v>44549.0</v>
      </c>
    </row>
    <row r="12998">
      <c r="A12998" s="5">
        <v>12997.0</v>
      </c>
      <c r="B12998" s="5" t="s">
        <v>13407</v>
      </c>
      <c r="C12998" s="5" t="s">
        <v>21</v>
      </c>
      <c r="K12998" s="5">
        <v>200.0</v>
      </c>
      <c r="N12998" s="9">
        <v>44968.0</v>
      </c>
    </row>
    <row r="12999">
      <c r="A12999" s="5">
        <v>12998.0</v>
      </c>
      <c r="B12999" s="5" t="s">
        <v>13408</v>
      </c>
      <c r="C12999" s="5" t="s">
        <v>21</v>
      </c>
      <c r="K12999" s="5">
        <v>900.0</v>
      </c>
      <c r="N12999" s="9">
        <v>44043.0</v>
      </c>
    </row>
    <row r="13000">
      <c r="A13000" s="5">
        <v>12999.0</v>
      </c>
      <c r="B13000" s="5" t="s">
        <v>13409</v>
      </c>
      <c r="C13000" s="5" t="s">
        <v>21</v>
      </c>
      <c r="K13000" s="5">
        <v>3300.0</v>
      </c>
      <c r="N13000" s="9">
        <v>44728.0</v>
      </c>
    </row>
    <row r="13001">
      <c r="A13001" s="5">
        <v>13000.0</v>
      </c>
      <c r="B13001" s="5" t="s">
        <v>13410</v>
      </c>
      <c r="C13001" s="5" t="s">
        <v>21</v>
      </c>
      <c r="K13001" s="5">
        <v>100.0</v>
      </c>
      <c r="N13001" s="9">
        <v>44569.0</v>
      </c>
    </row>
    <row r="13002">
      <c r="A13002" s="5">
        <v>13001.0</v>
      </c>
      <c r="B13002" s="5" t="s">
        <v>13411</v>
      </c>
      <c r="C13002" s="5" t="s">
        <v>21</v>
      </c>
      <c r="K13002" s="5">
        <v>40.0</v>
      </c>
      <c r="N13002" s="9">
        <v>44582.0</v>
      </c>
    </row>
    <row r="13003">
      <c r="A13003" s="5">
        <v>13002.0</v>
      </c>
      <c r="B13003" s="5" t="s">
        <v>13412</v>
      </c>
      <c r="C13003" s="5" t="s">
        <v>21</v>
      </c>
      <c r="K13003" s="5">
        <v>200.0</v>
      </c>
      <c r="N13003" s="9">
        <v>45120.0</v>
      </c>
    </row>
    <row r="13004">
      <c r="A13004" s="5">
        <v>13003.0</v>
      </c>
      <c r="B13004" s="5" t="s">
        <v>13413</v>
      </c>
      <c r="C13004" s="5" t="s">
        <v>21</v>
      </c>
      <c r="K13004" s="5">
        <v>11000.0</v>
      </c>
      <c r="N13004" s="9">
        <v>44530.0</v>
      </c>
    </row>
    <row r="13005">
      <c r="A13005" s="5">
        <v>13004.0</v>
      </c>
      <c r="B13005" s="5" t="s">
        <v>13414</v>
      </c>
      <c r="C13005" s="5" t="s">
        <v>21</v>
      </c>
      <c r="K13005" s="5">
        <v>200.0</v>
      </c>
      <c r="N13005" s="9">
        <v>44570.0</v>
      </c>
    </row>
    <row r="13006">
      <c r="A13006" s="5">
        <v>13005.0</v>
      </c>
      <c r="B13006" s="5" t="s">
        <v>13415</v>
      </c>
      <c r="C13006" s="5" t="s">
        <v>21</v>
      </c>
      <c r="K13006" s="5">
        <v>350.0</v>
      </c>
      <c r="N13006" s="9">
        <v>44661.0</v>
      </c>
    </row>
    <row r="13007">
      <c r="A13007" s="5">
        <v>13006.0</v>
      </c>
      <c r="B13007" s="5" t="s">
        <v>13416</v>
      </c>
      <c r="C13007" s="5" t="s">
        <v>21</v>
      </c>
      <c r="K13007" s="5">
        <v>250.0</v>
      </c>
      <c r="N13007" s="9">
        <v>44569.0</v>
      </c>
    </row>
    <row r="13008">
      <c r="A13008" s="5">
        <v>13007.0</v>
      </c>
      <c r="B13008" s="5" t="s">
        <v>13417</v>
      </c>
      <c r="C13008" s="5" t="s">
        <v>21</v>
      </c>
      <c r="K13008" s="5">
        <v>300.0</v>
      </c>
      <c r="N13008" s="9">
        <v>44886.0</v>
      </c>
    </row>
    <row r="13009">
      <c r="A13009" s="5">
        <v>13008.0</v>
      </c>
      <c r="B13009" s="5" t="s">
        <v>13418</v>
      </c>
      <c r="C13009" s="5" t="s">
        <v>21</v>
      </c>
      <c r="N13009" s="9">
        <v>44663.0</v>
      </c>
    </row>
    <row r="13010">
      <c r="A13010" s="5">
        <v>13009.0</v>
      </c>
      <c r="B13010" s="5" t="s">
        <v>13419</v>
      </c>
      <c r="C13010" s="5" t="s">
        <v>21</v>
      </c>
      <c r="K13010" s="5">
        <v>200.0</v>
      </c>
      <c r="N13010" s="9">
        <v>45085.0</v>
      </c>
    </row>
    <row r="13011">
      <c r="A13011" s="5">
        <v>13010.0</v>
      </c>
      <c r="B13011" s="5" t="s">
        <v>13420</v>
      </c>
      <c r="C13011" s="5" t="s">
        <v>21</v>
      </c>
      <c r="K13011" s="5">
        <v>150.0</v>
      </c>
      <c r="N13011" s="9">
        <v>45187.0</v>
      </c>
    </row>
    <row r="13012">
      <c r="A13012" s="5">
        <v>13011.0</v>
      </c>
      <c r="B13012" s="5" t="s">
        <v>13421</v>
      </c>
      <c r="C13012" s="5" t="s">
        <v>21</v>
      </c>
      <c r="K13012" s="5">
        <v>1500.0</v>
      </c>
      <c r="N13012" s="9">
        <v>44536.0</v>
      </c>
    </row>
    <row r="13013">
      <c r="A13013" s="5">
        <v>13012.0</v>
      </c>
      <c r="B13013" s="5" t="s">
        <v>13422</v>
      </c>
      <c r="C13013" s="5" t="s">
        <v>21</v>
      </c>
      <c r="N13013" s="9">
        <v>44519.0</v>
      </c>
    </row>
    <row r="13014">
      <c r="A13014" s="5">
        <v>13013.0</v>
      </c>
      <c r="B13014" s="5" t="s">
        <v>13423</v>
      </c>
      <c r="C13014" s="5" t="s">
        <v>21</v>
      </c>
      <c r="K13014" s="5">
        <v>200.0</v>
      </c>
      <c r="N13014" s="9">
        <v>44661.0</v>
      </c>
    </row>
    <row r="13015">
      <c r="A13015" s="5">
        <v>13014.0</v>
      </c>
      <c r="B13015" s="5" t="s">
        <v>13424</v>
      </c>
      <c r="C13015" s="5" t="s">
        <v>21</v>
      </c>
      <c r="K13015" s="5">
        <v>90.0</v>
      </c>
      <c r="N13015" s="9">
        <v>44537.0</v>
      </c>
    </row>
    <row r="13016">
      <c r="A13016" s="5">
        <v>13015.0</v>
      </c>
      <c r="B13016" s="5" t="s">
        <v>13425</v>
      </c>
      <c r="C13016" s="5" t="s">
        <v>21</v>
      </c>
      <c r="K13016" s="5">
        <v>60.0</v>
      </c>
      <c r="N13016" s="9">
        <v>44729.0</v>
      </c>
    </row>
    <row r="13017">
      <c r="A13017" s="5">
        <v>13016.0</v>
      </c>
      <c r="B13017" s="5" t="s">
        <v>13426</v>
      </c>
      <c r="C13017" s="5" t="s">
        <v>21</v>
      </c>
      <c r="K13017" s="5">
        <v>40.0</v>
      </c>
      <c r="N13017" s="9">
        <v>44880.0</v>
      </c>
    </row>
    <row r="13018">
      <c r="A13018" s="5">
        <v>13017.0</v>
      </c>
      <c r="B13018" s="5" t="s">
        <v>13427</v>
      </c>
      <c r="C13018" s="5" t="s">
        <v>21</v>
      </c>
      <c r="K13018" s="5">
        <v>1400.0</v>
      </c>
      <c r="N13018" s="9">
        <v>44723.0</v>
      </c>
    </row>
    <row r="13019">
      <c r="A13019" s="5">
        <v>13018.0</v>
      </c>
      <c r="B13019" s="5" t="s">
        <v>13428</v>
      </c>
      <c r="C13019" s="5" t="s">
        <v>21</v>
      </c>
      <c r="K13019" s="5">
        <v>200.0</v>
      </c>
      <c r="N13019" s="9">
        <v>44698.0</v>
      </c>
    </row>
    <row r="13020">
      <c r="A13020" s="5">
        <v>13019.0</v>
      </c>
      <c r="B13020" s="5" t="s">
        <v>13429</v>
      </c>
      <c r="C13020" s="5" t="s">
        <v>21</v>
      </c>
      <c r="K13020" s="5">
        <v>2100.0</v>
      </c>
      <c r="N13020" s="9">
        <v>44244.0</v>
      </c>
    </row>
    <row r="13021">
      <c r="A13021" s="5">
        <v>13020.0</v>
      </c>
      <c r="B13021" s="5" t="s">
        <v>13430</v>
      </c>
      <c r="C13021" s="5" t="s">
        <v>21</v>
      </c>
      <c r="K13021" s="5">
        <v>40.0</v>
      </c>
      <c r="N13021" s="9">
        <v>44136.0</v>
      </c>
    </row>
    <row r="13022">
      <c r="A13022" s="5">
        <v>13021.0</v>
      </c>
      <c r="B13022" s="5" t="s">
        <v>13431</v>
      </c>
      <c r="C13022" s="5" t="s">
        <v>21</v>
      </c>
      <c r="K13022" s="5">
        <v>600.0</v>
      </c>
      <c r="N13022" s="9">
        <v>44375.0</v>
      </c>
    </row>
    <row r="13023">
      <c r="A13023" s="5">
        <v>13022.0</v>
      </c>
      <c r="B13023" s="5" t="s">
        <v>13432</v>
      </c>
      <c r="C13023" s="5" t="s">
        <v>21</v>
      </c>
      <c r="K13023" s="5">
        <v>10.0</v>
      </c>
      <c r="N13023" s="9">
        <v>44346.0</v>
      </c>
    </row>
    <row r="13024">
      <c r="A13024" s="5">
        <v>13023.0</v>
      </c>
      <c r="B13024" s="5" t="s">
        <v>13433</v>
      </c>
      <c r="C13024" s="5" t="s">
        <v>21</v>
      </c>
      <c r="K13024" s="5">
        <v>50.0</v>
      </c>
      <c r="N13024" s="9">
        <v>44647.0</v>
      </c>
    </row>
    <row r="13025">
      <c r="A13025" s="5">
        <v>13024.0</v>
      </c>
      <c r="B13025" s="5" t="s">
        <v>13434</v>
      </c>
      <c r="C13025" s="5" t="s">
        <v>21</v>
      </c>
      <c r="N13025" s="9">
        <v>45383.0</v>
      </c>
    </row>
    <row r="13026">
      <c r="A13026" s="5">
        <v>13025.0</v>
      </c>
      <c r="B13026" s="5" t="s">
        <v>13435</v>
      </c>
      <c r="C13026" s="5" t="s">
        <v>21</v>
      </c>
      <c r="K13026" s="5">
        <v>40.0</v>
      </c>
      <c r="N13026" s="9">
        <v>43924.0</v>
      </c>
    </row>
    <row r="13027">
      <c r="A13027" s="5">
        <v>13026.0</v>
      </c>
      <c r="B13027" s="5" t="s">
        <v>13436</v>
      </c>
      <c r="C13027" s="5" t="s">
        <v>21</v>
      </c>
      <c r="K13027" s="5">
        <v>600.0</v>
      </c>
      <c r="N13027" s="9">
        <v>45113.0</v>
      </c>
    </row>
    <row r="13028">
      <c r="A13028" s="5">
        <v>13027.0</v>
      </c>
      <c r="B13028" s="5" t="s">
        <v>13437</v>
      </c>
      <c r="C13028" s="5" t="s">
        <v>21</v>
      </c>
      <c r="K13028" s="5">
        <v>700.0</v>
      </c>
      <c r="N13028" s="9">
        <v>44142.0</v>
      </c>
    </row>
    <row r="13029">
      <c r="A13029" s="5">
        <v>13028.0</v>
      </c>
      <c r="B13029" s="5" t="s">
        <v>13438</v>
      </c>
      <c r="C13029" s="5" t="s">
        <v>21</v>
      </c>
      <c r="K13029" s="5">
        <v>600.0</v>
      </c>
      <c r="N13029" s="9">
        <v>44356.0</v>
      </c>
    </row>
    <row r="13030">
      <c r="A13030" s="5">
        <v>13029.0</v>
      </c>
      <c r="B13030" s="5" t="s">
        <v>13439</v>
      </c>
      <c r="C13030" s="5" t="s">
        <v>21</v>
      </c>
      <c r="K13030" s="5">
        <v>250.0</v>
      </c>
      <c r="N13030" s="9">
        <v>45564.0</v>
      </c>
    </row>
    <row r="13031">
      <c r="A13031" s="5">
        <v>13030.0</v>
      </c>
      <c r="B13031" s="5" t="s">
        <v>13440</v>
      </c>
      <c r="C13031" s="5" t="s">
        <v>21</v>
      </c>
      <c r="K13031" s="5">
        <v>100.0</v>
      </c>
      <c r="N13031" s="9">
        <v>44716.0</v>
      </c>
    </row>
    <row r="13032">
      <c r="A13032" s="5">
        <v>13031.0</v>
      </c>
      <c r="B13032" s="5" t="s">
        <v>13441</v>
      </c>
      <c r="C13032" s="5" t="s">
        <v>21</v>
      </c>
      <c r="K13032" s="5">
        <v>2300.0</v>
      </c>
      <c r="N13032" s="9">
        <v>44870.0</v>
      </c>
    </row>
    <row r="13033">
      <c r="A13033" s="5">
        <v>13032.0</v>
      </c>
      <c r="B13033" s="5" t="s">
        <v>13442</v>
      </c>
      <c r="C13033" s="5" t="s">
        <v>21</v>
      </c>
      <c r="K13033" s="5">
        <v>1100.0</v>
      </c>
      <c r="N13033" s="9">
        <v>44574.0</v>
      </c>
    </row>
    <row r="13034">
      <c r="A13034" s="5">
        <v>13033.0</v>
      </c>
      <c r="B13034" s="5" t="s">
        <v>13443</v>
      </c>
      <c r="C13034" s="5" t="s">
        <v>21</v>
      </c>
      <c r="K13034" s="5">
        <v>250.0</v>
      </c>
      <c r="N13034" s="9">
        <v>44578.0</v>
      </c>
    </row>
    <row r="13035">
      <c r="A13035" s="5">
        <v>13034.0</v>
      </c>
      <c r="B13035" s="5" t="s">
        <v>13444</v>
      </c>
      <c r="C13035" s="5" t="s">
        <v>21</v>
      </c>
      <c r="K13035" s="5">
        <v>300.0</v>
      </c>
      <c r="N13035" s="9">
        <v>45657.0</v>
      </c>
    </row>
    <row r="13036">
      <c r="A13036" s="5">
        <v>13035.0</v>
      </c>
      <c r="B13036" s="5" t="s">
        <v>13445</v>
      </c>
      <c r="C13036" s="5" t="s">
        <v>21</v>
      </c>
      <c r="K13036" s="5">
        <v>400.0</v>
      </c>
      <c r="N13036" s="9">
        <v>45074.0</v>
      </c>
    </row>
    <row r="13037">
      <c r="A13037" s="5">
        <v>13036.0</v>
      </c>
      <c r="B13037" s="5" t="s">
        <v>13446</v>
      </c>
      <c r="C13037" s="5" t="s">
        <v>21</v>
      </c>
      <c r="K13037" s="5">
        <v>20.0</v>
      </c>
      <c r="N13037" s="9">
        <v>44552.0</v>
      </c>
    </row>
    <row r="13038">
      <c r="A13038" s="5">
        <v>13037.0</v>
      </c>
      <c r="B13038" s="5" t="s">
        <v>13447</v>
      </c>
      <c r="C13038" s="5" t="s">
        <v>21</v>
      </c>
      <c r="K13038" s="5">
        <v>400.0</v>
      </c>
      <c r="N13038" s="9">
        <v>45384.0</v>
      </c>
    </row>
    <row r="13039">
      <c r="A13039" s="5">
        <v>13038.0</v>
      </c>
      <c r="B13039" s="5" t="s">
        <v>13448</v>
      </c>
      <c r="C13039" s="5" t="s">
        <v>21</v>
      </c>
      <c r="K13039" s="5">
        <v>400.0</v>
      </c>
      <c r="N13039" s="9">
        <v>44458.0</v>
      </c>
    </row>
    <row r="13040">
      <c r="A13040" s="5">
        <v>13039.0</v>
      </c>
      <c r="B13040" s="5" t="s">
        <v>13449</v>
      </c>
      <c r="C13040" s="5" t="s">
        <v>21</v>
      </c>
      <c r="K13040" s="5">
        <v>200.0</v>
      </c>
      <c r="N13040" s="9">
        <v>44842.0</v>
      </c>
    </row>
    <row r="13041">
      <c r="A13041" s="5">
        <v>13040.0</v>
      </c>
      <c r="B13041" s="5" t="s">
        <v>13450</v>
      </c>
      <c r="C13041" s="5" t="s">
        <v>21</v>
      </c>
      <c r="K13041" s="5">
        <v>30.0</v>
      </c>
      <c r="N13041" s="9">
        <v>44750.0</v>
      </c>
    </row>
    <row r="13042">
      <c r="A13042" s="5">
        <v>13041.0</v>
      </c>
      <c r="B13042" s="5" t="s">
        <v>13451</v>
      </c>
      <c r="C13042" s="5" t="s">
        <v>21</v>
      </c>
      <c r="K13042" s="5">
        <v>500.0</v>
      </c>
      <c r="N13042" s="9">
        <v>44530.0</v>
      </c>
    </row>
    <row r="13043">
      <c r="A13043" s="5">
        <v>13042.0</v>
      </c>
      <c r="B13043" s="5" t="s">
        <v>13452</v>
      </c>
      <c r="C13043" s="5" t="s">
        <v>21</v>
      </c>
      <c r="K13043" s="5">
        <v>400.0</v>
      </c>
      <c r="N13043" s="9">
        <v>44116.0</v>
      </c>
    </row>
    <row r="13044">
      <c r="A13044" s="5">
        <v>13043.0</v>
      </c>
      <c r="B13044" s="5" t="s">
        <v>13453</v>
      </c>
      <c r="C13044" s="5" t="s">
        <v>21</v>
      </c>
      <c r="K13044" s="5">
        <v>200.0</v>
      </c>
      <c r="N13044" s="9">
        <v>45090.0</v>
      </c>
    </row>
    <row r="13045">
      <c r="A13045" s="5">
        <v>13044.0</v>
      </c>
      <c r="B13045" s="5" t="s">
        <v>13454</v>
      </c>
      <c r="C13045" s="5" t="s">
        <v>21</v>
      </c>
      <c r="K13045" s="5">
        <v>10.0</v>
      </c>
      <c r="N13045" s="9">
        <v>45405.0</v>
      </c>
    </row>
    <row r="13046">
      <c r="A13046" s="5">
        <v>13045.0</v>
      </c>
      <c r="B13046" s="5" t="s">
        <v>13455</v>
      </c>
      <c r="C13046" s="5" t="s">
        <v>21</v>
      </c>
      <c r="N13046" s="9">
        <v>44565.0</v>
      </c>
    </row>
    <row r="13047">
      <c r="A13047" s="5">
        <v>13046.0</v>
      </c>
      <c r="B13047" s="5" t="s">
        <v>13456</v>
      </c>
      <c r="C13047" s="5" t="s">
        <v>21</v>
      </c>
      <c r="K13047" s="5">
        <v>3200.0</v>
      </c>
      <c r="N13047" s="9">
        <v>44585.0</v>
      </c>
    </row>
    <row r="13048">
      <c r="A13048" s="5">
        <v>13047.0</v>
      </c>
      <c r="B13048" s="5" t="s">
        <v>13457</v>
      </c>
      <c r="C13048" s="5" t="s">
        <v>21</v>
      </c>
      <c r="K13048" s="5">
        <v>150.0</v>
      </c>
      <c r="N13048" s="9">
        <v>44529.0</v>
      </c>
    </row>
    <row r="13049">
      <c r="A13049" s="5">
        <v>13048.0</v>
      </c>
      <c r="B13049" s="5" t="s">
        <v>13458</v>
      </c>
      <c r="C13049" s="5" t="s">
        <v>21</v>
      </c>
      <c r="N13049" s="9">
        <v>44519.0</v>
      </c>
    </row>
    <row r="13050">
      <c r="A13050" s="5">
        <v>13049.0</v>
      </c>
      <c r="B13050" s="5" t="s">
        <v>13459</v>
      </c>
      <c r="C13050" s="5" t="s">
        <v>21</v>
      </c>
      <c r="K13050" s="5">
        <v>60.0</v>
      </c>
      <c r="N13050" s="9">
        <v>44556.0</v>
      </c>
    </row>
    <row r="13051">
      <c r="A13051" s="5">
        <v>13050.0</v>
      </c>
      <c r="B13051" s="5" t="s">
        <v>13460</v>
      </c>
      <c r="C13051" s="5" t="s">
        <v>21</v>
      </c>
      <c r="K13051" s="5">
        <v>1400.0</v>
      </c>
      <c r="N13051" s="9">
        <v>45341.0</v>
      </c>
    </row>
    <row r="13052">
      <c r="A13052" s="5">
        <v>13051.0</v>
      </c>
      <c r="B13052" s="5" t="s">
        <v>13461</v>
      </c>
      <c r="C13052" s="5" t="s">
        <v>21</v>
      </c>
      <c r="K13052" s="5">
        <v>1700.0</v>
      </c>
      <c r="N13052" s="9">
        <v>43981.0</v>
      </c>
    </row>
    <row r="13053">
      <c r="A13053" s="5">
        <v>13052.0</v>
      </c>
      <c r="B13053" s="5" t="s">
        <v>13462</v>
      </c>
      <c r="C13053" s="5" t="s">
        <v>21</v>
      </c>
      <c r="K13053" s="5">
        <v>400.0</v>
      </c>
      <c r="N13053" s="9">
        <v>43891.0</v>
      </c>
    </row>
    <row r="13054">
      <c r="A13054" s="5">
        <v>13053.0</v>
      </c>
      <c r="B13054" s="5" t="s">
        <v>13463</v>
      </c>
      <c r="C13054" s="5" t="s">
        <v>21</v>
      </c>
      <c r="K13054" s="5">
        <v>300.0</v>
      </c>
      <c r="N13054" s="9">
        <v>44865.0</v>
      </c>
    </row>
    <row r="13055">
      <c r="A13055" s="5">
        <v>13054.0</v>
      </c>
      <c r="B13055" s="5" t="s">
        <v>13464</v>
      </c>
      <c r="C13055" s="5" t="s">
        <v>21</v>
      </c>
      <c r="K13055" s="5">
        <v>3200.0</v>
      </c>
      <c r="N13055" s="9">
        <v>44543.0</v>
      </c>
    </row>
    <row r="13056">
      <c r="A13056" s="5">
        <v>13055.0</v>
      </c>
      <c r="B13056" s="5" t="s">
        <v>13465</v>
      </c>
      <c r="C13056" s="5" t="s">
        <v>21</v>
      </c>
      <c r="K13056" s="5">
        <v>70.0</v>
      </c>
      <c r="N13056" s="9">
        <v>45103.0</v>
      </c>
    </row>
    <row r="13057">
      <c r="A13057" s="5">
        <v>13056.0</v>
      </c>
      <c r="B13057" s="5" t="s">
        <v>13466</v>
      </c>
      <c r="C13057" s="5" t="s">
        <v>21</v>
      </c>
      <c r="K13057" s="5">
        <v>10.0</v>
      </c>
      <c r="N13057" s="9">
        <v>44524.0</v>
      </c>
    </row>
    <row r="13058">
      <c r="A13058" s="5">
        <v>13057.0</v>
      </c>
      <c r="B13058" s="5" t="s">
        <v>13467</v>
      </c>
      <c r="C13058" s="5" t="s">
        <v>21</v>
      </c>
      <c r="K13058" s="5">
        <v>1200.0</v>
      </c>
      <c r="N13058" s="9">
        <v>44308.0</v>
      </c>
    </row>
    <row r="13059">
      <c r="A13059" s="5">
        <v>13058.0</v>
      </c>
      <c r="B13059" s="5" t="s">
        <v>13468</v>
      </c>
      <c r="C13059" s="5" t="s">
        <v>21</v>
      </c>
      <c r="K13059" s="5">
        <v>150.0</v>
      </c>
      <c r="N13059" s="9">
        <v>45508.0</v>
      </c>
    </row>
    <row r="13060">
      <c r="A13060" s="5">
        <v>13059.0</v>
      </c>
      <c r="B13060" s="5" t="s">
        <v>13469</v>
      </c>
      <c r="C13060" s="5" t="s">
        <v>21</v>
      </c>
      <c r="K13060" s="5">
        <v>1700.0</v>
      </c>
      <c r="N13060" s="9">
        <v>44572.0</v>
      </c>
    </row>
    <row r="13061">
      <c r="A13061" s="5">
        <v>13060.0</v>
      </c>
      <c r="B13061" s="5" t="s">
        <v>462</v>
      </c>
      <c r="C13061" s="5" t="s">
        <v>21</v>
      </c>
      <c r="K13061" s="5">
        <v>450.0</v>
      </c>
      <c r="N13061" s="9">
        <v>45113.0</v>
      </c>
    </row>
    <row r="13062">
      <c r="A13062" s="5">
        <v>13061.0</v>
      </c>
      <c r="B13062" s="5" t="s">
        <v>13470</v>
      </c>
      <c r="C13062" s="5" t="s">
        <v>21</v>
      </c>
      <c r="K13062" s="5">
        <v>400.0</v>
      </c>
      <c r="N13062" s="9">
        <v>45294.0</v>
      </c>
    </row>
    <row r="13063">
      <c r="A13063" s="5">
        <v>13062.0</v>
      </c>
      <c r="B13063" s="5" t="s">
        <v>13471</v>
      </c>
      <c r="C13063" s="5" t="s">
        <v>21</v>
      </c>
      <c r="K13063" s="5">
        <v>600.0</v>
      </c>
      <c r="N13063" s="9">
        <v>45065.0</v>
      </c>
    </row>
    <row r="13064">
      <c r="A13064" s="5">
        <v>13063.0</v>
      </c>
      <c r="B13064" s="5" t="s">
        <v>13472</v>
      </c>
      <c r="C13064" s="5" t="s">
        <v>21</v>
      </c>
      <c r="K13064" s="5">
        <v>150.0</v>
      </c>
      <c r="N13064" s="9">
        <v>44741.0</v>
      </c>
    </row>
    <row r="13065">
      <c r="A13065" s="5">
        <v>13064.0</v>
      </c>
      <c r="B13065" s="5" t="s">
        <v>13473</v>
      </c>
      <c r="C13065" s="5" t="s">
        <v>21</v>
      </c>
      <c r="K13065" s="5">
        <v>400.0</v>
      </c>
      <c r="N13065" s="9">
        <v>45055.0</v>
      </c>
    </row>
    <row r="13066">
      <c r="A13066" s="5">
        <v>13065.0</v>
      </c>
      <c r="B13066" s="5" t="s">
        <v>13474</v>
      </c>
      <c r="C13066" s="5" t="s">
        <v>21</v>
      </c>
      <c r="K13066" s="5">
        <v>40.0</v>
      </c>
      <c r="N13066" s="9">
        <v>44124.0</v>
      </c>
    </row>
    <row r="13067">
      <c r="A13067" s="5">
        <v>13066.0</v>
      </c>
      <c r="B13067" s="5" t="s">
        <v>13475</v>
      </c>
      <c r="C13067" s="5" t="s">
        <v>21</v>
      </c>
      <c r="N13067" s="9">
        <v>44856.0</v>
      </c>
    </row>
    <row r="13068">
      <c r="A13068" s="5">
        <v>13067.0</v>
      </c>
      <c r="B13068" s="5" t="s">
        <v>13476</v>
      </c>
      <c r="C13068" s="5" t="s">
        <v>21</v>
      </c>
      <c r="K13068" s="5">
        <v>3500.0</v>
      </c>
      <c r="N13068" s="9">
        <v>43919.0</v>
      </c>
    </row>
    <row r="13069">
      <c r="A13069" s="5">
        <v>13068.0</v>
      </c>
      <c r="B13069" s="5" t="s">
        <v>13477</v>
      </c>
      <c r="C13069" s="5" t="s">
        <v>21</v>
      </c>
      <c r="K13069" s="5">
        <v>30.0</v>
      </c>
      <c r="N13069" s="9">
        <v>45583.0</v>
      </c>
    </row>
    <row r="13070">
      <c r="A13070" s="5">
        <v>13069.0</v>
      </c>
      <c r="B13070" s="5" t="s">
        <v>13478</v>
      </c>
      <c r="C13070" s="5" t="s">
        <v>21</v>
      </c>
      <c r="K13070" s="5">
        <v>450.0</v>
      </c>
      <c r="N13070" s="9">
        <v>44359.0</v>
      </c>
    </row>
    <row r="13071">
      <c r="A13071" s="5">
        <v>13070.0</v>
      </c>
      <c r="B13071" s="5" t="s">
        <v>13479</v>
      </c>
      <c r="C13071" s="5" t="s">
        <v>21</v>
      </c>
      <c r="K13071" s="5">
        <v>250.0</v>
      </c>
      <c r="N13071" s="9">
        <v>44518.0</v>
      </c>
    </row>
    <row r="13072">
      <c r="A13072" s="5">
        <v>13071.0</v>
      </c>
      <c r="B13072" s="5" t="s">
        <v>13480</v>
      </c>
      <c r="C13072" s="5" t="s">
        <v>21</v>
      </c>
      <c r="K13072" s="5">
        <v>150.0</v>
      </c>
      <c r="N13072" s="9">
        <v>44589.0</v>
      </c>
    </row>
    <row r="13073">
      <c r="A13073" s="5">
        <v>13072.0</v>
      </c>
      <c r="B13073" s="5" t="s">
        <v>13481</v>
      </c>
      <c r="C13073" s="5" t="s">
        <v>21</v>
      </c>
      <c r="K13073" s="5">
        <v>200.0</v>
      </c>
      <c r="N13073" s="9">
        <v>44736.0</v>
      </c>
    </row>
    <row r="13074">
      <c r="A13074" s="5">
        <v>13073.0</v>
      </c>
      <c r="B13074" s="5" t="s">
        <v>13482</v>
      </c>
      <c r="C13074" s="5" t="s">
        <v>21</v>
      </c>
      <c r="K13074" s="5">
        <v>700.0</v>
      </c>
      <c r="N13074" s="9">
        <v>43946.0</v>
      </c>
    </row>
    <row r="13075">
      <c r="A13075" s="5">
        <v>13074.0</v>
      </c>
      <c r="B13075" s="5" t="s">
        <v>13483</v>
      </c>
      <c r="C13075" s="5" t="s">
        <v>21</v>
      </c>
      <c r="K13075" s="5">
        <v>600.0</v>
      </c>
      <c r="N13075" s="9">
        <v>43858.0</v>
      </c>
    </row>
    <row r="13076">
      <c r="A13076" s="5">
        <v>13075.0</v>
      </c>
      <c r="B13076" s="5" t="s">
        <v>13484</v>
      </c>
      <c r="C13076" s="5" t="s">
        <v>21</v>
      </c>
      <c r="K13076" s="5">
        <v>10.0</v>
      </c>
      <c r="N13076" s="9">
        <v>44469.0</v>
      </c>
    </row>
    <row r="13077">
      <c r="A13077" s="5">
        <v>13076.0</v>
      </c>
      <c r="B13077" s="5" t="s">
        <v>13485</v>
      </c>
      <c r="C13077" s="5" t="s">
        <v>21</v>
      </c>
      <c r="K13077" s="5">
        <v>20.0</v>
      </c>
      <c r="N13077" s="9">
        <v>44429.0</v>
      </c>
    </row>
    <row r="13078">
      <c r="A13078" s="5">
        <v>13077.0</v>
      </c>
      <c r="B13078" s="5" t="s">
        <v>13486</v>
      </c>
      <c r="C13078" s="5" t="s">
        <v>21</v>
      </c>
      <c r="K13078" s="5">
        <v>800.0</v>
      </c>
      <c r="N13078" s="9">
        <v>43919.0</v>
      </c>
    </row>
    <row r="13079">
      <c r="A13079" s="5">
        <v>13078.0</v>
      </c>
      <c r="B13079" s="5" t="s">
        <v>13487</v>
      </c>
      <c r="C13079" s="5" t="s">
        <v>21</v>
      </c>
      <c r="K13079" s="5">
        <v>400.0</v>
      </c>
      <c r="N13079" s="9">
        <v>44656.0</v>
      </c>
    </row>
    <row r="13080">
      <c r="A13080" s="5">
        <v>13079.0</v>
      </c>
      <c r="B13080" s="5" t="s">
        <v>13488</v>
      </c>
      <c r="C13080" s="5" t="s">
        <v>21</v>
      </c>
      <c r="K13080" s="5">
        <v>200.0</v>
      </c>
      <c r="N13080" s="9">
        <v>44604.0</v>
      </c>
    </row>
    <row r="13081">
      <c r="A13081" s="5">
        <v>13080.0</v>
      </c>
      <c r="B13081" s="5" t="s">
        <v>13489</v>
      </c>
      <c r="C13081" s="5" t="s">
        <v>21</v>
      </c>
      <c r="K13081" s="5">
        <v>250.0</v>
      </c>
      <c r="N13081" s="9">
        <v>44110.0</v>
      </c>
    </row>
    <row r="13082">
      <c r="A13082" s="5">
        <v>13081.0</v>
      </c>
      <c r="B13082" s="5" t="s">
        <v>13490</v>
      </c>
      <c r="C13082" s="5" t="s">
        <v>21</v>
      </c>
      <c r="K13082" s="5">
        <v>150.0</v>
      </c>
      <c r="N13082" s="9">
        <v>45236.0</v>
      </c>
    </row>
    <row r="13083">
      <c r="A13083" s="5">
        <v>13082.0</v>
      </c>
      <c r="B13083" s="5" t="s">
        <v>13491</v>
      </c>
      <c r="C13083" s="5" t="s">
        <v>21</v>
      </c>
      <c r="K13083" s="5">
        <v>200.0</v>
      </c>
      <c r="N13083" s="9">
        <v>44220.0</v>
      </c>
    </row>
    <row r="13084">
      <c r="A13084" s="5">
        <v>13083.0</v>
      </c>
      <c r="B13084" s="5" t="s">
        <v>13492</v>
      </c>
      <c r="C13084" s="5" t="s">
        <v>21</v>
      </c>
      <c r="K13084" s="5">
        <v>250.0</v>
      </c>
      <c r="N13084" s="9">
        <v>45717.0</v>
      </c>
    </row>
    <row r="13085">
      <c r="A13085" s="5">
        <v>13084.0</v>
      </c>
      <c r="B13085" s="5" t="s">
        <v>465</v>
      </c>
      <c r="C13085" s="5" t="s">
        <v>21</v>
      </c>
      <c r="K13085" s="5">
        <v>200.0</v>
      </c>
      <c r="N13085" s="9">
        <v>44539.0</v>
      </c>
    </row>
    <row r="13086">
      <c r="A13086" s="5">
        <v>13085.0</v>
      </c>
      <c r="B13086" s="5" t="s">
        <v>13493</v>
      </c>
      <c r="C13086" s="5" t="s">
        <v>21</v>
      </c>
      <c r="K13086" s="5">
        <v>700.0</v>
      </c>
      <c r="N13086" s="9">
        <v>44237.0</v>
      </c>
    </row>
    <row r="13087">
      <c r="A13087" s="5">
        <v>13086.0</v>
      </c>
      <c r="B13087" s="5" t="s">
        <v>468</v>
      </c>
      <c r="C13087" s="5" t="s">
        <v>21</v>
      </c>
      <c r="K13087" s="5">
        <v>800.0</v>
      </c>
      <c r="N13087" s="9">
        <v>44088.0</v>
      </c>
    </row>
    <row r="13088">
      <c r="A13088" s="5">
        <v>13087.0</v>
      </c>
      <c r="B13088" s="5" t="s">
        <v>13494</v>
      </c>
      <c r="C13088" s="5" t="s">
        <v>21</v>
      </c>
      <c r="N13088" s="9">
        <v>44519.0</v>
      </c>
    </row>
    <row r="13089">
      <c r="A13089" s="5">
        <v>13088.0</v>
      </c>
      <c r="B13089" s="5" t="s">
        <v>13495</v>
      </c>
      <c r="C13089" s="5" t="s">
        <v>21</v>
      </c>
      <c r="K13089" s="5">
        <v>2600.0</v>
      </c>
      <c r="N13089" s="9">
        <v>44580.0</v>
      </c>
    </row>
    <row r="13090">
      <c r="A13090" s="5">
        <v>13089.0</v>
      </c>
      <c r="B13090" s="5" t="s">
        <v>13496</v>
      </c>
      <c r="C13090" s="5" t="s">
        <v>21</v>
      </c>
      <c r="K13090" s="5">
        <v>10.0</v>
      </c>
      <c r="N13090" s="9">
        <v>44367.0</v>
      </c>
    </row>
    <row r="13091">
      <c r="A13091" s="5">
        <v>13090.0</v>
      </c>
      <c r="B13091" s="5" t="s">
        <v>13497</v>
      </c>
      <c r="C13091" s="5" t="s">
        <v>21</v>
      </c>
      <c r="N13091" s="9">
        <v>44532.0</v>
      </c>
    </row>
    <row r="13092">
      <c r="A13092" s="5">
        <v>13091.0</v>
      </c>
      <c r="B13092" s="5" t="s">
        <v>13498</v>
      </c>
      <c r="C13092" s="5" t="s">
        <v>21</v>
      </c>
      <c r="K13092" s="5">
        <v>2100.0</v>
      </c>
      <c r="N13092" s="9">
        <v>45374.0</v>
      </c>
    </row>
    <row r="13093">
      <c r="A13093" s="5">
        <v>13092.0</v>
      </c>
      <c r="B13093" s="5" t="s">
        <v>13499</v>
      </c>
      <c r="C13093" s="5" t="s">
        <v>21</v>
      </c>
      <c r="K13093" s="5">
        <v>700.0</v>
      </c>
      <c r="N13093" s="9">
        <v>45082.0</v>
      </c>
    </row>
    <row r="13094">
      <c r="A13094" s="5">
        <v>13093.0</v>
      </c>
      <c r="B13094" s="5" t="s">
        <v>13500</v>
      </c>
      <c r="C13094" s="5" t="s">
        <v>21</v>
      </c>
      <c r="K13094" s="5">
        <v>3600.0</v>
      </c>
      <c r="N13094" s="9">
        <v>44206.0</v>
      </c>
    </row>
    <row r="13095">
      <c r="A13095" s="5">
        <v>13094.0</v>
      </c>
      <c r="B13095" s="5" t="s">
        <v>13501</v>
      </c>
      <c r="C13095" s="5" t="s">
        <v>21</v>
      </c>
      <c r="K13095" s="5">
        <v>500.0</v>
      </c>
      <c r="N13095" s="9">
        <v>45374.0</v>
      </c>
    </row>
    <row r="13096">
      <c r="A13096" s="5">
        <v>13095.0</v>
      </c>
      <c r="B13096" s="5" t="s">
        <v>13502</v>
      </c>
      <c r="C13096" s="5" t="s">
        <v>21</v>
      </c>
      <c r="K13096" s="5">
        <v>900.0</v>
      </c>
      <c r="N13096" s="9">
        <v>44662.0</v>
      </c>
    </row>
    <row r="13097">
      <c r="A13097" s="5">
        <v>13096.0</v>
      </c>
      <c r="B13097" s="5" t="s">
        <v>13503</v>
      </c>
      <c r="C13097" s="5" t="s">
        <v>21</v>
      </c>
      <c r="K13097" s="5">
        <v>250.0</v>
      </c>
      <c r="N13097" s="9">
        <v>45045.0</v>
      </c>
    </row>
    <row r="13098">
      <c r="A13098" s="5">
        <v>13097.0</v>
      </c>
      <c r="B13098" s="5" t="s">
        <v>13504</v>
      </c>
      <c r="C13098" s="5" t="s">
        <v>21</v>
      </c>
      <c r="K13098" s="5">
        <v>1800.0</v>
      </c>
      <c r="N13098" s="9">
        <v>44232.0</v>
      </c>
    </row>
    <row r="13099">
      <c r="A13099" s="5">
        <v>13098.0</v>
      </c>
      <c r="B13099" s="5" t="s">
        <v>13505</v>
      </c>
      <c r="C13099" s="5" t="s">
        <v>21</v>
      </c>
      <c r="K13099" s="5">
        <v>200.0</v>
      </c>
      <c r="N13099" s="9">
        <v>45234.0</v>
      </c>
    </row>
    <row r="13100">
      <c r="A13100" s="5">
        <v>13099.0</v>
      </c>
      <c r="B13100" s="5" t="s">
        <v>13506</v>
      </c>
      <c r="C13100" s="5" t="s">
        <v>21</v>
      </c>
      <c r="K13100" s="5">
        <v>1200.0</v>
      </c>
      <c r="N13100" s="9">
        <v>44522.0</v>
      </c>
    </row>
    <row r="13101">
      <c r="A13101" s="5">
        <v>13100.0</v>
      </c>
      <c r="B13101" s="5" t="s">
        <v>13507</v>
      </c>
      <c r="C13101" s="5" t="s">
        <v>21</v>
      </c>
      <c r="K13101" s="5">
        <v>1000.0</v>
      </c>
      <c r="N13101" s="9">
        <v>44644.0</v>
      </c>
    </row>
    <row r="13102">
      <c r="A13102" s="5">
        <v>13101.0</v>
      </c>
      <c r="B13102" s="5" t="s">
        <v>13508</v>
      </c>
      <c r="C13102" s="5" t="s">
        <v>21</v>
      </c>
      <c r="N13102" s="9">
        <v>44519.0</v>
      </c>
    </row>
    <row r="13103">
      <c r="A13103" s="5">
        <v>13102.0</v>
      </c>
      <c r="B13103" s="5" t="s">
        <v>13509</v>
      </c>
      <c r="C13103" s="5" t="s">
        <v>21</v>
      </c>
      <c r="K13103" s="5">
        <v>300.0</v>
      </c>
      <c r="N13103" s="9">
        <v>44857.0</v>
      </c>
    </row>
    <row r="13104">
      <c r="A13104" s="5">
        <v>13103.0</v>
      </c>
      <c r="B13104" s="5" t="s">
        <v>13510</v>
      </c>
      <c r="C13104" s="5" t="s">
        <v>21</v>
      </c>
      <c r="K13104" s="5">
        <v>80.0</v>
      </c>
      <c r="N13104" s="9">
        <v>44754.0</v>
      </c>
    </row>
    <row r="13105">
      <c r="A13105" s="5">
        <v>13104.0</v>
      </c>
      <c r="B13105" s="5" t="s">
        <v>13511</v>
      </c>
      <c r="C13105" s="5" t="s">
        <v>21</v>
      </c>
      <c r="K13105" s="5">
        <v>1100.0</v>
      </c>
      <c r="N13105" s="9">
        <v>44110.0</v>
      </c>
    </row>
    <row r="13106">
      <c r="A13106" s="5">
        <v>13105.0</v>
      </c>
      <c r="B13106" s="5" t="s">
        <v>13512</v>
      </c>
      <c r="C13106" s="5" t="s">
        <v>21</v>
      </c>
      <c r="K13106" s="5">
        <v>200.0</v>
      </c>
      <c r="N13106" s="9">
        <v>44048.0</v>
      </c>
    </row>
    <row r="13107">
      <c r="A13107" s="5">
        <v>13106.0</v>
      </c>
      <c r="B13107" s="5" t="s">
        <v>13513</v>
      </c>
      <c r="C13107" s="5" t="s">
        <v>21</v>
      </c>
      <c r="K13107" s="5">
        <v>600.0</v>
      </c>
      <c r="N13107" s="9">
        <v>44657.0</v>
      </c>
    </row>
    <row r="13108">
      <c r="A13108" s="5">
        <v>13107.0</v>
      </c>
      <c r="B13108" s="5" t="s">
        <v>13514</v>
      </c>
      <c r="C13108" s="5" t="s">
        <v>21</v>
      </c>
      <c r="K13108" s="5">
        <v>1800.0</v>
      </c>
      <c r="N13108" s="9">
        <v>45284.0</v>
      </c>
    </row>
    <row r="13109">
      <c r="A13109" s="5">
        <v>13108.0</v>
      </c>
      <c r="B13109" s="5" t="s">
        <v>13515</v>
      </c>
      <c r="C13109" s="5" t="s">
        <v>21</v>
      </c>
      <c r="K13109" s="5">
        <v>1500.0</v>
      </c>
      <c r="N13109" s="9">
        <v>44112.0</v>
      </c>
    </row>
    <row r="13110">
      <c r="A13110" s="5">
        <v>13109.0</v>
      </c>
      <c r="B13110" s="5" t="s">
        <v>13516</v>
      </c>
      <c r="C13110" s="5" t="s">
        <v>21</v>
      </c>
      <c r="K13110" s="5">
        <v>200.0</v>
      </c>
      <c r="N13110" s="9">
        <v>44557.0</v>
      </c>
    </row>
    <row r="13111">
      <c r="A13111" s="5">
        <v>13110.0</v>
      </c>
      <c r="B13111" s="5" t="s">
        <v>13517</v>
      </c>
      <c r="C13111" s="5" t="s">
        <v>21</v>
      </c>
      <c r="K13111" s="5">
        <v>1100.0</v>
      </c>
      <c r="N13111" s="9">
        <v>44572.0</v>
      </c>
    </row>
    <row r="13112">
      <c r="A13112" s="5">
        <v>13111.0</v>
      </c>
      <c r="B13112" s="5" t="s">
        <v>13518</v>
      </c>
      <c r="C13112" s="5" t="s">
        <v>21</v>
      </c>
      <c r="K13112" s="5">
        <v>300.0</v>
      </c>
      <c r="N13112" s="9">
        <v>45004.0</v>
      </c>
    </row>
    <row r="13113">
      <c r="A13113" s="5">
        <v>13112.0</v>
      </c>
      <c r="B13113" s="5" t="s">
        <v>13519</v>
      </c>
      <c r="C13113" s="5" t="s">
        <v>21</v>
      </c>
      <c r="K13113" s="5">
        <v>1600.0</v>
      </c>
      <c r="N13113" s="9">
        <v>44002.0</v>
      </c>
    </row>
    <row r="13114">
      <c r="A13114" s="5">
        <v>13113.0</v>
      </c>
      <c r="B13114" s="5" t="s">
        <v>13520</v>
      </c>
      <c r="C13114" s="5" t="s">
        <v>21</v>
      </c>
      <c r="K13114" s="5">
        <v>350.0</v>
      </c>
      <c r="N13114" s="9">
        <v>44634.0</v>
      </c>
    </row>
    <row r="13115">
      <c r="A13115" s="5">
        <v>13114.0</v>
      </c>
      <c r="B13115" s="5" t="s">
        <v>13521</v>
      </c>
      <c r="C13115" s="5" t="s">
        <v>21</v>
      </c>
      <c r="K13115" s="5">
        <v>350.0</v>
      </c>
      <c r="N13115" s="9">
        <v>44723.0</v>
      </c>
    </row>
    <row r="13116">
      <c r="A13116" s="5">
        <v>13115.0</v>
      </c>
      <c r="B13116" s="5" t="s">
        <v>13522</v>
      </c>
      <c r="C13116" s="5" t="s">
        <v>21</v>
      </c>
      <c r="K13116" s="5">
        <v>500.0</v>
      </c>
      <c r="N13116" s="9">
        <v>44598.0</v>
      </c>
    </row>
    <row r="13117">
      <c r="A13117" s="5">
        <v>13116.0</v>
      </c>
      <c r="B13117" s="5" t="s">
        <v>13523</v>
      </c>
      <c r="C13117" s="5" t="s">
        <v>21</v>
      </c>
      <c r="K13117" s="5">
        <v>250.0</v>
      </c>
      <c r="N13117" s="9">
        <v>45590.0</v>
      </c>
    </row>
    <row r="13118">
      <c r="A13118" s="5">
        <v>13117.0</v>
      </c>
      <c r="B13118" s="5" t="s">
        <v>13524</v>
      </c>
      <c r="C13118" s="5" t="s">
        <v>21</v>
      </c>
      <c r="K13118" s="5">
        <v>700.0</v>
      </c>
      <c r="N13118" s="9">
        <v>44564.0</v>
      </c>
    </row>
    <row r="13119">
      <c r="A13119" s="5">
        <v>13118.0</v>
      </c>
      <c r="B13119" s="5" t="s">
        <v>13525</v>
      </c>
      <c r="C13119" s="5" t="s">
        <v>21</v>
      </c>
      <c r="K13119" s="5">
        <v>150.0</v>
      </c>
      <c r="N13119" s="9">
        <v>44215.0</v>
      </c>
    </row>
    <row r="13120">
      <c r="A13120" s="5">
        <v>13119.0</v>
      </c>
      <c r="B13120" s="5" t="s">
        <v>13526</v>
      </c>
      <c r="C13120" s="5" t="s">
        <v>21</v>
      </c>
      <c r="K13120" s="5">
        <v>450.0</v>
      </c>
      <c r="N13120" s="9">
        <v>44630.0</v>
      </c>
    </row>
    <row r="13121">
      <c r="A13121" s="5">
        <v>13120.0</v>
      </c>
      <c r="B13121" s="5" t="s">
        <v>13527</v>
      </c>
      <c r="C13121" s="5" t="s">
        <v>21</v>
      </c>
      <c r="K13121" s="5">
        <v>100.0</v>
      </c>
      <c r="N13121" s="9">
        <v>43959.0</v>
      </c>
    </row>
    <row r="13122">
      <c r="A13122" s="5">
        <v>13121.0</v>
      </c>
      <c r="B13122" s="5" t="s">
        <v>13528</v>
      </c>
      <c r="C13122" s="5" t="s">
        <v>21</v>
      </c>
      <c r="K13122" s="5">
        <v>1600.0</v>
      </c>
      <c r="N13122" s="9">
        <v>45549.0</v>
      </c>
    </row>
    <row r="13123">
      <c r="A13123" s="5">
        <v>13122.0</v>
      </c>
      <c r="B13123" s="5" t="s">
        <v>13529</v>
      </c>
      <c r="C13123" s="5" t="s">
        <v>21</v>
      </c>
      <c r="K13123" s="5">
        <v>100.0</v>
      </c>
      <c r="N13123" s="9">
        <v>45031.0</v>
      </c>
    </row>
    <row r="13124">
      <c r="A13124" s="5">
        <v>13123.0</v>
      </c>
      <c r="B13124" s="5" t="s">
        <v>13530</v>
      </c>
      <c r="C13124" s="5" t="s">
        <v>21</v>
      </c>
      <c r="K13124" s="5">
        <v>150.0</v>
      </c>
      <c r="N13124" s="9">
        <v>45265.0</v>
      </c>
    </row>
    <row r="13125">
      <c r="A13125" s="5">
        <v>13124.0</v>
      </c>
      <c r="B13125" s="5" t="s">
        <v>13531</v>
      </c>
      <c r="C13125" s="5" t="s">
        <v>21</v>
      </c>
      <c r="N13125" s="9">
        <v>44579.0</v>
      </c>
    </row>
    <row r="13126">
      <c r="A13126" s="5">
        <v>13125.0</v>
      </c>
      <c r="B13126" s="5" t="s">
        <v>13532</v>
      </c>
      <c r="C13126" s="5" t="s">
        <v>21</v>
      </c>
      <c r="K13126" s="5">
        <v>700.0</v>
      </c>
      <c r="N13126" s="9">
        <v>45313.0</v>
      </c>
    </row>
    <row r="13127">
      <c r="A13127" s="5">
        <v>13126.0</v>
      </c>
      <c r="B13127" s="5" t="s">
        <v>13533</v>
      </c>
      <c r="C13127" s="5" t="s">
        <v>21</v>
      </c>
      <c r="K13127" s="5">
        <v>250.0</v>
      </c>
      <c r="N13127" s="9">
        <v>44449.0</v>
      </c>
    </row>
    <row r="13128">
      <c r="A13128" s="5">
        <v>13127.0</v>
      </c>
      <c r="B13128" s="5" t="s">
        <v>13534</v>
      </c>
      <c r="C13128" s="5" t="s">
        <v>21</v>
      </c>
      <c r="K13128" s="5">
        <v>200.0</v>
      </c>
      <c r="N13128" s="9">
        <v>44184.0</v>
      </c>
    </row>
    <row r="13129">
      <c r="A13129" s="5">
        <v>13128.0</v>
      </c>
      <c r="B13129" s="5" t="s">
        <v>13535</v>
      </c>
      <c r="C13129" s="5" t="s">
        <v>21</v>
      </c>
      <c r="K13129" s="5">
        <v>90.0</v>
      </c>
      <c r="N13129" s="9">
        <v>44534.0</v>
      </c>
    </row>
    <row r="13130">
      <c r="A13130" s="5">
        <v>13129.0</v>
      </c>
      <c r="B13130" s="5" t="s">
        <v>13536</v>
      </c>
      <c r="C13130" s="5" t="s">
        <v>21</v>
      </c>
      <c r="K13130" s="5">
        <v>600.0</v>
      </c>
      <c r="N13130" s="9">
        <v>44455.0</v>
      </c>
    </row>
    <row r="13131">
      <c r="A13131" s="5">
        <v>13130.0</v>
      </c>
      <c r="B13131" s="5" t="s">
        <v>13537</v>
      </c>
      <c r="C13131" s="5" t="s">
        <v>21</v>
      </c>
      <c r="K13131" s="5">
        <v>800.0</v>
      </c>
      <c r="N13131" s="9">
        <v>44270.0</v>
      </c>
    </row>
    <row r="13132">
      <c r="A13132" s="5">
        <v>13131.0</v>
      </c>
      <c r="B13132" s="5" t="s">
        <v>13538</v>
      </c>
      <c r="C13132" s="5" t="s">
        <v>21</v>
      </c>
      <c r="K13132" s="5">
        <v>300.0</v>
      </c>
      <c r="N13132" s="9">
        <v>44599.0</v>
      </c>
    </row>
    <row r="13133">
      <c r="A13133" s="5">
        <v>13132.0</v>
      </c>
      <c r="B13133" s="5" t="s">
        <v>13539</v>
      </c>
      <c r="C13133" s="5" t="s">
        <v>21</v>
      </c>
      <c r="K13133" s="5">
        <v>250.0</v>
      </c>
      <c r="N13133" s="9">
        <v>44907.0</v>
      </c>
    </row>
    <row r="13134">
      <c r="A13134" s="5">
        <v>13133.0</v>
      </c>
      <c r="B13134" s="5" t="s">
        <v>13540</v>
      </c>
      <c r="C13134" s="5" t="s">
        <v>21</v>
      </c>
      <c r="K13134" s="5">
        <v>2200.0</v>
      </c>
      <c r="N13134" s="9">
        <v>44531.0</v>
      </c>
    </row>
    <row r="13135">
      <c r="A13135" s="5">
        <v>13134.0</v>
      </c>
      <c r="B13135" s="5" t="s">
        <v>13541</v>
      </c>
      <c r="C13135" s="5" t="s">
        <v>21</v>
      </c>
      <c r="K13135" s="5">
        <v>2400.0</v>
      </c>
      <c r="N13135" s="9">
        <v>44632.0</v>
      </c>
    </row>
    <row r="13136">
      <c r="A13136" s="5">
        <v>13135.0</v>
      </c>
      <c r="B13136" s="5" t="s">
        <v>13542</v>
      </c>
      <c r="C13136" s="5" t="s">
        <v>21</v>
      </c>
      <c r="K13136" s="5">
        <v>1400.0</v>
      </c>
      <c r="N13136" s="9">
        <v>44874.0</v>
      </c>
    </row>
    <row r="13137">
      <c r="A13137" s="5">
        <v>13136.0</v>
      </c>
      <c r="B13137" s="5" t="s">
        <v>13543</v>
      </c>
      <c r="C13137" s="5" t="s">
        <v>21</v>
      </c>
      <c r="K13137" s="5">
        <v>450.0</v>
      </c>
      <c r="N13137" s="9">
        <v>44133.0</v>
      </c>
    </row>
    <row r="13138">
      <c r="A13138" s="5">
        <v>13137.0</v>
      </c>
      <c r="B13138" s="5" t="s">
        <v>13544</v>
      </c>
      <c r="C13138" s="5" t="s">
        <v>21</v>
      </c>
      <c r="K13138" s="5">
        <v>450.0</v>
      </c>
      <c r="N13138" s="9">
        <v>43879.0</v>
      </c>
    </row>
    <row r="13139">
      <c r="A13139" s="5">
        <v>13138.0</v>
      </c>
      <c r="B13139" s="5" t="s">
        <v>13545</v>
      </c>
      <c r="C13139" s="5" t="s">
        <v>21</v>
      </c>
      <c r="N13139" s="9">
        <v>44579.0</v>
      </c>
    </row>
    <row r="13140">
      <c r="A13140" s="5">
        <v>13139.0</v>
      </c>
      <c r="B13140" s="5" t="s">
        <v>13546</v>
      </c>
      <c r="C13140" s="5" t="s">
        <v>21</v>
      </c>
      <c r="K13140" s="5">
        <v>90.0</v>
      </c>
      <c r="N13140" s="9">
        <v>44553.0</v>
      </c>
    </row>
    <row r="13141">
      <c r="A13141" s="5">
        <v>13140.0</v>
      </c>
      <c r="B13141" s="5" t="s">
        <v>13547</v>
      </c>
      <c r="C13141" s="5" t="s">
        <v>21</v>
      </c>
      <c r="K13141" s="5">
        <v>300.0</v>
      </c>
      <c r="N13141" s="9">
        <v>44522.0</v>
      </c>
    </row>
    <row r="13142">
      <c r="A13142" s="5">
        <v>13141.0</v>
      </c>
      <c r="B13142" s="5" t="s">
        <v>13548</v>
      </c>
      <c r="C13142" s="5" t="s">
        <v>21</v>
      </c>
      <c r="K13142" s="5">
        <v>800.0</v>
      </c>
      <c r="N13142" s="9">
        <v>45260.0</v>
      </c>
    </row>
    <row r="13143">
      <c r="A13143" s="5">
        <v>13142.0</v>
      </c>
      <c r="B13143" s="5" t="s">
        <v>13549</v>
      </c>
      <c r="C13143" s="5" t="s">
        <v>21</v>
      </c>
      <c r="K13143" s="5">
        <v>4200.0</v>
      </c>
      <c r="N13143" s="9">
        <v>43887.0</v>
      </c>
    </row>
    <row r="13144">
      <c r="A13144" s="5">
        <v>13143.0</v>
      </c>
      <c r="B13144" s="5" t="s">
        <v>13550</v>
      </c>
      <c r="C13144" s="5" t="s">
        <v>21</v>
      </c>
      <c r="K13144" s="5">
        <v>150.0</v>
      </c>
      <c r="N13144" s="9">
        <v>44719.0</v>
      </c>
    </row>
    <row r="13145">
      <c r="A13145" s="5">
        <v>13144.0</v>
      </c>
      <c r="B13145" s="5" t="s">
        <v>13551</v>
      </c>
      <c r="C13145" s="5" t="s">
        <v>21</v>
      </c>
      <c r="K13145" s="5">
        <v>50.0</v>
      </c>
      <c r="N13145" s="9">
        <v>44070.0</v>
      </c>
    </row>
    <row r="13146">
      <c r="A13146" s="5">
        <v>13145.0</v>
      </c>
      <c r="B13146" s="5" t="s">
        <v>13552</v>
      </c>
      <c r="C13146" s="5" t="s">
        <v>21</v>
      </c>
      <c r="K13146" s="5">
        <v>8400.0</v>
      </c>
      <c r="N13146" s="9">
        <v>44530.0</v>
      </c>
    </row>
    <row r="13147">
      <c r="A13147" s="5">
        <v>13146.0</v>
      </c>
      <c r="B13147" s="5" t="s">
        <v>13553</v>
      </c>
      <c r="C13147" s="5" t="s">
        <v>21</v>
      </c>
      <c r="K13147" s="5">
        <v>350.0</v>
      </c>
      <c r="N13147" s="9">
        <v>45119.0</v>
      </c>
    </row>
    <row r="13148">
      <c r="A13148" s="5">
        <v>13147.0</v>
      </c>
      <c r="B13148" s="5" t="s">
        <v>13554</v>
      </c>
      <c r="C13148" s="5" t="s">
        <v>21</v>
      </c>
      <c r="K13148" s="5">
        <v>150.0</v>
      </c>
      <c r="N13148" s="9">
        <v>44191.0</v>
      </c>
    </row>
    <row r="13149">
      <c r="A13149" s="5">
        <v>13148.0</v>
      </c>
      <c r="B13149" s="5" t="s">
        <v>13555</v>
      </c>
      <c r="C13149" s="5" t="s">
        <v>21</v>
      </c>
      <c r="K13149" s="5">
        <v>200.0</v>
      </c>
      <c r="N13149" s="9">
        <v>46132.0</v>
      </c>
    </row>
    <row r="13150">
      <c r="A13150" s="5">
        <v>13149.0</v>
      </c>
      <c r="B13150" s="5" t="s">
        <v>13556</v>
      </c>
      <c r="C13150" s="5" t="s">
        <v>21</v>
      </c>
      <c r="K13150" s="5">
        <v>800.0</v>
      </c>
      <c r="N13150" s="9">
        <v>45566.0</v>
      </c>
    </row>
    <row r="13151">
      <c r="A13151" s="5">
        <v>13150.0</v>
      </c>
      <c r="B13151" s="5" t="s">
        <v>13557</v>
      </c>
      <c r="C13151" s="5" t="s">
        <v>21</v>
      </c>
      <c r="K13151" s="5">
        <v>900.0</v>
      </c>
      <c r="N13151" s="9">
        <v>45026.0</v>
      </c>
    </row>
    <row r="13152">
      <c r="A13152" s="5">
        <v>13151.0</v>
      </c>
      <c r="B13152" s="5" t="s">
        <v>13558</v>
      </c>
      <c r="C13152" s="5" t="s">
        <v>21</v>
      </c>
      <c r="K13152" s="5">
        <v>3400.0</v>
      </c>
      <c r="N13152" s="9">
        <v>44360.0</v>
      </c>
    </row>
    <row r="13153">
      <c r="A13153" s="5">
        <v>13152.0</v>
      </c>
      <c r="B13153" s="5" t="s">
        <v>412</v>
      </c>
      <c r="C13153" s="5" t="s">
        <v>21</v>
      </c>
      <c r="K13153" s="5">
        <v>350.0</v>
      </c>
      <c r="N13153" s="9">
        <v>45303.0</v>
      </c>
    </row>
    <row r="13154">
      <c r="A13154" s="5">
        <v>13153.0</v>
      </c>
      <c r="B13154" s="5" t="s">
        <v>13559</v>
      </c>
      <c r="C13154" s="5" t="s">
        <v>21</v>
      </c>
      <c r="K13154" s="5">
        <v>600.0</v>
      </c>
      <c r="N13154" s="9">
        <v>44553.0</v>
      </c>
    </row>
    <row r="13155">
      <c r="A13155" s="5">
        <v>13154.0</v>
      </c>
      <c r="B13155" s="5" t="s">
        <v>13560</v>
      </c>
      <c r="C13155" s="5" t="s">
        <v>21</v>
      </c>
      <c r="K13155" s="5">
        <v>100.0</v>
      </c>
      <c r="N13155" s="9">
        <v>44973.0</v>
      </c>
    </row>
    <row r="13156">
      <c r="A13156" s="5">
        <v>13155.0</v>
      </c>
      <c r="B13156" s="5" t="s">
        <v>13561</v>
      </c>
      <c r="C13156" s="5" t="s">
        <v>21</v>
      </c>
      <c r="K13156" s="5">
        <v>900.0</v>
      </c>
      <c r="N13156" s="9">
        <v>44580.0</v>
      </c>
    </row>
    <row r="13157">
      <c r="A13157" s="5">
        <v>13156.0</v>
      </c>
      <c r="B13157" s="5" t="s">
        <v>13562</v>
      </c>
      <c r="C13157" s="5" t="s">
        <v>21</v>
      </c>
      <c r="N13157" s="9">
        <v>44519.0</v>
      </c>
    </row>
    <row r="13158">
      <c r="A13158" s="5">
        <v>13157.0</v>
      </c>
      <c r="B13158" s="5" t="s">
        <v>13563</v>
      </c>
      <c r="C13158" s="5" t="s">
        <v>21</v>
      </c>
      <c r="K13158" s="5">
        <v>1100.0</v>
      </c>
      <c r="N13158" s="9">
        <v>44435.0</v>
      </c>
    </row>
    <row r="13159">
      <c r="A13159" s="5">
        <v>13158.0</v>
      </c>
      <c r="B13159" s="5" t="s">
        <v>13564</v>
      </c>
      <c r="C13159" s="5" t="s">
        <v>21</v>
      </c>
      <c r="K13159" s="5">
        <v>350.0</v>
      </c>
      <c r="N13159" s="9">
        <v>44582.0</v>
      </c>
    </row>
    <row r="13160">
      <c r="A13160" s="5">
        <v>13159.0</v>
      </c>
      <c r="B13160" s="5" t="s">
        <v>13565</v>
      </c>
      <c r="C13160" s="5" t="s">
        <v>21</v>
      </c>
      <c r="K13160" s="5">
        <v>2400.0</v>
      </c>
      <c r="N13160" s="9">
        <v>43908.0</v>
      </c>
    </row>
    <row r="13161">
      <c r="A13161" s="5">
        <v>13160.0</v>
      </c>
      <c r="B13161" s="5" t="s">
        <v>13566</v>
      </c>
      <c r="C13161" s="5" t="s">
        <v>21</v>
      </c>
      <c r="K13161" s="5">
        <v>700.0</v>
      </c>
      <c r="N13161" s="9">
        <v>44559.0</v>
      </c>
    </row>
    <row r="13162">
      <c r="A13162" s="5">
        <v>13161.0</v>
      </c>
      <c r="B13162" s="5" t="s">
        <v>13567</v>
      </c>
      <c r="C13162" s="5" t="s">
        <v>21</v>
      </c>
      <c r="K13162" s="5">
        <v>50.0</v>
      </c>
      <c r="N13162" s="9">
        <v>44639.0</v>
      </c>
    </row>
    <row r="13163">
      <c r="A13163" s="5">
        <v>13162.0</v>
      </c>
      <c r="B13163" s="5" t="s">
        <v>13568</v>
      </c>
      <c r="C13163" s="5" t="s">
        <v>21</v>
      </c>
      <c r="K13163" s="5">
        <v>300.0</v>
      </c>
      <c r="N13163" s="9">
        <v>44532.0</v>
      </c>
    </row>
    <row r="13164">
      <c r="A13164" s="5">
        <v>13163.0</v>
      </c>
      <c r="B13164" s="5" t="s">
        <v>13569</v>
      </c>
      <c r="C13164" s="5" t="s">
        <v>21</v>
      </c>
      <c r="K13164" s="5">
        <v>60.0</v>
      </c>
      <c r="N13164" s="9">
        <v>45014.0</v>
      </c>
    </row>
    <row r="13165">
      <c r="A13165" s="5">
        <v>13164.0</v>
      </c>
      <c r="B13165" s="5" t="s">
        <v>13570</v>
      </c>
      <c r="C13165" s="5" t="s">
        <v>21</v>
      </c>
      <c r="N13165" s="9">
        <v>44968.0</v>
      </c>
    </row>
    <row r="13166">
      <c r="A13166" s="5">
        <v>13165.0</v>
      </c>
      <c r="B13166" s="5" t="s">
        <v>13571</v>
      </c>
      <c r="C13166" s="5" t="s">
        <v>21</v>
      </c>
      <c r="K13166" s="5">
        <v>1900.0</v>
      </c>
      <c r="N13166" s="9">
        <v>44531.0</v>
      </c>
    </row>
    <row r="13167">
      <c r="A13167" s="5">
        <v>13166.0</v>
      </c>
      <c r="B13167" s="5" t="s">
        <v>13572</v>
      </c>
      <c r="C13167" s="5" t="s">
        <v>21</v>
      </c>
      <c r="K13167" s="5">
        <v>100.0</v>
      </c>
      <c r="N13167" s="9">
        <v>44023.0</v>
      </c>
    </row>
    <row r="13168">
      <c r="A13168" s="5">
        <v>13167.0</v>
      </c>
      <c r="B13168" s="5" t="s">
        <v>13573</v>
      </c>
      <c r="C13168" s="5" t="s">
        <v>21</v>
      </c>
      <c r="K13168" s="5">
        <v>80.0</v>
      </c>
      <c r="N13168" s="9">
        <v>44877.0</v>
      </c>
    </row>
    <row r="13169">
      <c r="A13169" s="5">
        <v>13168.0</v>
      </c>
      <c r="B13169" s="5" t="s">
        <v>13574</v>
      </c>
      <c r="C13169" s="5" t="s">
        <v>21</v>
      </c>
      <c r="K13169" s="5">
        <v>200.0</v>
      </c>
      <c r="N13169" s="9">
        <v>44619.0</v>
      </c>
    </row>
    <row r="13170">
      <c r="A13170" s="5">
        <v>13169.0</v>
      </c>
      <c r="B13170" s="5" t="s">
        <v>13575</v>
      </c>
      <c r="C13170" s="5" t="s">
        <v>21</v>
      </c>
      <c r="K13170" s="5">
        <v>150.0</v>
      </c>
      <c r="N13170" s="9">
        <v>44959.0</v>
      </c>
    </row>
    <row r="13171">
      <c r="A13171" s="5">
        <v>13170.0</v>
      </c>
      <c r="B13171" s="5" t="s">
        <v>13576</v>
      </c>
      <c r="C13171" s="5" t="s">
        <v>21</v>
      </c>
      <c r="K13171" s="5">
        <v>200.0</v>
      </c>
      <c r="N13171" s="9">
        <v>45423.0</v>
      </c>
    </row>
    <row r="13172">
      <c r="A13172" s="5">
        <v>13171.0</v>
      </c>
      <c r="B13172" s="5" t="s">
        <v>13577</v>
      </c>
      <c r="C13172" s="5" t="s">
        <v>21</v>
      </c>
      <c r="K13172" s="5">
        <v>900.0</v>
      </c>
      <c r="N13172" s="9">
        <v>44541.0</v>
      </c>
    </row>
    <row r="13173">
      <c r="A13173" s="5">
        <v>13172.0</v>
      </c>
      <c r="B13173" s="5" t="s">
        <v>13578</v>
      </c>
      <c r="C13173" s="5" t="s">
        <v>21</v>
      </c>
      <c r="K13173" s="5">
        <v>350.0</v>
      </c>
      <c r="N13173" s="9">
        <v>44556.0</v>
      </c>
    </row>
    <row r="13174">
      <c r="A13174" s="5">
        <v>13173.0</v>
      </c>
      <c r="B13174" s="5" t="s">
        <v>13579</v>
      </c>
      <c r="C13174" s="5" t="s">
        <v>21</v>
      </c>
      <c r="K13174" s="5">
        <v>1000.0</v>
      </c>
      <c r="N13174" s="9">
        <v>45196.0</v>
      </c>
    </row>
    <row r="13175">
      <c r="A13175" s="5">
        <v>13174.0</v>
      </c>
      <c r="B13175" s="5" t="s">
        <v>13580</v>
      </c>
      <c r="C13175" s="5" t="s">
        <v>21</v>
      </c>
      <c r="K13175" s="5">
        <v>300.0</v>
      </c>
      <c r="N13175" s="9">
        <v>44418.0</v>
      </c>
    </row>
    <row r="13176">
      <c r="A13176" s="5">
        <v>13175.0</v>
      </c>
      <c r="B13176" s="5" t="s">
        <v>13581</v>
      </c>
      <c r="C13176" s="5" t="s">
        <v>21</v>
      </c>
      <c r="K13176" s="5">
        <v>100.0</v>
      </c>
      <c r="N13176" s="9">
        <v>45431.0</v>
      </c>
    </row>
    <row r="13177">
      <c r="A13177" s="5">
        <v>13176.0</v>
      </c>
      <c r="B13177" s="5" t="s">
        <v>13582</v>
      </c>
      <c r="C13177" s="5" t="s">
        <v>21</v>
      </c>
      <c r="K13177" s="5">
        <v>600.0</v>
      </c>
      <c r="N13177" s="9">
        <v>44538.0</v>
      </c>
    </row>
    <row r="13178">
      <c r="A13178" s="5">
        <v>13177.0</v>
      </c>
      <c r="B13178" s="5" t="s">
        <v>13583</v>
      </c>
      <c r="C13178" s="5" t="s">
        <v>21</v>
      </c>
      <c r="K13178" s="5">
        <v>400.0</v>
      </c>
      <c r="N13178" s="9">
        <v>44608.0</v>
      </c>
    </row>
    <row r="13179">
      <c r="A13179" s="5">
        <v>13178.0</v>
      </c>
      <c r="B13179" s="5" t="s">
        <v>13584</v>
      </c>
      <c r="C13179" s="5" t="s">
        <v>21</v>
      </c>
      <c r="K13179" s="5">
        <v>70.0</v>
      </c>
      <c r="N13179" s="9">
        <v>44592.0</v>
      </c>
    </row>
    <row r="13180">
      <c r="A13180" s="5">
        <v>13179.0</v>
      </c>
      <c r="B13180" s="5" t="s">
        <v>13585</v>
      </c>
      <c r="C13180" s="5" t="s">
        <v>21</v>
      </c>
      <c r="K13180" s="5">
        <v>150.0</v>
      </c>
      <c r="N13180" s="9">
        <v>44543.0</v>
      </c>
    </row>
    <row r="13181">
      <c r="A13181" s="5">
        <v>13180.0</v>
      </c>
      <c r="B13181" s="5" t="s">
        <v>13586</v>
      </c>
      <c r="C13181" s="5" t="s">
        <v>21</v>
      </c>
      <c r="K13181" s="5">
        <v>350.0</v>
      </c>
      <c r="N13181" s="9">
        <v>44578.0</v>
      </c>
    </row>
    <row r="13182">
      <c r="A13182" s="5">
        <v>13181.0</v>
      </c>
      <c r="B13182" s="5" t="s">
        <v>13587</v>
      </c>
      <c r="C13182" s="5" t="s">
        <v>21</v>
      </c>
      <c r="K13182" s="5">
        <v>800.0</v>
      </c>
      <c r="N13182" s="9">
        <v>44516.0</v>
      </c>
    </row>
    <row r="13183">
      <c r="A13183" s="5">
        <v>13182.0</v>
      </c>
      <c r="B13183" s="5" t="s">
        <v>13588</v>
      </c>
      <c r="C13183" s="5" t="s">
        <v>21</v>
      </c>
      <c r="K13183" s="5">
        <v>600.0</v>
      </c>
      <c r="N13183" s="9">
        <v>44560.0</v>
      </c>
    </row>
    <row r="13184">
      <c r="A13184" s="5">
        <v>13183.0</v>
      </c>
      <c r="B13184" s="5" t="s">
        <v>13589</v>
      </c>
      <c r="C13184" s="5" t="s">
        <v>21</v>
      </c>
      <c r="N13184" s="9">
        <v>44531.0</v>
      </c>
    </row>
    <row r="13185">
      <c r="A13185" s="5">
        <v>13184.0</v>
      </c>
      <c r="B13185" s="5" t="s">
        <v>13590</v>
      </c>
      <c r="C13185" s="5" t="s">
        <v>21</v>
      </c>
      <c r="K13185" s="5">
        <v>600.0</v>
      </c>
      <c r="N13185" s="9">
        <v>45188.0</v>
      </c>
    </row>
    <row r="13186">
      <c r="A13186" s="5">
        <v>13185.0</v>
      </c>
      <c r="B13186" s="5" t="s">
        <v>13591</v>
      </c>
      <c r="C13186" s="5" t="s">
        <v>21</v>
      </c>
      <c r="K13186" s="5">
        <v>450.0</v>
      </c>
      <c r="N13186" s="9">
        <v>44012.0</v>
      </c>
    </row>
    <row r="13187">
      <c r="A13187" s="5">
        <v>13186.0</v>
      </c>
      <c r="B13187" s="5" t="s">
        <v>13592</v>
      </c>
      <c r="C13187" s="5" t="s">
        <v>21</v>
      </c>
      <c r="K13187" s="5">
        <v>700.0</v>
      </c>
      <c r="N13187" s="9">
        <v>44577.0</v>
      </c>
    </row>
    <row r="13188">
      <c r="A13188" s="5">
        <v>13187.0</v>
      </c>
      <c r="B13188" s="5" t="s">
        <v>13593</v>
      </c>
      <c r="C13188" s="5" t="s">
        <v>21</v>
      </c>
      <c r="K13188" s="5">
        <v>100.0</v>
      </c>
      <c r="N13188" s="9">
        <v>44531.0</v>
      </c>
    </row>
    <row r="13189">
      <c r="A13189" s="5">
        <v>13188.0</v>
      </c>
      <c r="B13189" s="5" t="s">
        <v>13594</v>
      </c>
      <c r="C13189" s="5" t="s">
        <v>21</v>
      </c>
      <c r="N13189" s="9">
        <v>44524.0</v>
      </c>
    </row>
    <row r="13190">
      <c r="A13190" s="5">
        <v>13189.0</v>
      </c>
      <c r="B13190" s="5" t="s">
        <v>13595</v>
      </c>
      <c r="C13190" s="5" t="s">
        <v>21</v>
      </c>
      <c r="K13190" s="5">
        <v>200.0</v>
      </c>
      <c r="N13190" s="9">
        <v>44604.0</v>
      </c>
    </row>
    <row r="13191">
      <c r="A13191" s="5">
        <v>13190.0</v>
      </c>
      <c r="B13191" s="5" t="s">
        <v>13596</v>
      </c>
      <c r="C13191" s="5" t="s">
        <v>21</v>
      </c>
      <c r="K13191" s="5">
        <v>700.0</v>
      </c>
      <c r="N13191" s="9">
        <v>44878.0</v>
      </c>
    </row>
    <row r="13192">
      <c r="A13192" s="5">
        <v>13191.0</v>
      </c>
      <c r="B13192" s="5" t="s">
        <v>13597</v>
      </c>
      <c r="C13192" s="5" t="s">
        <v>21</v>
      </c>
      <c r="K13192" s="5">
        <v>300.0</v>
      </c>
      <c r="N13192" s="9">
        <v>44539.0</v>
      </c>
    </row>
    <row r="13193">
      <c r="A13193" s="5">
        <v>13192.0</v>
      </c>
      <c r="B13193" s="5" t="s">
        <v>13598</v>
      </c>
      <c r="C13193" s="5" t="s">
        <v>21</v>
      </c>
      <c r="K13193" s="5">
        <v>70.0</v>
      </c>
      <c r="N13193" s="9">
        <v>44520.0</v>
      </c>
    </row>
    <row r="13194">
      <c r="A13194" s="5">
        <v>13193.0</v>
      </c>
      <c r="B13194" s="5" t="s">
        <v>13599</v>
      </c>
      <c r="C13194" s="5" t="s">
        <v>21</v>
      </c>
      <c r="K13194" s="5">
        <v>150.0</v>
      </c>
      <c r="N13194" s="9">
        <v>44539.0</v>
      </c>
    </row>
    <row r="13195">
      <c r="A13195" s="5">
        <v>13194.0</v>
      </c>
      <c r="B13195" s="5" t="s">
        <v>13600</v>
      </c>
      <c r="C13195" s="5" t="s">
        <v>21</v>
      </c>
      <c r="K13195" s="5">
        <v>1600.0</v>
      </c>
      <c r="N13195" s="9">
        <v>44531.0</v>
      </c>
    </row>
    <row r="13196">
      <c r="A13196" s="5">
        <v>13195.0</v>
      </c>
      <c r="B13196" s="5" t="s">
        <v>13601</v>
      </c>
      <c r="C13196" s="5" t="s">
        <v>21</v>
      </c>
      <c r="K13196" s="5">
        <v>50.0</v>
      </c>
      <c r="N13196" s="9">
        <v>44617.0</v>
      </c>
    </row>
    <row r="13197">
      <c r="A13197" s="5">
        <v>13196.0</v>
      </c>
      <c r="B13197" s="5" t="s">
        <v>13602</v>
      </c>
      <c r="C13197" s="5" t="s">
        <v>21</v>
      </c>
      <c r="K13197" s="5">
        <v>100.0</v>
      </c>
      <c r="N13197" s="9">
        <v>44737.0</v>
      </c>
    </row>
    <row r="13198">
      <c r="A13198" s="5">
        <v>13197.0</v>
      </c>
      <c r="B13198" s="5" t="s">
        <v>13603</v>
      </c>
      <c r="C13198" s="5" t="s">
        <v>21</v>
      </c>
      <c r="K13198" s="5">
        <v>900.0</v>
      </c>
      <c r="N13198" s="9">
        <v>44545.0</v>
      </c>
    </row>
    <row r="13199">
      <c r="A13199" s="5">
        <v>13198.0</v>
      </c>
      <c r="B13199" s="5" t="s">
        <v>13604</v>
      </c>
      <c r="C13199" s="5" t="s">
        <v>21</v>
      </c>
      <c r="K13199" s="5">
        <v>1200.0</v>
      </c>
      <c r="N13199" s="9">
        <v>44305.0</v>
      </c>
    </row>
    <row r="13200">
      <c r="A13200" s="5">
        <v>13199.0</v>
      </c>
      <c r="B13200" s="5" t="s">
        <v>13605</v>
      </c>
      <c r="C13200" s="5" t="s">
        <v>21</v>
      </c>
      <c r="K13200" s="5">
        <v>300.0</v>
      </c>
      <c r="N13200" s="9">
        <v>44541.0</v>
      </c>
    </row>
    <row r="13201">
      <c r="A13201" s="5">
        <v>13200.0</v>
      </c>
      <c r="B13201" s="5" t="s">
        <v>13606</v>
      </c>
      <c r="C13201" s="5" t="s">
        <v>21</v>
      </c>
      <c r="K13201" s="5">
        <v>250.0</v>
      </c>
      <c r="N13201" s="9">
        <v>44563.0</v>
      </c>
    </row>
    <row r="13202">
      <c r="A13202" s="5">
        <v>13201.0</v>
      </c>
      <c r="B13202" s="5" t="s">
        <v>13607</v>
      </c>
      <c r="C13202" s="5" t="s">
        <v>21</v>
      </c>
      <c r="K13202" s="5">
        <v>400.0</v>
      </c>
      <c r="N13202" s="9">
        <v>44247.0</v>
      </c>
    </row>
    <row r="13203">
      <c r="A13203" s="5">
        <v>13202.0</v>
      </c>
      <c r="B13203" s="5" t="s">
        <v>13608</v>
      </c>
      <c r="C13203" s="5" t="s">
        <v>21</v>
      </c>
      <c r="K13203" s="5">
        <v>30.0</v>
      </c>
      <c r="N13203" s="9">
        <v>45060.0</v>
      </c>
    </row>
    <row r="13204">
      <c r="A13204" s="5">
        <v>13203.0</v>
      </c>
      <c r="B13204" s="5" t="s">
        <v>13609</v>
      </c>
      <c r="C13204" s="5" t="s">
        <v>21</v>
      </c>
      <c r="K13204" s="5">
        <v>1000.0</v>
      </c>
      <c r="N13204" s="9">
        <v>43879.0</v>
      </c>
    </row>
    <row r="13205">
      <c r="A13205" s="5">
        <v>13204.0</v>
      </c>
      <c r="B13205" s="5" t="s">
        <v>13610</v>
      </c>
      <c r="C13205" s="5" t="s">
        <v>21</v>
      </c>
      <c r="K13205" s="5">
        <v>200.0</v>
      </c>
      <c r="N13205" s="9">
        <v>45074.0</v>
      </c>
    </row>
    <row r="13206">
      <c r="A13206" s="5">
        <v>13205.0</v>
      </c>
      <c r="B13206" s="5" t="s">
        <v>13611</v>
      </c>
      <c r="C13206" s="5" t="s">
        <v>21</v>
      </c>
      <c r="K13206" s="5">
        <v>200.0</v>
      </c>
      <c r="N13206" s="9">
        <v>44693.0</v>
      </c>
    </row>
    <row r="13207">
      <c r="A13207" s="5">
        <v>13206.0</v>
      </c>
      <c r="B13207" s="5" t="s">
        <v>13612</v>
      </c>
      <c r="C13207" s="5" t="s">
        <v>21</v>
      </c>
      <c r="K13207" s="5">
        <v>1100.0</v>
      </c>
      <c r="N13207" s="9">
        <v>44744.0</v>
      </c>
    </row>
    <row r="13208">
      <c r="A13208" s="5">
        <v>13207.0</v>
      </c>
      <c r="B13208" s="5" t="s">
        <v>13613</v>
      </c>
      <c r="C13208" s="5" t="s">
        <v>21</v>
      </c>
      <c r="K13208" s="5">
        <v>1000.0</v>
      </c>
      <c r="N13208" s="9">
        <v>44329.0</v>
      </c>
    </row>
    <row r="13209">
      <c r="A13209" s="5">
        <v>13208.0</v>
      </c>
      <c r="B13209" s="5" t="s">
        <v>13614</v>
      </c>
      <c r="C13209" s="5" t="s">
        <v>21</v>
      </c>
      <c r="K13209" s="5">
        <v>200.0</v>
      </c>
      <c r="N13209" s="9">
        <v>44857.0</v>
      </c>
    </row>
    <row r="13210">
      <c r="A13210" s="5">
        <v>13209.0</v>
      </c>
      <c r="B13210" s="5" t="s">
        <v>13615</v>
      </c>
      <c r="C13210" s="5" t="s">
        <v>21</v>
      </c>
      <c r="K13210" s="5">
        <v>300.0</v>
      </c>
      <c r="N13210" s="9">
        <v>44160.0</v>
      </c>
    </row>
    <row r="13211">
      <c r="A13211" s="5">
        <v>13210.0</v>
      </c>
      <c r="B13211" s="5" t="s">
        <v>13616</v>
      </c>
      <c r="C13211" s="5" t="s">
        <v>21</v>
      </c>
      <c r="K13211" s="5">
        <v>450.0</v>
      </c>
      <c r="N13211" s="9">
        <v>44899.0</v>
      </c>
    </row>
    <row r="13212">
      <c r="A13212" s="5">
        <v>13211.0</v>
      </c>
      <c r="B13212" s="5" t="s">
        <v>13617</v>
      </c>
      <c r="C13212" s="5" t="s">
        <v>21</v>
      </c>
      <c r="K13212" s="5">
        <v>30.0</v>
      </c>
      <c r="N13212" s="9">
        <v>44660.0</v>
      </c>
    </row>
    <row r="13213">
      <c r="A13213" s="5">
        <v>13212.0</v>
      </c>
      <c r="B13213" s="5" t="s">
        <v>13618</v>
      </c>
      <c r="C13213" s="5" t="s">
        <v>21</v>
      </c>
      <c r="K13213" s="5">
        <v>700.0</v>
      </c>
      <c r="N13213" s="9">
        <v>44577.0</v>
      </c>
    </row>
    <row r="13214">
      <c r="A13214" s="5">
        <v>13213.0</v>
      </c>
      <c r="B13214" s="5" t="s">
        <v>13619</v>
      </c>
      <c r="C13214" s="5" t="s">
        <v>21</v>
      </c>
      <c r="N13214" s="9">
        <v>44518.0</v>
      </c>
    </row>
    <row r="13215">
      <c r="A13215" s="5">
        <v>13214.0</v>
      </c>
      <c r="B13215" s="5" t="s">
        <v>13620</v>
      </c>
      <c r="C13215" s="5" t="s">
        <v>21</v>
      </c>
      <c r="K13215" s="5">
        <v>300.0</v>
      </c>
      <c r="N13215" s="9">
        <v>45261.0</v>
      </c>
    </row>
    <row r="13216">
      <c r="A13216" s="5">
        <v>13215.0</v>
      </c>
      <c r="B13216" s="5" t="s">
        <v>13621</v>
      </c>
      <c r="C13216" s="5" t="s">
        <v>21</v>
      </c>
      <c r="K13216" s="5">
        <v>250.0</v>
      </c>
      <c r="N13216" s="9">
        <v>44418.0</v>
      </c>
    </row>
    <row r="13217">
      <c r="A13217" s="5">
        <v>13216.0</v>
      </c>
      <c r="B13217" s="5" t="s">
        <v>13622</v>
      </c>
      <c r="C13217" s="5" t="s">
        <v>21</v>
      </c>
      <c r="K13217" s="5">
        <v>150.0</v>
      </c>
      <c r="N13217" s="9">
        <v>44725.0</v>
      </c>
    </row>
    <row r="13218">
      <c r="A13218" s="5">
        <v>13217.0</v>
      </c>
      <c r="B13218" s="5" t="s">
        <v>13623</v>
      </c>
      <c r="C13218" s="5" t="s">
        <v>21</v>
      </c>
      <c r="K13218" s="5">
        <v>300.0</v>
      </c>
      <c r="N13218" s="9">
        <v>44193.0</v>
      </c>
    </row>
    <row r="13219">
      <c r="A13219" s="5">
        <v>13218.0</v>
      </c>
      <c r="B13219" s="5" t="s">
        <v>13624</v>
      </c>
      <c r="C13219" s="5" t="s">
        <v>21</v>
      </c>
      <c r="K13219" s="5">
        <v>100.0</v>
      </c>
      <c r="N13219" s="9">
        <v>45113.0</v>
      </c>
    </row>
    <row r="13220">
      <c r="A13220" s="5">
        <v>13219.0</v>
      </c>
      <c r="B13220" s="5" t="s">
        <v>13625</v>
      </c>
      <c r="C13220" s="5" t="s">
        <v>21</v>
      </c>
      <c r="N13220" s="9">
        <v>44524.0</v>
      </c>
    </row>
    <row r="13221">
      <c r="A13221" s="5">
        <v>13220.0</v>
      </c>
      <c r="B13221" s="5" t="s">
        <v>13626</v>
      </c>
      <c r="C13221" s="5" t="s">
        <v>21</v>
      </c>
      <c r="K13221" s="5">
        <v>150.0</v>
      </c>
      <c r="N13221" s="9">
        <v>44946.0</v>
      </c>
    </row>
    <row r="13222">
      <c r="A13222" s="5">
        <v>13221.0</v>
      </c>
      <c r="B13222" s="5" t="s">
        <v>13627</v>
      </c>
      <c r="C13222" s="5" t="s">
        <v>21</v>
      </c>
      <c r="N13222" s="9">
        <v>44549.0</v>
      </c>
    </row>
    <row r="13223">
      <c r="A13223" s="5">
        <v>13222.0</v>
      </c>
      <c r="B13223" s="5" t="s">
        <v>13628</v>
      </c>
      <c r="C13223" s="5" t="s">
        <v>21</v>
      </c>
      <c r="K13223" s="5">
        <v>20.0</v>
      </c>
      <c r="N13223" s="9">
        <v>45070.0</v>
      </c>
    </row>
    <row r="13224">
      <c r="A13224" s="5">
        <v>13223.0</v>
      </c>
      <c r="B13224" s="5" t="s">
        <v>13629</v>
      </c>
      <c r="C13224" s="5" t="s">
        <v>21</v>
      </c>
      <c r="K13224" s="5">
        <v>30.0</v>
      </c>
      <c r="N13224" s="9">
        <v>44361.0</v>
      </c>
    </row>
    <row r="13225">
      <c r="A13225" s="5">
        <v>13224.0</v>
      </c>
      <c r="B13225" s="5" t="s">
        <v>13630</v>
      </c>
      <c r="C13225" s="5" t="s">
        <v>21</v>
      </c>
      <c r="K13225" s="5">
        <v>350.0</v>
      </c>
      <c r="N13225" s="9">
        <v>44519.0</v>
      </c>
    </row>
    <row r="13226">
      <c r="A13226" s="5">
        <v>13225.0</v>
      </c>
      <c r="B13226" s="5" t="s">
        <v>13631</v>
      </c>
      <c r="C13226" s="5" t="s">
        <v>21</v>
      </c>
      <c r="K13226" s="5">
        <v>300.0</v>
      </c>
      <c r="N13226" s="9">
        <v>44541.0</v>
      </c>
    </row>
    <row r="13227">
      <c r="A13227" s="5">
        <v>13226.0</v>
      </c>
      <c r="B13227" s="5" t="s">
        <v>13632</v>
      </c>
      <c r="C13227" s="5" t="s">
        <v>21</v>
      </c>
      <c r="K13227" s="5">
        <v>70.0</v>
      </c>
      <c r="N13227" s="9">
        <v>44552.0</v>
      </c>
    </row>
    <row r="13228">
      <c r="A13228" s="5">
        <v>13227.0</v>
      </c>
      <c r="B13228" s="5" t="s">
        <v>13633</v>
      </c>
      <c r="C13228" s="5" t="s">
        <v>21</v>
      </c>
      <c r="K13228" s="5">
        <v>1900.0</v>
      </c>
      <c r="N13228" s="9">
        <v>45093.0</v>
      </c>
    </row>
    <row r="13229">
      <c r="A13229" s="5">
        <v>13228.0</v>
      </c>
      <c r="B13229" s="5" t="s">
        <v>13634</v>
      </c>
      <c r="C13229" s="5" t="s">
        <v>21</v>
      </c>
      <c r="K13229" s="5">
        <v>250.0</v>
      </c>
      <c r="N13229" s="9">
        <v>44602.0</v>
      </c>
    </row>
    <row r="13230">
      <c r="A13230" s="5">
        <v>13229.0</v>
      </c>
      <c r="B13230" s="5" t="s">
        <v>13635</v>
      </c>
      <c r="C13230" s="5" t="s">
        <v>21</v>
      </c>
      <c r="K13230" s="5">
        <v>300.0</v>
      </c>
      <c r="N13230" s="9">
        <v>44534.0</v>
      </c>
    </row>
    <row r="13231">
      <c r="A13231" s="5">
        <v>13230.0</v>
      </c>
      <c r="B13231" s="5" t="s">
        <v>13636</v>
      </c>
      <c r="C13231" s="5" t="s">
        <v>21</v>
      </c>
      <c r="K13231" s="5">
        <v>80.0</v>
      </c>
      <c r="N13231" s="9">
        <v>44534.0</v>
      </c>
    </row>
    <row r="13232">
      <c r="A13232" s="5">
        <v>13231.0</v>
      </c>
      <c r="B13232" s="5" t="s">
        <v>13637</v>
      </c>
      <c r="C13232" s="5" t="s">
        <v>21</v>
      </c>
      <c r="K13232" s="5">
        <v>2000.0</v>
      </c>
      <c r="N13232" s="9">
        <v>44953.0</v>
      </c>
    </row>
    <row r="13233">
      <c r="A13233" s="5">
        <v>13232.0</v>
      </c>
      <c r="B13233" s="5" t="s">
        <v>13638</v>
      </c>
      <c r="C13233" s="5" t="s">
        <v>21</v>
      </c>
      <c r="K13233" s="5">
        <v>100.0</v>
      </c>
      <c r="N13233" s="9">
        <v>43872.0</v>
      </c>
    </row>
    <row r="13234">
      <c r="A13234" s="5">
        <v>13233.0</v>
      </c>
      <c r="B13234" s="5" t="s">
        <v>13639</v>
      </c>
      <c r="C13234" s="5" t="s">
        <v>21</v>
      </c>
      <c r="N13234" s="9">
        <v>44597.0</v>
      </c>
    </row>
    <row r="13235">
      <c r="A13235" s="5">
        <v>13234.0</v>
      </c>
      <c r="B13235" s="5" t="s">
        <v>13640</v>
      </c>
      <c r="C13235" s="5" t="s">
        <v>21</v>
      </c>
      <c r="K13235" s="5">
        <v>300.0</v>
      </c>
      <c r="N13235" s="9">
        <v>45114.0</v>
      </c>
    </row>
    <row r="13236">
      <c r="A13236" s="5">
        <v>13235.0</v>
      </c>
      <c r="B13236" s="5" t="s">
        <v>13641</v>
      </c>
      <c r="C13236" s="5" t="s">
        <v>21</v>
      </c>
      <c r="K13236" s="5">
        <v>900.0</v>
      </c>
      <c r="N13236" s="9">
        <v>45574.0</v>
      </c>
    </row>
    <row r="13237">
      <c r="A13237" s="5">
        <v>13236.0</v>
      </c>
      <c r="B13237" s="5" t="s">
        <v>13642</v>
      </c>
      <c r="C13237" s="5" t="s">
        <v>21</v>
      </c>
      <c r="K13237" s="5">
        <v>200.0</v>
      </c>
      <c r="N13237" s="9">
        <v>44290.0</v>
      </c>
    </row>
    <row r="13238">
      <c r="A13238" s="5">
        <v>13237.0</v>
      </c>
      <c r="B13238" s="5" t="s">
        <v>471</v>
      </c>
      <c r="C13238" s="5" t="s">
        <v>21</v>
      </c>
      <c r="K13238" s="5">
        <v>200.0</v>
      </c>
      <c r="N13238" s="9">
        <v>44206.0</v>
      </c>
    </row>
    <row r="13239">
      <c r="A13239" s="5">
        <v>13238.0</v>
      </c>
      <c r="B13239" s="5" t="s">
        <v>13643</v>
      </c>
      <c r="C13239" s="5" t="s">
        <v>21</v>
      </c>
      <c r="K13239" s="5">
        <v>300.0</v>
      </c>
      <c r="N13239" s="9">
        <v>44390.0</v>
      </c>
    </row>
    <row r="13240">
      <c r="A13240" s="5">
        <v>13239.0</v>
      </c>
      <c r="B13240" s="5" t="s">
        <v>13644</v>
      </c>
      <c r="C13240" s="5" t="s">
        <v>21</v>
      </c>
      <c r="K13240" s="5">
        <v>30.0</v>
      </c>
      <c r="N13240" s="9">
        <v>44606.0</v>
      </c>
    </row>
    <row r="13241">
      <c r="A13241" s="5">
        <v>13240.0</v>
      </c>
      <c r="B13241" s="5" t="s">
        <v>13645</v>
      </c>
      <c r="C13241" s="5" t="s">
        <v>21</v>
      </c>
      <c r="K13241" s="5">
        <v>800.0</v>
      </c>
      <c r="N13241" s="9">
        <v>45076.0</v>
      </c>
    </row>
    <row r="13242">
      <c r="A13242" s="5">
        <v>13241.0</v>
      </c>
      <c r="B13242" s="5" t="s">
        <v>13646</v>
      </c>
      <c r="C13242" s="5" t="s">
        <v>21</v>
      </c>
      <c r="K13242" s="5">
        <v>500.0</v>
      </c>
      <c r="N13242" s="9">
        <v>45383.0</v>
      </c>
    </row>
    <row r="13243">
      <c r="A13243" s="5">
        <v>13242.0</v>
      </c>
      <c r="B13243" s="5" t="s">
        <v>477</v>
      </c>
      <c r="C13243" s="5" t="s">
        <v>21</v>
      </c>
      <c r="K13243" s="5">
        <v>20.0</v>
      </c>
      <c r="N13243" s="9">
        <v>44378.0</v>
      </c>
    </row>
    <row r="13244">
      <c r="A13244" s="5">
        <v>13243.0</v>
      </c>
      <c r="B13244" s="5" t="s">
        <v>13647</v>
      </c>
      <c r="C13244" s="5" t="s">
        <v>21</v>
      </c>
      <c r="K13244" s="5">
        <v>200.0</v>
      </c>
      <c r="N13244" s="9">
        <v>44077.0</v>
      </c>
    </row>
    <row r="13245">
      <c r="A13245" s="5">
        <v>13244.0</v>
      </c>
      <c r="B13245" s="5" t="s">
        <v>13648</v>
      </c>
      <c r="C13245" s="5" t="s">
        <v>21</v>
      </c>
      <c r="K13245" s="5">
        <v>2000.0</v>
      </c>
      <c r="N13245" s="9">
        <v>44222.0</v>
      </c>
    </row>
    <row r="13246">
      <c r="A13246" s="5">
        <v>13245.0</v>
      </c>
      <c r="B13246" s="5" t="s">
        <v>13649</v>
      </c>
      <c r="C13246" s="5" t="s">
        <v>21</v>
      </c>
      <c r="K13246" s="5">
        <v>22000.0</v>
      </c>
      <c r="N13246" s="9">
        <v>43921.0</v>
      </c>
    </row>
    <row r="13247">
      <c r="A13247" s="5">
        <v>13246.0</v>
      </c>
      <c r="B13247" s="5" t="s">
        <v>13650</v>
      </c>
      <c r="C13247" s="5" t="s">
        <v>21</v>
      </c>
      <c r="K13247" s="5">
        <v>30.0</v>
      </c>
      <c r="N13247" s="9">
        <v>45588.0</v>
      </c>
    </row>
    <row r="13248">
      <c r="A13248" s="5">
        <v>13247.0</v>
      </c>
      <c r="B13248" s="5" t="s">
        <v>13651</v>
      </c>
      <c r="C13248" s="5" t="s">
        <v>21</v>
      </c>
      <c r="K13248" s="5">
        <v>2100.0</v>
      </c>
      <c r="N13248" s="9">
        <v>44087.0</v>
      </c>
    </row>
    <row r="13249">
      <c r="A13249" s="5">
        <v>13248.0</v>
      </c>
      <c r="B13249" s="5" t="s">
        <v>13652</v>
      </c>
      <c r="C13249" s="5" t="s">
        <v>21</v>
      </c>
      <c r="K13249" s="5">
        <v>200.0</v>
      </c>
      <c r="N13249" s="9">
        <v>44809.0</v>
      </c>
    </row>
    <row r="13250">
      <c r="A13250" s="5">
        <v>13249.0</v>
      </c>
      <c r="B13250" s="5" t="s">
        <v>13653</v>
      </c>
      <c r="C13250" s="5" t="s">
        <v>21</v>
      </c>
      <c r="K13250" s="5">
        <v>1400.0</v>
      </c>
      <c r="N13250" s="9">
        <v>44346.0</v>
      </c>
    </row>
    <row r="13251">
      <c r="A13251" s="5">
        <v>13250.0</v>
      </c>
      <c r="B13251" s="5" t="s">
        <v>13654</v>
      </c>
      <c r="C13251" s="5" t="s">
        <v>21</v>
      </c>
      <c r="K13251" s="5">
        <v>100.0</v>
      </c>
      <c r="N13251" s="9">
        <v>44979.0</v>
      </c>
    </row>
    <row r="13252">
      <c r="A13252" s="5">
        <v>13251.0</v>
      </c>
      <c r="B13252" s="5" t="s">
        <v>13655</v>
      </c>
      <c r="C13252" s="5" t="s">
        <v>21</v>
      </c>
      <c r="K13252" s="5">
        <v>1300.0</v>
      </c>
      <c r="N13252" s="9">
        <v>42878.0</v>
      </c>
    </row>
    <row r="13253">
      <c r="A13253" s="5">
        <v>13252.0</v>
      </c>
      <c r="B13253" s="5" t="s">
        <v>13656</v>
      </c>
      <c r="C13253" s="5" t="s">
        <v>21</v>
      </c>
      <c r="K13253" s="5">
        <v>70.0</v>
      </c>
      <c r="N13253" s="9">
        <v>44515.0</v>
      </c>
    </row>
    <row r="13254">
      <c r="A13254" s="5">
        <v>13253.0</v>
      </c>
      <c r="B13254" s="5" t="s">
        <v>13657</v>
      </c>
      <c r="C13254" s="5" t="s">
        <v>21</v>
      </c>
      <c r="K13254" s="5">
        <v>300.0</v>
      </c>
      <c r="N13254" s="9">
        <v>45215.0</v>
      </c>
    </row>
    <row r="13255">
      <c r="A13255" s="5">
        <v>13254.0</v>
      </c>
      <c r="B13255" s="5" t="s">
        <v>13658</v>
      </c>
      <c r="C13255" s="5" t="s">
        <v>21</v>
      </c>
      <c r="K13255" s="5">
        <v>1400.0</v>
      </c>
      <c r="N13255" s="9">
        <v>44554.0</v>
      </c>
    </row>
    <row r="13256">
      <c r="A13256" s="5">
        <v>13255.0</v>
      </c>
      <c r="B13256" s="5" t="s">
        <v>13659</v>
      </c>
      <c r="C13256" s="5" t="s">
        <v>21</v>
      </c>
      <c r="K13256" s="5">
        <v>800.0</v>
      </c>
      <c r="N13256" s="9">
        <v>43887.0</v>
      </c>
    </row>
    <row r="13257">
      <c r="A13257" s="5">
        <v>13256.0</v>
      </c>
      <c r="B13257" s="5" t="s">
        <v>13660</v>
      </c>
      <c r="C13257" s="5" t="s">
        <v>21</v>
      </c>
      <c r="K13257" s="5">
        <v>40.0</v>
      </c>
      <c r="N13257" s="9">
        <v>44769.0</v>
      </c>
    </row>
    <row r="13258">
      <c r="A13258" s="5">
        <v>13257.0</v>
      </c>
      <c r="B13258" s="5" t="s">
        <v>13661</v>
      </c>
      <c r="C13258" s="5" t="s">
        <v>21</v>
      </c>
      <c r="K13258" s="5">
        <v>350.0</v>
      </c>
      <c r="N13258" s="9">
        <v>44236.0</v>
      </c>
    </row>
    <row r="13259">
      <c r="A13259" s="5">
        <v>13258.0</v>
      </c>
      <c r="B13259" s="5" t="s">
        <v>13662</v>
      </c>
      <c r="C13259" s="5" t="s">
        <v>21</v>
      </c>
      <c r="K13259" s="5">
        <v>300.0</v>
      </c>
      <c r="N13259" s="9">
        <v>44598.0</v>
      </c>
    </row>
    <row r="13260">
      <c r="A13260" s="5">
        <v>13259.0</v>
      </c>
      <c r="B13260" s="5" t="s">
        <v>13663</v>
      </c>
      <c r="C13260" s="5" t="s">
        <v>21</v>
      </c>
      <c r="K13260" s="5">
        <v>150.0</v>
      </c>
      <c r="N13260" s="9">
        <v>45467.0</v>
      </c>
    </row>
    <row r="13261">
      <c r="A13261" s="5">
        <v>13260.0</v>
      </c>
      <c r="B13261" s="5" t="s">
        <v>13664</v>
      </c>
      <c r="C13261" s="5" t="s">
        <v>21</v>
      </c>
      <c r="K13261" s="5">
        <v>150.0</v>
      </c>
      <c r="N13261" s="9">
        <v>45117.0</v>
      </c>
    </row>
    <row r="13262">
      <c r="A13262" s="5">
        <v>13261.0</v>
      </c>
      <c r="B13262" s="5" t="s">
        <v>13665</v>
      </c>
      <c r="C13262" s="5" t="s">
        <v>21</v>
      </c>
      <c r="K13262" s="5">
        <v>1300.0</v>
      </c>
      <c r="N13262" s="9">
        <v>44570.0</v>
      </c>
    </row>
    <row r="13263">
      <c r="A13263" s="5">
        <v>13262.0</v>
      </c>
      <c r="B13263" s="5" t="s">
        <v>13666</v>
      </c>
      <c r="C13263" s="5" t="s">
        <v>21</v>
      </c>
      <c r="K13263" s="5">
        <v>200.0</v>
      </c>
      <c r="N13263" s="9">
        <v>44662.0</v>
      </c>
    </row>
    <row r="13264">
      <c r="A13264" s="5">
        <v>13263.0</v>
      </c>
      <c r="B13264" s="5" t="s">
        <v>13667</v>
      </c>
      <c r="C13264" s="5" t="s">
        <v>21</v>
      </c>
      <c r="K13264" s="5">
        <v>5800.0</v>
      </c>
      <c r="N13264" s="9">
        <v>44175.0</v>
      </c>
    </row>
    <row r="13265">
      <c r="A13265" s="5">
        <v>13264.0</v>
      </c>
      <c r="B13265" s="5" t="s">
        <v>13668</v>
      </c>
      <c r="C13265" s="5" t="s">
        <v>21</v>
      </c>
      <c r="K13265" s="5">
        <v>800.0</v>
      </c>
      <c r="N13265" s="9">
        <v>44612.0</v>
      </c>
    </row>
    <row r="13266">
      <c r="A13266" s="5">
        <v>13265.0</v>
      </c>
      <c r="B13266" s="5" t="s">
        <v>13669</v>
      </c>
      <c r="C13266" s="5" t="s">
        <v>21</v>
      </c>
      <c r="K13266" s="5">
        <v>400.0</v>
      </c>
      <c r="N13266" s="9">
        <v>44765.0</v>
      </c>
    </row>
    <row r="13267">
      <c r="A13267" s="5">
        <v>13266.0</v>
      </c>
      <c r="B13267" s="5" t="s">
        <v>13670</v>
      </c>
      <c r="C13267" s="5" t="s">
        <v>21</v>
      </c>
      <c r="K13267" s="5">
        <v>400.0</v>
      </c>
      <c r="N13267" s="9">
        <v>44582.0</v>
      </c>
    </row>
    <row r="13268">
      <c r="A13268" s="5">
        <v>13267.0</v>
      </c>
      <c r="B13268" s="5" t="s">
        <v>13671</v>
      </c>
      <c r="C13268" s="5" t="s">
        <v>21</v>
      </c>
      <c r="K13268" s="5">
        <v>1600.0</v>
      </c>
      <c r="N13268" s="9">
        <v>44973.0</v>
      </c>
    </row>
    <row r="13269">
      <c r="A13269" s="5">
        <v>13268.0</v>
      </c>
      <c r="B13269" s="5" t="s">
        <v>13672</v>
      </c>
      <c r="C13269" s="5" t="s">
        <v>21</v>
      </c>
      <c r="K13269" s="5">
        <v>200.0</v>
      </c>
      <c r="N13269" s="9">
        <v>44610.0</v>
      </c>
    </row>
    <row r="13270">
      <c r="A13270" s="5">
        <v>13269.0</v>
      </c>
      <c r="B13270" s="5" t="s">
        <v>13673</v>
      </c>
      <c r="C13270" s="5" t="s">
        <v>21</v>
      </c>
      <c r="K13270" s="5">
        <v>40.0</v>
      </c>
      <c r="N13270" s="9">
        <v>44731.0</v>
      </c>
    </row>
    <row r="13271">
      <c r="A13271" s="5">
        <v>13270.0</v>
      </c>
      <c r="B13271" s="5" t="s">
        <v>13674</v>
      </c>
      <c r="C13271" s="5" t="s">
        <v>21</v>
      </c>
      <c r="K13271" s="5">
        <v>1100.0</v>
      </c>
      <c r="N13271" s="9">
        <v>44619.0</v>
      </c>
    </row>
    <row r="13272">
      <c r="A13272" s="5">
        <v>13271.0</v>
      </c>
      <c r="B13272" s="5" t="s">
        <v>13675</v>
      </c>
      <c r="C13272" s="5" t="s">
        <v>21</v>
      </c>
      <c r="K13272" s="5">
        <v>200.0</v>
      </c>
      <c r="N13272" s="9">
        <v>44580.0</v>
      </c>
    </row>
    <row r="13273">
      <c r="A13273" s="5">
        <v>13272.0</v>
      </c>
      <c r="B13273" s="5" t="s">
        <v>13676</v>
      </c>
      <c r="C13273" s="5" t="s">
        <v>21</v>
      </c>
      <c r="K13273" s="5">
        <v>200.0</v>
      </c>
      <c r="N13273" s="9">
        <v>44599.0</v>
      </c>
    </row>
    <row r="13274">
      <c r="A13274" s="5">
        <v>13273.0</v>
      </c>
      <c r="B13274" s="5" t="s">
        <v>13677</v>
      </c>
      <c r="C13274" s="5" t="s">
        <v>21</v>
      </c>
      <c r="K13274" s="5">
        <v>200.0</v>
      </c>
      <c r="N13274" s="9">
        <v>44647.0</v>
      </c>
    </row>
    <row r="13275">
      <c r="A13275" s="5">
        <v>13274.0</v>
      </c>
      <c r="B13275" s="5" t="s">
        <v>13678</v>
      </c>
      <c r="C13275" s="5" t="s">
        <v>21</v>
      </c>
      <c r="K13275" s="5">
        <v>1900.0</v>
      </c>
      <c r="N13275" s="9">
        <v>44684.0</v>
      </c>
    </row>
    <row r="13276">
      <c r="A13276" s="5">
        <v>13275.0</v>
      </c>
      <c r="B13276" s="5" t="s">
        <v>13679</v>
      </c>
      <c r="C13276" s="5" t="s">
        <v>21</v>
      </c>
      <c r="K13276" s="5">
        <v>350.0</v>
      </c>
      <c r="N13276" s="9">
        <v>44167.0</v>
      </c>
    </row>
    <row r="13277">
      <c r="A13277" s="5">
        <v>13276.0</v>
      </c>
      <c r="B13277" s="5" t="s">
        <v>13680</v>
      </c>
      <c r="C13277" s="5" t="s">
        <v>21</v>
      </c>
      <c r="K13277" s="5">
        <v>400.0</v>
      </c>
      <c r="N13277" s="9">
        <v>45477.0</v>
      </c>
    </row>
    <row r="13278">
      <c r="A13278" s="5">
        <v>13277.0</v>
      </c>
      <c r="B13278" s="5" t="s">
        <v>13681</v>
      </c>
      <c r="C13278" s="5" t="s">
        <v>21</v>
      </c>
      <c r="K13278" s="5">
        <v>100.0</v>
      </c>
      <c r="N13278" s="9">
        <v>44250.0</v>
      </c>
    </row>
    <row r="13279">
      <c r="A13279" s="5">
        <v>13278.0</v>
      </c>
      <c r="B13279" s="5" t="s">
        <v>13682</v>
      </c>
      <c r="C13279" s="5" t="s">
        <v>21</v>
      </c>
      <c r="K13279" s="5">
        <v>150.0</v>
      </c>
      <c r="N13279" s="9">
        <v>44078.0</v>
      </c>
    </row>
    <row r="13280">
      <c r="A13280" s="5">
        <v>13279.0</v>
      </c>
      <c r="B13280" s="5" t="s">
        <v>13683</v>
      </c>
      <c r="C13280" s="5" t="s">
        <v>21</v>
      </c>
      <c r="K13280" s="5">
        <v>450.0</v>
      </c>
      <c r="N13280" s="9">
        <v>44462.0</v>
      </c>
    </row>
    <row r="13281">
      <c r="A13281" s="5">
        <v>13280.0</v>
      </c>
      <c r="B13281" s="5" t="s">
        <v>13684</v>
      </c>
      <c r="C13281" s="5" t="s">
        <v>21</v>
      </c>
      <c r="K13281" s="5">
        <v>350.0</v>
      </c>
      <c r="N13281" s="9">
        <v>44732.0</v>
      </c>
    </row>
    <row r="13282">
      <c r="A13282" s="5">
        <v>13281.0</v>
      </c>
      <c r="B13282" s="5" t="s">
        <v>13685</v>
      </c>
      <c r="C13282" s="5" t="s">
        <v>21</v>
      </c>
      <c r="K13282" s="5">
        <v>1000.0</v>
      </c>
      <c r="N13282" s="9">
        <v>43881.0</v>
      </c>
    </row>
    <row r="13283">
      <c r="A13283" s="5">
        <v>13282.0</v>
      </c>
      <c r="B13283" s="5" t="s">
        <v>13686</v>
      </c>
      <c r="C13283" s="5" t="s">
        <v>21</v>
      </c>
      <c r="K13283" s="5">
        <v>1100.0</v>
      </c>
      <c r="N13283" s="9">
        <v>44034.0</v>
      </c>
    </row>
    <row r="13284">
      <c r="A13284" s="5">
        <v>13283.0</v>
      </c>
      <c r="B13284" s="5" t="s">
        <v>13687</v>
      </c>
      <c r="C13284" s="5" t="s">
        <v>21</v>
      </c>
      <c r="K13284" s="5">
        <v>1300.0</v>
      </c>
      <c r="N13284" s="9">
        <v>44218.0</v>
      </c>
    </row>
    <row r="13285">
      <c r="A13285" s="5">
        <v>13284.0</v>
      </c>
      <c r="B13285" s="5" t="s">
        <v>13688</v>
      </c>
      <c r="C13285" s="5" t="s">
        <v>21</v>
      </c>
      <c r="K13285" s="5">
        <v>200.0</v>
      </c>
      <c r="N13285" s="9">
        <v>45108.0</v>
      </c>
    </row>
    <row r="13286">
      <c r="A13286" s="5">
        <v>13285.0</v>
      </c>
      <c r="B13286" s="5" t="s">
        <v>13689</v>
      </c>
      <c r="C13286" s="5" t="s">
        <v>21</v>
      </c>
      <c r="K13286" s="5">
        <v>700.0</v>
      </c>
      <c r="N13286" s="9">
        <v>44784.0</v>
      </c>
    </row>
    <row r="13287">
      <c r="A13287" s="5">
        <v>13286.0</v>
      </c>
      <c r="B13287" s="5" t="s">
        <v>13690</v>
      </c>
      <c r="C13287" s="5" t="s">
        <v>21</v>
      </c>
      <c r="K13287" s="5">
        <v>700.0</v>
      </c>
      <c r="N13287" s="9">
        <v>44535.0</v>
      </c>
    </row>
    <row r="13288">
      <c r="A13288" s="5">
        <v>13287.0</v>
      </c>
      <c r="B13288" s="5" t="s">
        <v>13691</v>
      </c>
      <c r="C13288" s="5" t="s">
        <v>21</v>
      </c>
      <c r="K13288" s="5">
        <v>150.0</v>
      </c>
      <c r="N13288" s="9">
        <v>43945.0</v>
      </c>
    </row>
    <row r="13289">
      <c r="A13289" s="5">
        <v>13288.0</v>
      </c>
      <c r="B13289" s="5" t="s">
        <v>13692</v>
      </c>
      <c r="C13289" s="5" t="s">
        <v>21</v>
      </c>
      <c r="K13289" s="5">
        <v>250.0</v>
      </c>
      <c r="N13289" s="9">
        <v>44516.0</v>
      </c>
    </row>
    <row r="13290">
      <c r="A13290" s="5">
        <v>13289.0</v>
      </c>
      <c r="B13290" s="5" t="s">
        <v>13693</v>
      </c>
      <c r="C13290" s="5" t="s">
        <v>21</v>
      </c>
      <c r="K13290" s="5">
        <v>250.0</v>
      </c>
      <c r="N13290" s="9">
        <v>44434.0</v>
      </c>
    </row>
    <row r="13291">
      <c r="A13291" s="5">
        <v>13290.0</v>
      </c>
      <c r="B13291" s="5" t="s">
        <v>480</v>
      </c>
      <c r="C13291" s="5" t="s">
        <v>21</v>
      </c>
      <c r="K13291" s="5">
        <v>400.0</v>
      </c>
      <c r="N13291" s="9">
        <v>45294.0</v>
      </c>
    </row>
    <row r="13292">
      <c r="A13292" s="5">
        <v>13291.0</v>
      </c>
      <c r="B13292" s="5" t="s">
        <v>13694</v>
      </c>
      <c r="C13292" s="5" t="s">
        <v>21</v>
      </c>
      <c r="K13292" s="5">
        <v>300.0</v>
      </c>
      <c r="N13292" s="9">
        <v>45159.0</v>
      </c>
    </row>
    <row r="13293">
      <c r="A13293" s="5">
        <v>13292.0</v>
      </c>
      <c r="B13293" s="5" t="s">
        <v>13695</v>
      </c>
      <c r="C13293" s="5" t="s">
        <v>21</v>
      </c>
      <c r="K13293" s="5">
        <v>70.0</v>
      </c>
      <c r="N13293" s="9">
        <v>44866.0</v>
      </c>
    </row>
    <row r="13294">
      <c r="A13294" s="5">
        <v>13293.0</v>
      </c>
      <c r="B13294" s="5" t="s">
        <v>13696</v>
      </c>
      <c r="C13294" s="5" t="s">
        <v>21</v>
      </c>
      <c r="K13294" s="5">
        <v>200.0</v>
      </c>
      <c r="N13294" s="9">
        <v>44647.0</v>
      </c>
    </row>
    <row r="13295">
      <c r="A13295" s="5">
        <v>13294.0</v>
      </c>
      <c r="B13295" s="5" t="s">
        <v>13697</v>
      </c>
      <c r="C13295" s="5" t="s">
        <v>21</v>
      </c>
      <c r="K13295" s="5">
        <v>400.0</v>
      </c>
      <c r="N13295" s="9">
        <v>44026.0</v>
      </c>
    </row>
    <row r="13296">
      <c r="A13296" s="5">
        <v>13295.0</v>
      </c>
      <c r="B13296" s="5" t="s">
        <v>13698</v>
      </c>
      <c r="C13296" s="5" t="s">
        <v>21</v>
      </c>
      <c r="K13296" s="5">
        <v>600.0</v>
      </c>
      <c r="N13296" s="9">
        <v>45410.0</v>
      </c>
    </row>
    <row r="13297">
      <c r="A13297" s="5">
        <v>13296.0</v>
      </c>
      <c r="B13297" s="5" t="s">
        <v>13699</v>
      </c>
      <c r="C13297" s="5" t="s">
        <v>21</v>
      </c>
      <c r="K13297" s="5">
        <v>1000.0</v>
      </c>
      <c r="N13297" s="9">
        <v>45651.0</v>
      </c>
    </row>
    <row r="13298">
      <c r="A13298" s="5">
        <v>13297.0</v>
      </c>
      <c r="B13298" s="5" t="s">
        <v>13700</v>
      </c>
      <c r="C13298" s="5" t="s">
        <v>21</v>
      </c>
      <c r="K13298" s="5">
        <v>10.0</v>
      </c>
      <c r="N13298" s="9">
        <v>44346.0</v>
      </c>
    </row>
    <row r="13299">
      <c r="A13299" s="5">
        <v>13298.0</v>
      </c>
      <c r="B13299" s="5" t="s">
        <v>13701</v>
      </c>
      <c r="C13299" s="5" t="s">
        <v>21</v>
      </c>
      <c r="K13299" s="5">
        <v>150.0</v>
      </c>
      <c r="N13299" s="9">
        <v>44845.0</v>
      </c>
    </row>
    <row r="13300">
      <c r="A13300" s="5">
        <v>13299.0</v>
      </c>
      <c r="B13300" s="5" t="s">
        <v>13702</v>
      </c>
      <c r="C13300" s="5" t="s">
        <v>21</v>
      </c>
      <c r="K13300" s="5">
        <v>20.0</v>
      </c>
      <c r="N13300" s="9">
        <v>44543.0</v>
      </c>
    </row>
    <row r="13301">
      <c r="A13301" s="5">
        <v>13300.0</v>
      </c>
      <c r="B13301" s="5" t="s">
        <v>13703</v>
      </c>
      <c r="C13301" s="5" t="s">
        <v>21</v>
      </c>
      <c r="K13301" s="5">
        <v>450.0</v>
      </c>
      <c r="N13301" s="9">
        <v>44624.0</v>
      </c>
    </row>
    <row r="13302">
      <c r="A13302" s="5">
        <v>13301.0</v>
      </c>
      <c r="B13302" s="5" t="s">
        <v>13704</v>
      </c>
      <c r="C13302" s="5" t="s">
        <v>21</v>
      </c>
      <c r="K13302" s="5">
        <v>40.0</v>
      </c>
      <c r="N13302" s="9">
        <v>44272.0</v>
      </c>
    </row>
    <row r="13303">
      <c r="A13303" s="5">
        <v>13302.0</v>
      </c>
      <c r="B13303" s="5" t="s">
        <v>13705</v>
      </c>
      <c r="C13303" s="5" t="s">
        <v>21</v>
      </c>
      <c r="N13303" s="9">
        <v>44542.0</v>
      </c>
    </row>
    <row r="13304">
      <c r="A13304" s="5">
        <v>13303.0</v>
      </c>
      <c r="B13304" s="5" t="s">
        <v>13706</v>
      </c>
      <c r="C13304" s="5" t="s">
        <v>21</v>
      </c>
      <c r="K13304" s="5">
        <v>150.0</v>
      </c>
      <c r="N13304" s="9">
        <v>44940.0</v>
      </c>
    </row>
    <row r="13305">
      <c r="A13305" s="5">
        <v>13304.0</v>
      </c>
      <c r="B13305" s="5" t="s">
        <v>13707</v>
      </c>
      <c r="C13305" s="5" t="s">
        <v>21</v>
      </c>
      <c r="K13305" s="5">
        <v>1200.0</v>
      </c>
      <c r="N13305" s="9">
        <v>44571.0</v>
      </c>
    </row>
    <row r="13306">
      <c r="A13306" s="5">
        <v>13305.0</v>
      </c>
      <c r="B13306" s="5" t="s">
        <v>13708</v>
      </c>
      <c r="C13306" s="5" t="s">
        <v>21</v>
      </c>
      <c r="K13306" s="5">
        <v>3100.0</v>
      </c>
      <c r="N13306" s="9">
        <v>43937.0</v>
      </c>
    </row>
    <row r="13307">
      <c r="A13307" s="5">
        <v>13306.0</v>
      </c>
      <c r="B13307" s="5" t="s">
        <v>13709</v>
      </c>
      <c r="C13307" s="5" t="s">
        <v>21</v>
      </c>
      <c r="K13307" s="5">
        <v>1100.0</v>
      </c>
      <c r="N13307" s="9">
        <v>43922.0</v>
      </c>
    </row>
    <row r="13308">
      <c r="A13308" s="5">
        <v>13307.0</v>
      </c>
      <c r="B13308" s="5" t="s">
        <v>13710</v>
      </c>
      <c r="C13308" s="5" t="s">
        <v>21</v>
      </c>
      <c r="K13308" s="5">
        <v>2000.0</v>
      </c>
      <c r="N13308" s="9">
        <v>44546.0</v>
      </c>
    </row>
    <row r="13309">
      <c r="A13309" s="5">
        <v>13308.0</v>
      </c>
      <c r="B13309" s="5" t="s">
        <v>13711</v>
      </c>
      <c r="C13309" s="5" t="s">
        <v>21</v>
      </c>
      <c r="K13309" s="5">
        <v>250.0</v>
      </c>
      <c r="N13309" s="9">
        <v>44561.0</v>
      </c>
    </row>
    <row r="13310">
      <c r="A13310" s="5">
        <v>13309.0</v>
      </c>
      <c r="B13310" s="5" t="s">
        <v>13712</v>
      </c>
      <c r="C13310" s="5" t="s">
        <v>21</v>
      </c>
      <c r="K13310" s="5">
        <v>300.0</v>
      </c>
      <c r="N13310" s="9">
        <v>44343.0</v>
      </c>
    </row>
    <row r="13311">
      <c r="A13311" s="5">
        <v>13310.0</v>
      </c>
      <c r="B13311" s="5" t="s">
        <v>13713</v>
      </c>
      <c r="C13311" s="5" t="s">
        <v>21</v>
      </c>
      <c r="K13311" s="5">
        <v>1400.0</v>
      </c>
      <c r="N13311" s="9">
        <v>45411.0</v>
      </c>
    </row>
    <row r="13312">
      <c r="A13312" s="5">
        <v>13311.0</v>
      </c>
      <c r="B13312" s="5" t="s">
        <v>13714</v>
      </c>
      <c r="C13312" s="5" t="s">
        <v>21</v>
      </c>
      <c r="K13312" s="5">
        <v>450.0</v>
      </c>
      <c r="N13312" s="9">
        <v>44568.0</v>
      </c>
    </row>
    <row r="13313">
      <c r="A13313" s="5">
        <v>13312.0</v>
      </c>
      <c r="B13313" s="5" t="s">
        <v>13715</v>
      </c>
      <c r="C13313" s="5" t="s">
        <v>21</v>
      </c>
      <c r="N13313" s="9">
        <v>44673.0</v>
      </c>
    </row>
    <row r="13314">
      <c r="A13314" s="5">
        <v>13313.0</v>
      </c>
      <c r="B13314" s="5" t="s">
        <v>13716</v>
      </c>
      <c r="C13314" s="5" t="s">
        <v>21</v>
      </c>
      <c r="K13314" s="5">
        <v>1700.0</v>
      </c>
      <c r="N13314" s="9">
        <v>44621.0</v>
      </c>
    </row>
    <row r="13315">
      <c r="A13315" s="5">
        <v>13314.0</v>
      </c>
      <c r="B13315" s="5" t="s">
        <v>13717</v>
      </c>
      <c r="C13315" s="5" t="s">
        <v>21</v>
      </c>
      <c r="K13315" s="5">
        <v>60.0</v>
      </c>
      <c r="N13315" s="9">
        <v>44533.0</v>
      </c>
    </row>
    <row r="13316">
      <c r="A13316" s="5">
        <v>13315.0</v>
      </c>
      <c r="B13316" s="5" t="s">
        <v>13718</v>
      </c>
      <c r="C13316" s="5" t="s">
        <v>21</v>
      </c>
      <c r="K13316" s="5">
        <v>300.0</v>
      </c>
      <c r="N13316" s="9">
        <v>44330.0</v>
      </c>
    </row>
    <row r="13317">
      <c r="A13317" s="5">
        <v>13316.0</v>
      </c>
      <c r="B13317" s="5" t="s">
        <v>13719</v>
      </c>
      <c r="C13317" s="5" t="s">
        <v>21</v>
      </c>
      <c r="K13317" s="5">
        <v>100.0</v>
      </c>
      <c r="N13317" s="9">
        <v>43854.0</v>
      </c>
    </row>
    <row r="13318">
      <c r="A13318" s="5">
        <v>13317.0</v>
      </c>
      <c r="B13318" s="5" t="s">
        <v>13720</v>
      </c>
      <c r="C13318" s="5" t="s">
        <v>21</v>
      </c>
      <c r="K13318" s="5">
        <v>300.0</v>
      </c>
      <c r="N13318" s="9">
        <v>44335.0</v>
      </c>
    </row>
    <row r="13319">
      <c r="A13319" s="5">
        <v>13318.0</v>
      </c>
      <c r="B13319" s="5" t="s">
        <v>13721</v>
      </c>
      <c r="C13319" s="5" t="s">
        <v>21</v>
      </c>
      <c r="K13319" s="5">
        <v>400.0</v>
      </c>
      <c r="N13319" s="9">
        <v>44536.0</v>
      </c>
    </row>
    <row r="13320">
      <c r="A13320" s="5">
        <v>13319.0</v>
      </c>
      <c r="B13320" s="5" t="s">
        <v>13722</v>
      </c>
      <c r="C13320" s="5" t="s">
        <v>21</v>
      </c>
      <c r="K13320" s="5">
        <v>40.0</v>
      </c>
      <c r="N13320" s="9">
        <v>44694.0</v>
      </c>
    </row>
    <row r="13321">
      <c r="A13321" s="5">
        <v>13320.0</v>
      </c>
      <c r="B13321" s="5" t="s">
        <v>13723</v>
      </c>
      <c r="C13321" s="5" t="s">
        <v>21</v>
      </c>
      <c r="K13321" s="5">
        <v>350.0</v>
      </c>
      <c r="N13321" s="9">
        <v>45366.0</v>
      </c>
    </row>
    <row r="13322">
      <c r="A13322" s="5">
        <v>13321.0</v>
      </c>
      <c r="B13322" s="5" t="s">
        <v>13724</v>
      </c>
      <c r="C13322" s="5" t="s">
        <v>21</v>
      </c>
      <c r="K13322" s="5">
        <v>100.0</v>
      </c>
      <c r="N13322" s="9">
        <v>44432.0</v>
      </c>
    </row>
    <row r="13323">
      <c r="A13323" s="5">
        <v>13322.0</v>
      </c>
      <c r="B13323" s="5" t="s">
        <v>13725</v>
      </c>
      <c r="C13323" s="5" t="s">
        <v>21</v>
      </c>
      <c r="K13323" s="5">
        <v>3100.0</v>
      </c>
      <c r="N13323" s="9">
        <v>44210.0</v>
      </c>
    </row>
    <row r="13324">
      <c r="A13324" s="5">
        <v>13323.0</v>
      </c>
      <c r="B13324" s="5" t="s">
        <v>13726</v>
      </c>
      <c r="C13324" s="5" t="s">
        <v>21</v>
      </c>
      <c r="K13324" s="5">
        <v>450.0</v>
      </c>
      <c r="N13324" s="9">
        <v>45289.0</v>
      </c>
    </row>
    <row r="13325">
      <c r="A13325" s="5">
        <v>13324.0</v>
      </c>
      <c r="B13325" s="5" t="s">
        <v>13727</v>
      </c>
      <c r="C13325" s="5" t="s">
        <v>21</v>
      </c>
      <c r="K13325" s="5">
        <v>150.0</v>
      </c>
      <c r="N13325" s="9">
        <v>44550.0</v>
      </c>
    </row>
    <row r="13326">
      <c r="A13326" s="5">
        <v>13325.0</v>
      </c>
      <c r="B13326" s="5" t="s">
        <v>13728</v>
      </c>
      <c r="C13326" s="5" t="s">
        <v>21</v>
      </c>
      <c r="N13326" s="9">
        <v>44019.0</v>
      </c>
    </row>
    <row r="13327">
      <c r="A13327" s="5">
        <v>13326.0</v>
      </c>
      <c r="B13327" s="5" t="s">
        <v>13729</v>
      </c>
      <c r="C13327" s="5" t="s">
        <v>21</v>
      </c>
      <c r="K13327" s="5">
        <v>400.0</v>
      </c>
      <c r="N13327" s="9">
        <v>44960.0</v>
      </c>
    </row>
    <row r="13328">
      <c r="A13328" s="5">
        <v>13327.0</v>
      </c>
      <c r="B13328" s="5" t="s">
        <v>13730</v>
      </c>
      <c r="C13328" s="5" t="s">
        <v>21</v>
      </c>
      <c r="N13328" s="9">
        <v>44522.0</v>
      </c>
    </row>
    <row r="13329">
      <c r="A13329" s="5">
        <v>13328.0</v>
      </c>
      <c r="B13329" s="5" t="s">
        <v>13731</v>
      </c>
      <c r="C13329" s="5" t="s">
        <v>21</v>
      </c>
      <c r="K13329" s="5">
        <v>90.0</v>
      </c>
      <c r="N13329" s="9">
        <v>44599.0</v>
      </c>
    </row>
    <row r="13330">
      <c r="A13330" s="5">
        <v>13329.0</v>
      </c>
      <c r="B13330" s="5" t="s">
        <v>13732</v>
      </c>
      <c r="C13330" s="5" t="s">
        <v>21</v>
      </c>
      <c r="K13330" s="5">
        <v>150.0</v>
      </c>
      <c r="N13330" s="9">
        <v>44634.0</v>
      </c>
    </row>
    <row r="13331">
      <c r="A13331" s="5">
        <v>13330.0</v>
      </c>
      <c r="B13331" s="5" t="s">
        <v>13733</v>
      </c>
      <c r="C13331" s="5" t="s">
        <v>21</v>
      </c>
      <c r="K13331" s="5">
        <v>5100.0</v>
      </c>
      <c r="N13331" s="9">
        <v>44217.0</v>
      </c>
    </row>
    <row r="13332">
      <c r="A13332" s="5">
        <v>13331.0</v>
      </c>
      <c r="B13332" s="5" t="s">
        <v>13734</v>
      </c>
      <c r="C13332" s="5" t="s">
        <v>21</v>
      </c>
      <c r="K13332" s="5">
        <v>1200.0</v>
      </c>
      <c r="N13332" s="9">
        <v>44078.0</v>
      </c>
    </row>
    <row r="13333">
      <c r="A13333" s="5">
        <v>13332.0</v>
      </c>
      <c r="B13333" s="5" t="s">
        <v>13735</v>
      </c>
      <c r="C13333" s="5" t="s">
        <v>21</v>
      </c>
      <c r="K13333" s="5">
        <v>5100.0</v>
      </c>
      <c r="N13333" s="9">
        <v>42692.0</v>
      </c>
    </row>
    <row r="13334">
      <c r="A13334" s="5">
        <v>13333.0</v>
      </c>
      <c r="B13334" s="5" t="s">
        <v>13736</v>
      </c>
      <c r="C13334" s="5" t="s">
        <v>21</v>
      </c>
      <c r="K13334" s="5">
        <v>20.0</v>
      </c>
      <c r="N13334" s="9">
        <v>45561.0</v>
      </c>
    </row>
    <row r="13335">
      <c r="A13335" s="5">
        <v>13334.0</v>
      </c>
      <c r="B13335" s="5" t="s">
        <v>13737</v>
      </c>
      <c r="C13335" s="5" t="s">
        <v>21</v>
      </c>
      <c r="K13335" s="5">
        <v>50.0</v>
      </c>
      <c r="N13335" s="9">
        <v>44459.0</v>
      </c>
    </row>
    <row r="13336">
      <c r="A13336" s="5">
        <v>13335.0</v>
      </c>
      <c r="B13336" s="5" t="s">
        <v>13738</v>
      </c>
      <c r="C13336" s="5" t="s">
        <v>21</v>
      </c>
      <c r="K13336" s="5">
        <v>600.0</v>
      </c>
      <c r="N13336" s="9">
        <v>44518.0</v>
      </c>
    </row>
    <row r="13337">
      <c r="A13337" s="5">
        <v>13336.0</v>
      </c>
      <c r="B13337" s="5" t="s">
        <v>13739</v>
      </c>
      <c r="C13337" s="5" t="s">
        <v>21</v>
      </c>
      <c r="K13337" s="5">
        <v>70.0</v>
      </c>
      <c r="N13337" s="9">
        <v>44676.0</v>
      </c>
    </row>
    <row r="13338">
      <c r="A13338" s="5">
        <v>13337.0</v>
      </c>
      <c r="B13338" s="5" t="s">
        <v>13740</v>
      </c>
      <c r="C13338" s="5" t="s">
        <v>21</v>
      </c>
      <c r="K13338" s="5">
        <v>3900.0</v>
      </c>
      <c r="N13338" s="9">
        <v>43854.0</v>
      </c>
    </row>
    <row r="13339">
      <c r="A13339" s="5">
        <v>13338.0</v>
      </c>
      <c r="B13339" s="5" t="s">
        <v>13741</v>
      </c>
      <c r="C13339" s="5" t="s">
        <v>21</v>
      </c>
      <c r="K13339" s="5">
        <v>350.0</v>
      </c>
      <c r="N13339" s="9">
        <v>45411.0</v>
      </c>
    </row>
    <row r="13340">
      <c r="A13340" s="5">
        <v>13339.0</v>
      </c>
      <c r="B13340" s="5" t="s">
        <v>13742</v>
      </c>
      <c r="C13340" s="5" t="s">
        <v>21</v>
      </c>
      <c r="K13340" s="5">
        <v>400.0</v>
      </c>
      <c r="N13340" s="9">
        <v>44566.0</v>
      </c>
    </row>
    <row r="13341">
      <c r="A13341" s="5">
        <v>13340.0</v>
      </c>
      <c r="B13341" s="5" t="s">
        <v>484</v>
      </c>
      <c r="C13341" s="5" t="s">
        <v>21</v>
      </c>
      <c r="K13341" s="5">
        <v>40.0</v>
      </c>
      <c r="N13341" s="9">
        <v>44033.0</v>
      </c>
    </row>
    <row r="13342">
      <c r="A13342" s="5">
        <v>13341.0</v>
      </c>
      <c r="B13342" s="5" t="s">
        <v>13743</v>
      </c>
      <c r="C13342" s="5" t="s">
        <v>21</v>
      </c>
      <c r="K13342" s="5">
        <v>450.0</v>
      </c>
      <c r="N13342" s="9">
        <v>44538.0</v>
      </c>
    </row>
    <row r="13343">
      <c r="A13343" s="5">
        <v>13342.0</v>
      </c>
      <c r="B13343" s="5" t="s">
        <v>13744</v>
      </c>
      <c r="C13343" s="5" t="s">
        <v>21</v>
      </c>
      <c r="K13343" s="5">
        <v>300.0</v>
      </c>
      <c r="N13343" s="9">
        <v>44518.0</v>
      </c>
    </row>
    <row r="13344">
      <c r="A13344" s="5">
        <v>13343.0</v>
      </c>
      <c r="B13344" s="5" t="s">
        <v>13745</v>
      </c>
      <c r="C13344" s="5" t="s">
        <v>21</v>
      </c>
      <c r="K13344" s="5">
        <v>250.0</v>
      </c>
      <c r="N13344" s="9">
        <v>44560.0</v>
      </c>
    </row>
    <row r="13345">
      <c r="A13345" s="5">
        <v>13344.0</v>
      </c>
      <c r="B13345" s="5" t="s">
        <v>13746</v>
      </c>
      <c r="C13345" s="5" t="s">
        <v>21</v>
      </c>
      <c r="K13345" s="5">
        <v>450.0</v>
      </c>
      <c r="N13345" s="9">
        <v>44541.0</v>
      </c>
    </row>
    <row r="13346">
      <c r="A13346" s="5">
        <v>13345.0</v>
      </c>
      <c r="B13346" s="5" t="s">
        <v>13747</v>
      </c>
      <c r="C13346" s="5" t="s">
        <v>21</v>
      </c>
      <c r="K13346" s="5">
        <v>50.0</v>
      </c>
      <c r="N13346" s="9">
        <v>44532.0</v>
      </c>
    </row>
    <row r="13347">
      <c r="A13347" s="5">
        <v>13346.0</v>
      </c>
      <c r="B13347" s="5" t="s">
        <v>13748</v>
      </c>
      <c r="C13347" s="5" t="s">
        <v>21</v>
      </c>
      <c r="K13347" s="5">
        <v>800.0</v>
      </c>
      <c r="N13347" s="9">
        <v>44720.0</v>
      </c>
    </row>
    <row r="13348">
      <c r="A13348" s="5">
        <v>13347.0</v>
      </c>
      <c r="B13348" s="5" t="s">
        <v>13749</v>
      </c>
      <c r="C13348" s="5" t="s">
        <v>21</v>
      </c>
      <c r="K13348" s="5">
        <v>900.0</v>
      </c>
      <c r="N13348" s="9">
        <v>44601.0</v>
      </c>
    </row>
    <row r="13349">
      <c r="A13349" s="5">
        <v>13348.0</v>
      </c>
      <c r="B13349" s="5" t="s">
        <v>13750</v>
      </c>
      <c r="C13349" s="5" t="s">
        <v>21</v>
      </c>
      <c r="K13349" s="5">
        <v>200.0</v>
      </c>
      <c r="N13349" s="9">
        <v>44836.0</v>
      </c>
    </row>
    <row r="13350">
      <c r="A13350" s="5">
        <v>13349.0</v>
      </c>
      <c r="B13350" s="5" t="s">
        <v>13751</v>
      </c>
      <c r="C13350" s="5" t="s">
        <v>21</v>
      </c>
      <c r="K13350" s="5">
        <v>150.0</v>
      </c>
      <c r="N13350" s="9">
        <v>44525.0</v>
      </c>
    </row>
    <row r="13351">
      <c r="A13351" s="5">
        <v>13350.0</v>
      </c>
      <c r="B13351" s="5" t="s">
        <v>13752</v>
      </c>
      <c r="C13351" s="5" t="s">
        <v>21</v>
      </c>
      <c r="K13351" s="5">
        <v>1300.0</v>
      </c>
      <c r="N13351" s="9">
        <v>44623.0</v>
      </c>
    </row>
    <row r="13352">
      <c r="A13352" s="5">
        <v>13351.0</v>
      </c>
      <c r="B13352" s="5" t="s">
        <v>13753</v>
      </c>
      <c r="C13352" s="5" t="s">
        <v>21</v>
      </c>
      <c r="K13352" s="5">
        <v>400.0</v>
      </c>
      <c r="N13352" s="9">
        <v>44009.0</v>
      </c>
    </row>
    <row r="13353">
      <c r="A13353" s="5">
        <v>13352.0</v>
      </c>
      <c r="B13353" s="5" t="s">
        <v>13754</v>
      </c>
      <c r="C13353" s="5" t="s">
        <v>21</v>
      </c>
      <c r="K13353" s="5">
        <v>1600.0</v>
      </c>
      <c r="N13353" s="9">
        <v>45081.0</v>
      </c>
    </row>
    <row r="13354">
      <c r="A13354" s="5">
        <v>13353.0</v>
      </c>
      <c r="B13354" s="5" t="s">
        <v>13755</v>
      </c>
      <c r="C13354" s="5" t="s">
        <v>21</v>
      </c>
      <c r="K13354" s="5">
        <v>150.0</v>
      </c>
      <c r="N13354" s="9">
        <v>45017.0</v>
      </c>
    </row>
    <row r="13355">
      <c r="A13355" s="5">
        <v>13354.0</v>
      </c>
      <c r="B13355" s="5" t="s">
        <v>13756</v>
      </c>
      <c r="C13355" s="5" t="s">
        <v>21</v>
      </c>
      <c r="K13355" s="5">
        <v>3300.0</v>
      </c>
      <c r="N13355" s="9">
        <v>44067.0</v>
      </c>
    </row>
    <row r="13356">
      <c r="A13356" s="5">
        <v>13355.0</v>
      </c>
      <c r="B13356" s="5" t="s">
        <v>13757</v>
      </c>
      <c r="C13356" s="5" t="s">
        <v>21</v>
      </c>
      <c r="K13356" s="5">
        <v>400.0</v>
      </c>
      <c r="N13356" s="9">
        <v>44418.0</v>
      </c>
    </row>
    <row r="13357">
      <c r="A13357" s="5">
        <v>13356.0</v>
      </c>
      <c r="B13357" s="5" t="s">
        <v>13758</v>
      </c>
      <c r="C13357" s="5" t="s">
        <v>21</v>
      </c>
      <c r="K13357" s="5">
        <v>1500.0</v>
      </c>
      <c r="N13357" s="9">
        <v>44572.0</v>
      </c>
    </row>
    <row r="13358">
      <c r="A13358" s="5">
        <v>13357.0</v>
      </c>
      <c r="B13358" s="5" t="s">
        <v>13759</v>
      </c>
      <c r="C13358" s="5" t="s">
        <v>21</v>
      </c>
      <c r="K13358" s="5">
        <v>600.0</v>
      </c>
      <c r="N13358" s="9">
        <v>44627.0</v>
      </c>
    </row>
    <row r="13359">
      <c r="A13359" s="5">
        <v>13358.0</v>
      </c>
      <c r="B13359" s="5" t="s">
        <v>13760</v>
      </c>
      <c r="C13359" s="5" t="s">
        <v>21</v>
      </c>
      <c r="K13359" s="5">
        <v>250.0</v>
      </c>
      <c r="N13359" s="9">
        <v>45412.0</v>
      </c>
    </row>
    <row r="13360">
      <c r="A13360" s="5">
        <v>13359.0</v>
      </c>
      <c r="B13360" s="5" t="s">
        <v>13761</v>
      </c>
      <c r="C13360" s="5" t="s">
        <v>21</v>
      </c>
      <c r="K13360" s="5">
        <v>100.0</v>
      </c>
      <c r="N13360" s="9">
        <v>44695.0</v>
      </c>
    </row>
    <row r="13361">
      <c r="A13361" s="5">
        <v>13360.0</v>
      </c>
      <c r="B13361" s="5" t="s">
        <v>13762</v>
      </c>
      <c r="C13361" s="5" t="s">
        <v>21</v>
      </c>
      <c r="K13361" s="5">
        <v>450.0</v>
      </c>
      <c r="N13361" s="9">
        <v>44567.0</v>
      </c>
    </row>
    <row r="13362">
      <c r="A13362" s="5">
        <v>13361.0</v>
      </c>
      <c r="B13362" s="5" t="s">
        <v>13763</v>
      </c>
      <c r="C13362" s="5" t="s">
        <v>21</v>
      </c>
      <c r="K13362" s="5">
        <v>60.0</v>
      </c>
      <c r="N13362" s="9">
        <v>44537.0</v>
      </c>
    </row>
    <row r="13363">
      <c r="A13363" s="5">
        <v>13362.0</v>
      </c>
      <c r="B13363" s="5" t="s">
        <v>13764</v>
      </c>
      <c r="C13363" s="5" t="s">
        <v>21</v>
      </c>
      <c r="K13363" s="5">
        <v>450.0</v>
      </c>
      <c r="N13363" s="9">
        <v>44593.0</v>
      </c>
    </row>
    <row r="13364">
      <c r="A13364" s="5">
        <v>13363.0</v>
      </c>
      <c r="B13364" s="5" t="s">
        <v>13765</v>
      </c>
      <c r="C13364" s="5" t="s">
        <v>21</v>
      </c>
      <c r="K13364" s="5">
        <v>60.0</v>
      </c>
      <c r="N13364" s="9">
        <v>44285.0</v>
      </c>
    </row>
    <row r="13365">
      <c r="A13365" s="5">
        <v>13364.0</v>
      </c>
      <c r="B13365" s="5" t="s">
        <v>13766</v>
      </c>
      <c r="C13365" s="5" t="s">
        <v>21</v>
      </c>
      <c r="K13365" s="5">
        <v>100.0</v>
      </c>
      <c r="N13365" s="9">
        <v>44610.0</v>
      </c>
    </row>
    <row r="13366">
      <c r="A13366" s="5">
        <v>13365.0</v>
      </c>
      <c r="B13366" s="5" t="s">
        <v>416</v>
      </c>
      <c r="C13366" s="5" t="s">
        <v>21</v>
      </c>
      <c r="K13366" s="5">
        <v>400.0</v>
      </c>
      <c r="N13366" s="9">
        <v>43881.0</v>
      </c>
    </row>
    <row r="13367">
      <c r="A13367" s="5">
        <v>13366.0</v>
      </c>
      <c r="B13367" s="5" t="s">
        <v>13767</v>
      </c>
      <c r="C13367" s="5" t="s">
        <v>21</v>
      </c>
      <c r="K13367" s="5">
        <v>1300.0</v>
      </c>
      <c r="N13367" s="9">
        <v>44636.0</v>
      </c>
    </row>
    <row r="13368">
      <c r="A13368" s="5">
        <v>13367.0</v>
      </c>
      <c r="B13368" s="5" t="s">
        <v>13768</v>
      </c>
      <c r="C13368" s="5" t="s">
        <v>21</v>
      </c>
      <c r="K13368" s="5">
        <v>250.0</v>
      </c>
      <c r="N13368" s="9">
        <v>44951.0</v>
      </c>
    </row>
    <row r="13369">
      <c r="A13369" s="5">
        <v>13368.0</v>
      </c>
      <c r="B13369" s="5" t="s">
        <v>13769</v>
      </c>
      <c r="C13369" s="5" t="s">
        <v>21</v>
      </c>
      <c r="K13369" s="5">
        <v>250.0</v>
      </c>
      <c r="N13369" s="9">
        <v>44706.0</v>
      </c>
    </row>
    <row r="13370">
      <c r="A13370" s="5">
        <v>13369.0</v>
      </c>
      <c r="B13370" s="5" t="s">
        <v>13770</v>
      </c>
      <c r="C13370" s="5" t="s">
        <v>21</v>
      </c>
      <c r="K13370" s="5">
        <v>300.0</v>
      </c>
      <c r="N13370" s="9">
        <v>44552.0</v>
      </c>
    </row>
    <row r="13371">
      <c r="A13371" s="5">
        <v>13370.0</v>
      </c>
      <c r="B13371" s="5" t="s">
        <v>13771</v>
      </c>
      <c r="C13371" s="5" t="s">
        <v>21</v>
      </c>
      <c r="K13371" s="5">
        <v>350.0</v>
      </c>
      <c r="N13371" s="9">
        <v>44647.0</v>
      </c>
    </row>
    <row r="13372">
      <c r="A13372" s="5">
        <v>13371.0</v>
      </c>
      <c r="B13372" s="5" t="s">
        <v>13772</v>
      </c>
      <c r="C13372" s="5" t="s">
        <v>21</v>
      </c>
      <c r="K13372" s="5">
        <v>1000.0</v>
      </c>
      <c r="N13372" s="9">
        <v>43925.0</v>
      </c>
    </row>
    <row r="13373">
      <c r="A13373" s="5">
        <v>13372.0</v>
      </c>
      <c r="B13373" s="5" t="s">
        <v>13773</v>
      </c>
      <c r="C13373" s="5" t="s">
        <v>21</v>
      </c>
      <c r="K13373" s="5">
        <v>40.0</v>
      </c>
      <c r="N13373" s="9">
        <v>44992.0</v>
      </c>
    </row>
    <row r="13374">
      <c r="A13374" s="5">
        <v>13373.0</v>
      </c>
      <c r="B13374" s="5" t="s">
        <v>13774</v>
      </c>
      <c r="C13374" s="5" t="s">
        <v>21</v>
      </c>
      <c r="K13374" s="5">
        <v>150.0</v>
      </c>
      <c r="N13374" s="9">
        <v>44926.0</v>
      </c>
    </row>
    <row r="13375">
      <c r="A13375" s="5">
        <v>13374.0</v>
      </c>
      <c r="B13375" s="5" t="s">
        <v>13775</v>
      </c>
      <c r="C13375" s="5" t="s">
        <v>21</v>
      </c>
      <c r="K13375" s="5">
        <v>150.0</v>
      </c>
      <c r="N13375" s="9">
        <v>44465.0</v>
      </c>
    </row>
    <row r="13376">
      <c r="A13376" s="5">
        <v>13375.0</v>
      </c>
      <c r="B13376" s="5" t="s">
        <v>13776</v>
      </c>
      <c r="C13376" s="5" t="s">
        <v>21</v>
      </c>
      <c r="K13376" s="5">
        <v>100.0</v>
      </c>
      <c r="N13376" s="9">
        <v>44624.0</v>
      </c>
    </row>
    <row r="13377">
      <c r="A13377" s="5">
        <v>13376.0</v>
      </c>
      <c r="B13377" s="5" t="s">
        <v>13777</v>
      </c>
      <c r="C13377" s="5" t="s">
        <v>21</v>
      </c>
      <c r="K13377" s="5">
        <v>200.0</v>
      </c>
      <c r="N13377" s="9">
        <v>43966.0</v>
      </c>
    </row>
    <row r="13378">
      <c r="A13378" s="5">
        <v>13377.0</v>
      </c>
      <c r="B13378" s="5" t="s">
        <v>13778</v>
      </c>
      <c r="C13378" s="5" t="s">
        <v>21</v>
      </c>
      <c r="K13378" s="5">
        <v>300.0</v>
      </c>
      <c r="N13378" s="9">
        <v>45092.0</v>
      </c>
    </row>
    <row r="13379">
      <c r="A13379" s="5">
        <v>13378.0</v>
      </c>
      <c r="B13379" s="5" t="s">
        <v>13779</v>
      </c>
      <c r="C13379" s="5" t="s">
        <v>21</v>
      </c>
      <c r="N13379" s="9">
        <v>44600.0</v>
      </c>
    </row>
    <row r="13380">
      <c r="A13380" s="5">
        <v>13379.0</v>
      </c>
      <c r="B13380" s="5" t="s">
        <v>13780</v>
      </c>
      <c r="C13380" s="5" t="s">
        <v>21</v>
      </c>
      <c r="K13380" s="5">
        <v>300.0</v>
      </c>
      <c r="N13380" s="9">
        <v>44539.0</v>
      </c>
    </row>
    <row r="13381">
      <c r="A13381" s="5">
        <v>13380.0</v>
      </c>
      <c r="B13381" s="5" t="s">
        <v>13781</v>
      </c>
      <c r="C13381" s="5" t="s">
        <v>21</v>
      </c>
      <c r="K13381" s="5">
        <v>800.0</v>
      </c>
      <c r="N13381" s="9">
        <v>44411.0</v>
      </c>
    </row>
    <row r="13382">
      <c r="A13382" s="5">
        <v>13381.0</v>
      </c>
      <c r="B13382" s="5" t="s">
        <v>13782</v>
      </c>
      <c r="C13382" s="5" t="s">
        <v>21</v>
      </c>
      <c r="K13382" s="5">
        <v>30.0</v>
      </c>
      <c r="N13382" s="9">
        <v>44332.0</v>
      </c>
    </row>
    <row r="13383">
      <c r="A13383" s="5">
        <v>13382.0</v>
      </c>
      <c r="B13383" s="5" t="s">
        <v>13783</v>
      </c>
      <c r="C13383" s="5" t="s">
        <v>21</v>
      </c>
      <c r="N13383" s="9">
        <v>45376.0</v>
      </c>
    </row>
    <row r="13384">
      <c r="A13384" s="5">
        <v>13383.0</v>
      </c>
      <c r="B13384" s="5" t="s">
        <v>13784</v>
      </c>
      <c r="C13384" s="5" t="s">
        <v>21</v>
      </c>
      <c r="K13384" s="5">
        <v>200.0</v>
      </c>
      <c r="N13384" s="9">
        <v>43866.0</v>
      </c>
    </row>
    <row r="13385">
      <c r="A13385" s="5">
        <v>13384.0</v>
      </c>
      <c r="B13385" s="5" t="s">
        <v>13785</v>
      </c>
      <c r="C13385" s="5" t="s">
        <v>21</v>
      </c>
      <c r="K13385" s="5">
        <v>500.0</v>
      </c>
      <c r="N13385" s="9">
        <v>44622.0</v>
      </c>
    </row>
    <row r="13386">
      <c r="A13386" s="5">
        <v>13385.0</v>
      </c>
      <c r="B13386" s="5" t="s">
        <v>13786</v>
      </c>
      <c r="C13386" s="5" t="s">
        <v>21</v>
      </c>
      <c r="K13386" s="5">
        <v>900.0</v>
      </c>
      <c r="N13386" s="9">
        <v>44291.0</v>
      </c>
    </row>
    <row r="13387">
      <c r="A13387" s="5">
        <v>13386.0</v>
      </c>
      <c r="B13387" s="5" t="s">
        <v>13787</v>
      </c>
      <c r="C13387" s="5" t="s">
        <v>21</v>
      </c>
      <c r="K13387" s="5">
        <v>2700.0</v>
      </c>
      <c r="N13387" s="9">
        <v>45367.0</v>
      </c>
    </row>
    <row r="13388">
      <c r="A13388" s="5">
        <v>13387.0</v>
      </c>
      <c r="B13388" s="5" t="s">
        <v>13788</v>
      </c>
      <c r="C13388" s="5" t="s">
        <v>21</v>
      </c>
      <c r="K13388" s="5">
        <v>1100.0</v>
      </c>
      <c r="N13388" s="9">
        <v>44571.0</v>
      </c>
    </row>
    <row r="13389">
      <c r="A13389" s="5">
        <v>13388.0</v>
      </c>
      <c r="B13389" s="5" t="s">
        <v>13789</v>
      </c>
      <c r="C13389" s="5" t="s">
        <v>21</v>
      </c>
      <c r="K13389" s="5">
        <v>150.0</v>
      </c>
      <c r="N13389" s="9">
        <v>44227.0</v>
      </c>
    </row>
    <row r="13390">
      <c r="A13390" s="5">
        <v>13389.0</v>
      </c>
      <c r="B13390" s="5" t="s">
        <v>13790</v>
      </c>
      <c r="C13390" s="5" t="s">
        <v>21</v>
      </c>
      <c r="K13390" s="5">
        <v>60.0</v>
      </c>
      <c r="N13390" s="9">
        <v>44672.0</v>
      </c>
    </row>
    <row r="13391">
      <c r="A13391" s="5">
        <v>13390.0</v>
      </c>
      <c r="B13391" s="5" t="s">
        <v>13791</v>
      </c>
      <c r="C13391" s="5" t="s">
        <v>21</v>
      </c>
      <c r="K13391" s="5">
        <v>300.0</v>
      </c>
      <c r="N13391" s="9">
        <v>44576.0</v>
      </c>
    </row>
    <row r="13392">
      <c r="A13392" s="5">
        <v>13391.0</v>
      </c>
      <c r="B13392" s="5" t="s">
        <v>13792</v>
      </c>
      <c r="C13392" s="5" t="s">
        <v>21</v>
      </c>
      <c r="K13392" s="5">
        <v>400.0</v>
      </c>
      <c r="N13392" s="9">
        <v>44472.0</v>
      </c>
    </row>
    <row r="13393">
      <c r="A13393" s="5">
        <v>13392.0</v>
      </c>
      <c r="B13393" s="5" t="s">
        <v>13793</v>
      </c>
      <c r="C13393" s="5" t="s">
        <v>21</v>
      </c>
      <c r="K13393" s="5">
        <v>1000.0</v>
      </c>
      <c r="N13393" s="9">
        <v>44562.0</v>
      </c>
    </row>
    <row r="13394">
      <c r="A13394" s="5">
        <v>13393.0</v>
      </c>
      <c r="B13394" s="5" t="s">
        <v>13794</v>
      </c>
      <c r="C13394" s="5" t="s">
        <v>21</v>
      </c>
      <c r="K13394" s="5">
        <v>400.0</v>
      </c>
      <c r="N13394" s="9">
        <v>44430.0</v>
      </c>
    </row>
    <row r="13395">
      <c r="A13395" s="5">
        <v>13394.0</v>
      </c>
      <c r="B13395" s="5" t="s">
        <v>13795</v>
      </c>
      <c r="C13395" s="5" t="s">
        <v>21</v>
      </c>
      <c r="K13395" s="5">
        <v>600.0</v>
      </c>
      <c r="N13395" s="9">
        <v>43918.0</v>
      </c>
    </row>
    <row r="13396">
      <c r="A13396" s="5">
        <v>13395.0</v>
      </c>
      <c r="B13396" s="5" t="s">
        <v>13796</v>
      </c>
      <c r="C13396" s="5" t="s">
        <v>21</v>
      </c>
      <c r="K13396" s="5">
        <v>150.0</v>
      </c>
      <c r="N13396" s="9">
        <v>44522.0</v>
      </c>
    </row>
    <row r="13397">
      <c r="A13397" s="5">
        <v>13396.0</v>
      </c>
      <c r="B13397" s="5" t="s">
        <v>13797</v>
      </c>
      <c r="C13397" s="5" t="s">
        <v>21</v>
      </c>
      <c r="K13397" s="5">
        <v>250.0</v>
      </c>
      <c r="N13397" s="9">
        <v>44516.0</v>
      </c>
    </row>
    <row r="13398">
      <c r="A13398" s="5">
        <v>13397.0</v>
      </c>
      <c r="B13398" s="5" t="s">
        <v>13798</v>
      </c>
      <c r="C13398" s="5" t="s">
        <v>21</v>
      </c>
      <c r="K13398" s="5">
        <v>3100.0</v>
      </c>
      <c r="N13398" s="9">
        <v>44109.0</v>
      </c>
    </row>
    <row r="13399">
      <c r="A13399" s="5">
        <v>13398.0</v>
      </c>
      <c r="B13399" s="5" t="s">
        <v>13799</v>
      </c>
      <c r="C13399" s="5" t="s">
        <v>21</v>
      </c>
      <c r="K13399" s="5">
        <v>80.0</v>
      </c>
      <c r="N13399" s="9">
        <v>45381.0</v>
      </c>
    </row>
    <row r="13400">
      <c r="A13400" s="5">
        <v>13399.0</v>
      </c>
      <c r="B13400" s="5" t="s">
        <v>13800</v>
      </c>
      <c r="C13400" s="5" t="s">
        <v>21</v>
      </c>
      <c r="N13400" s="9">
        <v>44928.0</v>
      </c>
    </row>
    <row r="13401">
      <c r="A13401" s="5">
        <v>13400.0</v>
      </c>
      <c r="B13401" s="5" t="s">
        <v>13801</v>
      </c>
      <c r="C13401" s="5" t="s">
        <v>21</v>
      </c>
      <c r="K13401" s="5">
        <v>150.0</v>
      </c>
      <c r="N13401" s="9">
        <v>45006.0</v>
      </c>
    </row>
    <row r="13402">
      <c r="A13402" s="5">
        <v>13401.0</v>
      </c>
      <c r="B13402" s="5" t="s">
        <v>13802</v>
      </c>
      <c r="C13402" s="5" t="s">
        <v>21</v>
      </c>
      <c r="K13402" s="5">
        <v>900.0</v>
      </c>
      <c r="N13402" s="9">
        <v>44549.0</v>
      </c>
    </row>
    <row r="13403">
      <c r="A13403" s="5">
        <v>13402.0</v>
      </c>
      <c r="B13403" s="5" t="s">
        <v>13803</v>
      </c>
      <c r="C13403" s="5" t="s">
        <v>21</v>
      </c>
      <c r="K13403" s="5">
        <v>1800.0</v>
      </c>
      <c r="N13403" s="9">
        <v>43978.0</v>
      </c>
    </row>
    <row r="13404">
      <c r="A13404" s="5">
        <v>13403.0</v>
      </c>
      <c r="B13404" s="5" t="s">
        <v>13804</v>
      </c>
      <c r="C13404" s="5" t="s">
        <v>21</v>
      </c>
      <c r="K13404" s="5">
        <v>9300.0</v>
      </c>
      <c r="N13404" s="9">
        <v>43905.0</v>
      </c>
    </row>
    <row r="13405">
      <c r="A13405" s="5">
        <v>13404.0</v>
      </c>
      <c r="B13405" s="5" t="s">
        <v>13805</v>
      </c>
      <c r="C13405" s="5" t="s">
        <v>21</v>
      </c>
      <c r="K13405" s="5">
        <v>60.0</v>
      </c>
      <c r="N13405" s="9">
        <v>45284.0</v>
      </c>
    </row>
    <row r="13406">
      <c r="A13406" s="5">
        <v>13405.0</v>
      </c>
      <c r="B13406" s="5" t="s">
        <v>13806</v>
      </c>
      <c r="C13406" s="5" t="s">
        <v>21</v>
      </c>
      <c r="K13406" s="5">
        <v>450.0</v>
      </c>
      <c r="N13406" s="9">
        <v>44691.0</v>
      </c>
    </row>
    <row r="13407">
      <c r="A13407" s="5">
        <v>13406.0</v>
      </c>
      <c r="B13407" s="5" t="s">
        <v>13807</v>
      </c>
      <c r="C13407" s="5" t="s">
        <v>21</v>
      </c>
      <c r="K13407" s="5">
        <v>300.0</v>
      </c>
      <c r="N13407" s="9">
        <v>43912.0</v>
      </c>
    </row>
    <row r="13408">
      <c r="A13408" s="5">
        <v>13407.0</v>
      </c>
      <c r="B13408" s="5" t="s">
        <v>13808</v>
      </c>
      <c r="C13408" s="5" t="s">
        <v>21</v>
      </c>
      <c r="K13408" s="5">
        <v>600.0</v>
      </c>
      <c r="N13408" s="9">
        <v>44844.0</v>
      </c>
    </row>
    <row r="13409">
      <c r="A13409" s="5">
        <v>13408.0</v>
      </c>
      <c r="B13409" s="5" t="s">
        <v>13809</v>
      </c>
      <c r="C13409" s="5" t="s">
        <v>21</v>
      </c>
      <c r="K13409" s="5">
        <v>300.0</v>
      </c>
      <c r="N13409" s="9">
        <v>45322.0</v>
      </c>
    </row>
    <row r="13410">
      <c r="A13410" s="5">
        <v>13409.0</v>
      </c>
      <c r="B13410" s="5" t="s">
        <v>13810</v>
      </c>
      <c r="C13410" s="5" t="s">
        <v>21</v>
      </c>
      <c r="N13410" s="9">
        <v>44484.0</v>
      </c>
    </row>
    <row r="13411">
      <c r="A13411" s="5">
        <v>13410.0</v>
      </c>
      <c r="B13411" s="5" t="s">
        <v>13811</v>
      </c>
      <c r="C13411" s="5" t="s">
        <v>21</v>
      </c>
      <c r="K13411" s="5">
        <v>1100.0</v>
      </c>
      <c r="N13411" s="9">
        <v>44532.0</v>
      </c>
    </row>
    <row r="13412">
      <c r="A13412" s="5">
        <v>13411.0</v>
      </c>
      <c r="B13412" s="5" t="s">
        <v>13812</v>
      </c>
      <c r="C13412" s="5" t="s">
        <v>21</v>
      </c>
      <c r="K13412" s="5">
        <v>300.0</v>
      </c>
      <c r="N13412" s="9">
        <v>44826.0</v>
      </c>
    </row>
    <row r="13413">
      <c r="A13413" s="5">
        <v>13412.0</v>
      </c>
      <c r="B13413" s="5" t="s">
        <v>13813</v>
      </c>
      <c r="C13413" s="5" t="s">
        <v>21</v>
      </c>
      <c r="K13413" s="5">
        <v>2200.0</v>
      </c>
      <c r="N13413" s="9">
        <v>44436.0</v>
      </c>
    </row>
    <row r="13414">
      <c r="A13414" s="5">
        <v>13413.0</v>
      </c>
      <c r="B13414" s="5" t="s">
        <v>13814</v>
      </c>
      <c r="C13414" s="5" t="s">
        <v>21</v>
      </c>
      <c r="K13414" s="5">
        <v>150.0</v>
      </c>
      <c r="N13414" s="9">
        <v>44633.0</v>
      </c>
    </row>
    <row r="13415">
      <c r="A13415" s="5">
        <v>13414.0</v>
      </c>
      <c r="B13415" s="5" t="s">
        <v>13815</v>
      </c>
      <c r="C13415" s="5" t="s">
        <v>21</v>
      </c>
      <c r="K13415" s="5">
        <v>80.0</v>
      </c>
      <c r="N13415" s="9">
        <v>44295.0</v>
      </c>
    </row>
    <row r="13416">
      <c r="A13416" s="5">
        <v>13415.0</v>
      </c>
      <c r="B13416" s="5" t="s">
        <v>13816</v>
      </c>
      <c r="C13416" s="5" t="s">
        <v>21</v>
      </c>
      <c r="N13416" s="9">
        <v>44559.0</v>
      </c>
    </row>
    <row r="13417">
      <c r="A13417" s="5">
        <v>13416.0</v>
      </c>
      <c r="B13417" s="5" t="s">
        <v>13817</v>
      </c>
      <c r="C13417" s="5" t="s">
        <v>21</v>
      </c>
      <c r="K13417" s="5">
        <v>700.0</v>
      </c>
      <c r="N13417" s="9">
        <v>44034.0</v>
      </c>
    </row>
    <row r="13418">
      <c r="A13418" s="5">
        <v>13417.0</v>
      </c>
      <c r="B13418" s="5" t="s">
        <v>13818</v>
      </c>
      <c r="C13418" s="5" t="s">
        <v>21</v>
      </c>
      <c r="K13418" s="5">
        <v>500.0</v>
      </c>
      <c r="N13418" s="9">
        <v>44627.0</v>
      </c>
    </row>
    <row r="13419">
      <c r="A13419" s="5">
        <v>13418.0</v>
      </c>
      <c r="B13419" s="5" t="s">
        <v>13819</v>
      </c>
      <c r="C13419" s="5" t="s">
        <v>21</v>
      </c>
      <c r="K13419" s="5">
        <v>80.0</v>
      </c>
      <c r="N13419" s="9">
        <v>44538.0</v>
      </c>
    </row>
    <row r="13420">
      <c r="A13420" s="5">
        <v>13419.0</v>
      </c>
      <c r="B13420" s="5" t="s">
        <v>13820</v>
      </c>
      <c r="C13420" s="5" t="s">
        <v>21</v>
      </c>
      <c r="K13420" s="5">
        <v>200.0</v>
      </c>
      <c r="N13420" s="9">
        <v>44740.0</v>
      </c>
    </row>
    <row r="13421">
      <c r="A13421" s="5">
        <v>13420.0</v>
      </c>
      <c r="B13421" s="5" t="s">
        <v>13821</v>
      </c>
      <c r="C13421" s="5" t="s">
        <v>21</v>
      </c>
      <c r="K13421" s="5">
        <v>350.0</v>
      </c>
      <c r="N13421" s="9">
        <v>44801.0</v>
      </c>
    </row>
    <row r="13422">
      <c r="A13422" s="5">
        <v>13421.0</v>
      </c>
      <c r="B13422" s="5" t="s">
        <v>13822</v>
      </c>
      <c r="C13422" s="5" t="s">
        <v>21</v>
      </c>
      <c r="K13422" s="5">
        <v>2700.0</v>
      </c>
      <c r="N13422" s="9">
        <v>46091.0</v>
      </c>
    </row>
    <row r="13423">
      <c r="A13423" s="5">
        <v>13422.0</v>
      </c>
      <c r="B13423" s="5" t="s">
        <v>13823</v>
      </c>
      <c r="C13423" s="5" t="s">
        <v>21</v>
      </c>
      <c r="K13423" s="5">
        <v>1100.0</v>
      </c>
      <c r="N13423" s="9">
        <v>44588.0</v>
      </c>
    </row>
    <row r="13424">
      <c r="A13424" s="5">
        <v>13423.0</v>
      </c>
      <c r="B13424" s="5" t="s">
        <v>13824</v>
      </c>
      <c r="C13424" s="5" t="s">
        <v>21</v>
      </c>
      <c r="K13424" s="5">
        <v>300.0</v>
      </c>
      <c r="N13424" s="9">
        <v>45731.0</v>
      </c>
    </row>
    <row r="13425">
      <c r="A13425" s="5">
        <v>13424.0</v>
      </c>
      <c r="B13425" s="5" t="s">
        <v>13825</v>
      </c>
      <c r="C13425" s="5" t="s">
        <v>21</v>
      </c>
      <c r="K13425" s="5">
        <v>600.0</v>
      </c>
      <c r="N13425" s="9">
        <v>44536.0</v>
      </c>
    </row>
    <row r="13426">
      <c r="A13426" s="5">
        <v>13425.0</v>
      </c>
      <c r="B13426" s="5" t="s">
        <v>13826</v>
      </c>
      <c r="C13426" s="5" t="s">
        <v>21</v>
      </c>
      <c r="K13426" s="5">
        <v>500.0</v>
      </c>
      <c r="N13426" s="9">
        <v>45285.0</v>
      </c>
    </row>
    <row r="13427">
      <c r="A13427" s="5">
        <v>13426.0</v>
      </c>
      <c r="B13427" s="5" t="s">
        <v>13827</v>
      </c>
      <c r="C13427" s="5" t="s">
        <v>21</v>
      </c>
      <c r="K13427" s="5">
        <v>300.0</v>
      </c>
      <c r="N13427" s="9">
        <v>44153.0</v>
      </c>
    </row>
    <row r="13428">
      <c r="A13428" s="5">
        <v>13427.0</v>
      </c>
      <c r="B13428" s="5" t="s">
        <v>13828</v>
      </c>
      <c r="C13428" s="5" t="s">
        <v>21</v>
      </c>
      <c r="K13428" s="5">
        <v>450.0</v>
      </c>
      <c r="N13428" s="9">
        <v>44809.0</v>
      </c>
    </row>
    <row r="13429">
      <c r="A13429" s="5">
        <v>13428.0</v>
      </c>
      <c r="B13429" s="5" t="s">
        <v>13829</v>
      </c>
      <c r="C13429" s="5" t="s">
        <v>21</v>
      </c>
      <c r="K13429" s="5">
        <v>70.0</v>
      </c>
      <c r="N13429" s="9">
        <v>44532.0</v>
      </c>
    </row>
    <row r="13430">
      <c r="A13430" s="5">
        <v>13429.0</v>
      </c>
      <c r="B13430" s="5" t="s">
        <v>13830</v>
      </c>
      <c r="C13430" s="5" t="s">
        <v>21</v>
      </c>
      <c r="K13430" s="5">
        <v>100.0</v>
      </c>
      <c r="N13430" s="9">
        <v>44548.0</v>
      </c>
    </row>
    <row r="13431">
      <c r="A13431" s="5">
        <v>13430.0</v>
      </c>
      <c r="B13431" s="5" t="s">
        <v>13831</v>
      </c>
      <c r="C13431" s="5" t="s">
        <v>21</v>
      </c>
      <c r="K13431" s="5">
        <v>70.0</v>
      </c>
      <c r="N13431" s="9">
        <v>44561.0</v>
      </c>
    </row>
    <row r="13432">
      <c r="A13432" s="5">
        <v>13431.0</v>
      </c>
      <c r="B13432" s="5" t="s">
        <v>13832</v>
      </c>
      <c r="C13432" s="5" t="s">
        <v>21</v>
      </c>
      <c r="K13432" s="5">
        <v>1200.0</v>
      </c>
      <c r="N13432" s="9">
        <v>43933.0</v>
      </c>
    </row>
    <row r="13433">
      <c r="A13433" s="5">
        <v>13432.0</v>
      </c>
      <c r="B13433" s="5" t="s">
        <v>13833</v>
      </c>
      <c r="C13433" s="5" t="s">
        <v>21</v>
      </c>
      <c r="K13433" s="5">
        <v>500.0</v>
      </c>
      <c r="N13433" s="9">
        <v>44250.0</v>
      </c>
    </row>
    <row r="13434">
      <c r="A13434" s="5">
        <v>13433.0</v>
      </c>
      <c r="B13434" s="5" t="s">
        <v>13834</v>
      </c>
      <c r="C13434" s="5" t="s">
        <v>21</v>
      </c>
      <c r="K13434" s="5">
        <v>90.0</v>
      </c>
      <c r="N13434" s="9">
        <v>44600.0</v>
      </c>
    </row>
    <row r="13435">
      <c r="A13435" s="5">
        <v>13434.0</v>
      </c>
      <c r="B13435" s="5" t="s">
        <v>13835</v>
      </c>
      <c r="C13435" s="5" t="s">
        <v>21</v>
      </c>
      <c r="K13435" s="5">
        <v>80.0</v>
      </c>
      <c r="N13435" s="9">
        <v>44637.0</v>
      </c>
    </row>
    <row r="13436">
      <c r="A13436" s="5">
        <v>13435.0</v>
      </c>
      <c r="B13436" s="5" t="s">
        <v>13836</v>
      </c>
      <c r="C13436" s="5" t="s">
        <v>21</v>
      </c>
      <c r="K13436" s="5">
        <v>90.0</v>
      </c>
      <c r="N13436" s="9">
        <v>44769.0</v>
      </c>
    </row>
    <row r="13437">
      <c r="A13437" s="5">
        <v>13436.0</v>
      </c>
      <c r="B13437" s="5" t="s">
        <v>13837</v>
      </c>
      <c r="C13437" s="5" t="s">
        <v>21</v>
      </c>
      <c r="K13437" s="5">
        <v>1400.0</v>
      </c>
      <c r="N13437" s="9">
        <v>44266.0</v>
      </c>
    </row>
    <row r="13438">
      <c r="A13438" s="5">
        <v>13437.0</v>
      </c>
      <c r="B13438" s="5" t="s">
        <v>13838</v>
      </c>
      <c r="C13438" s="5" t="s">
        <v>21</v>
      </c>
      <c r="N13438" s="9">
        <v>44529.0</v>
      </c>
    </row>
    <row r="13439">
      <c r="A13439" s="5">
        <v>13438.0</v>
      </c>
      <c r="B13439" s="5" t="s">
        <v>13839</v>
      </c>
      <c r="C13439" s="5" t="s">
        <v>21</v>
      </c>
      <c r="K13439" s="5">
        <v>60.0</v>
      </c>
      <c r="N13439" s="9">
        <v>45056.0</v>
      </c>
    </row>
    <row r="13440">
      <c r="A13440" s="5">
        <v>13439.0</v>
      </c>
      <c r="B13440" s="5" t="s">
        <v>13840</v>
      </c>
      <c r="C13440" s="5" t="s">
        <v>21</v>
      </c>
      <c r="K13440" s="5">
        <v>90.0</v>
      </c>
      <c r="N13440" s="9">
        <v>43906.0</v>
      </c>
    </row>
    <row r="13441">
      <c r="A13441" s="5">
        <v>13440.0</v>
      </c>
      <c r="B13441" s="5" t="s">
        <v>13841</v>
      </c>
      <c r="C13441" s="5" t="s">
        <v>21</v>
      </c>
      <c r="K13441" s="5">
        <v>2700.0</v>
      </c>
      <c r="N13441" s="9">
        <v>44177.0</v>
      </c>
    </row>
    <row r="13442">
      <c r="A13442" s="5">
        <v>13441.0</v>
      </c>
      <c r="B13442" s="5" t="s">
        <v>13842</v>
      </c>
      <c r="C13442" s="5" t="s">
        <v>21</v>
      </c>
      <c r="K13442" s="5">
        <v>300.0</v>
      </c>
      <c r="N13442" s="9">
        <v>44530.0</v>
      </c>
    </row>
    <row r="13443">
      <c r="A13443" s="5">
        <v>13442.0</v>
      </c>
      <c r="B13443" s="5" t="s">
        <v>13843</v>
      </c>
      <c r="C13443" s="5" t="s">
        <v>21</v>
      </c>
      <c r="K13443" s="5">
        <v>700.0</v>
      </c>
      <c r="N13443" s="9">
        <v>45449.0</v>
      </c>
    </row>
    <row r="13444">
      <c r="A13444" s="5">
        <v>13443.0</v>
      </c>
      <c r="B13444" s="5" t="s">
        <v>13844</v>
      </c>
      <c r="C13444" s="5" t="s">
        <v>21</v>
      </c>
      <c r="K13444" s="5">
        <v>250.0</v>
      </c>
      <c r="N13444" s="9">
        <v>44580.0</v>
      </c>
    </row>
    <row r="13445">
      <c r="A13445" s="5">
        <v>13444.0</v>
      </c>
      <c r="B13445" s="5" t="s">
        <v>13845</v>
      </c>
      <c r="C13445" s="5" t="s">
        <v>21</v>
      </c>
      <c r="K13445" s="5">
        <v>350.0</v>
      </c>
      <c r="N13445" s="9">
        <v>44897.0</v>
      </c>
    </row>
    <row r="13446">
      <c r="A13446" s="5">
        <v>13445.0</v>
      </c>
      <c r="B13446" s="5" t="s">
        <v>13846</v>
      </c>
      <c r="C13446" s="5" t="s">
        <v>21</v>
      </c>
      <c r="K13446" s="5">
        <v>350.0</v>
      </c>
      <c r="N13446" s="9">
        <v>45143.0</v>
      </c>
    </row>
    <row r="13447">
      <c r="A13447" s="5">
        <v>13446.0</v>
      </c>
      <c r="B13447" s="5" t="s">
        <v>13847</v>
      </c>
      <c r="C13447" s="5" t="s">
        <v>21</v>
      </c>
      <c r="K13447" s="5">
        <v>250.0</v>
      </c>
      <c r="N13447" s="9">
        <v>44965.0</v>
      </c>
    </row>
    <row r="13448">
      <c r="A13448" s="5">
        <v>13447.0</v>
      </c>
      <c r="B13448" s="5" t="s">
        <v>13848</v>
      </c>
      <c r="C13448" s="5" t="s">
        <v>21</v>
      </c>
      <c r="K13448" s="5">
        <v>1200.0</v>
      </c>
      <c r="N13448" s="9">
        <v>44545.0</v>
      </c>
    </row>
    <row r="13449">
      <c r="A13449" s="5">
        <v>13448.0</v>
      </c>
      <c r="B13449" s="5" t="s">
        <v>13849</v>
      </c>
      <c r="C13449" s="5" t="s">
        <v>21</v>
      </c>
      <c r="N13449" s="9">
        <v>44969.0</v>
      </c>
    </row>
    <row r="13450">
      <c r="A13450" s="5">
        <v>13449.0</v>
      </c>
      <c r="B13450" s="5" t="s">
        <v>487</v>
      </c>
      <c r="C13450" s="5" t="s">
        <v>21</v>
      </c>
      <c r="K13450" s="5">
        <v>20.0</v>
      </c>
      <c r="N13450" s="9">
        <v>43885.0</v>
      </c>
    </row>
    <row r="13451">
      <c r="A13451" s="5">
        <v>13450.0</v>
      </c>
      <c r="B13451" s="5" t="s">
        <v>13850</v>
      </c>
      <c r="C13451" s="5" t="s">
        <v>21</v>
      </c>
      <c r="K13451" s="5">
        <v>30.0</v>
      </c>
      <c r="N13451" s="9">
        <v>43995.0</v>
      </c>
    </row>
    <row r="13452">
      <c r="A13452" s="5">
        <v>13451.0</v>
      </c>
      <c r="B13452" s="5" t="s">
        <v>13851</v>
      </c>
      <c r="C13452" s="5" t="s">
        <v>21</v>
      </c>
      <c r="K13452" s="5">
        <v>250.0</v>
      </c>
      <c r="N13452" s="9">
        <v>44706.0</v>
      </c>
    </row>
    <row r="13453">
      <c r="A13453" s="5">
        <v>13452.0</v>
      </c>
      <c r="B13453" s="5" t="s">
        <v>13852</v>
      </c>
      <c r="C13453" s="5" t="s">
        <v>21</v>
      </c>
      <c r="K13453" s="5">
        <v>7600.0</v>
      </c>
      <c r="N13453" s="9">
        <v>43853.0</v>
      </c>
    </row>
    <row r="13454">
      <c r="A13454" s="5">
        <v>13453.0</v>
      </c>
      <c r="B13454" s="5" t="s">
        <v>13853</v>
      </c>
      <c r="C13454" s="5" t="s">
        <v>21</v>
      </c>
      <c r="K13454" s="5">
        <v>30.0</v>
      </c>
      <c r="N13454" s="9">
        <v>44607.0</v>
      </c>
    </row>
    <row r="13455">
      <c r="A13455" s="5">
        <v>13454.0</v>
      </c>
      <c r="B13455" s="5" t="s">
        <v>13854</v>
      </c>
      <c r="C13455" s="5" t="s">
        <v>21</v>
      </c>
      <c r="K13455" s="5">
        <v>2000.0</v>
      </c>
      <c r="N13455" s="9">
        <v>45531.0</v>
      </c>
    </row>
    <row r="13456">
      <c r="A13456" s="5">
        <v>13455.0</v>
      </c>
      <c r="B13456" s="5" t="s">
        <v>13855</v>
      </c>
      <c r="C13456" s="5" t="s">
        <v>21</v>
      </c>
      <c r="K13456" s="5">
        <v>80.0</v>
      </c>
      <c r="N13456" s="9">
        <v>44516.0</v>
      </c>
    </row>
    <row r="13457">
      <c r="A13457" s="5">
        <v>13456.0</v>
      </c>
      <c r="B13457" s="5" t="s">
        <v>13856</v>
      </c>
      <c r="C13457" s="5" t="s">
        <v>21</v>
      </c>
      <c r="K13457" s="5">
        <v>80.0</v>
      </c>
      <c r="N13457" s="9">
        <v>44882.0</v>
      </c>
    </row>
    <row r="13458">
      <c r="A13458" s="5">
        <v>13457.0</v>
      </c>
      <c r="B13458" s="5" t="s">
        <v>13857</v>
      </c>
      <c r="C13458" s="5" t="s">
        <v>21</v>
      </c>
      <c r="K13458" s="5">
        <v>350.0</v>
      </c>
      <c r="N13458" s="9">
        <v>44564.0</v>
      </c>
    </row>
    <row r="13459">
      <c r="A13459" s="5">
        <v>13458.0</v>
      </c>
      <c r="B13459" s="5" t="s">
        <v>13858</v>
      </c>
      <c r="C13459" s="5" t="s">
        <v>21</v>
      </c>
      <c r="K13459" s="5">
        <v>150.0</v>
      </c>
      <c r="N13459" s="9">
        <v>44417.0</v>
      </c>
    </row>
    <row r="13460">
      <c r="A13460" s="5">
        <v>13459.0</v>
      </c>
      <c r="B13460" s="5" t="s">
        <v>13859</v>
      </c>
      <c r="C13460" s="5" t="s">
        <v>21</v>
      </c>
      <c r="K13460" s="5">
        <v>30.0</v>
      </c>
      <c r="N13460" s="9">
        <v>44769.0</v>
      </c>
    </row>
    <row r="13461">
      <c r="A13461" s="5">
        <v>13460.0</v>
      </c>
      <c r="B13461" s="5" t="s">
        <v>13860</v>
      </c>
      <c r="C13461" s="5" t="s">
        <v>21</v>
      </c>
      <c r="K13461" s="5">
        <v>1600.0</v>
      </c>
      <c r="N13461" s="9">
        <v>44517.0</v>
      </c>
    </row>
    <row r="13462">
      <c r="A13462" s="5">
        <v>13461.0</v>
      </c>
      <c r="B13462" s="5" t="s">
        <v>13861</v>
      </c>
      <c r="C13462" s="5" t="s">
        <v>21</v>
      </c>
      <c r="K13462" s="5">
        <v>90.0</v>
      </c>
      <c r="N13462" s="9">
        <v>44633.0</v>
      </c>
    </row>
    <row r="13463">
      <c r="A13463" s="5">
        <v>13462.0</v>
      </c>
      <c r="B13463" s="5" t="s">
        <v>13862</v>
      </c>
      <c r="C13463" s="5" t="s">
        <v>21</v>
      </c>
      <c r="K13463" s="5">
        <v>450.0</v>
      </c>
      <c r="N13463" s="9">
        <v>44496.0</v>
      </c>
    </row>
    <row r="13464">
      <c r="A13464" s="5">
        <v>13463.0</v>
      </c>
      <c r="B13464" s="5" t="s">
        <v>13863</v>
      </c>
      <c r="C13464" s="5" t="s">
        <v>21</v>
      </c>
      <c r="K13464" s="5">
        <v>300.0</v>
      </c>
      <c r="N13464" s="9">
        <v>43845.0</v>
      </c>
    </row>
    <row r="13465">
      <c r="A13465" s="5">
        <v>13464.0</v>
      </c>
      <c r="B13465" s="5" t="s">
        <v>13864</v>
      </c>
      <c r="C13465" s="5" t="s">
        <v>21</v>
      </c>
      <c r="K13465" s="5">
        <v>20.0</v>
      </c>
      <c r="N13465" s="9">
        <v>45575.0</v>
      </c>
    </row>
    <row r="13466">
      <c r="A13466" s="5">
        <v>13465.0</v>
      </c>
      <c r="B13466" s="5" t="s">
        <v>13865</v>
      </c>
      <c r="C13466" s="5" t="s">
        <v>21</v>
      </c>
      <c r="K13466" s="5">
        <v>800.0</v>
      </c>
      <c r="N13466" s="9">
        <v>44527.0</v>
      </c>
    </row>
    <row r="13467">
      <c r="A13467" s="5">
        <v>13466.0</v>
      </c>
      <c r="B13467" s="5" t="s">
        <v>13866</v>
      </c>
      <c r="C13467" s="5" t="s">
        <v>21</v>
      </c>
      <c r="K13467" s="5">
        <v>90.0</v>
      </c>
      <c r="N13467" s="9">
        <v>44573.0</v>
      </c>
    </row>
    <row r="13468">
      <c r="A13468" s="5">
        <v>13467.0</v>
      </c>
      <c r="B13468" s="5" t="s">
        <v>13867</v>
      </c>
      <c r="C13468" s="5" t="s">
        <v>21</v>
      </c>
      <c r="K13468" s="5">
        <v>450.0</v>
      </c>
      <c r="N13468" s="9">
        <v>44516.0</v>
      </c>
    </row>
    <row r="13469">
      <c r="A13469" s="5">
        <v>13468.0</v>
      </c>
      <c r="B13469" s="5" t="s">
        <v>13868</v>
      </c>
      <c r="C13469" s="5" t="s">
        <v>21</v>
      </c>
      <c r="K13469" s="5">
        <v>250.0</v>
      </c>
      <c r="N13469" s="9">
        <v>44802.0</v>
      </c>
    </row>
    <row r="13470">
      <c r="A13470" s="5">
        <v>13469.0</v>
      </c>
      <c r="B13470" s="5" t="s">
        <v>13869</v>
      </c>
      <c r="C13470" s="5" t="s">
        <v>21</v>
      </c>
      <c r="K13470" s="5">
        <v>90.0</v>
      </c>
      <c r="N13470" s="9">
        <v>44607.0</v>
      </c>
    </row>
    <row r="13471">
      <c r="A13471" s="5">
        <v>13470.0</v>
      </c>
      <c r="B13471" s="5" t="s">
        <v>13870</v>
      </c>
      <c r="C13471" s="5" t="s">
        <v>21</v>
      </c>
      <c r="K13471" s="5">
        <v>1900.0</v>
      </c>
      <c r="N13471" s="9">
        <v>44841.0</v>
      </c>
    </row>
    <row r="13472">
      <c r="A13472" s="5">
        <v>13471.0</v>
      </c>
      <c r="B13472" s="5" t="s">
        <v>13871</v>
      </c>
      <c r="C13472" s="5" t="s">
        <v>21</v>
      </c>
      <c r="K13472" s="5">
        <v>1900.0</v>
      </c>
      <c r="N13472" s="9">
        <v>44875.0</v>
      </c>
    </row>
    <row r="13473">
      <c r="A13473" s="5">
        <v>13472.0</v>
      </c>
      <c r="B13473" s="5" t="s">
        <v>13872</v>
      </c>
      <c r="C13473" s="5" t="s">
        <v>21</v>
      </c>
      <c r="K13473" s="5">
        <v>450.0</v>
      </c>
      <c r="N13473" s="9">
        <v>44741.0</v>
      </c>
    </row>
    <row r="13474">
      <c r="A13474" s="5">
        <v>13473.0</v>
      </c>
      <c r="B13474" s="5" t="s">
        <v>13873</v>
      </c>
      <c r="C13474" s="5" t="s">
        <v>21</v>
      </c>
      <c r="K13474" s="5">
        <v>400.0</v>
      </c>
      <c r="N13474" s="9">
        <v>45324.0</v>
      </c>
    </row>
    <row r="13475">
      <c r="A13475" s="5">
        <v>13474.0</v>
      </c>
      <c r="B13475" s="5" t="s">
        <v>13874</v>
      </c>
      <c r="C13475" s="5" t="s">
        <v>21</v>
      </c>
      <c r="K13475" s="5">
        <v>100.0</v>
      </c>
      <c r="N13475" s="9">
        <v>44560.0</v>
      </c>
    </row>
    <row r="13476">
      <c r="A13476" s="5">
        <v>13475.0</v>
      </c>
      <c r="B13476" s="5" t="s">
        <v>13875</v>
      </c>
      <c r="C13476" s="5" t="s">
        <v>21</v>
      </c>
      <c r="K13476" s="5">
        <v>900.0</v>
      </c>
      <c r="N13476" s="9">
        <v>44612.0</v>
      </c>
    </row>
    <row r="13477">
      <c r="A13477" s="5">
        <v>13476.0</v>
      </c>
      <c r="B13477" s="5" t="s">
        <v>13876</v>
      </c>
      <c r="C13477" s="5" t="s">
        <v>21</v>
      </c>
      <c r="K13477" s="5">
        <v>350.0</v>
      </c>
      <c r="N13477" s="9">
        <v>44660.0</v>
      </c>
    </row>
    <row r="13478">
      <c r="A13478" s="5">
        <v>13477.0</v>
      </c>
      <c r="B13478" s="5" t="s">
        <v>13877</v>
      </c>
      <c r="C13478" s="5" t="s">
        <v>21</v>
      </c>
      <c r="K13478" s="5">
        <v>100.0</v>
      </c>
      <c r="N13478" s="9">
        <v>45535.0</v>
      </c>
    </row>
    <row r="13479">
      <c r="A13479" s="5">
        <v>13478.0</v>
      </c>
      <c r="B13479" s="5" t="s">
        <v>13878</v>
      </c>
      <c r="C13479" s="5" t="s">
        <v>21</v>
      </c>
      <c r="K13479" s="5">
        <v>350.0</v>
      </c>
      <c r="N13479" s="9">
        <v>44752.0</v>
      </c>
    </row>
    <row r="13480">
      <c r="A13480" s="5">
        <v>13479.0</v>
      </c>
      <c r="B13480" s="5" t="s">
        <v>13879</v>
      </c>
      <c r="C13480" s="5" t="s">
        <v>21</v>
      </c>
      <c r="K13480" s="5">
        <v>150.0</v>
      </c>
      <c r="N13480" s="9">
        <v>45402.0</v>
      </c>
    </row>
    <row r="13481">
      <c r="A13481" s="5">
        <v>13480.0</v>
      </c>
      <c r="B13481" s="5" t="s">
        <v>13880</v>
      </c>
      <c r="C13481" s="5" t="s">
        <v>21</v>
      </c>
      <c r="K13481" s="5">
        <v>1800.0</v>
      </c>
      <c r="N13481" s="9">
        <v>45397.0</v>
      </c>
    </row>
    <row r="13482">
      <c r="A13482" s="5">
        <v>13481.0</v>
      </c>
      <c r="B13482" s="5" t="s">
        <v>13881</v>
      </c>
      <c r="C13482" s="5" t="s">
        <v>21</v>
      </c>
      <c r="N13482" s="9">
        <v>44534.0</v>
      </c>
    </row>
    <row r="13483">
      <c r="A13483" s="5">
        <v>13482.0</v>
      </c>
      <c r="B13483" s="5" t="s">
        <v>13882</v>
      </c>
      <c r="C13483" s="5" t="s">
        <v>21</v>
      </c>
      <c r="N13483" s="9">
        <v>44710.0</v>
      </c>
    </row>
    <row r="13484">
      <c r="A13484" s="5">
        <v>13483.0</v>
      </c>
      <c r="B13484" s="5" t="s">
        <v>13883</v>
      </c>
      <c r="C13484" s="5" t="s">
        <v>21</v>
      </c>
      <c r="K13484" s="5">
        <v>450.0</v>
      </c>
      <c r="N13484" s="9">
        <v>44676.0</v>
      </c>
    </row>
    <row r="13485">
      <c r="A13485" s="5">
        <v>13484.0</v>
      </c>
      <c r="B13485" s="5" t="s">
        <v>13884</v>
      </c>
      <c r="C13485" s="5" t="s">
        <v>21</v>
      </c>
      <c r="K13485" s="5">
        <v>250.0</v>
      </c>
      <c r="N13485" s="9">
        <v>44741.0</v>
      </c>
    </row>
    <row r="13486">
      <c r="A13486" s="5">
        <v>13485.0</v>
      </c>
      <c r="B13486" s="5" t="s">
        <v>13885</v>
      </c>
      <c r="C13486" s="5" t="s">
        <v>21</v>
      </c>
      <c r="N13486" s="9">
        <v>44533.0</v>
      </c>
    </row>
    <row r="13487">
      <c r="A13487" s="5">
        <v>13486.0</v>
      </c>
      <c r="B13487" s="5" t="s">
        <v>13886</v>
      </c>
      <c r="C13487" s="5" t="s">
        <v>21</v>
      </c>
      <c r="K13487" s="5">
        <v>150.0</v>
      </c>
      <c r="N13487" s="9">
        <v>44608.0</v>
      </c>
    </row>
    <row r="13488">
      <c r="A13488" s="5">
        <v>13487.0</v>
      </c>
      <c r="B13488" s="5" t="s">
        <v>13887</v>
      </c>
      <c r="C13488" s="5" t="s">
        <v>21</v>
      </c>
      <c r="K13488" s="5">
        <v>2100.0</v>
      </c>
      <c r="N13488" s="9">
        <v>45302.0</v>
      </c>
    </row>
    <row r="13489">
      <c r="A13489" s="5">
        <v>13488.0</v>
      </c>
      <c r="B13489" s="5" t="s">
        <v>13888</v>
      </c>
      <c r="C13489" s="5" t="s">
        <v>21</v>
      </c>
      <c r="K13489" s="5">
        <v>1800.0</v>
      </c>
      <c r="N13489" s="9">
        <v>44549.0</v>
      </c>
    </row>
    <row r="13490">
      <c r="A13490" s="5">
        <v>13489.0</v>
      </c>
      <c r="B13490" s="5" t="s">
        <v>13889</v>
      </c>
      <c r="C13490" s="5" t="s">
        <v>21</v>
      </c>
      <c r="K13490" s="5">
        <v>300.0</v>
      </c>
      <c r="N13490" s="9">
        <v>44543.0</v>
      </c>
    </row>
    <row r="13491">
      <c r="A13491" s="5">
        <v>13490.0</v>
      </c>
      <c r="B13491" s="5" t="s">
        <v>13890</v>
      </c>
      <c r="C13491" s="5" t="s">
        <v>21</v>
      </c>
      <c r="N13491" s="9">
        <v>44519.0</v>
      </c>
    </row>
    <row r="13492">
      <c r="A13492" s="5">
        <v>13491.0</v>
      </c>
      <c r="B13492" s="5" t="s">
        <v>13891</v>
      </c>
      <c r="C13492" s="5" t="s">
        <v>21</v>
      </c>
      <c r="K13492" s="5">
        <v>250.0</v>
      </c>
      <c r="N13492" s="9">
        <v>45436.0</v>
      </c>
    </row>
    <row r="13493">
      <c r="A13493" s="5">
        <v>13492.0</v>
      </c>
      <c r="B13493" s="5" t="s">
        <v>13892</v>
      </c>
      <c r="C13493" s="5" t="s">
        <v>21</v>
      </c>
      <c r="K13493" s="5">
        <v>200.0</v>
      </c>
      <c r="N13493" s="9">
        <v>44638.0</v>
      </c>
    </row>
    <row r="13494">
      <c r="A13494" s="5">
        <v>13493.0</v>
      </c>
      <c r="B13494" s="5" t="s">
        <v>13893</v>
      </c>
      <c r="C13494" s="5" t="s">
        <v>21</v>
      </c>
      <c r="K13494" s="5">
        <v>600.0</v>
      </c>
      <c r="N13494" s="9">
        <v>44203.0</v>
      </c>
    </row>
    <row r="13495">
      <c r="A13495" s="5">
        <v>13494.0</v>
      </c>
      <c r="B13495" s="5" t="s">
        <v>13894</v>
      </c>
      <c r="C13495" s="5" t="s">
        <v>21</v>
      </c>
      <c r="K13495" s="5">
        <v>2300.0</v>
      </c>
      <c r="N13495" s="9">
        <v>44091.0</v>
      </c>
    </row>
    <row r="13496">
      <c r="A13496" s="5">
        <v>13495.0</v>
      </c>
      <c r="B13496" s="5" t="s">
        <v>13895</v>
      </c>
      <c r="C13496" s="5" t="s">
        <v>21</v>
      </c>
      <c r="N13496" s="9">
        <v>44254.0</v>
      </c>
    </row>
    <row r="13497">
      <c r="A13497" s="5">
        <v>13496.0</v>
      </c>
      <c r="B13497" s="5" t="s">
        <v>13896</v>
      </c>
      <c r="C13497" s="5" t="s">
        <v>21</v>
      </c>
      <c r="K13497" s="5">
        <v>250.0</v>
      </c>
      <c r="N13497" s="9">
        <v>44066.0</v>
      </c>
    </row>
    <row r="13498">
      <c r="A13498" s="5">
        <v>13497.0</v>
      </c>
      <c r="B13498" s="5" t="s">
        <v>13897</v>
      </c>
      <c r="C13498" s="5" t="s">
        <v>21</v>
      </c>
      <c r="K13498" s="5">
        <v>150.0</v>
      </c>
      <c r="N13498" s="9">
        <v>44556.0</v>
      </c>
    </row>
    <row r="13499">
      <c r="A13499" s="5">
        <v>13498.0</v>
      </c>
      <c r="B13499" s="5" t="s">
        <v>13898</v>
      </c>
      <c r="C13499" s="5" t="s">
        <v>21</v>
      </c>
      <c r="K13499" s="5">
        <v>70.0</v>
      </c>
      <c r="N13499" s="9">
        <v>44953.0</v>
      </c>
    </row>
    <row r="13500">
      <c r="A13500" s="5">
        <v>13499.0</v>
      </c>
      <c r="B13500" s="5" t="s">
        <v>13899</v>
      </c>
      <c r="C13500" s="5" t="s">
        <v>21</v>
      </c>
      <c r="K13500" s="5">
        <v>2200.0</v>
      </c>
      <c r="N13500" s="9">
        <v>44617.0</v>
      </c>
    </row>
    <row r="13501">
      <c r="A13501" s="5">
        <v>13500.0</v>
      </c>
      <c r="B13501" s="5" t="s">
        <v>13900</v>
      </c>
      <c r="C13501" s="5" t="s">
        <v>21</v>
      </c>
      <c r="N13501" s="9">
        <v>45578.0</v>
      </c>
    </row>
    <row r="13502">
      <c r="A13502" s="5">
        <v>13501.0</v>
      </c>
      <c r="B13502" s="5" t="s">
        <v>13901</v>
      </c>
      <c r="C13502" s="5" t="s">
        <v>21</v>
      </c>
      <c r="K13502" s="5">
        <v>600.0</v>
      </c>
      <c r="N13502" s="9">
        <v>44250.0</v>
      </c>
    </row>
    <row r="13503">
      <c r="A13503" s="5">
        <v>13502.0</v>
      </c>
      <c r="B13503" s="5" t="s">
        <v>13902</v>
      </c>
      <c r="C13503" s="5" t="s">
        <v>21</v>
      </c>
      <c r="K13503" s="5">
        <v>400.0</v>
      </c>
      <c r="N13503" s="9">
        <v>44624.0</v>
      </c>
    </row>
    <row r="13504">
      <c r="A13504" s="5">
        <v>13503.0</v>
      </c>
      <c r="B13504" s="5" t="s">
        <v>13903</v>
      </c>
      <c r="C13504" s="5" t="s">
        <v>21</v>
      </c>
      <c r="K13504" s="5">
        <v>300.0</v>
      </c>
      <c r="N13504" s="9">
        <v>43840.0</v>
      </c>
    </row>
    <row r="13505">
      <c r="A13505" s="5">
        <v>13504.0</v>
      </c>
      <c r="B13505" s="5" t="s">
        <v>13904</v>
      </c>
      <c r="C13505" s="5" t="s">
        <v>21</v>
      </c>
      <c r="K13505" s="5">
        <v>20.0</v>
      </c>
      <c r="N13505" s="9">
        <v>44353.0</v>
      </c>
    </row>
    <row r="13506">
      <c r="A13506" s="5">
        <v>13505.0</v>
      </c>
      <c r="B13506" s="5" t="s">
        <v>13905</v>
      </c>
      <c r="C13506" s="5" t="s">
        <v>21</v>
      </c>
      <c r="K13506" s="5">
        <v>700.0</v>
      </c>
      <c r="N13506" s="9">
        <v>44278.0</v>
      </c>
    </row>
    <row r="13507">
      <c r="A13507" s="5">
        <v>13506.0</v>
      </c>
      <c r="B13507" s="5" t="s">
        <v>13906</v>
      </c>
      <c r="C13507" s="5" t="s">
        <v>21</v>
      </c>
      <c r="K13507" s="5">
        <v>1400.0</v>
      </c>
      <c r="N13507" s="9">
        <v>43895.0</v>
      </c>
    </row>
    <row r="13508">
      <c r="A13508" s="5">
        <v>13507.0</v>
      </c>
      <c r="B13508" s="5" t="s">
        <v>13907</v>
      </c>
      <c r="C13508" s="5" t="s">
        <v>21</v>
      </c>
      <c r="N13508" s="9">
        <v>44585.0</v>
      </c>
    </row>
    <row r="13509">
      <c r="A13509" s="5">
        <v>13508.0</v>
      </c>
      <c r="B13509" s="5" t="s">
        <v>13908</v>
      </c>
      <c r="C13509" s="5" t="s">
        <v>21</v>
      </c>
      <c r="K13509" s="5">
        <v>1500.0</v>
      </c>
      <c r="N13509" s="9">
        <v>44517.0</v>
      </c>
    </row>
    <row r="13510">
      <c r="A13510" s="5">
        <v>13509.0</v>
      </c>
      <c r="B13510" s="5" t="s">
        <v>13909</v>
      </c>
      <c r="C13510" s="5" t="s">
        <v>21</v>
      </c>
      <c r="K13510" s="5">
        <v>250.0</v>
      </c>
      <c r="N13510" s="9">
        <v>44660.0</v>
      </c>
    </row>
    <row r="13511">
      <c r="A13511" s="5">
        <v>13510.0</v>
      </c>
      <c r="B13511" s="5" t="s">
        <v>13910</v>
      </c>
      <c r="C13511" s="5" t="s">
        <v>21</v>
      </c>
      <c r="K13511" s="5">
        <v>300.0</v>
      </c>
      <c r="N13511" s="9">
        <v>44966.0</v>
      </c>
    </row>
    <row r="13512">
      <c r="A13512" s="5">
        <v>13511.0</v>
      </c>
      <c r="B13512" s="5" t="s">
        <v>13911</v>
      </c>
      <c r="C13512" s="5" t="s">
        <v>21</v>
      </c>
      <c r="K13512" s="5">
        <v>600.0</v>
      </c>
      <c r="N13512" s="9">
        <v>45082.0</v>
      </c>
    </row>
    <row r="13513">
      <c r="A13513" s="5">
        <v>13512.0</v>
      </c>
      <c r="B13513" s="5" t="s">
        <v>13912</v>
      </c>
      <c r="C13513" s="5" t="s">
        <v>21</v>
      </c>
      <c r="K13513" s="5">
        <v>250.0</v>
      </c>
      <c r="N13513" s="9">
        <v>45612.0</v>
      </c>
    </row>
    <row r="13514">
      <c r="A13514" s="5">
        <v>13513.0</v>
      </c>
      <c r="B13514" s="5" t="s">
        <v>13913</v>
      </c>
      <c r="C13514" s="5" t="s">
        <v>21</v>
      </c>
      <c r="K13514" s="5">
        <v>500.0</v>
      </c>
      <c r="N13514" s="9">
        <v>44666.0</v>
      </c>
    </row>
    <row r="13515">
      <c r="A13515" s="5">
        <v>13514.0</v>
      </c>
      <c r="B13515" s="5" t="s">
        <v>13914</v>
      </c>
      <c r="C13515" s="5" t="s">
        <v>21</v>
      </c>
      <c r="K13515" s="5">
        <v>900.0</v>
      </c>
      <c r="N13515" s="9">
        <v>44547.0</v>
      </c>
    </row>
    <row r="13516">
      <c r="A13516" s="5">
        <v>13515.0</v>
      </c>
      <c r="B13516" s="5" t="s">
        <v>13915</v>
      </c>
      <c r="C13516" s="5" t="s">
        <v>21</v>
      </c>
      <c r="K13516" s="5">
        <v>300.0</v>
      </c>
      <c r="N13516" s="9">
        <v>44666.0</v>
      </c>
    </row>
    <row r="13517">
      <c r="A13517" s="5">
        <v>13516.0</v>
      </c>
      <c r="B13517" s="5" t="s">
        <v>13916</v>
      </c>
      <c r="C13517" s="5" t="s">
        <v>21</v>
      </c>
      <c r="K13517" s="5">
        <v>300.0</v>
      </c>
      <c r="N13517" s="9">
        <v>43970.0</v>
      </c>
    </row>
    <row r="13518">
      <c r="A13518" s="5">
        <v>13517.0</v>
      </c>
      <c r="B13518" s="5" t="s">
        <v>13917</v>
      </c>
      <c r="C13518" s="5" t="s">
        <v>21</v>
      </c>
      <c r="K13518" s="5">
        <v>350.0</v>
      </c>
      <c r="N13518" s="9">
        <v>44772.0</v>
      </c>
    </row>
    <row r="13519">
      <c r="A13519" s="5">
        <v>13518.0</v>
      </c>
      <c r="B13519" s="5" t="s">
        <v>13918</v>
      </c>
      <c r="C13519" s="5" t="s">
        <v>21</v>
      </c>
      <c r="K13519" s="5">
        <v>250.0</v>
      </c>
      <c r="N13519" s="9">
        <v>45543.0</v>
      </c>
    </row>
    <row r="13520">
      <c r="A13520" s="5">
        <v>13519.0</v>
      </c>
      <c r="B13520" s="5" t="s">
        <v>13919</v>
      </c>
      <c r="C13520" s="5" t="s">
        <v>21</v>
      </c>
      <c r="K13520" s="5">
        <v>6100.0</v>
      </c>
      <c r="N13520" s="9">
        <v>44260.0</v>
      </c>
    </row>
    <row r="13521">
      <c r="A13521" s="5">
        <v>13520.0</v>
      </c>
      <c r="B13521" s="5" t="s">
        <v>13920</v>
      </c>
      <c r="C13521" s="5" t="s">
        <v>21</v>
      </c>
      <c r="N13521" s="9">
        <v>44850.0</v>
      </c>
    </row>
    <row r="13522">
      <c r="A13522" s="5">
        <v>13521.0</v>
      </c>
      <c r="B13522" s="5" t="s">
        <v>13921</v>
      </c>
      <c r="C13522" s="5" t="s">
        <v>21</v>
      </c>
      <c r="K13522" s="5">
        <v>450.0</v>
      </c>
      <c r="N13522" s="9">
        <v>44544.0</v>
      </c>
    </row>
    <row r="13523">
      <c r="A13523" s="5">
        <v>13522.0</v>
      </c>
      <c r="B13523" s="5" t="s">
        <v>13922</v>
      </c>
      <c r="C13523" s="5" t="s">
        <v>21</v>
      </c>
      <c r="K13523" s="5">
        <v>2000.0</v>
      </c>
      <c r="N13523" s="9">
        <v>44190.0</v>
      </c>
    </row>
    <row r="13524">
      <c r="A13524" s="5">
        <v>13523.0</v>
      </c>
      <c r="B13524" s="5" t="s">
        <v>13923</v>
      </c>
      <c r="C13524" s="5" t="s">
        <v>21</v>
      </c>
      <c r="K13524" s="5">
        <v>3400.0</v>
      </c>
      <c r="N13524" s="9">
        <v>44298.0</v>
      </c>
    </row>
    <row r="13525">
      <c r="A13525" s="5">
        <v>13524.0</v>
      </c>
      <c r="B13525" s="5" t="s">
        <v>13924</v>
      </c>
      <c r="C13525" s="5" t="s">
        <v>21</v>
      </c>
      <c r="K13525" s="5">
        <v>80.0</v>
      </c>
      <c r="N13525" s="9">
        <v>44537.0</v>
      </c>
    </row>
    <row r="13526">
      <c r="A13526" s="5">
        <v>13525.0</v>
      </c>
      <c r="B13526" s="5" t="s">
        <v>13925</v>
      </c>
      <c r="C13526" s="5" t="s">
        <v>21</v>
      </c>
      <c r="K13526" s="5">
        <v>200.0</v>
      </c>
      <c r="N13526" s="9">
        <v>44541.0</v>
      </c>
    </row>
    <row r="13527">
      <c r="A13527" s="5">
        <v>13526.0</v>
      </c>
      <c r="B13527" s="5" t="s">
        <v>13926</v>
      </c>
      <c r="C13527" s="5" t="s">
        <v>21</v>
      </c>
      <c r="K13527" s="5">
        <v>30.0</v>
      </c>
      <c r="N13527" s="9">
        <v>44832.0</v>
      </c>
    </row>
    <row r="13528">
      <c r="A13528" s="5">
        <v>13527.0</v>
      </c>
      <c r="B13528" s="5" t="s">
        <v>491</v>
      </c>
      <c r="C13528" s="5" t="s">
        <v>21</v>
      </c>
      <c r="K13528" s="5">
        <v>30.0</v>
      </c>
      <c r="N13528" s="9">
        <v>44788.0</v>
      </c>
    </row>
    <row r="13529">
      <c r="A13529" s="5">
        <v>13528.0</v>
      </c>
      <c r="B13529" s="5" t="s">
        <v>13927</v>
      </c>
      <c r="C13529" s="5" t="s">
        <v>21</v>
      </c>
      <c r="K13529" s="5">
        <v>1100.0</v>
      </c>
      <c r="N13529" s="9">
        <v>44989.0</v>
      </c>
    </row>
    <row r="13530">
      <c r="A13530" s="5">
        <v>13529.0</v>
      </c>
      <c r="B13530" s="5" t="s">
        <v>13928</v>
      </c>
      <c r="C13530" s="5" t="s">
        <v>21</v>
      </c>
      <c r="K13530" s="5">
        <v>2000.0</v>
      </c>
      <c r="N13530" s="9">
        <v>43988.0</v>
      </c>
    </row>
    <row r="13531">
      <c r="A13531" s="5">
        <v>13530.0</v>
      </c>
      <c r="B13531" s="5" t="s">
        <v>13929</v>
      </c>
      <c r="C13531" s="5" t="s">
        <v>21</v>
      </c>
      <c r="K13531" s="5">
        <v>7800.0</v>
      </c>
      <c r="N13531" s="9">
        <v>44378.0</v>
      </c>
    </row>
    <row r="13532">
      <c r="A13532" s="5">
        <v>13531.0</v>
      </c>
      <c r="B13532" s="5" t="s">
        <v>13930</v>
      </c>
      <c r="C13532" s="5" t="s">
        <v>21</v>
      </c>
      <c r="K13532" s="5">
        <v>1800.0</v>
      </c>
      <c r="N13532" s="9">
        <v>44342.0</v>
      </c>
    </row>
    <row r="13533">
      <c r="A13533" s="5">
        <v>13532.0</v>
      </c>
      <c r="B13533" s="5" t="s">
        <v>13931</v>
      </c>
      <c r="C13533" s="5" t="s">
        <v>21</v>
      </c>
      <c r="K13533" s="5">
        <v>200.0</v>
      </c>
      <c r="N13533" s="9">
        <v>44281.0</v>
      </c>
    </row>
    <row r="13534">
      <c r="A13534" s="5">
        <v>13533.0</v>
      </c>
      <c r="B13534" s="5" t="s">
        <v>13932</v>
      </c>
      <c r="C13534" s="5" t="s">
        <v>21</v>
      </c>
      <c r="K13534" s="5">
        <v>4800.0</v>
      </c>
      <c r="N13534" s="9">
        <v>44017.0</v>
      </c>
    </row>
    <row r="13535">
      <c r="A13535" s="5">
        <v>13534.0</v>
      </c>
      <c r="B13535" s="5" t="s">
        <v>13933</v>
      </c>
      <c r="C13535" s="5" t="s">
        <v>21</v>
      </c>
      <c r="K13535" s="5">
        <v>150.0</v>
      </c>
      <c r="N13535" s="9">
        <v>45047.0</v>
      </c>
    </row>
    <row r="13536">
      <c r="A13536" s="5">
        <v>13535.0</v>
      </c>
      <c r="B13536" s="5" t="s">
        <v>13934</v>
      </c>
      <c r="C13536" s="5" t="s">
        <v>21</v>
      </c>
      <c r="K13536" s="5">
        <v>450.0</v>
      </c>
      <c r="N13536" s="9">
        <v>43982.0</v>
      </c>
    </row>
    <row r="13537">
      <c r="A13537" s="5">
        <v>13536.0</v>
      </c>
      <c r="B13537" s="5" t="s">
        <v>13935</v>
      </c>
      <c r="C13537" s="5" t="s">
        <v>21</v>
      </c>
      <c r="K13537" s="5">
        <v>2100.0</v>
      </c>
      <c r="N13537" s="9">
        <v>44976.0</v>
      </c>
    </row>
    <row r="13538">
      <c r="A13538" s="5">
        <v>13537.0</v>
      </c>
      <c r="B13538" s="5" t="s">
        <v>13936</v>
      </c>
      <c r="C13538" s="5" t="s">
        <v>21</v>
      </c>
      <c r="K13538" s="5">
        <v>50.0</v>
      </c>
      <c r="N13538" s="9">
        <v>44718.0</v>
      </c>
    </row>
    <row r="13539">
      <c r="A13539" s="5">
        <v>13538.0</v>
      </c>
      <c r="B13539" s="5" t="s">
        <v>13937</v>
      </c>
      <c r="C13539" s="5" t="s">
        <v>21</v>
      </c>
      <c r="K13539" s="5">
        <v>150.0</v>
      </c>
      <c r="N13539" s="9">
        <v>44532.0</v>
      </c>
    </row>
    <row r="13540">
      <c r="A13540" s="5">
        <v>13539.0</v>
      </c>
      <c r="B13540" s="5" t="s">
        <v>13938</v>
      </c>
      <c r="C13540" s="5" t="s">
        <v>21</v>
      </c>
      <c r="K13540" s="5">
        <v>150.0</v>
      </c>
      <c r="N13540" s="9">
        <v>43929.0</v>
      </c>
    </row>
    <row r="13541">
      <c r="A13541" s="5">
        <v>13540.0</v>
      </c>
      <c r="B13541" s="5" t="s">
        <v>13939</v>
      </c>
      <c r="C13541" s="5" t="s">
        <v>21</v>
      </c>
      <c r="K13541" s="5">
        <v>700.0</v>
      </c>
      <c r="N13541" s="9">
        <v>44539.0</v>
      </c>
    </row>
    <row r="13542">
      <c r="A13542" s="5">
        <v>13541.0</v>
      </c>
      <c r="B13542" s="5" t="s">
        <v>13940</v>
      </c>
      <c r="C13542" s="5" t="s">
        <v>21</v>
      </c>
      <c r="K13542" s="5">
        <v>80.0</v>
      </c>
      <c r="N13542" s="9">
        <v>44676.0</v>
      </c>
    </row>
    <row r="13543">
      <c r="A13543" s="5">
        <v>13542.0</v>
      </c>
      <c r="B13543" s="5" t="s">
        <v>13941</v>
      </c>
      <c r="C13543" s="5" t="s">
        <v>21</v>
      </c>
      <c r="K13543" s="5">
        <v>150.0</v>
      </c>
      <c r="N13543" s="9">
        <v>44050.0</v>
      </c>
    </row>
    <row r="13544">
      <c r="A13544" s="5">
        <v>13543.0</v>
      </c>
      <c r="B13544" s="5" t="s">
        <v>13942</v>
      </c>
      <c r="C13544" s="5" t="s">
        <v>21</v>
      </c>
      <c r="K13544" s="5">
        <v>70.0</v>
      </c>
      <c r="N13544" s="9">
        <v>45254.0</v>
      </c>
    </row>
    <row r="13545">
      <c r="A13545" s="5">
        <v>13544.0</v>
      </c>
      <c r="B13545" s="5" t="s">
        <v>13943</v>
      </c>
      <c r="C13545" s="5" t="s">
        <v>21</v>
      </c>
      <c r="K13545" s="5">
        <v>6600.0</v>
      </c>
      <c r="N13545" s="9">
        <v>44454.0</v>
      </c>
    </row>
    <row r="13546">
      <c r="A13546" s="5">
        <v>13545.0</v>
      </c>
      <c r="B13546" s="5" t="s">
        <v>13944</v>
      </c>
      <c r="C13546" s="5" t="s">
        <v>21</v>
      </c>
      <c r="K13546" s="5">
        <v>200.0</v>
      </c>
      <c r="N13546" s="9">
        <v>44799.0</v>
      </c>
    </row>
    <row r="13547">
      <c r="A13547" s="5">
        <v>13546.0</v>
      </c>
      <c r="B13547" s="5" t="s">
        <v>13945</v>
      </c>
      <c r="C13547" s="5" t="s">
        <v>21</v>
      </c>
      <c r="K13547" s="5">
        <v>2300.0</v>
      </c>
      <c r="N13547" s="9">
        <v>44526.0</v>
      </c>
    </row>
    <row r="13548">
      <c r="A13548" s="5">
        <v>13547.0</v>
      </c>
      <c r="B13548" s="5" t="s">
        <v>13946</v>
      </c>
      <c r="C13548" s="5" t="s">
        <v>21</v>
      </c>
      <c r="K13548" s="5">
        <v>800.0</v>
      </c>
      <c r="N13548" s="9">
        <v>44343.0</v>
      </c>
    </row>
    <row r="13549">
      <c r="A13549" s="5">
        <v>13548.0</v>
      </c>
      <c r="B13549" s="5" t="s">
        <v>13947</v>
      </c>
      <c r="C13549" s="5" t="s">
        <v>21</v>
      </c>
      <c r="K13549" s="5">
        <v>60.0</v>
      </c>
      <c r="N13549" s="9">
        <v>44545.0</v>
      </c>
    </row>
    <row r="13550">
      <c r="A13550" s="5">
        <v>13549.0</v>
      </c>
      <c r="B13550" s="5" t="s">
        <v>13948</v>
      </c>
      <c r="C13550" s="5" t="s">
        <v>21</v>
      </c>
      <c r="K13550" s="5">
        <v>3100.0</v>
      </c>
      <c r="N13550" s="9">
        <v>44225.0</v>
      </c>
    </row>
    <row r="13551">
      <c r="A13551" s="5">
        <v>13550.0</v>
      </c>
      <c r="B13551" s="5" t="s">
        <v>13949</v>
      </c>
      <c r="C13551" s="5" t="s">
        <v>21</v>
      </c>
      <c r="K13551" s="5">
        <v>700.0</v>
      </c>
      <c r="N13551" s="9">
        <v>43863.0</v>
      </c>
    </row>
    <row r="13552">
      <c r="A13552" s="5">
        <v>13551.0</v>
      </c>
      <c r="B13552" s="5" t="s">
        <v>13950</v>
      </c>
      <c r="C13552" s="5" t="s">
        <v>21</v>
      </c>
      <c r="K13552" s="5">
        <v>1300.0</v>
      </c>
      <c r="N13552" s="9">
        <v>44568.0</v>
      </c>
    </row>
    <row r="13553">
      <c r="A13553" s="5">
        <v>13552.0</v>
      </c>
      <c r="B13553" s="5" t="s">
        <v>13951</v>
      </c>
      <c r="C13553" s="5" t="s">
        <v>21</v>
      </c>
      <c r="K13553" s="5">
        <v>200.0</v>
      </c>
      <c r="N13553" s="9">
        <v>44967.0</v>
      </c>
    </row>
    <row r="13554">
      <c r="A13554" s="5">
        <v>13553.0</v>
      </c>
      <c r="B13554" s="5" t="s">
        <v>13952</v>
      </c>
      <c r="C13554" s="5" t="s">
        <v>21</v>
      </c>
      <c r="N13554" s="9">
        <v>44524.0</v>
      </c>
    </row>
    <row r="13555">
      <c r="A13555" s="5">
        <v>13554.0</v>
      </c>
      <c r="B13555" s="5" t="s">
        <v>13953</v>
      </c>
      <c r="C13555" s="5" t="s">
        <v>21</v>
      </c>
      <c r="K13555" s="5">
        <v>500.0</v>
      </c>
      <c r="N13555" s="9">
        <v>45653.0</v>
      </c>
    </row>
    <row r="13556">
      <c r="A13556" s="5">
        <v>13555.0</v>
      </c>
      <c r="B13556" s="5" t="s">
        <v>13954</v>
      </c>
      <c r="C13556" s="5" t="s">
        <v>21</v>
      </c>
      <c r="N13556" s="9">
        <v>44528.0</v>
      </c>
    </row>
    <row r="13557">
      <c r="A13557" s="5">
        <v>13556.0</v>
      </c>
      <c r="B13557" s="5" t="s">
        <v>13955</v>
      </c>
      <c r="C13557" s="5" t="s">
        <v>21</v>
      </c>
      <c r="K13557" s="5">
        <v>900.0</v>
      </c>
      <c r="N13557" s="9">
        <v>44388.0</v>
      </c>
    </row>
    <row r="13558">
      <c r="A13558" s="5">
        <v>13557.0</v>
      </c>
      <c r="B13558" s="5" t="s">
        <v>13956</v>
      </c>
      <c r="C13558" s="5" t="s">
        <v>21</v>
      </c>
      <c r="K13558" s="5">
        <v>50.0</v>
      </c>
      <c r="N13558" s="9">
        <v>44840.0</v>
      </c>
    </row>
    <row r="13559">
      <c r="A13559" s="5">
        <v>13558.0</v>
      </c>
      <c r="B13559" s="5" t="s">
        <v>13957</v>
      </c>
      <c r="C13559" s="5" t="s">
        <v>21</v>
      </c>
      <c r="K13559" s="5">
        <v>1100.0</v>
      </c>
      <c r="N13559" s="9">
        <v>43875.0</v>
      </c>
    </row>
    <row r="13560">
      <c r="A13560" s="5">
        <v>13559.0</v>
      </c>
      <c r="B13560" s="5" t="s">
        <v>13958</v>
      </c>
      <c r="C13560" s="5" t="s">
        <v>21</v>
      </c>
      <c r="K13560" s="5">
        <v>2500.0</v>
      </c>
      <c r="N13560" s="9">
        <v>44882.0</v>
      </c>
    </row>
    <row r="13561">
      <c r="A13561" s="5">
        <v>13560.0</v>
      </c>
      <c r="B13561" s="5" t="s">
        <v>13959</v>
      </c>
      <c r="C13561" s="5" t="s">
        <v>21</v>
      </c>
      <c r="K13561" s="5">
        <v>1200.0</v>
      </c>
      <c r="N13561" s="9">
        <v>44004.0</v>
      </c>
    </row>
    <row r="13562">
      <c r="A13562" s="5">
        <v>13561.0</v>
      </c>
      <c r="B13562" s="5" t="s">
        <v>13960</v>
      </c>
      <c r="C13562" s="5" t="s">
        <v>21</v>
      </c>
      <c r="K13562" s="5">
        <v>150.0</v>
      </c>
      <c r="N13562" s="9">
        <v>44550.0</v>
      </c>
    </row>
    <row r="13563">
      <c r="A13563" s="5">
        <v>13562.0</v>
      </c>
      <c r="B13563" s="5" t="s">
        <v>13961</v>
      </c>
      <c r="C13563" s="5" t="s">
        <v>21</v>
      </c>
      <c r="K13563" s="5">
        <v>2200.0</v>
      </c>
      <c r="N13563" s="9">
        <v>44365.0</v>
      </c>
    </row>
    <row r="13564">
      <c r="A13564" s="5">
        <v>13563.0</v>
      </c>
      <c r="B13564" s="5" t="s">
        <v>13962</v>
      </c>
      <c r="C13564" s="5" t="s">
        <v>21</v>
      </c>
      <c r="K13564" s="5">
        <v>150.0</v>
      </c>
      <c r="N13564" s="9">
        <v>44560.0</v>
      </c>
    </row>
    <row r="13565">
      <c r="A13565" s="5">
        <v>13564.0</v>
      </c>
      <c r="B13565" s="5" t="s">
        <v>13963</v>
      </c>
      <c r="C13565" s="5" t="s">
        <v>21</v>
      </c>
      <c r="K13565" s="5">
        <v>450.0</v>
      </c>
      <c r="N13565" s="9">
        <v>45117.0</v>
      </c>
    </row>
    <row r="13566">
      <c r="A13566" s="5">
        <v>13565.0</v>
      </c>
      <c r="B13566" s="5" t="s">
        <v>13964</v>
      </c>
      <c r="C13566" s="5" t="s">
        <v>21</v>
      </c>
      <c r="K13566" s="5">
        <v>150.0</v>
      </c>
      <c r="N13566" s="9">
        <v>44570.0</v>
      </c>
    </row>
    <row r="13567">
      <c r="A13567" s="5">
        <v>13566.0</v>
      </c>
      <c r="B13567" s="5" t="s">
        <v>13965</v>
      </c>
      <c r="C13567" s="5" t="s">
        <v>21</v>
      </c>
      <c r="K13567" s="5">
        <v>700.0</v>
      </c>
      <c r="N13567" s="9">
        <v>44166.0</v>
      </c>
    </row>
    <row r="13568">
      <c r="A13568" s="5">
        <v>13567.0</v>
      </c>
      <c r="B13568" s="5" t="s">
        <v>13966</v>
      </c>
      <c r="C13568" s="5" t="s">
        <v>21</v>
      </c>
      <c r="K13568" s="5">
        <v>150.0</v>
      </c>
      <c r="N13568" s="9">
        <v>44596.0</v>
      </c>
    </row>
    <row r="13569">
      <c r="A13569" s="5">
        <v>13568.0</v>
      </c>
      <c r="B13569" s="5" t="s">
        <v>13967</v>
      </c>
      <c r="C13569" s="5" t="s">
        <v>21</v>
      </c>
      <c r="K13569" s="5">
        <v>200.0</v>
      </c>
      <c r="N13569" s="9">
        <v>44816.0</v>
      </c>
    </row>
    <row r="13570">
      <c r="A13570" s="5">
        <v>13569.0</v>
      </c>
      <c r="B13570" s="5" t="s">
        <v>13968</v>
      </c>
      <c r="C13570" s="5" t="s">
        <v>21</v>
      </c>
      <c r="N13570" s="9">
        <v>44335.0</v>
      </c>
    </row>
    <row r="13571">
      <c r="A13571" s="5">
        <v>13570.0</v>
      </c>
      <c r="B13571" s="5" t="s">
        <v>13969</v>
      </c>
      <c r="C13571" s="5" t="s">
        <v>21</v>
      </c>
      <c r="K13571" s="5">
        <v>30.0</v>
      </c>
      <c r="N13571" s="9">
        <v>44710.0</v>
      </c>
    </row>
    <row r="13572">
      <c r="A13572" s="5">
        <v>13571.0</v>
      </c>
      <c r="B13572" s="5" t="s">
        <v>13970</v>
      </c>
      <c r="C13572" s="5" t="s">
        <v>21</v>
      </c>
      <c r="K13572" s="5">
        <v>70.0</v>
      </c>
      <c r="N13572" s="9">
        <v>44288.0</v>
      </c>
    </row>
    <row r="13573">
      <c r="A13573" s="5">
        <v>13572.0</v>
      </c>
      <c r="B13573" s="5" t="s">
        <v>13971</v>
      </c>
      <c r="C13573" s="5" t="s">
        <v>21</v>
      </c>
      <c r="K13573" s="5">
        <v>4300.0</v>
      </c>
      <c r="N13573" s="9">
        <v>44699.0</v>
      </c>
    </row>
    <row r="13574">
      <c r="A13574" s="5">
        <v>13573.0</v>
      </c>
      <c r="B13574" s="5" t="s">
        <v>13972</v>
      </c>
      <c r="C13574" s="5" t="s">
        <v>21</v>
      </c>
      <c r="K13574" s="5">
        <v>20.0</v>
      </c>
      <c r="N13574" s="9">
        <v>45156.0</v>
      </c>
    </row>
    <row r="13575">
      <c r="A13575" s="5">
        <v>13574.0</v>
      </c>
      <c r="B13575" s="5" t="s">
        <v>13973</v>
      </c>
      <c r="C13575" s="5" t="s">
        <v>21</v>
      </c>
      <c r="K13575" s="5">
        <v>10.0</v>
      </c>
      <c r="N13575" s="9">
        <v>44580.0</v>
      </c>
    </row>
    <row r="13576">
      <c r="A13576" s="5">
        <v>13575.0</v>
      </c>
      <c r="B13576" s="5" t="s">
        <v>13974</v>
      </c>
      <c r="C13576" s="5" t="s">
        <v>21</v>
      </c>
      <c r="K13576" s="5">
        <v>1600.0</v>
      </c>
      <c r="N13576" s="9">
        <v>44440.0</v>
      </c>
    </row>
    <row r="13577">
      <c r="A13577" s="5">
        <v>13576.0</v>
      </c>
      <c r="B13577" s="5" t="s">
        <v>13975</v>
      </c>
      <c r="C13577" s="5" t="s">
        <v>21</v>
      </c>
      <c r="K13577" s="5">
        <v>450.0</v>
      </c>
      <c r="N13577" s="9">
        <v>44650.0</v>
      </c>
    </row>
    <row r="13578">
      <c r="A13578" s="5">
        <v>13577.0</v>
      </c>
      <c r="B13578" s="5" t="s">
        <v>13976</v>
      </c>
      <c r="C13578" s="5" t="s">
        <v>21</v>
      </c>
      <c r="K13578" s="5">
        <v>200.0</v>
      </c>
      <c r="N13578" s="9">
        <v>44474.0</v>
      </c>
    </row>
    <row r="13579">
      <c r="A13579" s="5">
        <v>13578.0</v>
      </c>
      <c r="B13579" s="5" t="s">
        <v>13977</v>
      </c>
      <c r="C13579" s="5" t="s">
        <v>21</v>
      </c>
      <c r="K13579" s="5">
        <v>1200.0</v>
      </c>
      <c r="N13579" s="9">
        <v>44580.0</v>
      </c>
    </row>
    <row r="13580">
      <c r="A13580" s="5">
        <v>13579.0</v>
      </c>
      <c r="B13580" s="5" t="s">
        <v>13978</v>
      </c>
      <c r="C13580" s="5" t="s">
        <v>21</v>
      </c>
      <c r="K13580" s="5">
        <v>350.0</v>
      </c>
      <c r="N13580" s="9">
        <v>44896.0</v>
      </c>
    </row>
    <row r="13581">
      <c r="A13581" s="5">
        <v>13580.0</v>
      </c>
      <c r="B13581" s="5" t="s">
        <v>13979</v>
      </c>
      <c r="C13581" s="5" t="s">
        <v>21</v>
      </c>
      <c r="K13581" s="5">
        <v>2200.0</v>
      </c>
      <c r="N13581" s="9">
        <v>44373.0</v>
      </c>
    </row>
    <row r="13582">
      <c r="A13582" s="5">
        <v>13581.0</v>
      </c>
      <c r="B13582" s="5" t="s">
        <v>13980</v>
      </c>
      <c r="C13582" s="5" t="s">
        <v>21</v>
      </c>
      <c r="K13582" s="5">
        <v>800.0</v>
      </c>
      <c r="N13582" s="9">
        <v>44315.0</v>
      </c>
    </row>
    <row r="13583">
      <c r="A13583" s="5">
        <v>13582.0</v>
      </c>
      <c r="B13583" s="5" t="s">
        <v>13981</v>
      </c>
      <c r="C13583" s="5" t="s">
        <v>21</v>
      </c>
      <c r="K13583" s="5">
        <v>1000.0</v>
      </c>
      <c r="N13583" s="9">
        <v>44604.0</v>
      </c>
    </row>
    <row r="13584">
      <c r="A13584" s="5">
        <v>13583.0</v>
      </c>
      <c r="B13584" s="5" t="s">
        <v>13982</v>
      </c>
      <c r="C13584" s="5" t="s">
        <v>21</v>
      </c>
      <c r="K13584" s="5">
        <v>600.0</v>
      </c>
      <c r="N13584" s="9">
        <v>45316.0</v>
      </c>
    </row>
    <row r="13585">
      <c r="A13585" s="5">
        <v>13584.0</v>
      </c>
      <c r="B13585" s="5" t="s">
        <v>13983</v>
      </c>
      <c r="C13585" s="5" t="s">
        <v>21</v>
      </c>
      <c r="K13585" s="5">
        <v>300.0</v>
      </c>
      <c r="N13585" s="9">
        <v>44615.0</v>
      </c>
    </row>
    <row r="13586">
      <c r="A13586" s="5">
        <v>13585.0</v>
      </c>
      <c r="B13586" s="5" t="s">
        <v>13984</v>
      </c>
      <c r="C13586" s="5" t="s">
        <v>21</v>
      </c>
      <c r="K13586" s="5">
        <v>1400.0</v>
      </c>
      <c r="N13586" s="9">
        <v>44872.0</v>
      </c>
    </row>
    <row r="13587">
      <c r="A13587" s="5">
        <v>13586.0</v>
      </c>
      <c r="B13587" s="5" t="s">
        <v>13985</v>
      </c>
      <c r="C13587" s="5" t="s">
        <v>21</v>
      </c>
      <c r="K13587" s="5">
        <v>150.0</v>
      </c>
      <c r="N13587" s="9">
        <v>44652.0</v>
      </c>
    </row>
    <row r="13588">
      <c r="A13588" s="5">
        <v>13587.0</v>
      </c>
      <c r="B13588" s="5" t="s">
        <v>13986</v>
      </c>
      <c r="C13588" s="5" t="s">
        <v>21</v>
      </c>
      <c r="K13588" s="5">
        <v>350.0</v>
      </c>
      <c r="N13588" s="9">
        <v>44360.0</v>
      </c>
    </row>
    <row r="13589">
      <c r="A13589" s="5">
        <v>13588.0</v>
      </c>
      <c r="B13589" s="5" t="s">
        <v>13987</v>
      </c>
      <c r="C13589" s="5" t="s">
        <v>21</v>
      </c>
      <c r="K13589" s="5">
        <v>200.0</v>
      </c>
      <c r="N13589" s="9">
        <v>45698.0</v>
      </c>
    </row>
    <row r="13590">
      <c r="A13590" s="5">
        <v>13589.0</v>
      </c>
      <c r="B13590" s="5" t="s">
        <v>13988</v>
      </c>
      <c r="C13590" s="5" t="s">
        <v>21</v>
      </c>
      <c r="K13590" s="5">
        <v>60.0</v>
      </c>
      <c r="N13590" s="9">
        <v>45588.0</v>
      </c>
    </row>
    <row r="13591">
      <c r="A13591" s="5">
        <v>13590.0</v>
      </c>
      <c r="B13591" s="5" t="s">
        <v>13989</v>
      </c>
      <c r="C13591" s="5" t="s">
        <v>21</v>
      </c>
      <c r="N13591" s="9">
        <v>45112.0</v>
      </c>
    </row>
    <row r="13592">
      <c r="A13592" s="5">
        <v>13591.0</v>
      </c>
      <c r="B13592" s="5" t="s">
        <v>13990</v>
      </c>
      <c r="C13592" s="5" t="s">
        <v>21</v>
      </c>
      <c r="K13592" s="5">
        <v>100.0</v>
      </c>
      <c r="N13592" s="9">
        <v>44939.0</v>
      </c>
    </row>
    <row r="13593">
      <c r="A13593" s="5">
        <v>13592.0</v>
      </c>
      <c r="B13593" s="5" t="s">
        <v>13991</v>
      </c>
      <c r="C13593" s="5" t="s">
        <v>21</v>
      </c>
      <c r="K13593" s="5">
        <v>600.0</v>
      </c>
      <c r="N13593" s="9">
        <v>44682.0</v>
      </c>
    </row>
    <row r="13594">
      <c r="A13594" s="5">
        <v>13593.0</v>
      </c>
      <c r="B13594" s="5" t="s">
        <v>13992</v>
      </c>
      <c r="C13594" s="5" t="s">
        <v>21</v>
      </c>
      <c r="K13594" s="5">
        <v>250.0</v>
      </c>
      <c r="N13594" s="9">
        <v>45782.0</v>
      </c>
    </row>
    <row r="13595">
      <c r="A13595" s="5">
        <v>13594.0</v>
      </c>
      <c r="B13595" s="5" t="s">
        <v>13993</v>
      </c>
      <c r="C13595" s="5" t="s">
        <v>21</v>
      </c>
      <c r="K13595" s="5">
        <v>200.0</v>
      </c>
      <c r="N13595" s="9">
        <v>45192.0</v>
      </c>
    </row>
    <row r="13596">
      <c r="A13596" s="5">
        <v>13595.0</v>
      </c>
      <c r="B13596" s="5" t="s">
        <v>13994</v>
      </c>
      <c r="C13596" s="5" t="s">
        <v>21</v>
      </c>
      <c r="K13596" s="5">
        <v>50.0</v>
      </c>
      <c r="N13596" s="9">
        <v>44170.0</v>
      </c>
    </row>
    <row r="13597">
      <c r="A13597" s="5">
        <v>13596.0</v>
      </c>
      <c r="B13597" s="5" t="s">
        <v>13995</v>
      </c>
      <c r="C13597" s="5" t="s">
        <v>21</v>
      </c>
      <c r="K13597" s="5">
        <v>30.0</v>
      </c>
      <c r="N13597" s="9">
        <v>44583.0</v>
      </c>
    </row>
    <row r="13598">
      <c r="A13598" s="5">
        <v>13597.0</v>
      </c>
      <c r="B13598" s="5" t="s">
        <v>13996</v>
      </c>
      <c r="C13598" s="5" t="s">
        <v>21</v>
      </c>
      <c r="K13598" s="5">
        <v>350.0</v>
      </c>
      <c r="N13598" s="9">
        <v>44417.0</v>
      </c>
    </row>
    <row r="13599">
      <c r="A13599" s="5">
        <v>13598.0</v>
      </c>
      <c r="B13599" s="5" t="s">
        <v>13997</v>
      </c>
      <c r="C13599" s="5" t="s">
        <v>21</v>
      </c>
      <c r="K13599" s="5">
        <v>150.0</v>
      </c>
      <c r="N13599" s="9">
        <v>45032.0</v>
      </c>
    </row>
    <row r="13600">
      <c r="A13600" s="5">
        <v>13599.0</v>
      </c>
      <c r="B13600" s="5" t="s">
        <v>13998</v>
      </c>
      <c r="C13600" s="5" t="s">
        <v>21</v>
      </c>
      <c r="K13600" s="5">
        <v>900.0</v>
      </c>
      <c r="N13600" s="9">
        <v>44692.0</v>
      </c>
    </row>
    <row r="13601">
      <c r="A13601" s="5">
        <v>13600.0</v>
      </c>
      <c r="B13601" s="5" t="s">
        <v>13999</v>
      </c>
      <c r="C13601" s="5" t="s">
        <v>21</v>
      </c>
      <c r="K13601" s="5">
        <v>30.0</v>
      </c>
      <c r="N13601" s="9">
        <v>45033.0</v>
      </c>
    </row>
    <row r="13602">
      <c r="A13602" s="5">
        <v>13601.0</v>
      </c>
      <c r="B13602" s="5" t="s">
        <v>14000</v>
      </c>
      <c r="C13602" s="5" t="s">
        <v>21</v>
      </c>
      <c r="K13602" s="5">
        <v>200.0</v>
      </c>
      <c r="N13602" s="9">
        <v>45552.0</v>
      </c>
    </row>
    <row r="13603">
      <c r="A13603" s="5">
        <v>13602.0</v>
      </c>
      <c r="B13603" s="5" t="s">
        <v>14001</v>
      </c>
      <c r="C13603" s="5" t="s">
        <v>21</v>
      </c>
      <c r="K13603" s="5">
        <v>700.0</v>
      </c>
      <c r="N13603" s="9">
        <v>44321.0</v>
      </c>
    </row>
    <row r="13604">
      <c r="A13604" s="5">
        <v>13603.0</v>
      </c>
      <c r="B13604" s="5" t="s">
        <v>14002</v>
      </c>
      <c r="C13604" s="5" t="s">
        <v>21</v>
      </c>
      <c r="K13604" s="5">
        <v>2400.0</v>
      </c>
      <c r="N13604" s="9">
        <v>44184.0</v>
      </c>
    </row>
    <row r="13605">
      <c r="A13605" s="5">
        <v>13604.0</v>
      </c>
      <c r="B13605" s="5" t="s">
        <v>14003</v>
      </c>
      <c r="C13605" s="5" t="s">
        <v>21</v>
      </c>
      <c r="K13605" s="5">
        <v>1800.0</v>
      </c>
      <c r="N13605" s="9">
        <v>44119.0</v>
      </c>
    </row>
    <row r="13606">
      <c r="A13606" s="5">
        <v>13605.0</v>
      </c>
      <c r="B13606" s="5" t="s">
        <v>14004</v>
      </c>
      <c r="C13606" s="5" t="s">
        <v>21</v>
      </c>
      <c r="K13606" s="5">
        <v>900.0</v>
      </c>
      <c r="N13606" s="9">
        <v>44682.0</v>
      </c>
    </row>
    <row r="13607">
      <c r="A13607" s="5">
        <v>13606.0</v>
      </c>
      <c r="B13607" s="5" t="s">
        <v>14005</v>
      </c>
      <c r="C13607" s="5" t="s">
        <v>21</v>
      </c>
      <c r="K13607" s="5">
        <v>150.0</v>
      </c>
      <c r="N13607" s="9">
        <v>44779.0</v>
      </c>
    </row>
    <row r="13608">
      <c r="A13608" s="5">
        <v>13607.0</v>
      </c>
      <c r="B13608" s="5" t="s">
        <v>14006</v>
      </c>
      <c r="C13608" s="5" t="s">
        <v>21</v>
      </c>
      <c r="K13608" s="5">
        <v>200.0</v>
      </c>
      <c r="N13608" s="9">
        <v>44225.0</v>
      </c>
    </row>
    <row r="13609">
      <c r="A13609" s="5">
        <v>13608.0</v>
      </c>
      <c r="B13609" s="5" t="s">
        <v>14007</v>
      </c>
      <c r="C13609" s="5" t="s">
        <v>21</v>
      </c>
      <c r="K13609" s="5">
        <v>30.0</v>
      </c>
      <c r="N13609" s="9">
        <v>45313.0</v>
      </c>
    </row>
    <row r="13610">
      <c r="A13610" s="5">
        <v>13609.0</v>
      </c>
      <c r="B13610" s="5" t="s">
        <v>14008</v>
      </c>
      <c r="C13610" s="5" t="s">
        <v>21</v>
      </c>
      <c r="K13610" s="5">
        <v>250.0</v>
      </c>
      <c r="N13610" s="9">
        <v>44547.0</v>
      </c>
    </row>
    <row r="13611">
      <c r="A13611" s="5">
        <v>13610.0</v>
      </c>
      <c r="B13611" s="5" t="s">
        <v>14009</v>
      </c>
      <c r="C13611" s="5" t="s">
        <v>21</v>
      </c>
      <c r="K13611" s="5">
        <v>10.0</v>
      </c>
      <c r="N13611" s="9">
        <v>44449.0</v>
      </c>
    </row>
    <row r="13612">
      <c r="A13612" s="5">
        <v>13611.0</v>
      </c>
      <c r="B13612" s="5" t="s">
        <v>14010</v>
      </c>
      <c r="C13612" s="5" t="s">
        <v>21</v>
      </c>
      <c r="K13612" s="5">
        <v>20.0</v>
      </c>
      <c r="N13612" s="9">
        <v>44758.0</v>
      </c>
    </row>
    <row r="13613">
      <c r="A13613" s="5">
        <v>13612.0</v>
      </c>
      <c r="B13613" s="5" t="s">
        <v>14011</v>
      </c>
      <c r="C13613" s="5" t="s">
        <v>21</v>
      </c>
      <c r="N13613" s="9">
        <v>44485.0</v>
      </c>
      <c r="O13613" s="5" t="s">
        <v>14012</v>
      </c>
      <c r="P13613" s="5" t="s">
        <v>26</v>
      </c>
      <c r="S13613" s="5" t="s">
        <v>45</v>
      </c>
    </row>
    <row r="13614">
      <c r="A13614" s="5">
        <v>13613.0</v>
      </c>
      <c r="B13614" s="5" t="s">
        <v>14013</v>
      </c>
      <c r="C13614" s="5" t="s">
        <v>21</v>
      </c>
      <c r="K13614" s="5">
        <v>10.0</v>
      </c>
      <c r="N13614" s="9">
        <v>44149.0</v>
      </c>
    </row>
    <row r="13615">
      <c r="A13615" s="5">
        <v>13614.0</v>
      </c>
      <c r="B13615" s="5" t="s">
        <v>14014</v>
      </c>
      <c r="C13615" s="5" t="s">
        <v>21</v>
      </c>
      <c r="K13615" s="5">
        <v>150.0</v>
      </c>
      <c r="N13615" s="9">
        <v>44188.0</v>
      </c>
    </row>
    <row r="13616">
      <c r="A13616" s="5">
        <v>13615.0</v>
      </c>
      <c r="B13616" s="5" t="s">
        <v>14015</v>
      </c>
      <c r="C13616" s="5" t="s">
        <v>21</v>
      </c>
      <c r="K13616" s="5">
        <v>450.0</v>
      </c>
      <c r="N13616" s="9">
        <v>44571.0</v>
      </c>
    </row>
    <row r="13617">
      <c r="A13617" s="5">
        <v>13616.0</v>
      </c>
      <c r="B13617" s="5" t="s">
        <v>14016</v>
      </c>
      <c r="C13617" s="5" t="s">
        <v>21</v>
      </c>
      <c r="K13617" s="5">
        <v>600.0</v>
      </c>
      <c r="N13617" s="9">
        <v>45624.0</v>
      </c>
    </row>
    <row r="13618">
      <c r="A13618" s="5">
        <v>13617.0</v>
      </c>
      <c r="B13618" s="5" t="s">
        <v>14017</v>
      </c>
      <c r="C13618" s="5" t="s">
        <v>21</v>
      </c>
      <c r="K13618" s="5">
        <v>600.0</v>
      </c>
      <c r="N13618" s="9">
        <v>43926.0</v>
      </c>
    </row>
    <row r="13619">
      <c r="A13619" s="5">
        <v>13618.0</v>
      </c>
      <c r="B13619" s="5" t="s">
        <v>14018</v>
      </c>
      <c r="C13619" s="5" t="s">
        <v>21</v>
      </c>
      <c r="K13619" s="5">
        <v>4800.0</v>
      </c>
      <c r="N13619" s="9">
        <v>44355.0</v>
      </c>
    </row>
    <row r="13620">
      <c r="A13620" s="5">
        <v>13619.0</v>
      </c>
      <c r="B13620" s="5" t="s">
        <v>14019</v>
      </c>
      <c r="C13620" s="5" t="s">
        <v>21</v>
      </c>
      <c r="N13620" s="9">
        <v>44616.0</v>
      </c>
    </row>
    <row r="13621">
      <c r="A13621" s="5">
        <v>13620.0</v>
      </c>
      <c r="B13621" s="5" t="s">
        <v>14020</v>
      </c>
      <c r="C13621" s="5" t="s">
        <v>21</v>
      </c>
      <c r="N13621" s="9">
        <v>45376.0</v>
      </c>
    </row>
    <row r="13622">
      <c r="A13622" s="5">
        <v>13621.0</v>
      </c>
      <c r="B13622" s="5" t="s">
        <v>14021</v>
      </c>
      <c r="C13622" s="5" t="s">
        <v>21</v>
      </c>
      <c r="K13622" s="5">
        <v>150.0</v>
      </c>
      <c r="N13622" s="9">
        <v>44918.0</v>
      </c>
    </row>
    <row r="13623">
      <c r="A13623" s="5">
        <v>13622.0</v>
      </c>
      <c r="B13623" s="5" t="s">
        <v>14022</v>
      </c>
      <c r="C13623" s="5" t="s">
        <v>21</v>
      </c>
      <c r="K13623" s="5">
        <v>40.0</v>
      </c>
      <c r="N13623" s="9">
        <v>45230.0</v>
      </c>
    </row>
    <row r="13624">
      <c r="A13624" s="5">
        <v>13623.0</v>
      </c>
      <c r="B13624" s="5" t="s">
        <v>14023</v>
      </c>
      <c r="C13624" s="5" t="s">
        <v>21</v>
      </c>
      <c r="K13624" s="5">
        <v>500.0</v>
      </c>
      <c r="N13624" s="9">
        <v>44553.0</v>
      </c>
    </row>
    <row r="13625">
      <c r="A13625" s="5">
        <v>13624.0</v>
      </c>
      <c r="B13625" s="5" t="s">
        <v>14024</v>
      </c>
      <c r="C13625" s="5" t="s">
        <v>21</v>
      </c>
      <c r="K13625" s="5">
        <v>350.0</v>
      </c>
      <c r="N13625" s="9">
        <v>44541.0</v>
      </c>
    </row>
    <row r="13626">
      <c r="A13626" s="5">
        <v>13625.0</v>
      </c>
      <c r="B13626" s="5" t="s">
        <v>14025</v>
      </c>
      <c r="C13626" s="5" t="s">
        <v>21</v>
      </c>
      <c r="K13626" s="5">
        <v>800.0</v>
      </c>
      <c r="N13626" s="9">
        <v>45782.0</v>
      </c>
    </row>
    <row r="13627">
      <c r="A13627" s="5">
        <v>13626.0</v>
      </c>
      <c r="B13627" s="5" t="s">
        <v>14026</v>
      </c>
      <c r="C13627" s="5" t="s">
        <v>21</v>
      </c>
      <c r="K13627" s="5">
        <v>350.0</v>
      </c>
      <c r="N13627" s="9">
        <v>44628.0</v>
      </c>
    </row>
    <row r="13628">
      <c r="A13628" s="5">
        <v>13627.0</v>
      </c>
      <c r="B13628" s="5" t="s">
        <v>14027</v>
      </c>
      <c r="C13628" s="5" t="s">
        <v>21</v>
      </c>
      <c r="K13628" s="5">
        <v>600.0</v>
      </c>
      <c r="N13628" s="9">
        <v>44562.0</v>
      </c>
    </row>
    <row r="13629">
      <c r="A13629" s="5">
        <v>13628.0</v>
      </c>
      <c r="B13629" s="5" t="s">
        <v>14028</v>
      </c>
      <c r="C13629" s="5" t="s">
        <v>21</v>
      </c>
      <c r="K13629" s="5">
        <v>250.0</v>
      </c>
      <c r="N13629" s="9">
        <v>44546.0</v>
      </c>
    </row>
    <row r="13630">
      <c r="A13630" s="5">
        <v>13629.0</v>
      </c>
      <c r="B13630" s="5" t="s">
        <v>14029</v>
      </c>
      <c r="C13630" s="5" t="s">
        <v>21</v>
      </c>
      <c r="K13630" s="5">
        <v>900.0</v>
      </c>
      <c r="N13630" s="9">
        <v>44477.0</v>
      </c>
    </row>
    <row r="13631">
      <c r="A13631" s="5">
        <v>13630.0</v>
      </c>
      <c r="B13631" s="5" t="s">
        <v>14030</v>
      </c>
      <c r="C13631" s="5" t="s">
        <v>21</v>
      </c>
      <c r="K13631" s="5">
        <v>4700.0</v>
      </c>
      <c r="N13631" s="9">
        <v>46093.0</v>
      </c>
    </row>
    <row r="13632">
      <c r="A13632" s="5">
        <v>13631.0</v>
      </c>
      <c r="B13632" s="5" t="s">
        <v>14031</v>
      </c>
      <c r="C13632" s="5" t="s">
        <v>21</v>
      </c>
      <c r="K13632" s="5">
        <v>90.0</v>
      </c>
      <c r="N13632" s="9">
        <v>45520.0</v>
      </c>
    </row>
    <row r="13633">
      <c r="A13633" s="5">
        <v>13632.0</v>
      </c>
      <c r="B13633" s="5" t="s">
        <v>14032</v>
      </c>
      <c r="C13633" s="5" t="s">
        <v>21</v>
      </c>
      <c r="K13633" s="5">
        <v>800.0</v>
      </c>
      <c r="N13633" s="9">
        <v>45069.0</v>
      </c>
    </row>
    <row r="13634">
      <c r="A13634" s="5">
        <v>13633.0</v>
      </c>
      <c r="B13634" s="5" t="s">
        <v>14033</v>
      </c>
      <c r="C13634" s="5" t="s">
        <v>21</v>
      </c>
      <c r="K13634" s="5">
        <v>150.0</v>
      </c>
      <c r="N13634" s="9">
        <v>44634.0</v>
      </c>
    </row>
    <row r="13635">
      <c r="A13635" s="5">
        <v>13634.0</v>
      </c>
      <c r="B13635" s="5" t="s">
        <v>14034</v>
      </c>
      <c r="C13635" s="5" t="s">
        <v>21</v>
      </c>
      <c r="K13635" s="5">
        <v>2200.0</v>
      </c>
      <c r="N13635" s="9">
        <v>44292.0</v>
      </c>
    </row>
    <row r="13636">
      <c r="A13636" s="5">
        <v>13635.0</v>
      </c>
      <c r="B13636" s="5" t="s">
        <v>14035</v>
      </c>
      <c r="C13636" s="5" t="s">
        <v>21</v>
      </c>
      <c r="K13636" s="5">
        <v>600.0</v>
      </c>
      <c r="N13636" s="9">
        <v>44532.0</v>
      </c>
    </row>
    <row r="13637">
      <c r="A13637" s="5">
        <v>13636.0</v>
      </c>
      <c r="B13637" s="5" t="s">
        <v>14036</v>
      </c>
      <c r="C13637" s="5" t="s">
        <v>21</v>
      </c>
      <c r="K13637" s="5">
        <v>30.0</v>
      </c>
      <c r="N13637" s="9">
        <v>45130.0</v>
      </c>
    </row>
    <row r="13638">
      <c r="A13638" s="5">
        <v>13637.0</v>
      </c>
      <c r="B13638" s="5" t="s">
        <v>14037</v>
      </c>
      <c r="C13638" s="5" t="s">
        <v>21</v>
      </c>
      <c r="K13638" s="5">
        <v>1900.0</v>
      </c>
      <c r="N13638" s="9">
        <v>44590.0</v>
      </c>
    </row>
    <row r="13639">
      <c r="A13639" s="5">
        <v>13638.0</v>
      </c>
      <c r="B13639" s="5" t="s">
        <v>14038</v>
      </c>
      <c r="C13639" s="5" t="s">
        <v>21</v>
      </c>
      <c r="K13639" s="5">
        <v>250.0</v>
      </c>
      <c r="N13639" s="9">
        <v>44751.0</v>
      </c>
    </row>
    <row r="13640">
      <c r="A13640" s="5">
        <v>13639.0</v>
      </c>
      <c r="B13640" s="5" t="s">
        <v>14039</v>
      </c>
      <c r="C13640" s="5" t="s">
        <v>21</v>
      </c>
      <c r="N13640" s="9">
        <v>44713.0</v>
      </c>
    </row>
    <row r="13641">
      <c r="A13641" s="5">
        <v>13640.0</v>
      </c>
      <c r="B13641" s="5" t="s">
        <v>14040</v>
      </c>
      <c r="C13641" s="5" t="s">
        <v>21</v>
      </c>
      <c r="K13641" s="5">
        <v>3100.0</v>
      </c>
      <c r="N13641" s="9">
        <v>44124.0</v>
      </c>
    </row>
    <row r="13642">
      <c r="A13642" s="5">
        <v>13641.0</v>
      </c>
      <c r="B13642" s="5" t="s">
        <v>14041</v>
      </c>
      <c r="C13642" s="5" t="s">
        <v>21</v>
      </c>
      <c r="K13642" s="5">
        <v>400.0</v>
      </c>
      <c r="N13642" s="9">
        <v>44527.0</v>
      </c>
    </row>
    <row r="13643">
      <c r="A13643" s="5">
        <v>13642.0</v>
      </c>
      <c r="B13643" s="5" t="s">
        <v>14042</v>
      </c>
      <c r="C13643" s="5" t="s">
        <v>21</v>
      </c>
      <c r="K13643" s="5">
        <v>500.0</v>
      </c>
      <c r="N13643" s="9">
        <v>44704.0</v>
      </c>
    </row>
    <row r="13644">
      <c r="A13644" s="5">
        <v>13643.0</v>
      </c>
      <c r="B13644" s="5" t="s">
        <v>14043</v>
      </c>
      <c r="C13644" s="5" t="s">
        <v>21</v>
      </c>
      <c r="K13644" s="5">
        <v>90.0</v>
      </c>
      <c r="N13644" s="9">
        <v>44897.0</v>
      </c>
    </row>
    <row r="13645">
      <c r="A13645" s="5">
        <v>13644.0</v>
      </c>
      <c r="B13645" s="5" t="s">
        <v>14044</v>
      </c>
      <c r="C13645" s="5" t="s">
        <v>21</v>
      </c>
      <c r="K13645" s="5">
        <v>350.0</v>
      </c>
      <c r="N13645" s="9">
        <v>44588.0</v>
      </c>
    </row>
    <row r="13646">
      <c r="A13646" s="5">
        <v>13645.0</v>
      </c>
      <c r="B13646" s="5" t="s">
        <v>14045</v>
      </c>
      <c r="C13646" s="5" t="s">
        <v>21</v>
      </c>
      <c r="K13646" s="5">
        <v>1700.0</v>
      </c>
      <c r="N13646" s="9">
        <v>45617.0</v>
      </c>
    </row>
    <row r="13647">
      <c r="A13647" s="5">
        <v>13646.0</v>
      </c>
      <c r="B13647" s="5" t="s">
        <v>14046</v>
      </c>
      <c r="C13647" s="5" t="s">
        <v>21</v>
      </c>
      <c r="K13647" s="5">
        <v>50.0</v>
      </c>
      <c r="N13647" s="9">
        <v>44673.0</v>
      </c>
    </row>
    <row r="13648">
      <c r="A13648" s="5">
        <v>13647.0</v>
      </c>
      <c r="B13648" s="5" t="s">
        <v>14047</v>
      </c>
      <c r="C13648" s="5" t="s">
        <v>21</v>
      </c>
      <c r="K13648" s="5">
        <v>600.0</v>
      </c>
      <c r="N13648" s="9">
        <v>44687.0</v>
      </c>
    </row>
    <row r="13649">
      <c r="A13649" s="5">
        <v>13648.0</v>
      </c>
      <c r="B13649" s="5" t="s">
        <v>14048</v>
      </c>
      <c r="C13649" s="5" t="s">
        <v>21</v>
      </c>
      <c r="K13649" s="5">
        <v>70.0</v>
      </c>
      <c r="N13649" s="9">
        <v>44175.0</v>
      </c>
    </row>
    <row r="13650">
      <c r="A13650" s="5">
        <v>13649.0</v>
      </c>
      <c r="B13650" s="5" t="s">
        <v>14049</v>
      </c>
      <c r="C13650" s="5" t="s">
        <v>21</v>
      </c>
      <c r="K13650" s="5">
        <v>30.0</v>
      </c>
      <c r="N13650" s="9">
        <v>44524.0</v>
      </c>
    </row>
    <row r="13651">
      <c r="A13651" s="5">
        <v>13650.0</v>
      </c>
      <c r="B13651" s="5" t="s">
        <v>14050</v>
      </c>
      <c r="C13651" s="5" t="s">
        <v>21</v>
      </c>
      <c r="K13651" s="5">
        <v>100.0</v>
      </c>
      <c r="N13651" s="9">
        <v>43914.0</v>
      </c>
    </row>
    <row r="13652">
      <c r="A13652" s="5">
        <v>13651.0</v>
      </c>
      <c r="B13652" s="5" t="s">
        <v>14051</v>
      </c>
      <c r="C13652" s="5" t="s">
        <v>21</v>
      </c>
      <c r="K13652" s="5">
        <v>2100.0</v>
      </c>
      <c r="N13652" s="9">
        <v>44795.0</v>
      </c>
    </row>
    <row r="13653">
      <c r="A13653" s="5">
        <v>13652.0</v>
      </c>
      <c r="B13653" s="5" t="s">
        <v>14052</v>
      </c>
      <c r="C13653" s="5" t="s">
        <v>21</v>
      </c>
      <c r="K13653" s="5">
        <v>5000.0</v>
      </c>
      <c r="N13653" s="9">
        <v>44046.0</v>
      </c>
    </row>
    <row r="13654">
      <c r="A13654" s="5">
        <v>13653.0</v>
      </c>
      <c r="B13654" s="5" t="s">
        <v>14053</v>
      </c>
      <c r="C13654" s="5" t="s">
        <v>21</v>
      </c>
      <c r="K13654" s="5">
        <v>800.0</v>
      </c>
      <c r="N13654" s="9">
        <v>44905.0</v>
      </c>
    </row>
    <row r="13655">
      <c r="A13655" s="5">
        <v>13654.0</v>
      </c>
      <c r="B13655" s="5" t="s">
        <v>14054</v>
      </c>
      <c r="C13655" s="5" t="s">
        <v>21</v>
      </c>
      <c r="K13655" s="5">
        <v>200.0</v>
      </c>
      <c r="N13655" s="9">
        <v>44847.0</v>
      </c>
    </row>
    <row r="13656">
      <c r="A13656" s="5">
        <v>13655.0</v>
      </c>
      <c r="B13656" s="5" t="s">
        <v>14055</v>
      </c>
      <c r="C13656" s="5" t="s">
        <v>21</v>
      </c>
      <c r="K13656" s="5">
        <v>150.0</v>
      </c>
      <c r="N13656" s="9">
        <v>44975.0</v>
      </c>
    </row>
    <row r="13657">
      <c r="A13657" s="5">
        <v>13656.0</v>
      </c>
      <c r="B13657" s="5" t="s">
        <v>14056</v>
      </c>
      <c r="C13657" s="5" t="s">
        <v>21</v>
      </c>
      <c r="K13657" s="5">
        <v>200.0</v>
      </c>
      <c r="N13657" s="9">
        <v>44182.0</v>
      </c>
    </row>
    <row r="13658">
      <c r="A13658" s="5">
        <v>13657.0</v>
      </c>
      <c r="B13658" s="5" t="s">
        <v>14057</v>
      </c>
      <c r="C13658" s="5" t="s">
        <v>21</v>
      </c>
      <c r="K13658" s="5">
        <v>5000.0</v>
      </c>
      <c r="N13658" s="9">
        <v>44054.0</v>
      </c>
    </row>
    <row r="13659">
      <c r="A13659" s="5">
        <v>13658.0</v>
      </c>
      <c r="B13659" s="5" t="s">
        <v>14058</v>
      </c>
      <c r="C13659" s="5" t="s">
        <v>21</v>
      </c>
      <c r="K13659" s="5">
        <v>1200.0</v>
      </c>
      <c r="N13659" s="9">
        <v>44468.0</v>
      </c>
    </row>
    <row r="13660">
      <c r="A13660" s="5">
        <v>13659.0</v>
      </c>
      <c r="B13660" s="5" t="s">
        <v>14059</v>
      </c>
      <c r="C13660" s="5" t="s">
        <v>21</v>
      </c>
      <c r="K13660" s="5">
        <v>1100.0</v>
      </c>
      <c r="N13660" s="9">
        <v>44545.0</v>
      </c>
    </row>
    <row r="13661">
      <c r="A13661" s="5">
        <v>13660.0</v>
      </c>
      <c r="B13661" s="5" t="s">
        <v>14060</v>
      </c>
      <c r="C13661" s="5" t="s">
        <v>21</v>
      </c>
      <c r="K13661" s="5">
        <v>450.0</v>
      </c>
      <c r="N13661" s="9">
        <v>44533.0</v>
      </c>
    </row>
    <row r="13662">
      <c r="A13662" s="5">
        <v>13661.0</v>
      </c>
      <c r="B13662" s="5" t="s">
        <v>14061</v>
      </c>
      <c r="C13662" s="5" t="s">
        <v>21</v>
      </c>
      <c r="K13662" s="5">
        <v>200.0</v>
      </c>
      <c r="N13662" s="9">
        <v>45462.0</v>
      </c>
    </row>
    <row r="13663">
      <c r="A13663" s="5">
        <v>13662.0</v>
      </c>
      <c r="B13663" s="5" t="s">
        <v>14062</v>
      </c>
      <c r="C13663" s="5" t="s">
        <v>21</v>
      </c>
      <c r="K13663" s="5">
        <v>60.0</v>
      </c>
      <c r="N13663" s="9">
        <v>44528.0</v>
      </c>
    </row>
    <row r="13664">
      <c r="A13664" s="5">
        <v>13663.0</v>
      </c>
      <c r="B13664" s="5" t="s">
        <v>14063</v>
      </c>
      <c r="C13664" s="5" t="s">
        <v>21</v>
      </c>
      <c r="N13664" s="9">
        <v>44688.0</v>
      </c>
    </row>
    <row r="13665">
      <c r="A13665" s="5">
        <v>13664.0</v>
      </c>
      <c r="B13665" s="5" t="s">
        <v>14064</v>
      </c>
      <c r="C13665" s="5" t="s">
        <v>21</v>
      </c>
      <c r="K13665" s="5">
        <v>1200.0</v>
      </c>
      <c r="N13665" s="9">
        <v>43980.0</v>
      </c>
    </row>
    <row r="13666">
      <c r="A13666" s="5">
        <v>13665.0</v>
      </c>
      <c r="B13666" s="5" t="s">
        <v>14065</v>
      </c>
      <c r="C13666" s="5" t="s">
        <v>21</v>
      </c>
      <c r="K13666" s="5">
        <v>250.0</v>
      </c>
      <c r="N13666" s="9">
        <v>44408.0</v>
      </c>
    </row>
    <row r="13667">
      <c r="A13667" s="5">
        <v>13666.0</v>
      </c>
      <c r="B13667" s="5" t="s">
        <v>14066</v>
      </c>
      <c r="C13667" s="5" t="s">
        <v>21</v>
      </c>
      <c r="K13667" s="5">
        <v>2700.0</v>
      </c>
      <c r="N13667" s="9">
        <v>44485.0</v>
      </c>
    </row>
    <row r="13668">
      <c r="A13668" s="5">
        <v>13667.0</v>
      </c>
      <c r="B13668" s="5" t="s">
        <v>14067</v>
      </c>
      <c r="C13668" s="5" t="s">
        <v>21</v>
      </c>
      <c r="K13668" s="5">
        <v>350.0</v>
      </c>
      <c r="N13668" s="9">
        <v>45551.0</v>
      </c>
    </row>
    <row r="13669">
      <c r="A13669" s="5">
        <v>13668.0</v>
      </c>
      <c r="B13669" s="5" t="s">
        <v>14068</v>
      </c>
      <c r="C13669" s="5" t="s">
        <v>21</v>
      </c>
      <c r="N13669" s="9">
        <v>44523.0</v>
      </c>
    </row>
    <row r="13670">
      <c r="A13670" s="5">
        <v>13669.0</v>
      </c>
      <c r="B13670" s="5" t="s">
        <v>14069</v>
      </c>
      <c r="C13670" s="5" t="s">
        <v>21</v>
      </c>
      <c r="K13670" s="5">
        <v>300.0</v>
      </c>
      <c r="N13670" s="9">
        <v>44522.0</v>
      </c>
    </row>
    <row r="13671">
      <c r="A13671" s="5">
        <v>13670.0</v>
      </c>
      <c r="B13671" s="5" t="s">
        <v>14070</v>
      </c>
      <c r="C13671" s="5" t="s">
        <v>21</v>
      </c>
      <c r="K13671" s="5">
        <v>800.0</v>
      </c>
      <c r="N13671" s="9">
        <v>44372.0</v>
      </c>
    </row>
    <row r="13672">
      <c r="A13672" s="5">
        <v>13671.0</v>
      </c>
      <c r="B13672" s="5" t="s">
        <v>14071</v>
      </c>
      <c r="C13672" s="5" t="s">
        <v>21</v>
      </c>
      <c r="K13672" s="5">
        <v>60.0</v>
      </c>
      <c r="N13672" s="9">
        <v>44782.0</v>
      </c>
    </row>
    <row r="13673">
      <c r="A13673" s="5">
        <v>13672.0</v>
      </c>
      <c r="B13673" s="5" t="s">
        <v>14072</v>
      </c>
      <c r="C13673" s="5" t="s">
        <v>21</v>
      </c>
      <c r="K13673" s="5">
        <v>100.0</v>
      </c>
      <c r="N13673" s="9">
        <v>44703.0</v>
      </c>
    </row>
    <row r="13674">
      <c r="A13674" s="5">
        <v>13673.0</v>
      </c>
      <c r="B13674" s="5" t="s">
        <v>418</v>
      </c>
      <c r="C13674" s="5" t="s">
        <v>21</v>
      </c>
      <c r="K13674" s="5">
        <v>400.0</v>
      </c>
      <c r="N13674" s="9">
        <v>44768.0</v>
      </c>
    </row>
    <row r="13675">
      <c r="A13675" s="5">
        <v>13674.0</v>
      </c>
      <c r="B13675" s="5" t="s">
        <v>14073</v>
      </c>
      <c r="C13675" s="5" t="s">
        <v>21</v>
      </c>
      <c r="K13675" s="5">
        <v>1100.0</v>
      </c>
      <c r="N13675" s="9">
        <v>44177.0</v>
      </c>
    </row>
    <row r="13676">
      <c r="A13676" s="5">
        <v>13675.0</v>
      </c>
      <c r="B13676" s="5" t="s">
        <v>14074</v>
      </c>
      <c r="C13676" s="5" t="s">
        <v>21</v>
      </c>
      <c r="K13676" s="5">
        <v>200.0</v>
      </c>
      <c r="N13676" s="9">
        <v>44568.0</v>
      </c>
    </row>
    <row r="13677">
      <c r="A13677" s="5">
        <v>13676.0</v>
      </c>
      <c r="B13677" s="5" t="s">
        <v>14075</v>
      </c>
      <c r="C13677" s="5" t="s">
        <v>21</v>
      </c>
      <c r="K13677" s="5">
        <v>150.0</v>
      </c>
      <c r="N13677" s="9">
        <v>44850.0</v>
      </c>
    </row>
    <row r="13678">
      <c r="A13678" s="5">
        <v>13677.0</v>
      </c>
      <c r="B13678" s="5" t="s">
        <v>14076</v>
      </c>
      <c r="C13678" s="5" t="s">
        <v>21</v>
      </c>
      <c r="K13678" s="5">
        <v>500.0</v>
      </c>
      <c r="N13678" s="9">
        <v>44171.0</v>
      </c>
    </row>
    <row r="13679">
      <c r="A13679" s="5">
        <v>13678.0</v>
      </c>
      <c r="B13679" s="5" t="s">
        <v>14077</v>
      </c>
      <c r="C13679" s="5" t="s">
        <v>21</v>
      </c>
      <c r="K13679" s="5">
        <v>400.0</v>
      </c>
      <c r="N13679" s="9">
        <v>44982.0</v>
      </c>
    </row>
    <row r="13680">
      <c r="A13680" s="5">
        <v>13679.0</v>
      </c>
      <c r="B13680" s="5" t="s">
        <v>14078</v>
      </c>
      <c r="C13680" s="5" t="s">
        <v>21</v>
      </c>
      <c r="K13680" s="5">
        <v>1500.0</v>
      </c>
      <c r="N13680" s="9">
        <v>44658.0</v>
      </c>
    </row>
    <row r="13681">
      <c r="A13681" s="5">
        <v>13680.0</v>
      </c>
      <c r="B13681" s="5" t="s">
        <v>14079</v>
      </c>
      <c r="C13681" s="5" t="s">
        <v>21</v>
      </c>
      <c r="K13681" s="5">
        <v>350.0</v>
      </c>
      <c r="N13681" s="9">
        <v>44520.0</v>
      </c>
    </row>
    <row r="13682">
      <c r="A13682" s="5">
        <v>13681.0</v>
      </c>
      <c r="B13682" s="5" t="s">
        <v>14080</v>
      </c>
      <c r="C13682" s="5" t="s">
        <v>21</v>
      </c>
      <c r="K13682" s="5">
        <v>1100.0</v>
      </c>
      <c r="N13682" s="9">
        <v>43877.0</v>
      </c>
    </row>
    <row r="13683">
      <c r="A13683" s="5">
        <v>13682.0</v>
      </c>
      <c r="B13683" s="5" t="s">
        <v>14081</v>
      </c>
      <c r="C13683" s="5" t="s">
        <v>21</v>
      </c>
      <c r="K13683" s="5">
        <v>900.0</v>
      </c>
      <c r="N13683" s="9">
        <v>44576.0</v>
      </c>
    </row>
    <row r="13684">
      <c r="A13684" s="5">
        <v>13683.0</v>
      </c>
      <c r="B13684" s="5" t="s">
        <v>14082</v>
      </c>
      <c r="C13684" s="5" t="s">
        <v>21</v>
      </c>
      <c r="K13684" s="5">
        <v>600.0</v>
      </c>
      <c r="N13684" s="9">
        <v>44627.0</v>
      </c>
    </row>
    <row r="13685">
      <c r="A13685" s="5">
        <v>13684.0</v>
      </c>
      <c r="B13685" s="5" t="s">
        <v>14083</v>
      </c>
      <c r="C13685" s="5" t="s">
        <v>21</v>
      </c>
      <c r="K13685" s="5">
        <v>60.0</v>
      </c>
      <c r="N13685" s="9">
        <v>44721.0</v>
      </c>
    </row>
    <row r="13686">
      <c r="A13686" s="5">
        <v>13685.0</v>
      </c>
      <c r="B13686" s="5" t="s">
        <v>14084</v>
      </c>
      <c r="C13686" s="5" t="s">
        <v>21</v>
      </c>
      <c r="K13686" s="5">
        <v>350.0</v>
      </c>
      <c r="N13686" s="9">
        <v>44987.0</v>
      </c>
    </row>
    <row r="13687">
      <c r="A13687" s="5">
        <v>13686.0</v>
      </c>
      <c r="B13687" s="5" t="s">
        <v>14085</v>
      </c>
      <c r="C13687" s="5" t="s">
        <v>21</v>
      </c>
      <c r="K13687" s="5">
        <v>500.0</v>
      </c>
      <c r="N13687" s="9">
        <v>45096.0</v>
      </c>
    </row>
    <row r="13688">
      <c r="A13688" s="5">
        <v>13687.0</v>
      </c>
      <c r="B13688" s="5" t="s">
        <v>14086</v>
      </c>
      <c r="C13688" s="5" t="s">
        <v>21</v>
      </c>
      <c r="K13688" s="5">
        <v>200.0</v>
      </c>
      <c r="N13688" s="9">
        <v>44555.0</v>
      </c>
    </row>
    <row r="13689">
      <c r="A13689" s="5">
        <v>13688.0</v>
      </c>
      <c r="B13689" s="5" t="s">
        <v>14087</v>
      </c>
      <c r="C13689" s="5" t="s">
        <v>21</v>
      </c>
      <c r="K13689" s="5">
        <v>30.0</v>
      </c>
      <c r="N13689" s="9">
        <v>45059.0</v>
      </c>
    </row>
    <row r="13690">
      <c r="A13690" s="5">
        <v>13689.0</v>
      </c>
      <c r="B13690" s="5" t="s">
        <v>14088</v>
      </c>
      <c r="C13690" s="5" t="s">
        <v>21</v>
      </c>
      <c r="K13690" s="5">
        <v>500.0</v>
      </c>
      <c r="N13690" s="9">
        <v>44766.0</v>
      </c>
    </row>
    <row r="13691">
      <c r="A13691" s="5">
        <v>13690.0</v>
      </c>
      <c r="B13691" s="5" t="s">
        <v>14089</v>
      </c>
      <c r="C13691" s="5" t="s">
        <v>21</v>
      </c>
      <c r="K13691" s="5">
        <v>40.0</v>
      </c>
      <c r="N13691" s="9">
        <v>44462.0</v>
      </c>
    </row>
    <row r="13692">
      <c r="A13692" s="5">
        <v>13691.0</v>
      </c>
      <c r="B13692" s="5" t="s">
        <v>14090</v>
      </c>
      <c r="C13692" s="5" t="s">
        <v>21</v>
      </c>
      <c r="K13692" s="5">
        <v>200.0</v>
      </c>
      <c r="N13692" s="9">
        <v>43945.0</v>
      </c>
    </row>
    <row r="13693">
      <c r="A13693" s="5">
        <v>13692.0</v>
      </c>
      <c r="B13693" s="5" t="s">
        <v>14091</v>
      </c>
      <c r="C13693" s="5" t="s">
        <v>21</v>
      </c>
      <c r="K13693" s="5">
        <v>40.0</v>
      </c>
      <c r="N13693" s="9">
        <v>44945.0</v>
      </c>
    </row>
    <row r="13694">
      <c r="A13694" s="5">
        <v>13693.0</v>
      </c>
      <c r="B13694" s="5" t="s">
        <v>14092</v>
      </c>
      <c r="C13694" s="5" t="s">
        <v>21</v>
      </c>
      <c r="K13694" s="5">
        <v>90.0</v>
      </c>
      <c r="N13694" s="9">
        <v>44990.0</v>
      </c>
    </row>
    <row r="13695">
      <c r="A13695" s="5">
        <v>13694.0</v>
      </c>
      <c r="B13695" s="5" t="s">
        <v>422</v>
      </c>
      <c r="C13695" s="5" t="s">
        <v>21</v>
      </c>
      <c r="K13695" s="5">
        <v>5800.0</v>
      </c>
      <c r="N13695" s="9">
        <v>43925.0</v>
      </c>
    </row>
    <row r="13696">
      <c r="A13696" s="5">
        <v>13695.0</v>
      </c>
      <c r="B13696" s="5" t="s">
        <v>14093</v>
      </c>
      <c r="C13696" s="5" t="s">
        <v>21</v>
      </c>
      <c r="K13696" s="5">
        <v>90.0</v>
      </c>
      <c r="N13696" s="9">
        <v>44623.0</v>
      </c>
    </row>
    <row r="13697">
      <c r="A13697" s="5">
        <v>13696.0</v>
      </c>
      <c r="B13697" s="5" t="s">
        <v>14094</v>
      </c>
      <c r="C13697" s="5" t="s">
        <v>21</v>
      </c>
      <c r="K13697" s="5">
        <v>500.0</v>
      </c>
      <c r="N13697" s="9">
        <v>44531.0</v>
      </c>
    </row>
    <row r="13698">
      <c r="A13698" s="5">
        <v>13697.0</v>
      </c>
      <c r="B13698" s="5" t="s">
        <v>14095</v>
      </c>
      <c r="C13698" s="5" t="s">
        <v>21</v>
      </c>
      <c r="K13698" s="5">
        <v>300.0</v>
      </c>
      <c r="N13698" s="9">
        <v>44067.0</v>
      </c>
    </row>
    <row r="13699">
      <c r="A13699" s="5">
        <v>13698.0</v>
      </c>
      <c r="B13699" s="5" t="s">
        <v>14096</v>
      </c>
      <c r="C13699" s="5" t="s">
        <v>21</v>
      </c>
      <c r="K13699" s="5">
        <v>40.0</v>
      </c>
      <c r="N13699" s="9">
        <v>45236.0</v>
      </c>
    </row>
    <row r="13700">
      <c r="A13700" s="5">
        <v>13699.0</v>
      </c>
      <c r="B13700" s="5" t="s">
        <v>14097</v>
      </c>
      <c r="C13700" s="5" t="s">
        <v>21</v>
      </c>
      <c r="K13700" s="5">
        <v>20.0</v>
      </c>
      <c r="N13700" s="9">
        <v>44606.0</v>
      </c>
    </row>
    <row r="13701">
      <c r="A13701" s="5">
        <v>13700.0</v>
      </c>
      <c r="B13701" s="5" t="s">
        <v>14098</v>
      </c>
      <c r="C13701" s="5" t="s">
        <v>21</v>
      </c>
      <c r="K13701" s="5">
        <v>400.0</v>
      </c>
      <c r="N13701" s="9">
        <v>44693.0</v>
      </c>
    </row>
    <row r="13702">
      <c r="A13702" s="5">
        <v>13701.0</v>
      </c>
      <c r="B13702" s="5" t="s">
        <v>14099</v>
      </c>
      <c r="C13702" s="5" t="s">
        <v>21</v>
      </c>
      <c r="K13702" s="5">
        <v>1000.0</v>
      </c>
      <c r="N13702" s="9">
        <v>44534.0</v>
      </c>
    </row>
    <row r="13703">
      <c r="A13703" s="5">
        <v>13702.0</v>
      </c>
      <c r="B13703" s="5" t="s">
        <v>14100</v>
      </c>
      <c r="C13703" s="5" t="s">
        <v>21</v>
      </c>
      <c r="K13703" s="5">
        <v>250.0</v>
      </c>
      <c r="N13703" s="9">
        <v>44749.0</v>
      </c>
    </row>
    <row r="13704">
      <c r="A13704" s="5">
        <v>13703.0</v>
      </c>
      <c r="B13704" s="5" t="s">
        <v>14101</v>
      </c>
      <c r="C13704" s="5" t="s">
        <v>21</v>
      </c>
      <c r="K13704" s="5">
        <v>1900.0</v>
      </c>
      <c r="N13704" s="9">
        <v>44520.0</v>
      </c>
    </row>
    <row r="13705">
      <c r="A13705" s="5">
        <v>13704.0</v>
      </c>
      <c r="B13705" s="5" t="s">
        <v>14102</v>
      </c>
      <c r="C13705" s="5" t="s">
        <v>21</v>
      </c>
      <c r="K13705" s="5">
        <v>350.0</v>
      </c>
      <c r="N13705" s="9">
        <v>45562.0</v>
      </c>
    </row>
    <row r="13706">
      <c r="A13706" s="5">
        <v>13705.0</v>
      </c>
      <c r="B13706" s="5" t="s">
        <v>14103</v>
      </c>
      <c r="C13706" s="5" t="s">
        <v>21</v>
      </c>
      <c r="K13706" s="5">
        <v>200.0</v>
      </c>
      <c r="N13706" s="9">
        <v>44619.0</v>
      </c>
    </row>
    <row r="13707">
      <c r="A13707" s="5">
        <v>13706.0</v>
      </c>
      <c r="B13707" s="5" t="s">
        <v>14104</v>
      </c>
      <c r="C13707" s="5" t="s">
        <v>21</v>
      </c>
      <c r="N13707" s="9">
        <v>44609.0</v>
      </c>
    </row>
    <row r="13708">
      <c r="A13708" s="5">
        <v>13707.0</v>
      </c>
      <c r="B13708" s="5" t="s">
        <v>14105</v>
      </c>
      <c r="C13708" s="5" t="s">
        <v>21</v>
      </c>
      <c r="K13708" s="5">
        <v>20.0</v>
      </c>
      <c r="N13708" s="9">
        <v>45386.0</v>
      </c>
    </row>
    <row r="13709">
      <c r="A13709" s="5">
        <v>13708.0</v>
      </c>
      <c r="B13709" s="5" t="s">
        <v>14106</v>
      </c>
      <c r="C13709" s="5" t="s">
        <v>21</v>
      </c>
      <c r="K13709" s="5">
        <v>800.0</v>
      </c>
      <c r="N13709" s="9">
        <v>45039.0</v>
      </c>
    </row>
    <row r="13710">
      <c r="A13710" s="5">
        <v>13709.0</v>
      </c>
      <c r="B13710" s="5" t="s">
        <v>14107</v>
      </c>
      <c r="C13710" s="5" t="s">
        <v>21</v>
      </c>
      <c r="K13710" s="5">
        <v>150.0</v>
      </c>
      <c r="N13710" s="9">
        <v>43894.0</v>
      </c>
    </row>
    <row r="13711">
      <c r="A13711" s="5">
        <v>13710.0</v>
      </c>
      <c r="B13711" s="5" t="s">
        <v>14108</v>
      </c>
      <c r="C13711" s="5" t="s">
        <v>21</v>
      </c>
      <c r="K13711" s="5">
        <v>400.0</v>
      </c>
      <c r="N13711" s="9">
        <v>44257.0</v>
      </c>
    </row>
    <row r="13712">
      <c r="A13712" s="5">
        <v>13711.0</v>
      </c>
      <c r="B13712" s="5" t="s">
        <v>14109</v>
      </c>
      <c r="C13712" s="5" t="s">
        <v>21</v>
      </c>
      <c r="K13712" s="5">
        <v>150.0</v>
      </c>
      <c r="N13712" s="9">
        <v>44615.0</v>
      </c>
    </row>
    <row r="13713">
      <c r="A13713" s="5">
        <v>13712.0</v>
      </c>
      <c r="B13713" s="5" t="s">
        <v>14110</v>
      </c>
      <c r="C13713" s="5" t="s">
        <v>21</v>
      </c>
      <c r="K13713" s="5">
        <v>2000.0</v>
      </c>
      <c r="N13713" s="9">
        <v>44573.0</v>
      </c>
    </row>
    <row r="13714">
      <c r="A13714" s="5">
        <v>13713.0</v>
      </c>
      <c r="B13714" s="5" t="s">
        <v>14111</v>
      </c>
      <c r="C13714" s="5" t="s">
        <v>21</v>
      </c>
      <c r="K13714" s="5">
        <v>3700.0</v>
      </c>
      <c r="N13714" s="9">
        <v>43940.0</v>
      </c>
    </row>
    <row r="13715">
      <c r="A13715" s="5">
        <v>13714.0</v>
      </c>
      <c r="B13715" s="5" t="s">
        <v>14112</v>
      </c>
      <c r="C13715" s="5" t="s">
        <v>21</v>
      </c>
      <c r="K13715" s="5">
        <v>10.0</v>
      </c>
      <c r="N13715" s="9">
        <v>44381.0</v>
      </c>
    </row>
    <row r="13716">
      <c r="A13716" s="5">
        <v>13715.0</v>
      </c>
      <c r="B13716" s="5" t="s">
        <v>14113</v>
      </c>
      <c r="C13716" s="5" t="s">
        <v>21</v>
      </c>
      <c r="K13716" s="5">
        <v>400.0</v>
      </c>
      <c r="N13716" s="9">
        <v>44274.0</v>
      </c>
    </row>
    <row r="13717">
      <c r="A13717" s="5">
        <v>13716.0</v>
      </c>
      <c r="B13717" s="5" t="s">
        <v>14114</v>
      </c>
      <c r="C13717" s="5" t="s">
        <v>21</v>
      </c>
      <c r="K13717" s="5">
        <v>600.0</v>
      </c>
      <c r="N13717" s="9">
        <v>44105.0</v>
      </c>
    </row>
    <row r="13718">
      <c r="A13718" s="5">
        <v>13717.0</v>
      </c>
      <c r="B13718" s="5" t="s">
        <v>14115</v>
      </c>
      <c r="C13718" s="5" t="s">
        <v>21</v>
      </c>
      <c r="K13718" s="5">
        <v>300.0</v>
      </c>
      <c r="N13718" s="9">
        <v>44795.0</v>
      </c>
    </row>
    <row r="13719">
      <c r="A13719" s="5">
        <v>13718.0</v>
      </c>
      <c r="B13719" s="5" t="s">
        <v>14116</v>
      </c>
      <c r="C13719" s="5" t="s">
        <v>21</v>
      </c>
      <c r="K13719" s="5">
        <v>60.0</v>
      </c>
      <c r="N13719" s="9">
        <v>44582.0</v>
      </c>
    </row>
    <row r="13720">
      <c r="A13720" s="5">
        <v>13719.0</v>
      </c>
      <c r="B13720" s="5" t="s">
        <v>14117</v>
      </c>
      <c r="C13720" s="5" t="s">
        <v>21</v>
      </c>
      <c r="K13720" s="5">
        <v>500.0</v>
      </c>
      <c r="N13720" s="9">
        <v>44250.0</v>
      </c>
    </row>
    <row r="13721">
      <c r="A13721" s="5">
        <v>13720.0</v>
      </c>
      <c r="B13721" s="5" t="s">
        <v>14118</v>
      </c>
      <c r="C13721" s="5" t="s">
        <v>21</v>
      </c>
      <c r="K13721" s="5">
        <v>30.0</v>
      </c>
      <c r="N13721" s="9">
        <v>44615.0</v>
      </c>
    </row>
    <row r="13722">
      <c r="A13722" s="5">
        <v>13721.0</v>
      </c>
      <c r="B13722" s="5" t="s">
        <v>14119</v>
      </c>
      <c r="C13722" s="5" t="s">
        <v>21</v>
      </c>
      <c r="K13722" s="5">
        <v>4300.0</v>
      </c>
      <c r="N13722" s="9">
        <v>44413.0</v>
      </c>
    </row>
    <row r="13723">
      <c r="A13723" s="5">
        <v>13722.0</v>
      </c>
      <c r="B13723" s="5" t="s">
        <v>14120</v>
      </c>
      <c r="C13723" s="5" t="s">
        <v>21</v>
      </c>
      <c r="K13723" s="5">
        <v>150.0</v>
      </c>
      <c r="N13723" s="9">
        <v>44638.0</v>
      </c>
    </row>
    <row r="13724">
      <c r="A13724" s="5">
        <v>13723.0</v>
      </c>
      <c r="B13724" s="5" t="s">
        <v>495</v>
      </c>
      <c r="C13724" s="5" t="s">
        <v>21</v>
      </c>
      <c r="K13724" s="5">
        <v>90.0</v>
      </c>
      <c r="N13724" s="9">
        <v>44257.0</v>
      </c>
    </row>
  </sheetData>
  <autoFilter ref="$A$1:$O$104"/>
  <hyperlinks>
    <hyperlink r:id="rId1" ref="B307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46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19</v>
      </c>
      <c r="C2" s="5" t="s">
        <v>21</v>
      </c>
      <c r="I2" s="8"/>
      <c r="K2" s="5">
        <v>2200.0</v>
      </c>
      <c r="N2" s="9">
        <v>44555.0</v>
      </c>
    </row>
    <row r="3">
      <c r="A3" s="5">
        <v>2.0</v>
      </c>
      <c r="B3" s="5" t="s">
        <v>31</v>
      </c>
      <c r="C3" s="5" t="s">
        <v>21</v>
      </c>
      <c r="I3" s="8"/>
      <c r="K3" s="5">
        <v>3000.0</v>
      </c>
      <c r="N3" s="9">
        <v>45143.0</v>
      </c>
    </row>
    <row r="4">
      <c r="A4" s="5">
        <v>3.0</v>
      </c>
      <c r="B4" s="5" t="s">
        <v>33</v>
      </c>
      <c r="C4" s="5" t="s">
        <v>21</v>
      </c>
      <c r="I4" s="8"/>
      <c r="K4" s="5">
        <v>3100.0</v>
      </c>
      <c r="N4" s="9">
        <v>44670.0</v>
      </c>
    </row>
    <row r="5">
      <c r="A5" s="5">
        <v>4.0</v>
      </c>
      <c r="B5" s="5" t="s">
        <v>34</v>
      </c>
      <c r="C5" s="5" t="s">
        <v>21</v>
      </c>
      <c r="I5" s="8"/>
      <c r="K5" s="5">
        <v>20.0</v>
      </c>
      <c r="N5" s="9">
        <v>45327.0</v>
      </c>
    </row>
    <row r="6">
      <c r="A6" s="5">
        <v>5.0</v>
      </c>
      <c r="B6" s="5" t="s">
        <v>37</v>
      </c>
      <c r="C6" s="5" t="s">
        <v>21</v>
      </c>
      <c r="K6" s="5">
        <v>100.0</v>
      </c>
      <c r="N6" s="9">
        <v>44346.0</v>
      </c>
    </row>
    <row r="7">
      <c r="A7" s="5">
        <v>6.0</v>
      </c>
      <c r="B7" s="5" t="s">
        <v>39</v>
      </c>
      <c r="C7" s="5" t="s">
        <v>21</v>
      </c>
      <c r="I7" s="8"/>
      <c r="K7" s="5">
        <v>30.0</v>
      </c>
      <c r="N7" s="9">
        <v>44667.0</v>
      </c>
    </row>
    <row r="8">
      <c r="A8" s="5">
        <v>7.0</v>
      </c>
      <c r="B8" s="5" t="s">
        <v>41</v>
      </c>
      <c r="C8" s="5" t="s">
        <v>21</v>
      </c>
      <c r="I8" s="8"/>
      <c r="K8" s="5">
        <v>200.0</v>
      </c>
      <c r="N8" s="9">
        <v>45100.0</v>
      </c>
    </row>
    <row r="9">
      <c r="A9" s="5">
        <v>8.0</v>
      </c>
      <c r="B9" s="5" t="s">
        <v>43</v>
      </c>
      <c r="C9" s="5" t="s">
        <v>21</v>
      </c>
      <c r="I9" s="8"/>
      <c r="K9" s="5">
        <v>200.0</v>
      </c>
      <c r="N9" s="9">
        <v>44381.0</v>
      </c>
    </row>
    <row r="10">
      <c r="A10" s="5">
        <v>9.0</v>
      </c>
      <c r="B10" s="5" t="s">
        <v>44</v>
      </c>
      <c r="C10" s="5" t="s">
        <v>21</v>
      </c>
      <c r="I10" s="8"/>
      <c r="K10" s="5">
        <v>800.0</v>
      </c>
      <c r="N10" s="9">
        <v>44626.0</v>
      </c>
    </row>
    <row r="11">
      <c r="A11" s="5">
        <v>10.0</v>
      </c>
      <c r="B11" s="5" t="s">
        <v>46</v>
      </c>
      <c r="C11" s="5" t="s">
        <v>21</v>
      </c>
      <c r="I11" s="8"/>
      <c r="K11" s="5">
        <v>20.0</v>
      </c>
      <c r="N11" s="9">
        <v>44530.0</v>
      </c>
    </row>
    <row r="12">
      <c r="A12" s="5">
        <v>11.0</v>
      </c>
      <c r="B12" s="5" t="s">
        <v>49</v>
      </c>
      <c r="C12" s="5" t="s">
        <v>21</v>
      </c>
      <c r="I12" s="8"/>
      <c r="K12" s="5">
        <v>1100.0</v>
      </c>
      <c r="N12" s="9">
        <v>44833.0</v>
      </c>
    </row>
    <row r="13">
      <c r="A13" s="5">
        <v>12.0</v>
      </c>
      <c r="B13" s="5" t="s">
        <v>51</v>
      </c>
      <c r="C13" s="5" t="s">
        <v>21</v>
      </c>
      <c r="I13" s="8"/>
      <c r="K13" s="5">
        <v>60.0</v>
      </c>
      <c r="N13" s="9">
        <v>44360.0</v>
      </c>
    </row>
    <row r="14">
      <c r="A14" s="5">
        <v>13.0</v>
      </c>
      <c r="B14" s="5" t="s">
        <v>56</v>
      </c>
      <c r="C14" s="5" t="s">
        <v>21</v>
      </c>
      <c r="I14" s="8"/>
      <c r="K14" s="5">
        <v>800.0</v>
      </c>
      <c r="N14" s="9">
        <v>44777.0</v>
      </c>
    </row>
    <row r="15">
      <c r="A15" s="5">
        <v>14.0</v>
      </c>
      <c r="B15" s="5" t="s">
        <v>58</v>
      </c>
      <c r="C15" s="5" t="s">
        <v>21</v>
      </c>
      <c r="I15" s="8"/>
      <c r="K15" s="5">
        <v>30.0</v>
      </c>
      <c r="N15" s="9">
        <v>45591.0</v>
      </c>
    </row>
    <row r="16">
      <c r="A16" s="5">
        <v>15.0</v>
      </c>
      <c r="B16" s="5" t="s">
        <v>60</v>
      </c>
      <c r="C16" s="5" t="s">
        <v>21</v>
      </c>
      <c r="I16" s="8"/>
      <c r="K16" s="5">
        <v>400.0</v>
      </c>
      <c r="N16" s="9">
        <v>44299.0</v>
      </c>
    </row>
    <row r="17">
      <c r="A17" s="5">
        <v>16.0</v>
      </c>
      <c r="B17" s="5" t="s">
        <v>62</v>
      </c>
      <c r="C17" s="5" t="s">
        <v>21</v>
      </c>
      <c r="I17" s="8"/>
      <c r="K17" s="5">
        <v>50.0</v>
      </c>
      <c r="N17" s="9">
        <v>44033.0</v>
      </c>
    </row>
    <row r="18">
      <c r="A18" s="5">
        <v>17.0</v>
      </c>
      <c r="B18" s="5" t="s">
        <v>64</v>
      </c>
      <c r="C18" s="5" t="s">
        <v>21</v>
      </c>
      <c r="I18" s="8"/>
      <c r="K18" s="5">
        <v>2900.0</v>
      </c>
      <c r="N18" s="9">
        <v>45686.0</v>
      </c>
    </row>
    <row r="19">
      <c r="A19" s="5">
        <v>18.0</v>
      </c>
      <c r="B19" s="5" t="s">
        <v>67</v>
      </c>
      <c r="C19" s="5" t="s">
        <v>21</v>
      </c>
      <c r="I19" s="8"/>
      <c r="K19" s="5">
        <v>10.0</v>
      </c>
      <c r="N19" s="9">
        <v>44515.0</v>
      </c>
    </row>
    <row r="20">
      <c r="A20" s="5">
        <v>19.0</v>
      </c>
      <c r="B20" s="5" t="s">
        <v>71</v>
      </c>
      <c r="C20" s="5" t="s">
        <v>21</v>
      </c>
      <c r="I20" s="8"/>
      <c r="K20" s="5">
        <v>80.0</v>
      </c>
      <c r="N20" s="9">
        <v>45067.0</v>
      </c>
    </row>
    <row r="21">
      <c r="A21" s="5">
        <v>20.0</v>
      </c>
      <c r="B21" s="5" t="s">
        <v>74</v>
      </c>
      <c r="C21" s="5" t="s">
        <v>21</v>
      </c>
      <c r="I21" s="8"/>
      <c r="K21" s="5">
        <v>150.0</v>
      </c>
      <c r="N21" s="9">
        <v>44720.0</v>
      </c>
    </row>
    <row r="22">
      <c r="A22" s="5">
        <v>21.0</v>
      </c>
      <c r="B22" s="5" t="s">
        <v>76</v>
      </c>
      <c r="C22" s="5" t="s">
        <v>21</v>
      </c>
      <c r="I22" s="8"/>
      <c r="K22" s="5">
        <v>150.0</v>
      </c>
      <c r="N22" s="9">
        <v>44617.0</v>
      </c>
    </row>
    <row r="23">
      <c r="A23" s="5">
        <v>22.0</v>
      </c>
      <c r="B23" s="5" t="s">
        <v>78</v>
      </c>
      <c r="C23" s="5" t="s">
        <v>21</v>
      </c>
      <c r="I23" s="8"/>
      <c r="K23" s="5">
        <v>150.0</v>
      </c>
      <c r="N23" s="9">
        <v>44390.0</v>
      </c>
    </row>
    <row r="24">
      <c r="A24" s="5">
        <v>23.0</v>
      </c>
      <c r="B24" s="5" t="s">
        <v>80</v>
      </c>
      <c r="C24" s="5" t="s">
        <v>21</v>
      </c>
      <c r="I24" s="8"/>
      <c r="K24" s="5">
        <v>300.0</v>
      </c>
      <c r="N24" s="9">
        <v>44138.0</v>
      </c>
    </row>
    <row r="25">
      <c r="A25" s="5">
        <v>24.0</v>
      </c>
      <c r="B25" s="5" t="s">
        <v>82</v>
      </c>
      <c r="C25" s="5" t="s">
        <v>21</v>
      </c>
      <c r="K25" s="5">
        <v>150.0</v>
      </c>
      <c r="N25" s="9">
        <v>44891.0</v>
      </c>
    </row>
    <row r="26">
      <c r="A26" s="5">
        <v>25.0</v>
      </c>
      <c r="B26" s="5" t="s">
        <v>85</v>
      </c>
      <c r="C26" s="5" t="s">
        <v>21</v>
      </c>
      <c r="I26" s="8"/>
      <c r="K26" s="5">
        <v>100.0</v>
      </c>
      <c r="N26" s="9">
        <v>45095.0</v>
      </c>
    </row>
    <row r="27">
      <c r="A27" s="5">
        <v>26.0</v>
      </c>
      <c r="B27" s="5" t="s">
        <v>87</v>
      </c>
      <c r="C27" s="5" t="s">
        <v>21</v>
      </c>
      <c r="I27" s="8"/>
      <c r="K27" s="5">
        <v>30.0</v>
      </c>
      <c r="N27" s="9">
        <v>44124.0</v>
      </c>
    </row>
    <row r="28">
      <c r="A28" s="5">
        <v>27.0</v>
      </c>
      <c r="B28" s="5" t="s">
        <v>90</v>
      </c>
      <c r="C28" s="5" t="s">
        <v>21</v>
      </c>
      <c r="I28" s="8"/>
      <c r="K28" s="5">
        <v>1600.0</v>
      </c>
      <c r="N28" s="9">
        <v>43840.0</v>
      </c>
    </row>
    <row r="29">
      <c r="A29" s="5">
        <v>28.0</v>
      </c>
      <c r="B29" s="5" t="s">
        <v>91</v>
      </c>
      <c r="C29" s="5" t="s">
        <v>21</v>
      </c>
      <c r="I29" s="8"/>
      <c r="K29" s="5">
        <v>2800.0</v>
      </c>
      <c r="N29" s="9">
        <v>45686.0</v>
      </c>
    </row>
    <row r="30">
      <c r="A30" s="5">
        <v>29.0</v>
      </c>
      <c r="B30" s="5" t="s">
        <v>94</v>
      </c>
      <c r="C30" s="5" t="s">
        <v>21</v>
      </c>
      <c r="I30" s="8"/>
      <c r="K30" s="5">
        <v>300.0</v>
      </c>
      <c r="N30" s="9">
        <v>44644.0</v>
      </c>
    </row>
    <row r="31">
      <c r="A31" s="5">
        <v>30.0</v>
      </c>
      <c r="B31" s="5" t="s">
        <v>97</v>
      </c>
      <c r="C31" s="5" t="s">
        <v>21</v>
      </c>
      <c r="I31" s="8"/>
      <c r="K31" s="5">
        <v>10.0</v>
      </c>
      <c r="N31" s="9">
        <v>44515.0</v>
      </c>
    </row>
    <row r="32">
      <c r="A32" s="5">
        <v>31.0</v>
      </c>
      <c r="B32" s="5" t="s">
        <v>99</v>
      </c>
      <c r="C32" s="5" t="s">
        <v>21</v>
      </c>
      <c r="I32" s="8"/>
      <c r="K32" s="5">
        <v>10.0</v>
      </c>
      <c r="N32" s="9">
        <v>43958.0</v>
      </c>
    </row>
    <row r="33">
      <c r="A33" s="5">
        <v>32.0</v>
      </c>
      <c r="B33" s="5" t="s">
        <v>101</v>
      </c>
      <c r="C33" s="5" t="s">
        <v>21</v>
      </c>
      <c r="I33" s="8"/>
      <c r="K33" s="5">
        <v>200.0</v>
      </c>
      <c r="N33" s="9">
        <v>44267.0</v>
      </c>
    </row>
    <row r="34">
      <c r="A34" s="5">
        <v>33.0</v>
      </c>
      <c r="B34" s="5" t="s">
        <v>105</v>
      </c>
      <c r="C34" s="5" t="s">
        <v>21</v>
      </c>
      <c r="K34" s="5">
        <v>250.0</v>
      </c>
      <c r="N34" s="9">
        <v>44881.0</v>
      </c>
    </row>
    <row r="35">
      <c r="A35" s="5">
        <v>34.0</v>
      </c>
      <c r="B35" s="5" t="s">
        <v>107</v>
      </c>
      <c r="C35" s="5" t="s">
        <v>21</v>
      </c>
      <c r="I35" s="8"/>
      <c r="K35" s="5">
        <v>40.0</v>
      </c>
      <c r="N35" s="9">
        <v>44773.0</v>
      </c>
    </row>
    <row r="36">
      <c r="A36" s="5">
        <v>35.0</v>
      </c>
      <c r="B36" s="5" t="s">
        <v>108</v>
      </c>
      <c r="C36" s="5" t="s">
        <v>21</v>
      </c>
      <c r="I36" s="8"/>
      <c r="K36" s="5">
        <v>700.0</v>
      </c>
      <c r="N36" s="9">
        <v>44125.0</v>
      </c>
    </row>
    <row r="37">
      <c r="A37" s="5">
        <v>36.0</v>
      </c>
      <c r="B37" s="5" t="s">
        <v>109</v>
      </c>
      <c r="C37" s="5" t="s">
        <v>21</v>
      </c>
      <c r="I37" s="8"/>
      <c r="K37" s="5">
        <v>100.0</v>
      </c>
      <c r="N37" s="9">
        <v>44007.0</v>
      </c>
    </row>
    <row r="38">
      <c r="A38" s="5">
        <v>37.0</v>
      </c>
      <c r="B38" s="5" t="s">
        <v>112</v>
      </c>
      <c r="C38" s="5" t="s">
        <v>21</v>
      </c>
      <c r="I38" s="8"/>
      <c r="K38" s="5">
        <v>350.0</v>
      </c>
      <c r="N38" s="9">
        <v>44471.0</v>
      </c>
    </row>
    <row r="39">
      <c r="A39" s="5">
        <v>38.0</v>
      </c>
      <c r="B39" s="5" t="s">
        <v>115</v>
      </c>
      <c r="C39" s="5" t="s">
        <v>21</v>
      </c>
      <c r="K39" s="5">
        <v>100.0</v>
      </c>
      <c r="N39" s="9">
        <v>45003.0</v>
      </c>
    </row>
    <row r="40">
      <c r="A40" s="5">
        <v>39.0</v>
      </c>
      <c r="B40" s="5" t="s">
        <v>117</v>
      </c>
      <c r="C40" s="5" t="s">
        <v>21</v>
      </c>
      <c r="I40" s="8"/>
      <c r="K40" s="5">
        <v>150.0</v>
      </c>
      <c r="N40" s="9">
        <v>44334.0</v>
      </c>
    </row>
    <row r="41">
      <c r="A41" s="5">
        <v>40.0</v>
      </c>
      <c r="B41" s="5" t="s">
        <v>122</v>
      </c>
      <c r="C41" s="5" t="s">
        <v>21</v>
      </c>
      <c r="I41" s="8"/>
      <c r="K41" s="5">
        <v>2100.0</v>
      </c>
      <c r="N41" s="9">
        <v>44273.0</v>
      </c>
    </row>
    <row r="42">
      <c r="A42" s="5">
        <v>41.0</v>
      </c>
      <c r="B42" s="5" t="s">
        <v>125</v>
      </c>
      <c r="C42" s="5" t="s">
        <v>21</v>
      </c>
      <c r="I42" s="8"/>
      <c r="K42" s="5">
        <v>350.0</v>
      </c>
      <c r="N42" s="9">
        <v>44572.0</v>
      </c>
    </row>
    <row r="43">
      <c r="A43" s="5">
        <v>42.0</v>
      </c>
      <c r="B43" s="5" t="s">
        <v>127</v>
      </c>
      <c r="C43" s="5" t="s">
        <v>21</v>
      </c>
      <c r="K43" s="5">
        <v>10.0</v>
      </c>
      <c r="N43" s="9">
        <v>44166.0</v>
      </c>
    </row>
    <row r="44">
      <c r="A44" s="5">
        <v>43.0</v>
      </c>
      <c r="B44" s="5" t="s">
        <v>130</v>
      </c>
      <c r="C44" s="5" t="s">
        <v>21</v>
      </c>
      <c r="I44" s="8"/>
      <c r="K44" s="5">
        <v>250.0</v>
      </c>
      <c r="N44" s="9">
        <v>44073.0</v>
      </c>
    </row>
    <row r="45">
      <c r="A45" s="5">
        <v>44.0</v>
      </c>
      <c r="B45" s="5" t="s">
        <v>131</v>
      </c>
      <c r="C45" s="5" t="s">
        <v>21</v>
      </c>
      <c r="I45" s="8"/>
      <c r="K45" s="5">
        <v>150.0</v>
      </c>
      <c r="N45" s="9">
        <v>44591.0</v>
      </c>
    </row>
    <row r="46">
      <c r="A46" s="5">
        <v>45.0</v>
      </c>
      <c r="B46" s="5" t="s">
        <v>136</v>
      </c>
      <c r="C46" s="5" t="s">
        <v>21</v>
      </c>
      <c r="I46" s="8"/>
      <c r="K46" s="5">
        <v>600.0</v>
      </c>
      <c r="N46" s="9">
        <v>43883.0</v>
      </c>
    </row>
    <row r="47">
      <c r="A47" s="5">
        <v>46.0</v>
      </c>
      <c r="B47" s="5" t="s">
        <v>139</v>
      </c>
      <c r="C47" s="5" t="s">
        <v>21</v>
      </c>
      <c r="I47" s="8"/>
      <c r="N47" s="9">
        <v>43436.0</v>
      </c>
    </row>
    <row r="48">
      <c r="A48" s="5">
        <v>47.0</v>
      </c>
      <c r="B48" s="5" t="s">
        <v>141</v>
      </c>
      <c r="C48" s="5" t="s">
        <v>21</v>
      </c>
      <c r="I48" s="8"/>
      <c r="K48" s="5">
        <v>200.0</v>
      </c>
      <c r="N48" s="9">
        <v>44629.0</v>
      </c>
    </row>
    <row r="49">
      <c r="A49" s="5">
        <v>48.0</v>
      </c>
      <c r="B49" s="5" t="s">
        <v>143</v>
      </c>
      <c r="C49" s="5" t="s">
        <v>21</v>
      </c>
      <c r="K49" s="5">
        <v>100.0</v>
      </c>
      <c r="N49" s="9">
        <v>43908.0</v>
      </c>
    </row>
    <row r="50">
      <c r="A50" s="5">
        <v>49.0</v>
      </c>
      <c r="B50" s="5" t="s">
        <v>145</v>
      </c>
      <c r="C50" s="5" t="s">
        <v>21</v>
      </c>
      <c r="I50" s="8"/>
      <c r="K50" s="5">
        <v>2700.0</v>
      </c>
      <c r="N50" s="9">
        <v>45686.0</v>
      </c>
    </row>
    <row r="51">
      <c r="A51" s="5">
        <v>50.0</v>
      </c>
      <c r="B51" s="5" t="s">
        <v>148</v>
      </c>
      <c r="C51" s="5" t="s">
        <v>21</v>
      </c>
      <c r="I51" s="8"/>
      <c r="K51" s="5">
        <v>90.0</v>
      </c>
      <c r="N51" s="9">
        <v>43847.0</v>
      </c>
    </row>
    <row r="52">
      <c r="A52" s="5">
        <v>51.0</v>
      </c>
      <c r="B52" s="5" t="s">
        <v>150</v>
      </c>
      <c r="C52" s="5" t="s">
        <v>21</v>
      </c>
      <c r="I52" s="8"/>
      <c r="K52" s="5">
        <v>80.0</v>
      </c>
      <c r="N52" s="9">
        <v>44428.0</v>
      </c>
    </row>
    <row r="53">
      <c r="A53" s="5">
        <v>52.0</v>
      </c>
      <c r="B53" s="5" t="s">
        <v>154</v>
      </c>
      <c r="C53" s="5" t="s">
        <v>21</v>
      </c>
      <c r="K53" s="5">
        <v>80.0</v>
      </c>
      <c r="N53" s="9">
        <v>44138.0</v>
      </c>
    </row>
    <row r="54">
      <c r="A54" s="5">
        <v>53.0</v>
      </c>
      <c r="B54" s="5" t="s">
        <v>157</v>
      </c>
      <c r="C54" s="5" t="s">
        <v>21</v>
      </c>
      <c r="K54" s="5">
        <v>150.0</v>
      </c>
      <c r="N54" s="9">
        <v>43888.0</v>
      </c>
    </row>
    <row r="55">
      <c r="A55" s="5">
        <v>54.0</v>
      </c>
      <c r="B55" s="5" t="s">
        <v>160</v>
      </c>
      <c r="C55" s="5" t="s">
        <v>21</v>
      </c>
      <c r="K55" s="5">
        <v>350.0</v>
      </c>
      <c r="N55" s="9">
        <v>44037.0</v>
      </c>
    </row>
    <row r="56">
      <c r="A56" s="5">
        <v>55.0</v>
      </c>
      <c r="B56" s="5" t="s">
        <v>163</v>
      </c>
      <c r="C56" s="5" t="s">
        <v>21</v>
      </c>
      <c r="K56" s="5">
        <v>100.0</v>
      </c>
      <c r="N56" s="9">
        <v>44033.0</v>
      </c>
    </row>
    <row r="57">
      <c r="A57" s="5">
        <v>56.0</v>
      </c>
      <c r="B57" s="5" t="s">
        <v>165</v>
      </c>
      <c r="C57" s="5" t="s">
        <v>21</v>
      </c>
      <c r="K57" s="5">
        <v>150.0</v>
      </c>
      <c r="N57" s="9">
        <v>44192.0</v>
      </c>
    </row>
    <row r="58">
      <c r="A58" s="5">
        <v>57.0</v>
      </c>
      <c r="B58" s="5" t="s">
        <v>168</v>
      </c>
      <c r="C58" s="5" t="s">
        <v>21</v>
      </c>
      <c r="K58" s="5">
        <v>150.0</v>
      </c>
      <c r="N58" s="9">
        <v>45630.0</v>
      </c>
    </row>
    <row r="59">
      <c r="A59" s="5">
        <v>58.0</v>
      </c>
      <c r="B59" s="5" t="s">
        <v>170</v>
      </c>
      <c r="C59" s="5" t="s">
        <v>21</v>
      </c>
      <c r="I59" s="8"/>
      <c r="K59" s="5">
        <v>50.0</v>
      </c>
      <c r="N59" s="9">
        <v>45625.0</v>
      </c>
    </row>
    <row r="60">
      <c r="A60" s="5">
        <v>59.0</v>
      </c>
      <c r="B60" s="5" t="s">
        <v>173</v>
      </c>
      <c r="C60" s="5" t="s">
        <v>21</v>
      </c>
      <c r="K60" s="5">
        <v>600.0</v>
      </c>
      <c r="N60" s="9">
        <v>44168.0</v>
      </c>
    </row>
    <row r="61">
      <c r="A61" s="5">
        <v>60.0</v>
      </c>
      <c r="B61" s="5" t="s">
        <v>176</v>
      </c>
      <c r="C61" s="5" t="s">
        <v>21</v>
      </c>
      <c r="I61" s="8"/>
      <c r="K61" s="5">
        <v>70.0</v>
      </c>
      <c r="N61" s="9">
        <v>44529.0</v>
      </c>
    </row>
    <row r="62">
      <c r="A62" s="5">
        <v>61.0</v>
      </c>
      <c r="B62" s="5" t="s">
        <v>179</v>
      </c>
      <c r="C62" s="5" t="s">
        <v>21</v>
      </c>
      <c r="I62" s="8"/>
      <c r="K62" s="5">
        <v>10.0</v>
      </c>
      <c r="N62" s="9">
        <v>44538.0</v>
      </c>
    </row>
    <row r="63">
      <c r="A63" s="5">
        <v>62.0</v>
      </c>
      <c r="B63" s="5" t="s">
        <v>181</v>
      </c>
      <c r="C63" s="5" t="s">
        <v>21</v>
      </c>
      <c r="K63" s="5">
        <v>3000.0</v>
      </c>
      <c r="N63" s="9">
        <v>43996.0</v>
      </c>
    </row>
    <row r="64">
      <c r="A64" s="5">
        <v>63.0</v>
      </c>
      <c r="B64" s="5" t="s">
        <v>183</v>
      </c>
      <c r="C64" s="5" t="s">
        <v>21</v>
      </c>
      <c r="K64" s="5">
        <v>90.0</v>
      </c>
      <c r="N64" s="9">
        <v>44533.0</v>
      </c>
    </row>
    <row r="65">
      <c r="A65" s="5">
        <v>64.0</v>
      </c>
      <c r="B65" s="5" t="s">
        <v>185</v>
      </c>
      <c r="C65" s="5" t="s">
        <v>21</v>
      </c>
      <c r="I65" s="8"/>
      <c r="K65" s="5">
        <v>250.0</v>
      </c>
      <c r="N65" s="9">
        <v>44397.0</v>
      </c>
    </row>
    <row r="66">
      <c r="A66" s="5">
        <v>65.0</v>
      </c>
      <c r="B66" s="5" t="s">
        <v>188</v>
      </c>
      <c r="C66" s="5" t="s">
        <v>21</v>
      </c>
      <c r="I66" s="8"/>
      <c r="K66" s="5">
        <v>500.0</v>
      </c>
      <c r="N66" s="9">
        <v>43961.0</v>
      </c>
    </row>
    <row r="67">
      <c r="A67" s="5">
        <v>66.0</v>
      </c>
      <c r="B67" s="5" t="s">
        <v>190</v>
      </c>
      <c r="C67" s="5" t="s">
        <v>21</v>
      </c>
      <c r="K67" s="5">
        <v>50.0</v>
      </c>
      <c r="N67" s="9">
        <v>44813.0</v>
      </c>
    </row>
    <row r="68">
      <c r="A68" s="5">
        <v>67.0</v>
      </c>
      <c r="B68" s="5" t="s">
        <v>192</v>
      </c>
      <c r="C68" s="5" t="s">
        <v>21</v>
      </c>
      <c r="K68" s="5">
        <v>200.0</v>
      </c>
      <c r="N68" s="9">
        <v>44234.0</v>
      </c>
    </row>
    <row r="69">
      <c r="A69" s="5">
        <v>68.0</v>
      </c>
      <c r="B69" s="5" t="s">
        <v>195</v>
      </c>
      <c r="C69" s="5" t="s">
        <v>21</v>
      </c>
      <c r="K69" s="5">
        <v>600.0</v>
      </c>
      <c r="N69" s="9">
        <v>44283.0</v>
      </c>
    </row>
    <row r="70">
      <c r="A70" s="5">
        <v>69.0</v>
      </c>
      <c r="B70" s="5" t="s">
        <v>198</v>
      </c>
      <c r="C70" s="5" t="s">
        <v>21</v>
      </c>
      <c r="K70" s="5">
        <v>10.0</v>
      </c>
      <c r="N70" s="9">
        <v>44034.0</v>
      </c>
    </row>
    <row r="71">
      <c r="A71" s="5">
        <v>70.0</v>
      </c>
      <c r="B71" s="5" t="s">
        <v>201</v>
      </c>
      <c r="C71" s="5" t="s">
        <v>21</v>
      </c>
      <c r="K71" s="5">
        <v>250.0</v>
      </c>
      <c r="N71" s="9">
        <v>44695.0</v>
      </c>
    </row>
    <row r="72">
      <c r="A72" s="5">
        <v>71.0</v>
      </c>
      <c r="B72" s="5" t="s">
        <v>203</v>
      </c>
      <c r="C72" s="5" t="s">
        <v>21</v>
      </c>
      <c r="K72" s="5">
        <v>350.0</v>
      </c>
      <c r="N72" s="9">
        <v>44534.0</v>
      </c>
    </row>
    <row r="73">
      <c r="A73" s="5">
        <v>72.0</v>
      </c>
      <c r="B73" s="5" t="s">
        <v>206</v>
      </c>
      <c r="C73" s="5" t="s">
        <v>21</v>
      </c>
      <c r="I73" s="8"/>
      <c r="K73" s="5">
        <v>40.0</v>
      </c>
      <c r="N73" s="9">
        <v>44492.0</v>
      </c>
    </row>
    <row r="74">
      <c r="A74" s="5">
        <v>73.0</v>
      </c>
      <c r="B74" s="5" t="s">
        <v>209</v>
      </c>
      <c r="C74" s="5" t="s">
        <v>21</v>
      </c>
      <c r="I74" s="8"/>
      <c r="K74" s="5">
        <v>80.0</v>
      </c>
      <c r="N74" s="9">
        <v>43850.0</v>
      </c>
    </row>
    <row r="75">
      <c r="A75" s="5">
        <v>74.0</v>
      </c>
      <c r="B75" s="5" t="s">
        <v>211</v>
      </c>
      <c r="C75" s="5" t="s">
        <v>21</v>
      </c>
      <c r="I75" s="8"/>
      <c r="K75" s="5">
        <v>450.0</v>
      </c>
      <c r="N75" s="9">
        <v>43872.0</v>
      </c>
    </row>
    <row r="76">
      <c r="A76" s="5">
        <v>75.0</v>
      </c>
      <c r="B76" s="5" t="s">
        <v>214</v>
      </c>
      <c r="C76" s="5" t="s">
        <v>21</v>
      </c>
      <c r="K76" s="5">
        <v>3000.0</v>
      </c>
      <c r="N76" s="9">
        <v>45044.0</v>
      </c>
    </row>
    <row r="77">
      <c r="A77" s="5">
        <v>76.0</v>
      </c>
      <c r="B77" s="5" t="s">
        <v>216</v>
      </c>
      <c r="C77" s="5" t="s">
        <v>21</v>
      </c>
      <c r="K77" s="5">
        <v>250.0</v>
      </c>
      <c r="N77" s="9">
        <v>44105.0</v>
      </c>
    </row>
    <row r="78">
      <c r="A78" s="5">
        <v>77.0</v>
      </c>
      <c r="B78" s="5" t="s">
        <v>218</v>
      </c>
      <c r="C78" s="5" t="s">
        <v>21</v>
      </c>
      <c r="I78" s="8"/>
      <c r="K78" s="5">
        <v>150.0</v>
      </c>
      <c r="N78" s="9">
        <v>44771.0</v>
      </c>
    </row>
    <row r="79">
      <c r="A79" s="5">
        <v>78.0</v>
      </c>
      <c r="B79" s="5" t="s">
        <v>221</v>
      </c>
      <c r="C79" s="5" t="s">
        <v>21</v>
      </c>
      <c r="K79" s="5">
        <v>700.0</v>
      </c>
      <c r="N79" s="9">
        <v>44521.0</v>
      </c>
    </row>
    <row r="80">
      <c r="A80" s="5">
        <v>79.0</v>
      </c>
      <c r="B80" s="5" t="s">
        <v>223</v>
      </c>
      <c r="C80" s="5" t="s">
        <v>21</v>
      </c>
      <c r="I80" s="8"/>
      <c r="K80" s="5">
        <v>400.0</v>
      </c>
      <c r="N80" s="9">
        <v>42848.0</v>
      </c>
    </row>
    <row r="81">
      <c r="A81" s="5">
        <v>80.0</v>
      </c>
      <c r="B81" s="5" t="s">
        <v>225</v>
      </c>
      <c r="C81" s="5" t="s">
        <v>21</v>
      </c>
      <c r="I81" s="8"/>
      <c r="K81" s="5">
        <v>300.0</v>
      </c>
      <c r="N81" s="9">
        <v>44149.0</v>
      </c>
    </row>
    <row r="82">
      <c r="A82" s="5">
        <v>81.0</v>
      </c>
      <c r="B82" s="5" t="s">
        <v>227</v>
      </c>
      <c r="C82" s="5" t="s">
        <v>21</v>
      </c>
      <c r="K82" s="5">
        <v>3900.0</v>
      </c>
      <c r="N82" s="9">
        <v>45687.0</v>
      </c>
    </row>
    <row r="83">
      <c r="A83" s="5">
        <v>82.0</v>
      </c>
      <c r="B83" s="5" t="s">
        <v>229</v>
      </c>
      <c r="C83" s="5" t="s">
        <v>21</v>
      </c>
      <c r="I83" s="8"/>
      <c r="K83" s="5">
        <v>5700.0</v>
      </c>
      <c r="N83" s="9">
        <v>45686.0</v>
      </c>
    </row>
    <row r="84">
      <c r="A84" s="5">
        <v>83.0</v>
      </c>
      <c r="B84" s="5" t="s">
        <v>231</v>
      </c>
      <c r="C84" s="5" t="s">
        <v>21</v>
      </c>
      <c r="K84" s="5">
        <v>100.0</v>
      </c>
      <c r="N84" s="9">
        <v>43989.0</v>
      </c>
    </row>
    <row r="85">
      <c r="A85" s="5">
        <v>84.0</v>
      </c>
      <c r="B85" s="5" t="s">
        <v>233</v>
      </c>
      <c r="C85" s="5" t="s">
        <v>21</v>
      </c>
      <c r="K85" s="5">
        <v>700.0</v>
      </c>
      <c r="N85" s="9">
        <v>44257.0</v>
      </c>
    </row>
    <row r="86">
      <c r="A86" s="5">
        <v>85.0</v>
      </c>
      <c r="B86" s="5" t="s">
        <v>235</v>
      </c>
      <c r="C86" s="5" t="s">
        <v>21</v>
      </c>
      <c r="K86" s="5">
        <v>150.0</v>
      </c>
      <c r="N86" s="9">
        <v>44125.0</v>
      </c>
    </row>
    <row r="87">
      <c r="A87" s="5">
        <v>86.0</v>
      </c>
      <c r="B87" s="5" t="s">
        <v>236</v>
      </c>
      <c r="C87" s="5" t="s">
        <v>21</v>
      </c>
      <c r="K87" s="5">
        <v>10.0</v>
      </c>
      <c r="N87" s="9">
        <v>44422.0</v>
      </c>
    </row>
    <row r="88">
      <c r="A88" s="5">
        <v>87.0</v>
      </c>
      <c r="B88" s="5" t="s">
        <v>240</v>
      </c>
      <c r="C88" s="5" t="s">
        <v>21</v>
      </c>
      <c r="I88" s="8"/>
      <c r="K88" s="5">
        <v>450.0</v>
      </c>
      <c r="N88" s="9">
        <v>44000.0</v>
      </c>
    </row>
    <row r="89">
      <c r="A89" s="5">
        <v>88.0</v>
      </c>
      <c r="B89" s="5" t="s">
        <v>243</v>
      </c>
      <c r="C89" s="5" t="s">
        <v>21</v>
      </c>
      <c r="N89" s="9">
        <v>44448.0</v>
      </c>
    </row>
    <row r="90">
      <c r="A90" s="5">
        <v>89.0</v>
      </c>
      <c r="B90" s="5" t="s">
        <v>244</v>
      </c>
      <c r="C90" s="5" t="s">
        <v>21</v>
      </c>
      <c r="I90" s="8"/>
      <c r="K90" s="5">
        <v>300.0</v>
      </c>
      <c r="N90" s="9">
        <v>44641.0</v>
      </c>
    </row>
    <row r="91">
      <c r="A91" s="5">
        <v>90.0</v>
      </c>
      <c r="B91" s="5" t="s">
        <v>247</v>
      </c>
      <c r="C91" s="5" t="s">
        <v>21</v>
      </c>
      <c r="K91" s="5">
        <v>1400.0</v>
      </c>
      <c r="N91" s="9">
        <v>43840.0</v>
      </c>
    </row>
    <row r="92">
      <c r="A92" s="5">
        <v>91.0</v>
      </c>
      <c r="B92" s="5" t="s">
        <v>250</v>
      </c>
      <c r="C92" s="5" t="s">
        <v>21</v>
      </c>
      <c r="K92" s="5">
        <v>450.0</v>
      </c>
      <c r="N92" s="9">
        <v>44598.0</v>
      </c>
    </row>
    <row r="93">
      <c r="A93" s="5">
        <v>92.0</v>
      </c>
      <c r="B93" s="5" t="s">
        <v>253</v>
      </c>
      <c r="C93" s="5" t="s">
        <v>21</v>
      </c>
      <c r="I93" s="8"/>
      <c r="K93" s="5">
        <v>300.0</v>
      </c>
      <c r="N93" s="9">
        <v>44610.0</v>
      </c>
    </row>
    <row r="94">
      <c r="A94" s="5">
        <v>93.0</v>
      </c>
      <c r="B94" s="5" t="s">
        <v>256</v>
      </c>
      <c r="C94" s="5" t="s">
        <v>21</v>
      </c>
      <c r="I94" s="8"/>
      <c r="K94" s="5">
        <v>250.0</v>
      </c>
      <c r="N94" s="9">
        <v>44795.0</v>
      </c>
    </row>
    <row r="95">
      <c r="A95" s="5">
        <v>94.0</v>
      </c>
      <c r="B95" s="5" t="s">
        <v>258</v>
      </c>
      <c r="C95" s="5" t="s">
        <v>21</v>
      </c>
      <c r="K95" s="5">
        <v>20.0</v>
      </c>
      <c r="N95" s="9">
        <v>43868.0</v>
      </c>
    </row>
    <row r="96">
      <c r="A96" s="5">
        <v>95.0</v>
      </c>
      <c r="B96" s="5" t="s">
        <v>261</v>
      </c>
      <c r="C96" s="5" t="s">
        <v>21</v>
      </c>
      <c r="I96" s="8"/>
      <c r="K96" s="5">
        <v>80.0</v>
      </c>
      <c r="N96" s="9">
        <v>43963.0</v>
      </c>
    </row>
    <row r="97">
      <c r="A97" s="5">
        <v>96.0</v>
      </c>
      <c r="B97" s="5" t="s">
        <v>264</v>
      </c>
      <c r="C97" s="5" t="s">
        <v>21</v>
      </c>
      <c r="K97" s="5">
        <v>10.0</v>
      </c>
      <c r="N97" s="9">
        <v>44884.0</v>
      </c>
    </row>
    <row r="98">
      <c r="A98" s="5">
        <v>97.0</v>
      </c>
      <c r="B98" s="5" t="s">
        <v>266</v>
      </c>
      <c r="C98" s="5" t="s">
        <v>21</v>
      </c>
      <c r="I98" s="8"/>
      <c r="K98" s="5">
        <v>10.0</v>
      </c>
      <c r="N98" s="9">
        <v>44163.0</v>
      </c>
    </row>
    <row r="99">
      <c r="A99" s="5">
        <v>98.0</v>
      </c>
      <c r="B99" s="5" t="s">
        <v>269</v>
      </c>
      <c r="C99" s="5" t="s">
        <v>21</v>
      </c>
      <c r="K99" s="5">
        <v>30.0</v>
      </c>
      <c r="N99" s="9">
        <v>44869.0</v>
      </c>
    </row>
    <row r="100">
      <c r="A100" s="5">
        <v>99.0</v>
      </c>
      <c r="B100" s="5" t="s">
        <v>272</v>
      </c>
      <c r="C100" s="5" t="s">
        <v>21</v>
      </c>
      <c r="K100" s="5">
        <v>1100.0</v>
      </c>
      <c r="N100" s="9">
        <v>44190.0</v>
      </c>
    </row>
    <row r="101">
      <c r="A101" s="5">
        <v>100.0</v>
      </c>
      <c r="B101" s="5" t="s">
        <v>275</v>
      </c>
      <c r="C101" s="5" t="s">
        <v>21</v>
      </c>
      <c r="K101" s="5">
        <v>90.0</v>
      </c>
      <c r="N101" s="9">
        <v>44582.0</v>
      </c>
    </row>
    <row r="102">
      <c r="A102" s="5">
        <v>101.0</v>
      </c>
      <c r="B102" s="5" t="s">
        <v>277</v>
      </c>
      <c r="C102" s="5" t="s">
        <v>21</v>
      </c>
      <c r="K102" s="5">
        <v>10.0</v>
      </c>
      <c r="N102" s="9">
        <v>44628.0</v>
      </c>
    </row>
    <row r="103">
      <c r="A103" s="5">
        <v>102.0</v>
      </c>
      <c r="B103" s="5" t="s">
        <v>280</v>
      </c>
      <c r="C103" s="5" t="s">
        <v>21</v>
      </c>
      <c r="I103" s="8"/>
      <c r="N103" s="9">
        <v>44628.0</v>
      </c>
    </row>
    <row r="104">
      <c r="A104" s="5">
        <v>103.0</v>
      </c>
      <c r="B104" s="5" t="s">
        <v>282</v>
      </c>
      <c r="C104" s="5" t="s">
        <v>21</v>
      </c>
      <c r="K104" s="5">
        <v>200.0</v>
      </c>
      <c r="N104" s="9">
        <v>45404.0</v>
      </c>
    </row>
    <row r="105">
      <c r="A105" s="5">
        <v>104.0</v>
      </c>
      <c r="B105" s="5" t="s">
        <v>285</v>
      </c>
      <c r="C105" s="5" t="s">
        <v>21</v>
      </c>
      <c r="K105" s="5">
        <v>30.0</v>
      </c>
      <c r="N105" s="9">
        <v>42421.0</v>
      </c>
    </row>
    <row r="106">
      <c r="A106" s="5">
        <v>105.0</v>
      </c>
      <c r="B106" s="5" t="s">
        <v>288</v>
      </c>
      <c r="C106" s="5" t="s">
        <v>21</v>
      </c>
      <c r="K106" s="5">
        <v>200.0</v>
      </c>
      <c r="N106" s="9">
        <v>45373.0</v>
      </c>
    </row>
    <row r="107">
      <c r="A107" s="5">
        <v>106.0</v>
      </c>
      <c r="B107" s="5" t="s">
        <v>291</v>
      </c>
      <c r="C107" s="5" t="s">
        <v>21</v>
      </c>
      <c r="K107" s="5">
        <v>10.0</v>
      </c>
      <c r="N107" s="9">
        <v>45444.0</v>
      </c>
    </row>
    <row r="108">
      <c r="A108" s="5">
        <v>107.0</v>
      </c>
      <c r="B108" s="5" t="s">
        <v>298</v>
      </c>
      <c r="C108" s="5" t="s">
        <v>21</v>
      </c>
      <c r="N108" s="9">
        <v>45036.0</v>
      </c>
    </row>
    <row r="109">
      <c r="A109" s="5">
        <v>108.0</v>
      </c>
      <c r="B109" s="5" t="s">
        <v>301</v>
      </c>
      <c r="C109" s="5" t="s">
        <v>21</v>
      </c>
      <c r="K109" s="5">
        <v>200.0</v>
      </c>
      <c r="N109" s="9">
        <v>43981.0</v>
      </c>
    </row>
    <row r="110">
      <c r="A110" s="5">
        <v>109.0</v>
      </c>
      <c r="B110" s="5" t="s">
        <v>304</v>
      </c>
      <c r="C110" s="5" t="s">
        <v>21</v>
      </c>
      <c r="K110" s="5">
        <v>10.0</v>
      </c>
      <c r="N110" s="9">
        <v>43865.0</v>
      </c>
    </row>
    <row r="111">
      <c r="A111" s="5">
        <v>110.0</v>
      </c>
      <c r="B111" s="5" t="s">
        <v>308</v>
      </c>
      <c r="C111" s="5" t="s">
        <v>21</v>
      </c>
      <c r="I111" s="8"/>
      <c r="K111" s="5">
        <v>10.0</v>
      </c>
      <c r="N111" s="9">
        <v>44518.0</v>
      </c>
    </row>
    <row r="112">
      <c r="A112" s="5">
        <v>111.0</v>
      </c>
      <c r="B112" s="5" t="s">
        <v>311</v>
      </c>
      <c r="C112" s="5" t="s">
        <v>21</v>
      </c>
      <c r="K112" s="5">
        <v>60.0</v>
      </c>
      <c r="N112" s="9">
        <v>43941.0</v>
      </c>
    </row>
    <row r="113">
      <c r="A113" s="5">
        <v>112.0</v>
      </c>
      <c r="B113" s="5" t="s">
        <v>314</v>
      </c>
      <c r="C113" s="5" t="s">
        <v>21</v>
      </c>
      <c r="I113" s="8"/>
      <c r="K113" s="5">
        <v>50.0</v>
      </c>
      <c r="N113" s="9">
        <v>43864.0</v>
      </c>
    </row>
    <row r="114">
      <c r="A114" s="5">
        <v>113.0</v>
      </c>
      <c r="B114" s="5" t="s">
        <v>318</v>
      </c>
      <c r="C114" s="5" t="s">
        <v>21</v>
      </c>
      <c r="K114" s="5">
        <v>20.0</v>
      </c>
      <c r="N114" s="9">
        <v>43846.0</v>
      </c>
    </row>
    <row r="115">
      <c r="A115" s="5">
        <v>114.0</v>
      </c>
      <c r="B115" s="5" t="s">
        <v>321</v>
      </c>
      <c r="C115" s="5" t="s">
        <v>21</v>
      </c>
      <c r="I115" s="8"/>
      <c r="K115" s="5">
        <v>40.0</v>
      </c>
      <c r="N115" s="9">
        <v>44022.0</v>
      </c>
    </row>
    <row r="116">
      <c r="A116" s="5">
        <v>115.0</v>
      </c>
      <c r="B116" s="5" t="s">
        <v>324</v>
      </c>
      <c r="C116" s="5" t="s">
        <v>21</v>
      </c>
      <c r="I116" s="8"/>
      <c r="K116" s="5">
        <v>200.0</v>
      </c>
      <c r="N116" s="9">
        <v>44206.0</v>
      </c>
    </row>
    <row r="117">
      <c r="A117" s="5">
        <v>116.0</v>
      </c>
      <c r="B117" s="5" t="s">
        <v>327</v>
      </c>
      <c r="C117" s="5" t="s">
        <v>21</v>
      </c>
      <c r="I117" s="8"/>
      <c r="K117" s="5">
        <v>250.0</v>
      </c>
      <c r="N117" s="9">
        <v>44347.0</v>
      </c>
    </row>
    <row r="118">
      <c r="A118" s="5">
        <v>117.0</v>
      </c>
      <c r="B118" s="5" t="s">
        <v>330</v>
      </c>
      <c r="C118" s="5" t="s">
        <v>21</v>
      </c>
      <c r="K118" s="5">
        <v>30.0</v>
      </c>
      <c r="N118" s="9">
        <v>45099.0</v>
      </c>
    </row>
    <row r="119">
      <c r="A119" s="5">
        <v>118.0</v>
      </c>
      <c r="B119" s="5" t="s">
        <v>333</v>
      </c>
      <c r="C119" s="5" t="s">
        <v>21</v>
      </c>
      <c r="K119" s="5">
        <v>200.0</v>
      </c>
      <c r="N119" s="9">
        <v>45173.0</v>
      </c>
    </row>
    <row r="120">
      <c r="A120" s="5">
        <v>119.0</v>
      </c>
      <c r="B120" s="5" t="s">
        <v>336</v>
      </c>
      <c r="C120" s="5" t="s">
        <v>21</v>
      </c>
      <c r="K120" s="5">
        <v>2900.0</v>
      </c>
      <c r="N120" s="9">
        <v>44575.0</v>
      </c>
    </row>
    <row r="121">
      <c r="A121" s="5">
        <v>120.0</v>
      </c>
      <c r="B121" s="5" t="s">
        <v>339</v>
      </c>
      <c r="C121" s="5" t="s">
        <v>21</v>
      </c>
      <c r="K121" s="5">
        <v>20.0</v>
      </c>
      <c r="N121" s="9">
        <v>44751.0</v>
      </c>
    </row>
    <row r="122">
      <c r="A122" s="5">
        <v>121.0</v>
      </c>
      <c r="B122" s="5" t="s">
        <v>342</v>
      </c>
      <c r="C122" s="5" t="s">
        <v>21</v>
      </c>
      <c r="K122" s="5">
        <v>400.0</v>
      </c>
      <c r="N122" s="9">
        <v>43847.0</v>
      </c>
    </row>
    <row r="123">
      <c r="A123" s="5">
        <v>122.0</v>
      </c>
      <c r="B123" s="5" t="s">
        <v>343</v>
      </c>
      <c r="C123" s="5" t="s">
        <v>21</v>
      </c>
      <c r="K123" s="5">
        <v>20.0</v>
      </c>
      <c r="N123" s="9">
        <v>43989.0</v>
      </c>
    </row>
    <row r="124">
      <c r="A124" s="5">
        <v>123.0</v>
      </c>
      <c r="B124" s="5" t="s">
        <v>345</v>
      </c>
      <c r="C124" s="5" t="s">
        <v>21</v>
      </c>
      <c r="K124" s="5">
        <v>150.0</v>
      </c>
      <c r="N124" s="9">
        <v>44126.0</v>
      </c>
    </row>
    <row r="125">
      <c r="A125" s="5">
        <v>124.0</v>
      </c>
      <c r="B125" s="5" t="s">
        <v>348</v>
      </c>
      <c r="C125" s="5" t="s">
        <v>21</v>
      </c>
      <c r="K125" s="5">
        <v>350.0</v>
      </c>
      <c r="N125" s="9">
        <v>44865.0</v>
      </c>
    </row>
    <row r="126">
      <c r="A126" s="5">
        <v>125.0</v>
      </c>
      <c r="B126" s="5" t="s">
        <v>351</v>
      </c>
      <c r="C126" s="5" t="s">
        <v>21</v>
      </c>
      <c r="N126" s="9">
        <v>44116.0</v>
      </c>
    </row>
    <row r="127">
      <c r="A127" s="5">
        <v>126.0</v>
      </c>
      <c r="B127" s="5" t="s">
        <v>353</v>
      </c>
      <c r="C127" s="5" t="s">
        <v>21</v>
      </c>
      <c r="K127" s="5">
        <v>20.0</v>
      </c>
      <c r="N127" s="9">
        <v>44524.0</v>
      </c>
    </row>
    <row r="128">
      <c r="A128" s="5">
        <v>127.0</v>
      </c>
      <c r="B128" s="5" t="s">
        <v>354</v>
      </c>
      <c r="C128" s="5" t="s">
        <v>21</v>
      </c>
      <c r="K128" s="5">
        <v>450.0</v>
      </c>
      <c r="N128" s="9">
        <v>44414.0</v>
      </c>
    </row>
    <row r="129">
      <c r="A129" s="5">
        <v>128.0</v>
      </c>
      <c r="B129" s="5" t="s">
        <v>357</v>
      </c>
      <c r="C129" s="5" t="s">
        <v>21</v>
      </c>
      <c r="K129" s="5">
        <v>2400.0</v>
      </c>
      <c r="N129" s="9">
        <v>45686.0</v>
      </c>
    </row>
    <row r="130">
      <c r="A130" s="5">
        <v>129.0</v>
      </c>
      <c r="B130" s="5" t="s">
        <v>359</v>
      </c>
      <c r="C130" s="5" t="s">
        <v>21</v>
      </c>
      <c r="K130" s="5">
        <v>60.0</v>
      </c>
      <c r="N130" s="9">
        <v>44145.0</v>
      </c>
    </row>
    <row r="131">
      <c r="A131" s="5">
        <v>130.0</v>
      </c>
      <c r="B131" s="5" t="s">
        <v>362</v>
      </c>
      <c r="C131" s="5" t="s">
        <v>21</v>
      </c>
      <c r="K131" s="5">
        <v>200.0</v>
      </c>
      <c r="N131" s="9">
        <v>43925.0</v>
      </c>
    </row>
    <row r="132">
      <c r="A132" s="5">
        <v>131.0</v>
      </c>
      <c r="B132" s="5" t="s">
        <v>365</v>
      </c>
      <c r="C132" s="5" t="s">
        <v>21</v>
      </c>
      <c r="K132" s="5">
        <v>150.0</v>
      </c>
      <c r="N132" s="9">
        <v>45552.0</v>
      </c>
    </row>
    <row r="133">
      <c r="A133" s="5">
        <v>132.0</v>
      </c>
      <c r="B133" s="5" t="s">
        <v>368</v>
      </c>
      <c r="C133" s="5" t="s">
        <v>21</v>
      </c>
      <c r="K133" s="5">
        <v>300.0</v>
      </c>
      <c r="N133" s="9">
        <v>43973.0</v>
      </c>
    </row>
    <row r="134">
      <c r="A134" s="5">
        <v>133.0</v>
      </c>
      <c r="B134" s="5" t="s">
        <v>371</v>
      </c>
      <c r="C134" s="5" t="s">
        <v>21</v>
      </c>
      <c r="K134" s="5">
        <v>250.0</v>
      </c>
      <c r="N134" s="9">
        <v>45342.0</v>
      </c>
    </row>
    <row r="135">
      <c r="A135" s="5">
        <v>134.0</v>
      </c>
      <c r="B135" s="5" t="s">
        <v>374</v>
      </c>
      <c r="C135" s="5" t="s">
        <v>21</v>
      </c>
      <c r="I135" s="8"/>
      <c r="K135" s="5">
        <v>150.0</v>
      </c>
      <c r="N135" s="9">
        <v>44723.0</v>
      </c>
    </row>
    <row r="136">
      <c r="A136" s="5">
        <v>135.0</v>
      </c>
      <c r="B136" s="5" t="s">
        <v>377</v>
      </c>
      <c r="C136" s="5" t="s">
        <v>21</v>
      </c>
      <c r="K136" s="5">
        <v>150.0</v>
      </c>
      <c r="N136" s="9">
        <v>45068.0</v>
      </c>
    </row>
    <row r="137">
      <c r="A137" s="5">
        <v>136.0</v>
      </c>
      <c r="B137" s="5" t="s">
        <v>380</v>
      </c>
      <c r="C137" s="5" t="s">
        <v>21</v>
      </c>
      <c r="K137" s="5">
        <v>800.0</v>
      </c>
      <c r="N137" s="9">
        <v>44733.0</v>
      </c>
    </row>
    <row r="138">
      <c r="A138" s="5">
        <v>137.0</v>
      </c>
      <c r="B138" s="5" t="s">
        <v>383</v>
      </c>
      <c r="C138" s="5" t="s">
        <v>21</v>
      </c>
      <c r="K138" s="5">
        <v>90.0</v>
      </c>
      <c r="N138" s="9">
        <v>44190.0</v>
      </c>
    </row>
    <row r="139">
      <c r="A139" s="5">
        <v>138.0</v>
      </c>
      <c r="B139" s="5" t="s">
        <v>388</v>
      </c>
      <c r="C139" s="5" t="s">
        <v>21</v>
      </c>
      <c r="K139" s="5">
        <v>40.0</v>
      </c>
      <c r="N139" s="9">
        <v>44108.0</v>
      </c>
    </row>
    <row r="140">
      <c r="A140" s="5">
        <v>139.0</v>
      </c>
      <c r="B140" s="5" t="s">
        <v>393</v>
      </c>
      <c r="C140" s="5" t="s">
        <v>21</v>
      </c>
      <c r="K140" s="5">
        <v>1200.0</v>
      </c>
      <c r="N140" s="9">
        <v>44330.0</v>
      </c>
    </row>
    <row r="141">
      <c r="A141" s="5">
        <v>140.0</v>
      </c>
      <c r="B141" s="5" t="s">
        <v>396</v>
      </c>
      <c r="C141" s="5" t="s">
        <v>21</v>
      </c>
      <c r="K141" s="5">
        <v>50.0</v>
      </c>
      <c r="N141" s="9">
        <v>44055.0</v>
      </c>
    </row>
    <row r="142">
      <c r="A142" s="5">
        <v>141.0</v>
      </c>
      <c r="B142" s="5" t="s">
        <v>398</v>
      </c>
      <c r="C142" s="5" t="s">
        <v>21</v>
      </c>
      <c r="K142" s="5">
        <v>350.0</v>
      </c>
      <c r="N142" s="9">
        <v>43999.0</v>
      </c>
    </row>
    <row r="143">
      <c r="A143" s="5">
        <v>142.0</v>
      </c>
      <c r="B143" s="5" t="s">
        <v>401</v>
      </c>
      <c r="C143" s="5" t="s">
        <v>21</v>
      </c>
      <c r="K143" s="5">
        <v>200.0</v>
      </c>
      <c r="N143" s="9">
        <v>44027.0</v>
      </c>
    </row>
    <row r="144">
      <c r="A144" s="5">
        <v>143.0</v>
      </c>
      <c r="B144" s="5" t="s">
        <v>404</v>
      </c>
      <c r="C144" s="5" t="s">
        <v>21</v>
      </c>
      <c r="K144" s="5">
        <v>2100.0</v>
      </c>
      <c r="N144" s="9">
        <v>44895.0</v>
      </c>
    </row>
    <row r="145">
      <c r="A145" s="5">
        <v>144.0</v>
      </c>
      <c r="B145" s="5" t="s">
        <v>407</v>
      </c>
      <c r="C145" s="5" t="s">
        <v>21</v>
      </c>
      <c r="K145" s="5">
        <v>1000.0</v>
      </c>
      <c r="N145" s="9">
        <v>43867.0</v>
      </c>
    </row>
    <row r="146">
      <c r="A146" s="5">
        <v>145.0</v>
      </c>
      <c r="B146" s="5" t="s">
        <v>408</v>
      </c>
      <c r="C146" s="5" t="s">
        <v>21</v>
      </c>
      <c r="K146" s="5">
        <v>200.0</v>
      </c>
      <c r="N146" s="9">
        <v>43862.0</v>
      </c>
    </row>
    <row r="147">
      <c r="A147" s="5">
        <v>146.0</v>
      </c>
      <c r="B147" s="5" t="s">
        <v>411</v>
      </c>
      <c r="C147" s="5" t="s">
        <v>21</v>
      </c>
      <c r="K147" s="5">
        <v>400.0</v>
      </c>
      <c r="N147" s="9">
        <v>44316.0</v>
      </c>
    </row>
    <row r="148">
      <c r="A148" s="5">
        <v>147.0</v>
      </c>
      <c r="B148" s="5" t="s">
        <v>414</v>
      </c>
      <c r="C148" s="5" t="s">
        <v>21</v>
      </c>
      <c r="K148" s="5">
        <v>250.0</v>
      </c>
      <c r="N148" s="9">
        <v>44186.0</v>
      </c>
    </row>
    <row r="149">
      <c r="A149" s="5">
        <v>148.0</v>
      </c>
      <c r="B149" s="5" t="s">
        <v>417</v>
      </c>
      <c r="C149" s="5" t="s">
        <v>21</v>
      </c>
      <c r="K149" s="5">
        <v>300.0</v>
      </c>
      <c r="N149" s="9">
        <v>44987.0</v>
      </c>
    </row>
    <row r="150">
      <c r="A150" s="5">
        <v>149.0</v>
      </c>
      <c r="B150" s="5" t="s">
        <v>419</v>
      </c>
      <c r="C150" s="5" t="s">
        <v>21</v>
      </c>
      <c r="K150" s="5">
        <v>150.0</v>
      </c>
      <c r="N150" s="9">
        <v>44181.0</v>
      </c>
    </row>
    <row r="151">
      <c r="A151" s="5">
        <v>150.0</v>
      </c>
      <c r="B151" s="5" t="s">
        <v>421</v>
      </c>
      <c r="C151" s="5" t="s">
        <v>21</v>
      </c>
      <c r="N151" s="9">
        <v>44055.0</v>
      </c>
    </row>
    <row r="152">
      <c r="A152" s="5">
        <v>151.0</v>
      </c>
      <c r="B152" s="5" t="s">
        <v>424</v>
      </c>
      <c r="C152" s="5" t="s">
        <v>21</v>
      </c>
      <c r="K152" s="5">
        <v>450.0</v>
      </c>
      <c r="N152" s="9">
        <v>43197.0</v>
      </c>
    </row>
    <row r="153">
      <c r="A153" s="5">
        <v>152.0</v>
      </c>
      <c r="B153" s="5" t="s">
        <v>426</v>
      </c>
      <c r="C153" s="5" t="s">
        <v>21</v>
      </c>
      <c r="K153" s="5">
        <v>80.0</v>
      </c>
      <c r="N153" s="9">
        <v>45152.0</v>
      </c>
    </row>
    <row r="154">
      <c r="A154" s="5">
        <v>153.0</v>
      </c>
      <c r="B154" s="5" t="s">
        <v>429</v>
      </c>
      <c r="C154" s="5" t="s">
        <v>21</v>
      </c>
      <c r="K154" s="5">
        <v>90.0</v>
      </c>
      <c r="N154" s="9">
        <v>44297.0</v>
      </c>
    </row>
    <row r="155">
      <c r="A155" s="5">
        <v>154.0</v>
      </c>
      <c r="B155" s="5" t="s">
        <v>432</v>
      </c>
      <c r="C155" s="5" t="s">
        <v>21</v>
      </c>
      <c r="K155" s="5">
        <v>350.0</v>
      </c>
      <c r="N155" s="9">
        <v>44755.0</v>
      </c>
    </row>
    <row r="156">
      <c r="A156" s="5">
        <v>155.0</v>
      </c>
      <c r="B156" s="5" t="s">
        <v>435</v>
      </c>
      <c r="C156" s="5" t="s">
        <v>21</v>
      </c>
      <c r="K156" s="5">
        <v>3000.0</v>
      </c>
      <c r="N156" s="9">
        <v>45439.0</v>
      </c>
    </row>
    <row r="157">
      <c r="A157" s="5">
        <v>156.0</v>
      </c>
      <c r="B157" s="5" t="s">
        <v>438</v>
      </c>
      <c r="C157" s="5" t="s">
        <v>21</v>
      </c>
      <c r="K157" s="5">
        <v>20.0</v>
      </c>
      <c r="N157" s="9">
        <v>44843.0</v>
      </c>
    </row>
    <row r="158">
      <c r="A158" s="5">
        <v>157.0</v>
      </c>
      <c r="B158" s="5" t="s">
        <v>442</v>
      </c>
      <c r="C158" s="5" t="s">
        <v>21</v>
      </c>
      <c r="K158" s="5">
        <v>100.0</v>
      </c>
      <c r="N158" s="9">
        <v>44519.0</v>
      </c>
    </row>
    <row r="159">
      <c r="A159" s="5">
        <v>158.0</v>
      </c>
      <c r="B159" s="5" t="s">
        <v>445</v>
      </c>
      <c r="C159" s="5" t="s">
        <v>21</v>
      </c>
      <c r="K159" s="5">
        <v>3000.0</v>
      </c>
      <c r="N159" s="9">
        <v>43993.0</v>
      </c>
    </row>
    <row r="160">
      <c r="A160" s="5">
        <v>159.0</v>
      </c>
      <c r="B160" s="5" t="s">
        <v>448</v>
      </c>
      <c r="C160" s="5" t="s">
        <v>21</v>
      </c>
      <c r="K160" s="5">
        <v>100.0</v>
      </c>
      <c r="N160" s="9">
        <v>44479.0</v>
      </c>
    </row>
    <row r="161">
      <c r="A161" s="5">
        <v>160.0</v>
      </c>
      <c r="B161" s="5" t="s">
        <v>451</v>
      </c>
      <c r="C161" s="5" t="s">
        <v>21</v>
      </c>
      <c r="K161" s="5">
        <v>60.0</v>
      </c>
      <c r="N161" s="9">
        <v>45574.0</v>
      </c>
    </row>
    <row r="162">
      <c r="A162" s="5">
        <v>161.0</v>
      </c>
      <c r="B162" s="5" t="s">
        <v>453</v>
      </c>
      <c r="C162" s="5" t="s">
        <v>21</v>
      </c>
      <c r="K162" s="5">
        <v>500.0</v>
      </c>
      <c r="N162" s="9">
        <v>44423.0</v>
      </c>
    </row>
    <row r="163">
      <c r="A163" s="5">
        <v>162.0</v>
      </c>
      <c r="B163" s="5" t="s">
        <v>456</v>
      </c>
      <c r="C163" s="5" t="s">
        <v>21</v>
      </c>
      <c r="K163" s="5">
        <v>5600.0</v>
      </c>
      <c r="N163" s="9">
        <v>45685.0</v>
      </c>
    </row>
    <row r="164">
      <c r="A164" s="5">
        <v>163.0</v>
      </c>
      <c r="B164" s="5" t="s">
        <v>459</v>
      </c>
      <c r="C164" s="5" t="s">
        <v>21</v>
      </c>
      <c r="K164" s="5">
        <v>150.0</v>
      </c>
      <c r="N164" s="9">
        <v>44115.0</v>
      </c>
    </row>
    <row r="165">
      <c r="A165" s="5">
        <v>164.0</v>
      </c>
      <c r="B165" s="5" t="s">
        <v>462</v>
      </c>
      <c r="C165" s="5" t="s">
        <v>21</v>
      </c>
      <c r="K165" s="5">
        <v>450.0</v>
      </c>
      <c r="N165" s="9">
        <v>45113.0</v>
      </c>
    </row>
    <row r="166">
      <c r="A166" s="5">
        <v>165.0</v>
      </c>
      <c r="B166" s="5" t="s">
        <v>465</v>
      </c>
      <c r="C166" s="5" t="s">
        <v>21</v>
      </c>
      <c r="K166" s="5">
        <v>200.0</v>
      </c>
      <c r="N166" s="9">
        <v>44539.0</v>
      </c>
    </row>
    <row r="167">
      <c r="A167" s="5">
        <v>166.0</v>
      </c>
      <c r="B167" s="5" t="s">
        <v>468</v>
      </c>
      <c r="C167" s="5" t="s">
        <v>21</v>
      </c>
      <c r="K167" s="5">
        <v>800.0</v>
      </c>
      <c r="N167" s="9">
        <v>44088.0</v>
      </c>
    </row>
    <row r="168">
      <c r="A168" s="5">
        <v>167.0</v>
      </c>
      <c r="B168" s="5" t="s">
        <v>471</v>
      </c>
      <c r="C168" s="5" t="s">
        <v>21</v>
      </c>
      <c r="K168" s="5">
        <v>200.0</v>
      </c>
      <c r="N168" s="9">
        <v>44206.0</v>
      </c>
    </row>
    <row r="169">
      <c r="A169" s="5">
        <v>168.0</v>
      </c>
      <c r="B169" s="5" t="s">
        <v>477</v>
      </c>
      <c r="C169" s="5" t="s">
        <v>21</v>
      </c>
      <c r="K169" s="5">
        <v>20.0</v>
      </c>
      <c r="N169" s="9">
        <v>44378.0</v>
      </c>
    </row>
    <row r="170">
      <c r="A170" s="5">
        <v>169.0</v>
      </c>
      <c r="B170" s="5" t="s">
        <v>480</v>
      </c>
      <c r="C170" s="5" t="s">
        <v>21</v>
      </c>
      <c r="K170" s="5">
        <v>400.0</v>
      </c>
      <c r="N170" s="9">
        <v>45294.0</v>
      </c>
    </row>
    <row r="171">
      <c r="A171" s="5">
        <v>170.0</v>
      </c>
      <c r="B171" s="5" t="s">
        <v>484</v>
      </c>
      <c r="C171" s="5" t="s">
        <v>21</v>
      </c>
      <c r="K171" s="5">
        <v>40.0</v>
      </c>
      <c r="N171" s="9">
        <v>44033.0</v>
      </c>
    </row>
    <row r="172">
      <c r="A172" s="5">
        <v>171.0</v>
      </c>
      <c r="B172" s="5" t="s">
        <v>487</v>
      </c>
      <c r="C172" s="5" t="s">
        <v>21</v>
      </c>
      <c r="K172" s="5">
        <v>20.0</v>
      </c>
      <c r="N172" s="9">
        <v>43885.0</v>
      </c>
    </row>
    <row r="173">
      <c r="A173" s="5">
        <v>172.0</v>
      </c>
      <c r="B173" s="5" t="s">
        <v>491</v>
      </c>
      <c r="C173" s="5" t="s">
        <v>21</v>
      </c>
      <c r="K173" s="5">
        <v>30.0</v>
      </c>
      <c r="N173" s="9">
        <v>44788.0</v>
      </c>
    </row>
    <row r="174">
      <c r="A174" s="5">
        <v>173.0</v>
      </c>
      <c r="B174" s="5" t="s">
        <v>495</v>
      </c>
      <c r="C174" s="5" t="s">
        <v>21</v>
      </c>
      <c r="K174" s="5">
        <v>90.0</v>
      </c>
      <c r="N174" s="9">
        <v>44257.0</v>
      </c>
    </row>
    <row r="175">
      <c r="N175" s="9"/>
    </row>
    <row r="176">
      <c r="N176" s="9"/>
    </row>
    <row r="177">
      <c r="N177" s="9"/>
    </row>
    <row r="178">
      <c r="N178" s="9"/>
    </row>
    <row r="179">
      <c r="N179" s="9"/>
    </row>
    <row r="180">
      <c r="N180" s="9"/>
    </row>
    <row r="181">
      <c r="N181" s="9"/>
    </row>
    <row r="182">
      <c r="N182" s="9"/>
    </row>
    <row r="183">
      <c r="N183" s="9"/>
    </row>
    <row r="184">
      <c r="N184" s="9"/>
    </row>
    <row r="185">
      <c r="N185" s="9"/>
    </row>
    <row r="186">
      <c r="N186" s="9"/>
    </row>
    <row r="187">
      <c r="N187" s="9"/>
    </row>
    <row r="188">
      <c r="N188" s="9"/>
    </row>
    <row r="189">
      <c r="N189" s="9"/>
    </row>
    <row r="190">
      <c r="N190" s="9"/>
    </row>
    <row r="191">
      <c r="N191" s="9"/>
    </row>
    <row r="192">
      <c r="N192" s="9"/>
    </row>
    <row r="193">
      <c r="N193" s="9"/>
    </row>
    <row r="194">
      <c r="N194" s="9"/>
    </row>
    <row r="195">
      <c r="N195" s="9"/>
    </row>
    <row r="196">
      <c r="N196" s="9"/>
    </row>
    <row r="197">
      <c r="N197" s="9"/>
    </row>
    <row r="198">
      <c r="N198" s="9"/>
    </row>
    <row r="199">
      <c r="N199" s="9"/>
    </row>
    <row r="200">
      <c r="N200" s="9"/>
    </row>
    <row r="201">
      <c r="N201" s="9"/>
    </row>
    <row r="202">
      <c r="N202" s="9"/>
    </row>
    <row r="203">
      <c r="N203" s="9"/>
    </row>
    <row r="204">
      <c r="N204" s="9"/>
    </row>
    <row r="205">
      <c r="N205" s="9"/>
    </row>
    <row r="206">
      <c r="N206" s="9"/>
    </row>
    <row r="207">
      <c r="N207" s="9"/>
    </row>
    <row r="208">
      <c r="N208" s="9"/>
    </row>
    <row r="209">
      <c r="N209" s="9"/>
    </row>
    <row r="210">
      <c r="N210" s="9"/>
    </row>
    <row r="211">
      <c r="N211" s="9"/>
    </row>
    <row r="212">
      <c r="N212" s="9"/>
    </row>
    <row r="213">
      <c r="N213" s="9"/>
    </row>
    <row r="214">
      <c r="N214" s="9"/>
    </row>
    <row r="215">
      <c r="N215" s="9"/>
    </row>
    <row r="216">
      <c r="N216" s="9"/>
    </row>
    <row r="217">
      <c r="N217" s="9"/>
    </row>
    <row r="218">
      <c r="N218" s="9"/>
    </row>
    <row r="219">
      <c r="N219" s="9"/>
    </row>
    <row r="220">
      <c r="N220" s="9"/>
    </row>
    <row r="221">
      <c r="N221" s="9"/>
    </row>
    <row r="222">
      <c r="N222" s="9"/>
    </row>
    <row r="223">
      <c r="N223" s="9"/>
    </row>
    <row r="224">
      <c r="N224" s="9"/>
    </row>
    <row r="225">
      <c r="N225" s="9"/>
    </row>
    <row r="226">
      <c r="N226" s="9"/>
    </row>
    <row r="227">
      <c r="N227" s="9"/>
    </row>
    <row r="228">
      <c r="N228" s="9"/>
    </row>
    <row r="229">
      <c r="N229" s="9"/>
    </row>
    <row r="230">
      <c r="N230" s="9"/>
    </row>
    <row r="231">
      <c r="N231" s="9"/>
    </row>
    <row r="232">
      <c r="N232" s="9"/>
    </row>
    <row r="233">
      <c r="N233" s="9"/>
    </row>
    <row r="234">
      <c r="N234" s="9"/>
    </row>
    <row r="235">
      <c r="N235" s="9"/>
    </row>
    <row r="236">
      <c r="N236" s="9"/>
    </row>
    <row r="237">
      <c r="N237" s="9"/>
    </row>
    <row r="238">
      <c r="N238" s="9"/>
    </row>
    <row r="239">
      <c r="N239" s="9"/>
    </row>
    <row r="240">
      <c r="N240" s="9"/>
    </row>
    <row r="241">
      <c r="N241" s="9"/>
    </row>
    <row r="242">
      <c r="N242" s="9"/>
    </row>
    <row r="243">
      <c r="N243" s="9"/>
    </row>
    <row r="244">
      <c r="N244" s="9"/>
    </row>
    <row r="245">
      <c r="N245" s="9"/>
    </row>
    <row r="246">
      <c r="N246" s="9"/>
    </row>
    <row r="247">
      <c r="N247" s="9"/>
    </row>
    <row r="248">
      <c r="N248" s="9"/>
    </row>
    <row r="249">
      <c r="N249" s="9"/>
    </row>
    <row r="250">
      <c r="N250" s="9"/>
    </row>
    <row r="251">
      <c r="N251" s="9"/>
    </row>
    <row r="252">
      <c r="N252" s="9"/>
    </row>
    <row r="253">
      <c r="N253" s="9"/>
    </row>
    <row r="254">
      <c r="N254" s="9"/>
    </row>
    <row r="255">
      <c r="I255" s="8"/>
      <c r="N255" s="9"/>
    </row>
    <row r="256">
      <c r="N256" s="9"/>
    </row>
    <row r="257">
      <c r="N257" s="9"/>
    </row>
    <row r="258">
      <c r="N258" s="9"/>
    </row>
    <row r="259">
      <c r="N259" s="9"/>
    </row>
    <row r="260">
      <c r="N260" s="9"/>
    </row>
    <row r="261">
      <c r="N261" s="9"/>
    </row>
    <row r="262">
      <c r="N262" s="9"/>
    </row>
    <row r="263">
      <c r="N263" s="9"/>
    </row>
    <row r="264">
      <c r="N264" s="9"/>
    </row>
    <row r="265">
      <c r="N265" s="9"/>
    </row>
    <row r="266">
      <c r="N266" s="9"/>
    </row>
    <row r="267">
      <c r="N267" s="9"/>
    </row>
    <row r="268">
      <c r="N268" s="9"/>
    </row>
    <row r="269">
      <c r="N269" s="9"/>
    </row>
    <row r="270">
      <c r="N270" s="9"/>
    </row>
    <row r="271">
      <c r="N271" s="9"/>
    </row>
    <row r="272">
      <c r="N272" s="9"/>
    </row>
    <row r="273">
      <c r="N273" s="9"/>
    </row>
    <row r="274">
      <c r="N274" s="9"/>
    </row>
    <row r="275">
      <c r="N275" s="9"/>
    </row>
    <row r="276">
      <c r="N276" s="9"/>
    </row>
    <row r="277">
      <c r="N277" s="9"/>
    </row>
    <row r="278">
      <c r="N278" s="9"/>
    </row>
    <row r="279">
      <c r="N279" s="9"/>
    </row>
    <row r="280">
      <c r="N280" s="9"/>
    </row>
    <row r="281">
      <c r="N281" s="9"/>
    </row>
    <row r="282">
      <c r="N282" s="9"/>
    </row>
    <row r="283">
      <c r="N283" s="9"/>
    </row>
    <row r="284">
      <c r="N284" s="9"/>
    </row>
    <row r="285">
      <c r="N285" s="9"/>
    </row>
    <row r="286">
      <c r="N286" s="9"/>
    </row>
    <row r="287">
      <c r="N287" s="9"/>
    </row>
    <row r="288">
      <c r="N288" s="9"/>
    </row>
    <row r="289">
      <c r="N289" s="9"/>
    </row>
    <row r="290">
      <c r="N290" s="9"/>
    </row>
    <row r="291">
      <c r="N291" s="9"/>
    </row>
    <row r="292">
      <c r="N292" s="9"/>
    </row>
    <row r="293">
      <c r="N293" s="9"/>
    </row>
    <row r="294">
      <c r="N294" s="9"/>
    </row>
    <row r="295">
      <c r="N295" s="9"/>
    </row>
    <row r="296">
      <c r="N296" s="9"/>
    </row>
    <row r="297">
      <c r="N297" s="9"/>
    </row>
    <row r="298">
      <c r="N298" s="9"/>
    </row>
    <row r="299">
      <c r="N299" s="9"/>
    </row>
    <row r="300">
      <c r="N300" s="9"/>
    </row>
    <row r="301">
      <c r="N301" s="9"/>
    </row>
    <row r="302">
      <c r="N302" s="9"/>
    </row>
    <row r="303">
      <c r="N303" s="9"/>
    </row>
    <row r="304">
      <c r="N304" s="9"/>
    </row>
    <row r="305">
      <c r="N305" s="9"/>
    </row>
    <row r="306">
      <c r="N306" s="9"/>
    </row>
    <row r="307">
      <c r="N307" s="9"/>
    </row>
    <row r="308">
      <c r="N308" s="9"/>
    </row>
    <row r="309">
      <c r="N309" s="9"/>
    </row>
    <row r="310">
      <c r="N310" s="9"/>
    </row>
    <row r="311">
      <c r="N311" s="9"/>
    </row>
    <row r="312">
      <c r="N312" s="9"/>
    </row>
    <row r="313">
      <c r="N313" s="9"/>
    </row>
    <row r="314">
      <c r="N314" s="9"/>
    </row>
    <row r="315">
      <c r="N315" s="9"/>
    </row>
    <row r="316">
      <c r="N316" s="9"/>
    </row>
    <row r="317">
      <c r="N317" s="9"/>
    </row>
    <row r="318">
      <c r="N318" s="9"/>
    </row>
    <row r="319">
      <c r="N319" s="9"/>
    </row>
    <row r="320">
      <c r="N320" s="9"/>
    </row>
    <row r="321">
      <c r="N321" s="9"/>
    </row>
    <row r="322">
      <c r="N322" s="9"/>
    </row>
    <row r="323">
      <c r="N323" s="9"/>
    </row>
    <row r="324">
      <c r="N324" s="9"/>
    </row>
    <row r="325">
      <c r="N325" s="9"/>
    </row>
    <row r="326">
      <c r="N326" s="9"/>
    </row>
    <row r="327">
      <c r="N327" s="9"/>
    </row>
    <row r="328">
      <c r="N328" s="9"/>
    </row>
    <row r="329">
      <c r="N329" s="9"/>
    </row>
    <row r="330">
      <c r="N330" s="9"/>
    </row>
    <row r="331">
      <c r="N331" s="9"/>
    </row>
    <row r="332">
      <c r="N332" s="9"/>
    </row>
    <row r="333">
      <c r="N333" s="9"/>
    </row>
    <row r="334">
      <c r="N334" s="9"/>
    </row>
    <row r="335">
      <c r="N335" s="9"/>
    </row>
    <row r="336">
      <c r="N336" s="9"/>
    </row>
    <row r="337">
      <c r="N337" s="9"/>
    </row>
    <row r="338">
      <c r="N338" s="9"/>
    </row>
    <row r="339">
      <c r="N339" s="9"/>
    </row>
    <row r="340">
      <c r="N340" s="9"/>
    </row>
    <row r="341">
      <c r="N341" s="9"/>
    </row>
    <row r="342">
      <c r="N342" s="9"/>
    </row>
    <row r="343">
      <c r="N343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49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783</v>
      </c>
      <c r="C2" s="5" t="s">
        <v>21</v>
      </c>
      <c r="D2" s="5">
        <v>85.0</v>
      </c>
      <c r="E2" s="5">
        <v>2800.0</v>
      </c>
      <c r="F2" s="5">
        <v>0.6</v>
      </c>
      <c r="H2" s="5" t="s">
        <v>23</v>
      </c>
      <c r="I2" s="8">
        <v>46149.25770833333</v>
      </c>
      <c r="K2" s="5">
        <v>21000.0</v>
      </c>
      <c r="L2" s="5">
        <v>2100.0</v>
      </c>
      <c r="M2" s="5">
        <v>2700.0</v>
      </c>
      <c r="N2" s="9">
        <v>42254.0</v>
      </c>
      <c r="O2" s="5" t="s">
        <v>86</v>
      </c>
      <c r="P2" s="5" t="s">
        <v>26</v>
      </c>
      <c r="Q2" s="5" t="s">
        <v>787</v>
      </c>
      <c r="R2" s="5" t="s">
        <v>788</v>
      </c>
      <c r="S2" s="5" t="s">
        <v>29</v>
      </c>
    </row>
    <row r="3">
      <c r="A3" s="5">
        <v>2.0</v>
      </c>
      <c r="B3" s="5" t="s">
        <v>23</v>
      </c>
      <c r="C3" s="5" t="s">
        <v>21</v>
      </c>
      <c r="D3" s="5">
        <v>83.0</v>
      </c>
      <c r="E3" s="5">
        <v>2700.0</v>
      </c>
      <c r="F3" s="5">
        <v>0.6</v>
      </c>
      <c r="G3" s="5">
        <v>1.54</v>
      </c>
      <c r="H3" s="5" t="s">
        <v>23</v>
      </c>
      <c r="I3" s="8">
        <v>46149.24729166667</v>
      </c>
      <c r="J3" s="5" t="s">
        <v>792</v>
      </c>
      <c r="K3" s="5">
        <v>21000.0</v>
      </c>
      <c r="L3" s="5">
        <v>2100.0</v>
      </c>
      <c r="M3" s="5">
        <v>2700.0</v>
      </c>
      <c r="N3" s="9">
        <v>42248.0</v>
      </c>
      <c r="O3" s="5" t="s">
        <v>86</v>
      </c>
      <c r="P3" s="5" t="s">
        <v>26</v>
      </c>
      <c r="Q3" s="5" t="s">
        <v>796</v>
      </c>
      <c r="R3" s="5" t="s">
        <v>797</v>
      </c>
      <c r="S3" s="5" t="s">
        <v>29</v>
      </c>
    </row>
    <row r="4">
      <c r="A4" s="5">
        <v>3.0</v>
      </c>
      <c r="B4" s="5" t="s">
        <v>799</v>
      </c>
      <c r="C4" s="5" t="s">
        <v>21</v>
      </c>
      <c r="D4" s="5">
        <v>92.0</v>
      </c>
      <c r="E4" s="5">
        <v>600.0</v>
      </c>
      <c r="F4" s="5">
        <v>0.6</v>
      </c>
      <c r="H4" s="5" t="s">
        <v>23</v>
      </c>
      <c r="I4" s="8">
        <v>45910.98322916667</v>
      </c>
      <c r="K4" s="5">
        <v>1900.0</v>
      </c>
      <c r="L4" s="5">
        <v>5300.0</v>
      </c>
      <c r="M4" s="5">
        <v>5900.0</v>
      </c>
      <c r="N4" s="9">
        <v>42414.0</v>
      </c>
      <c r="O4" s="5" t="s">
        <v>25</v>
      </c>
      <c r="P4" s="5" t="s">
        <v>26</v>
      </c>
      <c r="Q4" s="5" t="s">
        <v>804</v>
      </c>
      <c r="R4" s="5" t="s">
        <v>806</v>
      </c>
      <c r="S4" s="5" t="s">
        <v>29</v>
      </c>
    </row>
    <row r="5">
      <c r="A5" s="5">
        <v>4.0</v>
      </c>
      <c r="B5" s="5" t="s">
        <v>129</v>
      </c>
      <c r="C5" s="5" t="s">
        <v>21</v>
      </c>
      <c r="D5" s="5">
        <v>95.0</v>
      </c>
      <c r="E5" s="5">
        <v>350.0</v>
      </c>
      <c r="F5" s="5">
        <v>0.5</v>
      </c>
      <c r="G5" s="5">
        <v>0.36</v>
      </c>
      <c r="H5" s="5" t="s">
        <v>129</v>
      </c>
      <c r="I5" s="8">
        <v>45975.63111111111</v>
      </c>
      <c r="J5" s="5" t="s">
        <v>810</v>
      </c>
      <c r="K5" s="5">
        <v>1710000.0</v>
      </c>
      <c r="L5" s="5">
        <v>40.0</v>
      </c>
      <c r="M5" s="5">
        <v>34000.0</v>
      </c>
      <c r="N5" s="9">
        <v>42605.0</v>
      </c>
      <c r="O5" s="5" t="s">
        <v>69</v>
      </c>
      <c r="P5" s="5" t="s">
        <v>26</v>
      </c>
      <c r="Q5" s="5" t="s">
        <v>814</v>
      </c>
      <c r="R5" s="5" t="s">
        <v>815</v>
      </c>
      <c r="S5" s="5" t="s">
        <v>40</v>
      </c>
    </row>
    <row r="6">
      <c r="A6" s="5">
        <v>5.0</v>
      </c>
      <c r="B6" s="5" t="s">
        <v>818</v>
      </c>
      <c r="C6" s="5" t="s">
        <v>21</v>
      </c>
      <c r="D6" s="5">
        <v>91.0</v>
      </c>
      <c r="E6" s="5">
        <v>300.0</v>
      </c>
      <c r="F6" s="5">
        <v>0.6</v>
      </c>
      <c r="H6" s="5" t="s">
        <v>23</v>
      </c>
      <c r="I6" s="8">
        <v>45935.22761574074</v>
      </c>
      <c r="J6" s="5" t="s">
        <v>104</v>
      </c>
      <c r="K6" s="5">
        <v>2300.0</v>
      </c>
      <c r="L6" s="5">
        <v>5400.0</v>
      </c>
      <c r="M6" s="5">
        <v>5800.0</v>
      </c>
      <c r="N6" s="9">
        <v>42496.0</v>
      </c>
      <c r="O6" s="5" t="s">
        <v>25</v>
      </c>
      <c r="P6" s="5" t="s">
        <v>26</v>
      </c>
      <c r="Q6" s="5" t="s">
        <v>823</v>
      </c>
      <c r="R6" s="5" t="s">
        <v>825</v>
      </c>
      <c r="S6" s="5" t="s">
        <v>29</v>
      </c>
    </row>
    <row r="7">
      <c r="A7" s="5">
        <v>6.0</v>
      </c>
      <c r="B7" s="5" t="s">
        <v>827</v>
      </c>
      <c r="C7" s="5" t="s">
        <v>21</v>
      </c>
      <c r="D7" s="5">
        <v>49.0</v>
      </c>
      <c r="E7" s="5">
        <v>200.0</v>
      </c>
      <c r="F7" s="5">
        <v>0.35</v>
      </c>
      <c r="H7" s="5" t="s">
        <v>829</v>
      </c>
      <c r="I7" s="8">
        <v>46117.84556712963</v>
      </c>
      <c r="J7" s="5" t="s">
        <v>137</v>
      </c>
      <c r="K7" s="5">
        <v>200.0</v>
      </c>
      <c r="L7" s="5">
        <v>16000.0</v>
      </c>
      <c r="M7" s="5">
        <v>16000.0</v>
      </c>
      <c r="N7" s="9">
        <v>42982.0</v>
      </c>
      <c r="O7" s="5" t="s">
        <v>86</v>
      </c>
      <c r="P7" s="5" t="s">
        <v>26</v>
      </c>
      <c r="S7" s="5" t="s">
        <v>45</v>
      </c>
    </row>
    <row r="8">
      <c r="A8" s="5">
        <v>7.0</v>
      </c>
      <c r="B8" s="5" t="s">
        <v>20</v>
      </c>
      <c r="C8" s="5" t="s">
        <v>21</v>
      </c>
      <c r="D8" s="5">
        <v>93.0</v>
      </c>
      <c r="E8" s="5">
        <v>150.0</v>
      </c>
      <c r="H8" s="5">
        <v>888.0</v>
      </c>
      <c r="I8" s="8">
        <v>46088.629895833335</v>
      </c>
      <c r="J8" s="5" t="s">
        <v>32</v>
      </c>
      <c r="K8" s="5">
        <v>899000.0</v>
      </c>
      <c r="L8" s="5">
        <v>60.0</v>
      </c>
      <c r="M8" s="5">
        <v>1080000.0</v>
      </c>
      <c r="N8" s="9">
        <v>43843.0</v>
      </c>
      <c r="O8" s="5" t="s">
        <v>38</v>
      </c>
      <c r="P8" s="5" t="s">
        <v>26</v>
      </c>
      <c r="S8" s="5" t="s">
        <v>40</v>
      </c>
    </row>
    <row r="9">
      <c r="A9" s="5">
        <v>8.0</v>
      </c>
      <c r="B9" s="5" t="s">
        <v>838</v>
      </c>
      <c r="C9" s="5" t="s">
        <v>21</v>
      </c>
      <c r="D9" s="5">
        <v>86.0</v>
      </c>
      <c r="E9" s="5">
        <v>150.0</v>
      </c>
      <c r="F9" s="5">
        <v>0.2</v>
      </c>
      <c r="H9" s="5" t="s">
        <v>23</v>
      </c>
      <c r="I9" s="8">
        <v>46149.46625</v>
      </c>
      <c r="K9" s="5">
        <v>800.0</v>
      </c>
      <c r="L9" s="5">
        <v>2100.0</v>
      </c>
      <c r="M9" s="5">
        <v>2700.0</v>
      </c>
      <c r="N9" s="9">
        <v>43843.0</v>
      </c>
      <c r="O9" s="5" t="s">
        <v>86</v>
      </c>
      <c r="P9" s="5" t="s">
        <v>26</v>
      </c>
      <c r="S9" s="5" t="s">
        <v>842</v>
      </c>
    </row>
    <row r="10">
      <c r="A10" s="5">
        <v>9.0</v>
      </c>
      <c r="B10" s="5" t="s">
        <v>845</v>
      </c>
      <c r="C10" s="5" t="s">
        <v>21</v>
      </c>
      <c r="D10" s="5">
        <v>75.0</v>
      </c>
      <c r="E10" s="5">
        <v>150.0</v>
      </c>
      <c r="F10" s="5">
        <v>0.25</v>
      </c>
      <c r="H10" s="5" t="s">
        <v>783</v>
      </c>
      <c r="I10" s="8">
        <v>46072.293078703704</v>
      </c>
      <c r="J10" s="5" t="s">
        <v>50</v>
      </c>
      <c r="K10" s="5">
        <v>200.0</v>
      </c>
      <c r="L10" s="5">
        <v>3500.0</v>
      </c>
      <c r="M10" s="5">
        <v>3900.0</v>
      </c>
      <c r="N10" s="9">
        <v>42763.0</v>
      </c>
      <c r="O10" s="5" t="s">
        <v>86</v>
      </c>
      <c r="P10" s="5" t="s">
        <v>26</v>
      </c>
      <c r="Q10" s="5" t="s">
        <v>850</v>
      </c>
      <c r="R10" s="5" t="s">
        <v>853</v>
      </c>
      <c r="S10" s="5" t="s">
        <v>45</v>
      </c>
    </row>
    <row r="11">
      <c r="A11" s="5">
        <v>10.0</v>
      </c>
      <c r="B11" s="5" t="s">
        <v>42</v>
      </c>
      <c r="C11" s="5" t="s">
        <v>21</v>
      </c>
      <c r="D11" s="5">
        <v>86.0</v>
      </c>
      <c r="E11" s="5">
        <v>150.0</v>
      </c>
      <c r="H11" s="5" t="s">
        <v>20</v>
      </c>
      <c r="I11" s="8">
        <v>46122.787777777776</v>
      </c>
      <c r="J11" s="5" t="s">
        <v>32</v>
      </c>
      <c r="K11" s="5">
        <v>1830000.0</v>
      </c>
      <c r="L11" s="5">
        <v>20.0</v>
      </c>
      <c r="M11" s="5">
        <v>155000.0</v>
      </c>
      <c r="N11" s="9">
        <v>42718.0</v>
      </c>
      <c r="O11" s="5" t="s">
        <v>38</v>
      </c>
      <c r="P11" s="5" t="s">
        <v>26</v>
      </c>
      <c r="S11" s="5" t="s">
        <v>45</v>
      </c>
    </row>
    <row r="12">
      <c r="A12" s="5">
        <v>11.0</v>
      </c>
      <c r="B12" s="5" t="s">
        <v>862</v>
      </c>
      <c r="C12" s="5" t="s">
        <v>21</v>
      </c>
      <c r="D12" s="5">
        <v>87.0</v>
      </c>
      <c r="E12" s="5">
        <v>150.0</v>
      </c>
      <c r="F12" s="5">
        <v>1.0</v>
      </c>
      <c r="H12" s="5" t="s">
        <v>23</v>
      </c>
      <c r="I12" s="8">
        <v>46125.23094907407</v>
      </c>
      <c r="J12" s="5" t="s">
        <v>864</v>
      </c>
      <c r="K12" s="5">
        <v>9100.0</v>
      </c>
      <c r="L12" s="5">
        <v>1900.0</v>
      </c>
      <c r="M12" s="5">
        <v>2400.0</v>
      </c>
      <c r="N12" s="9">
        <v>42433.0</v>
      </c>
      <c r="O12" s="5" t="s">
        <v>86</v>
      </c>
      <c r="P12" s="5" t="s">
        <v>26</v>
      </c>
      <c r="S12" s="5" t="s">
        <v>45</v>
      </c>
    </row>
    <row r="13">
      <c r="A13" s="5">
        <v>12.0</v>
      </c>
      <c r="B13" s="5" t="s">
        <v>867</v>
      </c>
      <c r="C13" s="5" t="s">
        <v>21</v>
      </c>
      <c r="D13" s="5">
        <v>90.0</v>
      </c>
      <c r="E13" s="5">
        <v>100.0</v>
      </c>
      <c r="F13" s="5">
        <v>0.3</v>
      </c>
      <c r="H13" s="5" t="s">
        <v>783</v>
      </c>
      <c r="I13" s="8">
        <v>46066.338912037034</v>
      </c>
      <c r="K13" s="5">
        <v>200.0</v>
      </c>
      <c r="L13" s="5">
        <v>3600.0</v>
      </c>
      <c r="M13" s="5">
        <v>4100.0</v>
      </c>
      <c r="N13" s="9">
        <v>43845.0</v>
      </c>
      <c r="O13" s="5" t="s">
        <v>86</v>
      </c>
      <c r="P13" s="5" t="s">
        <v>26</v>
      </c>
      <c r="S13" s="5" t="s">
        <v>29</v>
      </c>
    </row>
    <row r="14">
      <c r="A14" s="5">
        <v>13.0</v>
      </c>
      <c r="B14" s="5" t="s">
        <v>870</v>
      </c>
      <c r="C14" s="5" t="s">
        <v>21</v>
      </c>
      <c r="D14" s="5">
        <v>85.0</v>
      </c>
      <c r="E14" s="5">
        <v>100.0</v>
      </c>
      <c r="F14" s="5">
        <v>1.7</v>
      </c>
      <c r="H14" s="5" t="s">
        <v>23</v>
      </c>
      <c r="I14" s="8">
        <v>46145.15158564815</v>
      </c>
      <c r="J14" s="5" t="s">
        <v>872</v>
      </c>
      <c r="K14" s="5">
        <v>500.0</v>
      </c>
      <c r="L14" s="5">
        <v>2100.0</v>
      </c>
      <c r="M14" s="5">
        <v>2700.0</v>
      </c>
      <c r="N14" s="9">
        <v>42393.0</v>
      </c>
      <c r="O14" s="5" t="s">
        <v>25</v>
      </c>
      <c r="P14" s="5" t="s">
        <v>26</v>
      </c>
      <c r="S14" s="5" t="s">
        <v>29</v>
      </c>
    </row>
    <row r="15">
      <c r="A15" s="5">
        <v>14.0</v>
      </c>
      <c r="B15" s="5" t="s">
        <v>874</v>
      </c>
      <c r="C15" s="5" t="s">
        <v>21</v>
      </c>
      <c r="D15" s="5">
        <v>86.0</v>
      </c>
      <c r="E15" s="5">
        <v>100.0</v>
      </c>
      <c r="H15" s="5" t="s">
        <v>103</v>
      </c>
      <c r="I15" s="8">
        <v>46160.84069444444</v>
      </c>
      <c r="J15" s="5" t="s">
        <v>104</v>
      </c>
      <c r="K15" s="5">
        <v>600.0</v>
      </c>
      <c r="L15" s="5">
        <v>1000.0</v>
      </c>
      <c r="M15" s="5">
        <v>1100.0</v>
      </c>
      <c r="N15" s="9">
        <v>43182.0</v>
      </c>
      <c r="O15" s="5" t="s">
        <v>86</v>
      </c>
      <c r="P15" s="5" t="s">
        <v>26</v>
      </c>
      <c r="S15" s="5" t="s">
        <v>29</v>
      </c>
    </row>
    <row r="16">
      <c r="A16" s="5">
        <v>15.0</v>
      </c>
      <c r="B16" s="5" t="s">
        <v>876</v>
      </c>
      <c r="C16" s="5" t="s">
        <v>21</v>
      </c>
      <c r="D16" s="5">
        <v>86.0</v>
      </c>
      <c r="E16" s="5">
        <v>100.0</v>
      </c>
      <c r="H16" s="5" t="s">
        <v>103</v>
      </c>
      <c r="I16" s="8">
        <v>46157.10711805556</v>
      </c>
      <c r="K16" s="5">
        <v>1500.0</v>
      </c>
      <c r="L16" s="5">
        <v>1000.0</v>
      </c>
      <c r="M16" s="5">
        <v>1100.0</v>
      </c>
      <c r="N16" s="9">
        <v>42733.0</v>
      </c>
      <c r="O16" s="5" t="s">
        <v>25</v>
      </c>
      <c r="P16" s="5" t="s">
        <v>26</v>
      </c>
      <c r="S16" s="5" t="s">
        <v>29</v>
      </c>
    </row>
    <row r="17">
      <c r="A17" s="5">
        <v>16.0</v>
      </c>
      <c r="B17" s="5" t="s">
        <v>879</v>
      </c>
      <c r="C17" s="5" t="s">
        <v>21</v>
      </c>
      <c r="D17" s="5">
        <v>77.0</v>
      </c>
      <c r="E17" s="5">
        <v>90.0</v>
      </c>
      <c r="F17" s="5">
        <v>0.4</v>
      </c>
      <c r="H17" s="5" t="s">
        <v>879</v>
      </c>
      <c r="I17" s="8">
        <v>46143.739907407406</v>
      </c>
      <c r="J17" s="5" t="s">
        <v>881</v>
      </c>
      <c r="K17" s="5">
        <v>487000.0</v>
      </c>
      <c r="L17" s="5">
        <v>100.0</v>
      </c>
      <c r="M17" s="5">
        <v>579000.0</v>
      </c>
      <c r="N17" s="9">
        <v>42248.0</v>
      </c>
      <c r="O17" s="5" t="s">
        <v>73</v>
      </c>
      <c r="S17" s="5" t="s">
        <v>153</v>
      </c>
    </row>
    <row r="18">
      <c r="A18" s="5">
        <v>17.0</v>
      </c>
      <c r="B18" s="5" t="s">
        <v>883</v>
      </c>
      <c r="C18" s="5" t="s">
        <v>21</v>
      </c>
      <c r="D18" s="5">
        <v>83.0</v>
      </c>
      <c r="E18" s="5">
        <v>80.0</v>
      </c>
      <c r="H18" s="5" t="s">
        <v>883</v>
      </c>
      <c r="I18" s="8">
        <v>46100.74916666667</v>
      </c>
      <c r="J18" s="5" t="s">
        <v>104</v>
      </c>
      <c r="K18" s="5">
        <v>2.607E7</v>
      </c>
      <c r="L18" s="5">
        <v>70.0</v>
      </c>
      <c r="M18" s="5">
        <v>8600000.0</v>
      </c>
      <c r="N18" s="9">
        <v>42835.0</v>
      </c>
      <c r="O18" s="5" t="s">
        <v>52</v>
      </c>
      <c r="S18" s="5" t="s">
        <v>153</v>
      </c>
    </row>
    <row r="19">
      <c r="A19" s="5">
        <v>18.0</v>
      </c>
      <c r="B19" s="5" t="s">
        <v>885</v>
      </c>
      <c r="C19" s="5" t="s">
        <v>21</v>
      </c>
      <c r="D19" s="5">
        <v>81.0</v>
      </c>
      <c r="E19" s="5">
        <v>70.0</v>
      </c>
      <c r="F19" s="5">
        <v>0.4</v>
      </c>
      <c r="G19" s="5">
        <v>1.12</v>
      </c>
      <c r="H19" s="5" t="s">
        <v>23</v>
      </c>
      <c r="I19" s="8">
        <v>46142.4137962963</v>
      </c>
      <c r="J19" s="5" t="s">
        <v>50</v>
      </c>
      <c r="K19" s="5">
        <v>3800.0</v>
      </c>
      <c r="L19" s="5">
        <v>2100.0</v>
      </c>
      <c r="M19" s="5">
        <v>3200.0</v>
      </c>
      <c r="N19" s="9">
        <v>42256.0</v>
      </c>
      <c r="O19" s="5" t="s">
        <v>69</v>
      </c>
      <c r="P19" s="5" t="s">
        <v>26</v>
      </c>
      <c r="Q19" s="5" t="s">
        <v>887</v>
      </c>
      <c r="R19" s="5" t="s">
        <v>888</v>
      </c>
      <c r="S19" s="5" t="s">
        <v>889</v>
      </c>
    </row>
    <row r="20">
      <c r="A20" s="5">
        <v>19.0</v>
      </c>
      <c r="B20" s="5" t="s">
        <v>890</v>
      </c>
      <c r="C20" s="5" t="s">
        <v>21</v>
      </c>
      <c r="D20" s="5">
        <v>68.0</v>
      </c>
      <c r="E20" s="5">
        <v>70.0</v>
      </c>
      <c r="F20" s="5">
        <v>3.5</v>
      </c>
      <c r="H20" s="5" t="s">
        <v>890</v>
      </c>
      <c r="I20" s="8">
        <v>46160.724131944444</v>
      </c>
      <c r="J20" s="5" t="s">
        <v>137</v>
      </c>
      <c r="K20" s="5">
        <v>240000.0</v>
      </c>
      <c r="L20" s="5">
        <v>70.0</v>
      </c>
      <c r="M20" s="5">
        <v>344000.0</v>
      </c>
      <c r="N20" s="9">
        <v>42456.0</v>
      </c>
      <c r="O20" s="5" t="s">
        <v>893</v>
      </c>
      <c r="S20" s="5" t="s">
        <v>153</v>
      </c>
    </row>
    <row r="21">
      <c r="A21" s="5">
        <v>20.0</v>
      </c>
      <c r="B21" s="5" t="s">
        <v>894</v>
      </c>
      <c r="C21" s="5" t="s">
        <v>21</v>
      </c>
      <c r="D21" s="5">
        <v>82.0</v>
      </c>
      <c r="E21" s="5">
        <v>60.0</v>
      </c>
      <c r="H21" s="5" t="s">
        <v>23</v>
      </c>
      <c r="I21" s="8">
        <v>46144.66819444444</v>
      </c>
      <c r="J21" s="5" t="s">
        <v>50</v>
      </c>
      <c r="K21" s="5">
        <v>60.0</v>
      </c>
      <c r="L21" s="5">
        <v>2100.0</v>
      </c>
      <c r="M21" s="5">
        <v>2700.0</v>
      </c>
      <c r="N21" s="9">
        <v>42676.0</v>
      </c>
      <c r="O21" s="5" t="s">
        <v>86</v>
      </c>
      <c r="P21" s="5" t="s">
        <v>26</v>
      </c>
      <c r="S21" s="5" t="s">
        <v>40</v>
      </c>
    </row>
    <row r="22">
      <c r="A22" s="5">
        <v>21.0</v>
      </c>
      <c r="B22" s="5" t="s">
        <v>897</v>
      </c>
      <c r="C22" s="5" t="s">
        <v>21</v>
      </c>
      <c r="D22" s="5">
        <v>79.0</v>
      </c>
      <c r="E22" s="5">
        <v>60.0</v>
      </c>
      <c r="H22" s="5" t="s">
        <v>897</v>
      </c>
      <c r="I22" s="8">
        <v>46106.5946412037</v>
      </c>
      <c r="J22" s="5" t="s">
        <v>104</v>
      </c>
      <c r="K22" s="5">
        <v>2480000.0</v>
      </c>
      <c r="L22" s="5">
        <v>40.0</v>
      </c>
      <c r="M22" s="5">
        <v>2220000.0</v>
      </c>
      <c r="N22" s="9">
        <v>42277.0</v>
      </c>
      <c r="O22" s="5" t="s">
        <v>52</v>
      </c>
      <c r="S22" s="5" t="s">
        <v>153</v>
      </c>
    </row>
    <row r="23">
      <c r="A23" s="5">
        <v>22.0</v>
      </c>
      <c r="B23" s="5" t="s">
        <v>899</v>
      </c>
      <c r="C23" s="5" t="s">
        <v>21</v>
      </c>
      <c r="D23" s="5">
        <v>86.0</v>
      </c>
      <c r="E23" s="5">
        <v>50.0</v>
      </c>
      <c r="F23" s="5">
        <v>1.3</v>
      </c>
      <c r="H23" s="5" t="s">
        <v>23</v>
      </c>
      <c r="I23" s="8">
        <v>46125.58221064815</v>
      </c>
      <c r="K23" s="5">
        <v>350.0</v>
      </c>
      <c r="L23" s="5">
        <v>1900.0</v>
      </c>
      <c r="M23" s="5">
        <v>2400.0</v>
      </c>
      <c r="N23" s="9">
        <v>42266.0</v>
      </c>
      <c r="O23" s="5" t="s">
        <v>86</v>
      </c>
      <c r="P23" s="5" t="s">
        <v>26</v>
      </c>
      <c r="S23" s="5" t="s">
        <v>29</v>
      </c>
    </row>
    <row r="24">
      <c r="A24" s="5">
        <v>23.0</v>
      </c>
      <c r="B24" s="5" t="s">
        <v>81</v>
      </c>
      <c r="C24" s="5" t="s">
        <v>21</v>
      </c>
      <c r="D24" s="5">
        <v>86.0</v>
      </c>
      <c r="E24" s="5">
        <v>50.0</v>
      </c>
      <c r="F24" s="5">
        <v>0.4</v>
      </c>
      <c r="H24" s="5" t="s">
        <v>23</v>
      </c>
      <c r="I24" s="8">
        <v>46123.144791666666</v>
      </c>
      <c r="J24" s="5" t="s">
        <v>84</v>
      </c>
      <c r="K24" s="5">
        <v>700.0</v>
      </c>
      <c r="L24" s="5">
        <v>1700.0</v>
      </c>
      <c r="M24" s="5">
        <v>2300.0</v>
      </c>
      <c r="N24" s="9">
        <v>42363.0</v>
      </c>
      <c r="O24" s="5" t="s">
        <v>86</v>
      </c>
      <c r="P24" s="5" t="s">
        <v>26</v>
      </c>
      <c r="S24" s="5" t="s">
        <v>29</v>
      </c>
    </row>
    <row r="25">
      <c r="A25" s="5">
        <v>24.0</v>
      </c>
      <c r="B25" s="5" t="s">
        <v>905</v>
      </c>
      <c r="C25" s="5" t="s">
        <v>21</v>
      </c>
      <c r="D25" s="5">
        <v>89.0</v>
      </c>
      <c r="E25" s="5">
        <v>40.0</v>
      </c>
      <c r="F25" s="5">
        <v>0.15</v>
      </c>
      <c r="H25" s="5" t="s">
        <v>905</v>
      </c>
      <c r="I25" s="8">
        <v>46073.10797453704</v>
      </c>
      <c r="J25" s="5" t="s">
        <v>32</v>
      </c>
      <c r="K25" s="5">
        <v>295000.0</v>
      </c>
      <c r="L25" s="5">
        <v>20.0</v>
      </c>
      <c r="M25" s="5">
        <v>56000.0</v>
      </c>
      <c r="N25" s="9">
        <v>42304.0</v>
      </c>
      <c r="O25" s="5" t="s">
        <v>86</v>
      </c>
      <c r="P25" s="5" t="s">
        <v>26</v>
      </c>
      <c r="S25" s="5" t="s">
        <v>45</v>
      </c>
    </row>
    <row r="26">
      <c r="A26" s="5">
        <v>25.0</v>
      </c>
      <c r="B26" s="5" t="s">
        <v>908</v>
      </c>
      <c r="C26" s="5" t="s">
        <v>21</v>
      </c>
      <c r="D26" s="5">
        <v>85.0</v>
      </c>
      <c r="E26" s="5">
        <v>30.0</v>
      </c>
      <c r="F26" s="5">
        <v>0.2</v>
      </c>
      <c r="H26" s="5" t="s">
        <v>783</v>
      </c>
      <c r="I26" s="8">
        <v>46111.8999537037</v>
      </c>
      <c r="K26" s="5">
        <v>60.0</v>
      </c>
      <c r="L26" s="5">
        <v>2700.0</v>
      </c>
      <c r="M26" s="5">
        <v>66000.0</v>
      </c>
      <c r="N26" s="9">
        <v>44217.0</v>
      </c>
      <c r="O26" s="5" t="s">
        <v>86</v>
      </c>
      <c r="P26" s="5" t="s">
        <v>26</v>
      </c>
      <c r="S26" s="5" t="s">
        <v>911</v>
      </c>
    </row>
    <row r="27">
      <c r="A27" s="5">
        <v>26.0</v>
      </c>
      <c r="B27" s="5">
        <v>888.0</v>
      </c>
      <c r="C27" s="5" t="s">
        <v>21</v>
      </c>
      <c r="D27" s="5">
        <v>90.0</v>
      </c>
      <c r="E27" s="5">
        <v>30.0</v>
      </c>
      <c r="H27" s="5" t="s">
        <v>42</v>
      </c>
      <c r="I27" s="8">
        <v>45980.34116898148</v>
      </c>
      <c r="J27" s="5" t="s">
        <v>137</v>
      </c>
      <c r="K27" s="5">
        <v>1620000.0</v>
      </c>
      <c r="L27" s="5">
        <v>100.0</v>
      </c>
      <c r="M27" s="5">
        <v>866000.0</v>
      </c>
      <c r="N27" s="9">
        <v>42296.0</v>
      </c>
      <c r="O27" s="5" t="s">
        <v>73</v>
      </c>
      <c r="S27" s="5" t="s">
        <v>153</v>
      </c>
    </row>
    <row r="28">
      <c r="A28" s="5">
        <v>27.0</v>
      </c>
      <c r="B28" s="5" t="s">
        <v>100</v>
      </c>
      <c r="C28" s="5" t="s">
        <v>21</v>
      </c>
      <c r="D28" s="5">
        <v>86.0</v>
      </c>
      <c r="E28" s="5">
        <v>30.0</v>
      </c>
      <c r="H28" s="5" t="s">
        <v>103</v>
      </c>
      <c r="I28" s="8">
        <v>46156.33568287037</v>
      </c>
      <c r="J28" s="5" t="s">
        <v>104</v>
      </c>
      <c r="K28" s="5">
        <v>100.0</v>
      </c>
      <c r="L28" s="5">
        <v>1000.0</v>
      </c>
      <c r="M28" s="5">
        <v>1100.0</v>
      </c>
      <c r="N28" s="9">
        <v>43908.0</v>
      </c>
      <c r="O28" s="5" t="s">
        <v>86</v>
      </c>
      <c r="P28" s="5" t="s">
        <v>26</v>
      </c>
      <c r="S28" s="5" t="s">
        <v>29</v>
      </c>
    </row>
    <row r="29">
      <c r="A29" s="5">
        <v>28.0</v>
      </c>
      <c r="B29" s="5" t="s">
        <v>61</v>
      </c>
      <c r="C29" s="5" t="s">
        <v>21</v>
      </c>
      <c r="D29" s="5">
        <v>89.0</v>
      </c>
      <c r="E29" s="5">
        <v>30.0</v>
      </c>
      <c r="F29" s="5">
        <v>0.9</v>
      </c>
      <c r="H29" s="5" t="s">
        <v>61</v>
      </c>
      <c r="I29" s="8">
        <v>46155.5746875</v>
      </c>
      <c r="J29" s="5" t="s">
        <v>65</v>
      </c>
      <c r="K29" s="5">
        <v>131000.0</v>
      </c>
      <c r="L29" s="5">
        <v>10.0</v>
      </c>
      <c r="M29" s="5">
        <v>19000.0</v>
      </c>
      <c r="N29" s="9">
        <v>42267.0</v>
      </c>
      <c r="O29" s="5" t="s">
        <v>69</v>
      </c>
      <c r="P29" s="5" t="s">
        <v>26</v>
      </c>
      <c r="S29" s="5" t="s">
        <v>29</v>
      </c>
    </row>
    <row r="30">
      <c r="A30" s="5">
        <v>29.0</v>
      </c>
      <c r="B30" s="5" t="s">
        <v>919</v>
      </c>
      <c r="C30" s="5" t="s">
        <v>21</v>
      </c>
      <c r="D30" s="5">
        <v>75.0</v>
      </c>
      <c r="E30" s="5">
        <v>30.0</v>
      </c>
      <c r="F30" s="5">
        <v>2.5</v>
      </c>
      <c r="H30" s="5" t="s">
        <v>919</v>
      </c>
      <c r="I30" s="8">
        <v>46084.66521990741</v>
      </c>
      <c r="J30" s="5" t="s">
        <v>137</v>
      </c>
      <c r="K30" s="5">
        <v>108000.0</v>
      </c>
      <c r="L30" s="5">
        <v>20.0</v>
      </c>
      <c r="M30" s="5">
        <v>153000.0</v>
      </c>
      <c r="N30" s="9">
        <v>42261.0</v>
      </c>
      <c r="O30" s="5" t="s">
        <v>893</v>
      </c>
      <c r="S30" s="5" t="s">
        <v>153</v>
      </c>
    </row>
    <row r="31">
      <c r="A31" s="5">
        <v>30.0</v>
      </c>
      <c r="B31" s="5" t="s">
        <v>922</v>
      </c>
      <c r="C31" s="5" t="s">
        <v>21</v>
      </c>
      <c r="D31" s="5">
        <v>87.0</v>
      </c>
      <c r="E31" s="5">
        <v>20.0</v>
      </c>
      <c r="H31" s="5" t="s">
        <v>20</v>
      </c>
      <c r="I31" s="8">
        <v>46090.056909722225</v>
      </c>
      <c r="J31" s="5" t="s">
        <v>104</v>
      </c>
      <c r="K31" s="5">
        <v>837000.0</v>
      </c>
      <c r="L31" s="5">
        <v>90.0</v>
      </c>
      <c r="M31" s="5">
        <v>900000.0</v>
      </c>
      <c r="N31" s="9">
        <v>42975.0</v>
      </c>
      <c r="O31" s="5" t="s">
        <v>924</v>
      </c>
      <c r="P31" s="5" t="s">
        <v>26</v>
      </c>
      <c r="S31" s="5" t="s">
        <v>45</v>
      </c>
    </row>
    <row r="32">
      <c r="A32" s="5">
        <v>31.0</v>
      </c>
      <c r="B32" s="5" t="s">
        <v>926</v>
      </c>
      <c r="C32" s="5" t="s">
        <v>21</v>
      </c>
      <c r="D32" s="5">
        <v>86.0</v>
      </c>
      <c r="E32" s="5">
        <v>20.0</v>
      </c>
      <c r="F32" s="5">
        <v>0.2</v>
      </c>
      <c r="H32" s="5" t="s">
        <v>783</v>
      </c>
      <c r="I32" s="8">
        <v>46100.87322916667</v>
      </c>
      <c r="J32" s="5" t="s">
        <v>104</v>
      </c>
      <c r="K32" s="5">
        <v>900.0</v>
      </c>
      <c r="L32" s="5">
        <v>2800.0</v>
      </c>
      <c r="M32" s="5">
        <v>3100.0</v>
      </c>
      <c r="N32" s="9">
        <v>44054.0</v>
      </c>
      <c r="O32" s="5" t="s">
        <v>86</v>
      </c>
      <c r="P32" s="5" t="s">
        <v>26</v>
      </c>
      <c r="S32" s="5" t="s">
        <v>911</v>
      </c>
    </row>
    <row r="33">
      <c r="A33" s="5">
        <v>32.0</v>
      </c>
      <c r="B33" s="5" t="s">
        <v>928</v>
      </c>
      <c r="C33" s="5" t="s">
        <v>21</v>
      </c>
      <c r="D33" s="5">
        <v>90.0</v>
      </c>
      <c r="E33" s="5">
        <v>20.0</v>
      </c>
      <c r="F33" s="5">
        <v>0.25</v>
      </c>
      <c r="H33" s="5" t="s">
        <v>23</v>
      </c>
      <c r="I33" s="8">
        <v>46082.246724537035</v>
      </c>
      <c r="J33" s="5" t="s">
        <v>24</v>
      </c>
      <c r="K33" s="5">
        <v>2900.0</v>
      </c>
      <c r="L33" s="5">
        <v>1900.0</v>
      </c>
      <c r="M33" s="5">
        <v>2100.0</v>
      </c>
      <c r="N33" s="9">
        <v>42347.0</v>
      </c>
      <c r="O33" s="5" t="s">
        <v>25</v>
      </c>
      <c r="P33" s="5" t="s">
        <v>26</v>
      </c>
      <c r="S33" s="5" t="s">
        <v>29</v>
      </c>
    </row>
    <row r="34">
      <c r="A34" s="5">
        <v>33.0</v>
      </c>
      <c r="B34" s="5" t="s">
        <v>931</v>
      </c>
      <c r="C34" s="5" t="s">
        <v>21</v>
      </c>
      <c r="D34" s="5">
        <v>82.0</v>
      </c>
      <c r="E34" s="5">
        <v>20.0</v>
      </c>
      <c r="H34" s="5" t="s">
        <v>933</v>
      </c>
      <c r="I34" s="8">
        <v>46126.70578703703</v>
      </c>
      <c r="J34" s="5" t="s">
        <v>137</v>
      </c>
      <c r="K34" s="5">
        <v>935000.0</v>
      </c>
      <c r="L34" s="5">
        <v>0.0</v>
      </c>
      <c r="M34" s="5">
        <v>195000.0</v>
      </c>
      <c r="N34" s="9">
        <v>44033.0</v>
      </c>
      <c r="O34" s="5" t="s">
        <v>924</v>
      </c>
      <c r="S34" s="5" t="s">
        <v>153</v>
      </c>
    </row>
    <row r="35">
      <c r="A35" s="5">
        <v>34.0</v>
      </c>
      <c r="B35" s="5" t="s">
        <v>936</v>
      </c>
      <c r="C35" s="5" t="s">
        <v>21</v>
      </c>
      <c r="D35" s="5">
        <v>88.0</v>
      </c>
      <c r="E35" s="5">
        <v>20.0</v>
      </c>
      <c r="H35" s="5" t="s">
        <v>23</v>
      </c>
      <c r="I35" s="8">
        <v>46089.06028935185</v>
      </c>
      <c r="K35" s="5">
        <v>350.0</v>
      </c>
      <c r="L35" s="5">
        <v>500.0</v>
      </c>
      <c r="M35" s="5">
        <v>500.0</v>
      </c>
      <c r="N35" s="9">
        <v>42335.0</v>
      </c>
      <c r="O35" s="5" t="s">
        <v>86</v>
      </c>
      <c r="P35" s="5" t="s">
        <v>26</v>
      </c>
      <c r="S35" s="5" t="s">
        <v>29</v>
      </c>
    </row>
    <row r="36">
      <c r="A36" s="5">
        <v>35.0</v>
      </c>
      <c r="B36" s="5">
        <v>32.0</v>
      </c>
      <c r="C36" s="5" t="s">
        <v>21</v>
      </c>
      <c r="D36" s="5">
        <v>72.0</v>
      </c>
      <c r="E36" s="5">
        <v>20.0</v>
      </c>
      <c r="H36" s="5">
        <v>32.0</v>
      </c>
      <c r="I36" s="8">
        <v>46148.26631944445</v>
      </c>
      <c r="J36" s="5" t="s">
        <v>939</v>
      </c>
      <c r="K36" s="5">
        <v>177000.0</v>
      </c>
      <c r="L36" s="5">
        <v>0.0</v>
      </c>
      <c r="M36" s="5">
        <v>164000.0</v>
      </c>
      <c r="N36" s="9">
        <v>42455.0</v>
      </c>
      <c r="O36" s="5" t="s">
        <v>86</v>
      </c>
      <c r="S36" s="5" t="s">
        <v>941</v>
      </c>
    </row>
    <row r="37">
      <c r="A37" s="5">
        <v>36.0</v>
      </c>
      <c r="B37" s="5" t="s">
        <v>942</v>
      </c>
      <c r="C37" s="5" t="s">
        <v>21</v>
      </c>
      <c r="D37" s="5">
        <v>68.0</v>
      </c>
      <c r="E37" s="5">
        <v>20.0</v>
      </c>
      <c r="H37" s="5" t="s">
        <v>944</v>
      </c>
      <c r="I37" s="8">
        <v>46162.67321759259</v>
      </c>
      <c r="J37" s="5" t="s">
        <v>945</v>
      </c>
      <c r="K37" s="5">
        <v>50.0</v>
      </c>
      <c r="L37" s="5">
        <v>10.0</v>
      </c>
      <c r="M37" s="5">
        <v>250.0</v>
      </c>
      <c r="N37" s="9">
        <v>42433.0</v>
      </c>
      <c r="O37" s="5" t="s">
        <v>893</v>
      </c>
      <c r="P37" s="5" t="s">
        <v>26</v>
      </c>
      <c r="S37" s="5" t="s">
        <v>45</v>
      </c>
    </row>
    <row r="38">
      <c r="A38" s="5">
        <v>37.0</v>
      </c>
      <c r="B38" s="5" t="s">
        <v>948</v>
      </c>
      <c r="C38" s="5" t="s">
        <v>21</v>
      </c>
      <c r="D38" s="5">
        <v>85.0</v>
      </c>
      <c r="E38" s="5">
        <v>20.0</v>
      </c>
      <c r="F38" s="5">
        <v>0.25</v>
      </c>
      <c r="H38" s="5" t="s">
        <v>23</v>
      </c>
      <c r="I38" s="8">
        <v>46127.30180555556</v>
      </c>
      <c r="J38" s="5" t="s">
        <v>949</v>
      </c>
      <c r="K38" s="5">
        <v>5000.0</v>
      </c>
      <c r="L38" s="5">
        <v>2000.0</v>
      </c>
      <c r="M38" s="5">
        <v>17000.0</v>
      </c>
      <c r="N38" s="9">
        <v>43867.0</v>
      </c>
      <c r="O38" s="5" t="s">
        <v>86</v>
      </c>
      <c r="P38" s="5" t="s">
        <v>26</v>
      </c>
      <c r="S38" s="5" t="s">
        <v>45</v>
      </c>
    </row>
    <row r="39">
      <c r="A39" s="5">
        <v>38.0</v>
      </c>
      <c r="B39" s="5" t="s">
        <v>72</v>
      </c>
      <c r="C39" s="5" t="s">
        <v>21</v>
      </c>
      <c r="D39" s="5">
        <v>86.0</v>
      </c>
      <c r="E39" s="5">
        <v>10.0</v>
      </c>
      <c r="F39" s="5">
        <v>0.25</v>
      </c>
      <c r="H39" s="5" t="s">
        <v>72</v>
      </c>
      <c r="I39" s="8">
        <v>46117.77386574074</v>
      </c>
      <c r="J39" s="5" t="s">
        <v>77</v>
      </c>
      <c r="K39" s="5">
        <v>87000.0</v>
      </c>
      <c r="L39" s="5">
        <v>0.0</v>
      </c>
      <c r="M39" s="5">
        <v>37000.0</v>
      </c>
      <c r="N39" s="9">
        <v>43840.0</v>
      </c>
      <c r="O39" s="5" t="s">
        <v>69</v>
      </c>
      <c r="P39" s="5" t="s">
        <v>26</v>
      </c>
      <c r="S39" s="5" t="s">
        <v>45</v>
      </c>
    </row>
    <row r="40">
      <c r="A40" s="5">
        <v>39.0</v>
      </c>
      <c r="B40" s="5" t="s">
        <v>953</v>
      </c>
      <c r="C40" s="5" t="s">
        <v>21</v>
      </c>
      <c r="D40" s="5">
        <v>85.0</v>
      </c>
      <c r="E40" s="5">
        <v>10.0</v>
      </c>
      <c r="H40" s="5" t="s">
        <v>783</v>
      </c>
      <c r="I40" s="8">
        <v>46155.122407407405</v>
      </c>
      <c r="J40" s="5" t="s">
        <v>955</v>
      </c>
      <c r="K40" s="5">
        <v>10.0</v>
      </c>
      <c r="L40" s="5">
        <v>3100.0</v>
      </c>
      <c r="M40" s="5">
        <v>3500.0</v>
      </c>
      <c r="N40" s="9">
        <v>43180.0</v>
      </c>
      <c r="O40" s="5" t="s">
        <v>86</v>
      </c>
      <c r="P40" s="5" t="s">
        <v>26</v>
      </c>
      <c r="S40" s="5" t="s">
        <v>45</v>
      </c>
    </row>
    <row r="41">
      <c r="A41" s="5">
        <v>40.0</v>
      </c>
      <c r="B41" s="5" t="s">
        <v>161</v>
      </c>
      <c r="C41" s="5" t="s">
        <v>21</v>
      </c>
      <c r="D41" s="5">
        <v>90.0</v>
      </c>
      <c r="E41" s="5">
        <v>10.0</v>
      </c>
      <c r="H41" s="5" t="s">
        <v>42</v>
      </c>
      <c r="I41" s="8">
        <v>46145.75240740741</v>
      </c>
      <c r="K41" s="5">
        <v>66000.0</v>
      </c>
      <c r="L41" s="5">
        <v>70.0</v>
      </c>
      <c r="M41" s="5">
        <v>154000.0</v>
      </c>
      <c r="N41" s="9">
        <v>43844.0</v>
      </c>
      <c r="O41" s="5" t="s">
        <v>38</v>
      </c>
      <c r="P41" s="5" t="s">
        <v>26</v>
      </c>
      <c r="S41" s="5" t="s">
        <v>45</v>
      </c>
    </row>
    <row r="42">
      <c r="A42" s="5">
        <v>41.0</v>
      </c>
      <c r="B42" s="5" t="s">
        <v>933</v>
      </c>
      <c r="C42" s="5" t="s">
        <v>21</v>
      </c>
      <c r="D42" s="5">
        <v>89.0</v>
      </c>
      <c r="E42" s="5">
        <v>10.0</v>
      </c>
      <c r="H42" s="5" t="s">
        <v>890</v>
      </c>
      <c r="I42" s="8">
        <v>46062.22641203704</v>
      </c>
      <c r="J42" s="5" t="s">
        <v>137</v>
      </c>
      <c r="K42" s="5">
        <v>61000.0</v>
      </c>
      <c r="L42" s="5">
        <v>30.0</v>
      </c>
      <c r="M42" s="5">
        <v>294000.0</v>
      </c>
      <c r="N42" s="9">
        <v>42822.0</v>
      </c>
      <c r="O42" s="5" t="s">
        <v>959</v>
      </c>
      <c r="P42" s="5" t="s">
        <v>26</v>
      </c>
      <c r="S42" s="5" t="s">
        <v>153</v>
      </c>
    </row>
    <row r="43">
      <c r="A43" s="5">
        <v>42.0</v>
      </c>
      <c r="B43" s="5" t="s">
        <v>961</v>
      </c>
      <c r="C43" s="5" t="s">
        <v>21</v>
      </c>
      <c r="D43" s="5">
        <v>86.0</v>
      </c>
      <c r="E43" s="5">
        <v>10.0</v>
      </c>
      <c r="H43" s="5" t="s">
        <v>23</v>
      </c>
      <c r="I43" s="8">
        <v>46123.63851851852</v>
      </c>
      <c r="K43" s="5">
        <v>200.0</v>
      </c>
      <c r="L43" s="5">
        <v>1700.0</v>
      </c>
      <c r="M43" s="5">
        <v>2300.0</v>
      </c>
      <c r="N43" s="9">
        <v>43840.0</v>
      </c>
      <c r="O43" s="5" t="s">
        <v>73</v>
      </c>
      <c r="P43" s="5" t="s">
        <v>26</v>
      </c>
      <c r="S43" s="5" t="s">
        <v>45</v>
      </c>
    </row>
    <row r="44">
      <c r="A44" s="5">
        <v>43.0</v>
      </c>
      <c r="B44" s="5" t="s">
        <v>963</v>
      </c>
      <c r="C44" s="5" t="s">
        <v>21</v>
      </c>
      <c r="D44" s="5">
        <v>81.0</v>
      </c>
      <c r="E44" s="5">
        <v>10.0</v>
      </c>
      <c r="H44" s="5" t="s">
        <v>783</v>
      </c>
      <c r="I44" s="8">
        <v>46088.503703703704</v>
      </c>
      <c r="J44" s="5" t="s">
        <v>104</v>
      </c>
      <c r="K44" s="5">
        <v>20.0</v>
      </c>
      <c r="L44" s="5">
        <v>3400.0</v>
      </c>
      <c r="M44" s="5">
        <v>3800.0</v>
      </c>
      <c r="N44" s="9">
        <v>43840.0</v>
      </c>
      <c r="O44" s="5" t="s">
        <v>73</v>
      </c>
      <c r="P44" s="5" t="s">
        <v>26</v>
      </c>
      <c r="S44" s="5" t="s">
        <v>29</v>
      </c>
    </row>
    <row r="45">
      <c r="A45" s="5">
        <v>44.0</v>
      </c>
      <c r="B45" s="5" t="s">
        <v>167</v>
      </c>
      <c r="C45" s="5" t="s">
        <v>21</v>
      </c>
      <c r="D45" s="5">
        <v>80.0</v>
      </c>
      <c r="E45" s="5">
        <v>10.0</v>
      </c>
      <c r="H45" s="5" t="s">
        <v>106</v>
      </c>
      <c r="I45" s="8">
        <v>46142.99932870371</v>
      </c>
      <c r="J45" s="5" t="s">
        <v>171</v>
      </c>
      <c r="K45" s="5">
        <v>151000.0</v>
      </c>
      <c r="L45" s="5">
        <v>10.0</v>
      </c>
      <c r="M45" s="5">
        <v>124000.0</v>
      </c>
      <c r="N45" s="9">
        <v>43624.0</v>
      </c>
      <c r="O45" s="5" t="s">
        <v>69</v>
      </c>
      <c r="P45" s="5" t="s">
        <v>26</v>
      </c>
      <c r="S45" s="5" t="s">
        <v>45</v>
      </c>
    </row>
    <row r="46">
      <c r="A46" s="5">
        <v>45.0</v>
      </c>
      <c r="B46" s="5" t="s">
        <v>92</v>
      </c>
      <c r="C46" s="5" t="s">
        <v>21</v>
      </c>
      <c r="D46" s="5">
        <v>88.0</v>
      </c>
      <c r="E46" s="5">
        <v>10.0</v>
      </c>
      <c r="H46" s="5" t="s">
        <v>61</v>
      </c>
      <c r="I46" s="8">
        <v>46163.41306712963</v>
      </c>
      <c r="J46" s="5" t="s">
        <v>95</v>
      </c>
      <c r="K46" s="5">
        <v>58000.0</v>
      </c>
      <c r="L46" s="5">
        <v>0.0</v>
      </c>
      <c r="M46" s="5">
        <v>24000.0</v>
      </c>
      <c r="N46" s="9">
        <v>42895.0</v>
      </c>
      <c r="O46" s="5" t="s">
        <v>38</v>
      </c>
      <c r="P46" s="5" t="s">
        <v>26</v>
      </c>
      <c r="S46" s="5" t="s">
        <v>40</v>
      </c>
    </row>
    <row r="47">
      <c r="A47" s="5">
        <v>46.0</v>
      </c>
      <c r="B47" s="5" t="s">
        <v>968</v>
      </c>
      <c r="C47" s="5" t="s">
        <v>21</v>
      </c>
      <c r="D47" s="5">
        <v>86.0</v>
      </c>
      <c r="E47" s="5">
        <v>10.0</v>
      </c>
      <c r="F47" s="5">
        <v>0.2</v>
      </c>
      <c r="H47" s="5" t="s">
        <v>23</v>
      </c>
      <c r="I47" s="8">
        <v>46124.389710648145</v>
      </c>
      <c r="J47" s="5" t="s">
        <v>104</v>
      </c>
      <c r="K47" s="5">
        <v>200.0</v>
      </c>
      <c r="L47" s="5">
        <v>1800.0</v>
      </c>
      <c r="M47" s="5">
        <v>2300.0</v>
      </c>
      <c r="N47" s="9">
        <v>43914.0</v>
      </c>
      <c r="O47" s="5" t="s">
        <v>86</v>
      </c>
      <c r="P47" s="5" t="s">
        <v>26</v>
      </c>
      <c r="S47" s="5" t="s">
        <v>45</v>
      </c>
    </row>
    <row r="48">
      <c r="A48" s="5">
        <v>47.0</v>
      </c>
      <c r="B48" s="5" t="s">
        <v>971</v>
      </c>
      <c r="C48" s="5" t="s">
        <v>21</v>
      </c>
      <c r="D48" s="5">
        <v>89.0</v>
      </c>
      <c r="E48" s="5">
        <v>10.0</v>
      </c>
      <c r="H48" s="5" t="s">
        <v>23</v>
      </c>
      <c r="I48" s="8">
        <v>46149.38681712963</v>
      </c>
      <c r="J48" s="5" t="s">
        <v>949</v>
      </c>
      <c r="K48" s="5">
        <v>3000.0</v>
      </c>
      <c r="L48" s="5">
        <v>2100.0</v>
      </c>
      <c r="M48" s="5">
        <v>2700.0</v>
      </c>
      <c r="N48" s="9">
        <v>43892.0</v>
      </c>
      <c r="O48" s="5" t="s">
        <v>25</v>
      </c>
      <c r="P48" s="5" t="s">
        <v>26</v>
      </c>
      <c r="S48" s="5" t="s">
        <v>29</v>
      </c>
    </row>
    <row r="49">
      <c r="A49" s="5">
        <v>48.0</v>
      </c>
      <c r="B49" s="5" t="s">
        <v>974</v>
      </c>
      <c r="C49" s="5" t="s">
        <v>21</v>
      </c>
      <c r="D49" s="5">
        <v>62.0</v>
      </c>
      <c r="E49" s="5">
        <v>10.0</v>
      </c>
      <c r="H49" s="5" t="s">
        <v>897</v>
      </c>
      <c r="I49" s="8">
        <v>46148.02601851852</v>
      </c>
      <c r="J49" s="5" t="s">
        <v>137</v>
      </c>
      <c r="K49" s="5">
        <v>84000.0</v>
      </c>
      <c r="L49" s="5">
        <v>40.0</v>
      </c>
      <c r="M49" s="5">
        <v>2260000.0</v>
      </c>
      <c r="N49" s="9">
        <v>43879.0</v>
      </c>
      <c r="O49" s="5" t="s">
        <v>52</v>
      </c>
      <c r="S49" s="5" t="s">
        <v>153</v>
      </c>
    </row>
    <row r="50">
      <c r="A50" s="5">
        <v>49.0</v>
      </c>
      <c r="B50" s="5" t="s">
        <v>977</v>
      </c>
      <c r="C50" s="5" t="s">
        <v>21</v>
      </c>
      <c r="D50" s="5">
        <v>78.0</v>
      </c>
      <c r="E50" s="5">
        <v>10.0</v>
      </c>
      <c r="H50" s="5" t="s">
        <v>977</v>
      </c>
      <c r="I50" s="8">
        <v>46118.40657407408</v>
      </c>
      <c r="J50" s="5" t="s">
        <v>104</v>
      </c>
      <c r="K50" s="5">
        <v>494000.0</v>
      </c>
      <c r="L50" s="5">
        <v>10.0</v>
      </c>
      <c r="M50" s="5">
        <v>26000.0</v>
      </c>
      <c r="N50" s="9">
        <v>43844.0</v>
      </c>
      <c r="O50" s="5" t="s">
        <v>893</v>
      </c>
      <c r="S50" s="5" t="s">
        <v>153</v>
      </c>
    </row>
    <row r="51">
      <c r="A51" s="5">
        <v>50.0</v>
      </c>
      <c r="B51" s="5" t="s">
        <v>979</v>
      </c>
      <c r="C51" s="5" t="s">
        <v>21</v>
      </c>
      <c r="D51" s="5">
        <v>85.0</v>
      </c>
      <c r="E51" s="5">
        <v>10.0</v>
      </c>
      <c r="H51" s="5" t="s">
        <v>23</v>
      </c>
      <c r="I51" s="8">
        <v>46098.43613425926</v>
      </c>
      <c r="K51" s="5">
        <v>400.0</v>
      </c>
      <c r="L51" s="5">
        <v>600.0</v>
      </c>
      <c r="M51" s="5">
        <v>56000.0</v>
      </c>
      <c r="N51" s="9">
        <v>42272.0</v>
      </c>
      <c r="O51" s="5" t="s">
        <v>25</v>
      </c>
      <c r="P51" s="5" t="s">
        <v>26</v>
      </c>
      <c r="S51" s="5" t="s">
        <v>29</v>
      </c>
    </row>
    <row r="52">
      <c r="A52" s="5">
        <v>51.0</v>
      </c>
      <c r="B52" s="5" t="s">
        <v>982</v>
      </c>
      <c r="C52" s="5" t="s">
        <v>21</v>
      </c>
      <c r="D52" s="5">
        <v>89.0</v>
      </c>
      <c r="E52" s="5">
        <v>10.0</v>
      </c>
      <c r="H52" s="5" t="s">
        <v>23</v>
      </c>
      <c r="I52" s="8">
        <v>46082.13018518518</v>
      </c>
      <c r="K52" s="5">
        <v>500.0</v>
      </c>
      <c r="L52" s="5">
        <v>1900.0</v>
      </c>
      <c r="M52" s="5">
        <v>2100.0</v>
      </c>
      <c r="N52" s="9">
        <v>43864.0</v>
      </c>
      <c r="O52" s="5" t="s">
        <v>86</v>
      </c>
      <c r="P52" s="5" t="s">
        <v>26</v>
      </c>
      <c r="S52" s="5" t="s">
        <v>29</v>
      </c>
    </row>
    <row r="53">
      <c r="A53" s="5">
        <v>52.0</v>
      </c>
      <c r="B53" s="5" t="s">
        <v>106</v>
      </c>
      <c r="C53" s="5" t="s">
        <v>21</v>
      </c>
      <c r="D53" s="5">
        <v>86.0</v>
      </c>
      <c r="E53" s="5">
        <v>10.0</v>
      </c>
      <c r="H53" s="5" t="s">
        <v>42</v>
      </c>
      <c r="I53" s="8">
        <v>46076.74707175926</v>
      </c>
      <c r="K53" s="5">
        <v>173000.0</v>
      </c>
      <c r="L53" s="5">
        <v>150.0</v>
      </c>
      <c r="M53" s="5">
        <v>1050000.0</v>
      </c>
      <c r="N53" s="9">
        <v>42849.0</v>
      </c>
      <c r="O53" s="5" t="s">
        <v>69</v>
      </c>
      <c r="P53" s="5" t="s">
        <v>26</v>
      </c>
      <c r="S53" s="5" t="s">
        <v>45</v>
      </c>
    </row>
    <row r="54">
      <c r="A54" s="5">
        <v>53.0</v>
      </c>
      <c r="B54" s="5" t="s">
        <v>986</v>
      </c>
      <c r="C54" s="5" t="s">
        <v>21</v>
      </c>
      <c r="D54" s="5">
        <v>87.0</v>
      </c>
      <c r="E54" s="5">
        <v>10.0</v>
      </c>
      <c r="H54" s="5" t="s">
        <v>23</v>
      </c>
      <c r="I54" s="8">
        <v>46148.67773148148</v>
      </c>
      <c r="K54" s="5">
        <v>1100.0</v>
      </c>
      <c r="L54" s="5">
        <v>1600.0</v>
      </c>
      <c r="M54" s="5">
        <v>1900.0</v>
      </c>
      <c r="N54" s="9">
        <v>42806.0</v>
      </c>
      <c r="O54" s="5" t="s">
        <v>25</v>
      </c>
      <c r="P54" s="5" t="s">
        <v>26</v>
      </c>
      <c r="S54" s="5" t="s">
        <v>45</v>
      </c>
    </row>
    <row r="55">
      <c r="A55" s="5">
        <v>54.0</v>
      </c>
      <c r="B55" s="5" t="s">
        <v>989</v>
      </c>
      <c r="C55" s="5" t="s">
        <v>21</v>
      </c>
      <c r="D55" s="5">
        <v>87.0</v>
      </c>
      <c r="E55" s="5">
        <v>10.0</v>
      </c>
      <c r="H55" s="5" t="s">
        <v>23</v>
      </c>
      <c r="I55" s="8">
        <v>46125.241574074076</v>
      </c>
      <c r="J55" s="5" t="s">
        <v>104</v>
      </c>
      <c r="K55" s="5">
        <v>1900.0</v>
      </c>
      <c r="L55" s="5">
        <v>1900.0</v>
      </c>
      <c r="M55" s="5">
        <v>2400.0</v>
      </c>
      <c r="N55" s="9">
        <v>44012.0</v>
      </c>
      <c r="O55" s="5" t="s">
        <v>86</v>
      </c>
      <c r="P55" s="5" t="s">
        <v>26</v>
      </c>
      <c r="S55" s="5" t="s">
        <v>29</v>
      </c>
    </row>
    <row r="56">
      <c r="A56" s="5">
        <v>55.0</v>
      </c>
      <c r="B56" s="5" t="s">
        <v>992</v>
      </c>
      <c r="C56" s="5" t="s">
        <v>21</v>
      </c>
      <c r="D56" s="5">
        <v>87.0</v>
      </c>
      <c r="H56" s="5" t="s">
        <v>783</v>
      </c>
      <c r="I56" s="8">
        <v>46152.66574074074</v>
      </c>
      <c r="J56" s="5" t="s">
        <v>50</v>
      </c>
      <c r="L56" s="5">
        <v>3100.0</v>
      </c>
      <c r="M56" s="5">
        <v>3500.0</v>
      </c>
      <c r="N56" s="9">
        <v>43840.0</v>
      </c>
      <c r="O56" s="5" t="s">
        <v>86</v>
      </c>
      <c r="P56" s="5" t="s">
        <v>26</v>
      </c>
      <c r="S56" s="5" t="s">
        <v>29</v>
      </c>
    </row>
    <row r="57">
      <c r="A57" s="5">
        <v>56.0</v>
      </c>
      <c r="B57" s="5" t="s">
        <v>995</v>
      </c>
      <c r="C57" s="5" t="s">
        <v>21</v>
      </c>
      <c r="D57" s="5">
        <v>86.0</v>
      </c>
      <c r="H57" s="5" t="s">
        <v>996</v>
      </c>
      <c r="I57" s="8">
        <v>46156.35642361111</v>
      </c>
      <c r="K57" s="5">
        <v>3500.0</v>
      </c>
      <c r="L57" s="5">
        <v>10.0</v>
      </c>
      <c r="M57" s="5">
        <v>44000.0</v>
      </c>
      <c r="N57" s="9">
        <v>43857.0</v>
      </c>
      <c r="O57" s="5" t="s">
        <v>86</v>
      </c>
      <c r="P57" s="5" t="s">
        <v>26</v>
      </c>
      <c r="S57" s="5" t="s">
        <v>29</v>
      </c>
    </row>
    <row r="58">
      <c r="A58" s="5">
        <v>57.0</v>
      </c>
      <c r="B58" s="5" t="s">
        <v>998</v>
      </c>
      <c r="C58" s="5" t="s">
        <v>21</v>
      </c>
      <c r="D58" s="5">
        <v>87.0</v>
      </c>
      <c r="H58" s="5" t="s">
        <v>23</v>
      </c>
      <c r="I58" s="8">
        <v>46149.001863425925</v>
      </c>
      <c r="K58" s="5">
        <v>600.0</v>
      </c>
      <c r="L58" s="5">
        <v>2100.0</v>
      </c>
      <c r="M58" s="5">
        <v>2700.0</v>
      </c>
      <c r="N58" s="9">
        <v>43896.0</v>
      </c>
      <c r="O58" s="5" t="s">
        <v>86</v>
      </c>
      <c r="P58" s="5" t="s">
        <v>26</v>
      </c>
      <c r="S58" s="5" t="s">
        <v>1000</v>
      </c>
    </row>
    <row r="59">
      <c r="A59" s="5">
        <v>58.0</v>
      </c>
      <c r="B59" s="5" t="s">
        <v>1002</v>
      </c>
      <c r="C59" s="5" t="s">
        <v>21</v>
      </c>
      <c r="D59" s="5">
        <v>73.0</v>
      </c>
      <c r="H59" s="5" t="s">
        <v>783</v>
      </c>
      <c r="I59" s="8">
        <v>46076.080462962964</v>
      </c>
      <c r="L59" s="5">
        <v>3500.0</v>
      </c>
      <c r="M59" s="5">
        <v>3700.0</v>
      </c>
      <c r="N59" s="9">
        <v>45058.0</v>
      </c>
      <c r="O59" s="5" t="s">
        <v>86</v>
      </c>
      <c r="S59" s="5" t="s">
        <v>45</v>
      </c>
    </row>
    <row r="60">
      <c r="A60" s="5">
        <v>59.0</v>
      </c>
      <c r="B60" s="5" t="s">
        <v>1004</v>
      </c>
      <c r="C60" s="5" t="s">
        <v>21</v>
      </c>
      <c r="D60" s="5">
        <v>75.0</v>
      </c>
      <c r="H60" s="5" t="s">
        <v>1004</v>
      </c>
      <c r="I60" s="8">
        <v>46117.61304398148</v>
      </c>
      <c r="J60" s="5" t="s">
        <v>1006</v>
      </c>
      <c r="K60" s="5">
        <v>30000.0</v>
      </c>
      <c r="L60" s="5">
        <v>0.0</v>
      </c>
      <c r="M60" s="5">
        <v>30000.0</v>
      </c>
      <c r="N60" s="9">
        <v>43945.0</v>
      </c>
      <c r="O60" s="5" t="s">
        <v>73</v>
      </c>
      <c r="P60" s="5" t="s">
        <v>26</v>
      </c>
      <c r="S60" s="5" t="s">
        <v>45</v>
      </c>
    </row>
    <row r="61">
      <c r="A61" s="5">
        <v>60.0</v>
      </c>
      <c r="B61" s="5" t="s">
        <v>1008</v>
      </c>
      <c r="C61" s="5" t="s">
        <v>21</v>
      </c>
      <c r="D61" s="5">
        <v>67.0</v>
      </c>
      <c r="H61" s="5" t="s">
        <v>61</v>
      </c>
      <c r="I61" s="8">
        <v>46149.0008912037</v>
      </c>
      <c r="K61" s="5">
        <v>80.0</v>
      </c>
      <c r="L61" s="5">
        <v>10.0</v>
      </c>
      <c r="M61" s="5">
        <v>79000.0</v>
      </c>
      <c r="N61" s="9">
        <v>45020.0</v>
      </c>
      <c r="O61" s="5" t="s">
        <v>1010</v>
      </c>
      <c r="P61" s="5" t="s">
        <v>26</v>
      </c>
      <c r="S61" s="5" t="s">
        <v>29</v>
      </c>
    </row>
    <row r="62">
      <c r="A62" s="5">
        <v>61.0</v>
      </c>
      <c r="B62" s="5" t="s">
        <v>1012</v>
      </c>
      <c r="C62" s="5" t="s">
        <v>21</v>
      </c>
      <c r="D62" s="5">
        <v>59.0</v>
      </c>
      <c r="H62" s="5" t="s">
        <v>1012</v>
      </c>
      <c r="I62" s="8">
        <v>46077.05517361111</v>
      </c>
      <c r="J62" s="5" t="s">
        <v>104</v>
      </c>
      <c r="K62" s="5">
        <v>5200.0</v>
      </c>
      <c r="L62" s="5">
        <v>0.0</v>
      </c>
      <c r="M62" s="5">
        <v>56000.0</v>
      </c>
      <c r="N62" s="9">
        <v>43856.0</v>
      </c>
      <c r="O62" s="5" t="s">
        <v>73</v>
      </c>
      <c r="P62" s="5" t="s">
        <v>26</v>
      </c>
      <c r="S62" s="5" t="s">
        <v>29</v>
      </c>
    </row>
    <row r="63">
      <c r="A63" s="5">
        <v>62.0</v>
      </c>
      <c r="B63" s="5" t="s">
        <v>1015</v>
      </c>
      <c r="C63" s="5" t="s">
        <v>21</v>
      </c>
      <c r="D63" s="5">
        <v>86.0</v>
      </c>
      <c r="H63" s="5" t="s">
        <v>23</v>
      </c>
      <c r="I63" s="8">
        <v>46149.28826388889</v>
      </c>
      <c r="J63" s="5" t="s">
        <v>104</v>
      </c>
      <c r="K63" s="5">
        <v>600.0</v>
      </c>
      <c r="L63" s="5">
        <v>2100.0</v>
      </c>
      <c r="M63" s="5">
        <v>2700.0</v>
      </c>
      <c r="N63" s="9">
        <v>43922.0</v>
      </c>
      <c r="O63" s="5" t="s">
        <v>25</v>
      </c>
      <c r="P63" s="5" t="s">
        <v>26</v>
      </c>
      <c r="S63" s="5" t="s">
        <v>29</v>
      </c>
    </row>
    <row r="64">
      <c r="A64" s="5">
        <v>63.0</v>
      </c>
      <c r="B64" s="5" t="s">
        <v>1017</v>
      </c>
      <c r="C64" s="5" t="s">
        <v>21</v>
      </c>
      <c r="D64" s="5">
        <v>77.0</v>
      </c>
      <c r="H64" s="5" t="s">
        <v>1004</v>
      </c>
      <c r="I64" s="8">
        <v>45979.63337962963</v>
      </c>
      <c r="J64" s="5" t="s">
        <v>1019</v>
      </c>
      <c r="K64" s="5">
        <v>150.0</v>
      </c>
      <c r="L64" s="5">
        <v>0.0</v>
      </c>
      <c r="M64" s="5">
        <v>17000.0</v>
      </c>
      <c r="N64" s="9">
        <v>44958.0</v>
      </c>
      <c r="O64" s="5" t="s">
        <v>73</v>
      </c>
      <c r="P64" s="5" t="s">
        <v>26</v>
      </c>
      <c r="S64" s="5" t="s">
        <v>45</v>
      </c>
    </row>
    <row r="65">
      <c r="A65" s="5">
        <v>64.0</v>
      </c>
      <c r="B65" s="5" t="s">
        <v>1021</v>
      </c>
      <c r="C65" s="5" t="s">
        <v>21</v>
      </c>
      <c r="D65" s="5">
        <v>83.0</v>
      </c>
      <c r="H65" s="5" t="s">
        <v>783</v>
      </c>
      <c r="I65" s="8">
        <v>46082.535046296296</v>
      </c>
      <c r="J65" s="5" t="s">
        <v>32</v>
      </c>
      <c r="K65" s="5">
        <v>300.0</v>
      </c>
      <c r="L65" s="5">
        <v>3500.0</v>
      </c>
      <c r="M65" s="5">
        <v>3700.0</v>
      </c>
      <c r="N65" s="9">
        <v>43235.0</v>
      </c>
      <c r="O65" s="5" t="s">
        <v>86</v>
      </c>
      <c r="P65" s="5" t="s">
        <v>26</v>
      </c>
      <c r="S65" s="5" t="s">
        <v>911</v>
      </c>
    </row>
    <row r="66">
      <c r="I66" s="8"/>
      <c r="N66" s="9"/>
    </row>
    <row r="67">
      <c r="I67" s="8"/>
      <c r="N67" s="9"/>
    </row>
    <row r="68">
      <c r="I68" s="8"/>
      <c r="N68" s="9"/>
    </row>
    <row r="69">
      <c r="I69" s="8"/>
      <c r="N69" s="9"/>
    </row>
    <row r="70">
      <c r="I70" s="8"/>
      <c r="N70" s="9"/>
    </row>
    <row r="71">
      <c r="I71" s="8"/>
      <c r="N71" s="9"/>
    </row>
    <row r="72">
      <c r="I72" s="8"/>
      <c r="N72" s="9"/>
    </row>
    <row r="73">
      <c r="I73" s="8"/>
      <c r="N73" s="9"/>
    </row>
    <row r="74">
      <c r="I74" s="8"/>
      <c r="N74" s="9"/>
    </row>
    <row r="75">
      <c r="I75" s="8"/>
      <c r="N75" s="9"/>
    </row>
    <row r="76">
      <c r="N76" s="9"/>
    </row>
    <row r="77">
      <c r="N77" s="9"/>
    </row>
    <row r="78">
      <c r="N78" s="9"/>
    </row>
    <row r="79">
      <c r="N79" s="9"/>
    </row>
    <row r="80">
      <c r="N80" s="9"/>
    </row>
    <row r="81">
      <c r="N81" s="9"/>
    </row>
    <row r="82">
      <c r="I82" s="8"/>
      <c r="N82" s="9"/>
    </row>
    <row r="83">
      <c r="I83" s="8"/>
      <c r="N83" s="9"/>
    </row>
    <row r="84">
      <c r="I84" s="8"/>
      <c r="N84" s="9"/>
    </row>
    <row r="85">
      <c r="N85" s="9"/>
    </row>
    <row r="86">
      <c r="N86" s="9"/>
    </row>
    <row r="87">
      <c r="N87" s="9"/>
    </row>
    <row r="88">
      <c r="N88" s="9"/>
    </row>
    <row r="89">
      <c r="N89" s="9"/>
    </row>
    <row r="90">
      <c r="I90" s="8"/>
      <c r="N90" s="9"/>
    </row>
    <row r="91">
      <c r="N91" s="9"/>
    </row>
    <row r="92">
      <c r="N92" s="9"/>
    </row>
    <row r="93">
      <c r="N93" s="9"/>
    </row>
    <row r="94">
      <c r="N94" s="9"/>
    </row>
    <row r="95">
      <c r="N95" s="9"/>
    </row>
    <row r="96">
      <c r="N96" s="9"/>
    </row>
    <row r="97">
      <c r="N97" s="9"/>
    </row>
    <row r="98">
      <c r="N98" s="9"/>
    </row>
    <row r="99">
      <c r="N99" s="9"/>
    </row>
    <row r="100">
      <c r="N100" s="9"/>
    </row>
    <row r="101">
      <c r="N101" s="9"/>
    </row>
    <row r="102">
      <c r="N102" s="9"/>
    </row>
    <row r="103">
      <c r="N103" s="9"/>
    </row>
    <row r="104">
      <c r="N104" s="9"/>
    </row>
    <row r="105">
      <c r="N105" s="9"/>
    </row>
    <row r="106">
      <c r="N106" s="9"/>
    </row>
    <row r="107">
      <c r="N107" s="9"/>
    </row>
    <row r="108">
      <c r="N108" s="9"/>
    </row>
  </sheetData>
  <drawing r:id="rId1"/>
</worksheet>
</file>