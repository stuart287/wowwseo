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>
    <definedName hidden="1" localSheetId="2" name="_xlnm._FilterDatabase">matching!$A$1:$O$104</definedName>
  </definedNames>
  <calcPr/>
</workbook>
</file>

<file path=xl/sharedStrings.xml><?xml version="1.0" encoding="utf-8"?>
<sst xmlns="http://schemas.openxmlformats.org/spreadsheetml/2006/main" count="8988" uniqueCount="4001">
  <si>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</si>
  <si>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</si>
  <si>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</si>
  <si>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</si>
  <si>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</si>
  <si>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</si>
  <si>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</si>
  <si>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</si>
  <si>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</si>
  <si>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</si>
  <si>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</si>
  <si>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</si>
  <si>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</si>
  <si>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</si>
  <si>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</si>
  <si>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</si>
  <si>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(05-2024 - 04-2026)</t>
  </si>
  <si>
    <t>SV Forecasting trend (05-2026 - 05-2027)</t>
  </si>
  <si>
    <t>Category</t>
  </si>
  <si>
    <t>how to win on online roulette</t>
  </si>
  <si>
    <t>demo casino games</t>
  </si>
  <si>
    <t>bs</t>
  </si>
  <si>
    <t>casino demo</t>
  </si>
  <si>
    <t>Thumbnail,People also ask</t>
  </si>
  <si>
    <t>Non-branded,Non-local</t>
  </si>
  <si>
    <t>English</t>
  </si>
  <si>
    <t>how to win at roulette online</t>
  </si>
  <si>
    <t>619, 614, 717, 538, 792, 864, 887, 1048, 857, 1081, 1356, 1549, 1311, 1535, 1327, 1334, 1349, 1080, 844, 838, 849, 843, 893, 895</t>
  </si>
  <si>
    <t>848, 860, 853, 832, 851, 872, 839, 843, 842, 837, 887, 889, 841</t>
  </si>
  <si>
    <t>Casino games</t>
  </si>
  <si>
    <t>demo casino games online</t>
  </si>
  <si>
    <t>what casinos have crazy time</t>
  </si>
  <si>
    <t>casino demo games</t>
  </si>
  <si>
    <t>blackjack online</t>
  </si>
  <si>
    <t>how to win roulette online</t>
  </si>
  <si>
    <t>Thumbnail</t>
  </si>
  <si>
    <t>how to play online roulette and win</t>
  </si>
  <si>
    <t>226, 241, 357, 359, 367, 416, 339, 352, 356, 360, 353, 360, 501, 497, 491, 415, 433, 364, 348, 430, 423, 399, 374, 372</t>
  </si>
  <si>
    <t>420, 427, 452, 401, 380, 400, 426, 397, 423, 399, 374, 372, 420</t>
  </si>
  <si>
    <t>Commercial,Transactional,Non-branded,Non-local</t>
  </si>
  <si>
    <t>free slot demo games</t>
  </si>
  <si>
    <t>where to play online slots</t>
  </si>
  <si>
    <t>slot games</t>
  </si>
  <si>
    <t>multi slots demo</t>
  </si>
  <si>
    <t>Sitelinks</t>
  </si>
  <si>
    <t>how to win at online casino slots</t>
  </si>
  <si>
    <t>online blackjack</t>
  </si>
  <si>
    <t>Informational,Non-branded,Non-local</t>
  </si>
  <si>
    <t>how to win online slots uk</t>
  </si>
  <si>
    <t>People also ask</t>
  </si>
  <si>
    <t>how to play blackjack online for real money</t>
  </si>
  <si>
    <t>Informational,Commercial,Non-branded,Non-local</t>
  </si>
  <si>
    <t>free demo casino games</t>
  </si>
  <si>
    <t>blackjack online free</t>
  </si>
  <si>
    <t>how to win slot games</t>
  </si>
  <si>
    <t>Sitelinks,Thumbnail</t>
  </si>
  <si>
    <t>online slots where you can win real money</t>
  </si>
  <si>
    <t>casino slots</t>
  </si>
  <si>
    <t>casino lobby chances games demo</t>
  </si>
  <si>
    <t>how to play slot games</t>
  </si>
  <si>
    <t>online roulette</t>
  </si>
  <si>
    <t>roulette</t>
  </si>
  <si>
    <t>how to hack slot games online</t>
  </si>
  <si>
    <t>casino demo games free</t>
  </si>
  <si>
    <t>Informational,Commercial,Transactional,Non-branded,Non-local</t>
  </si>
  <si>
    <t>how to win in online casino slots</t>
  </si>
  <si>
    <t>Gambling</t>
  </si>
  <si>
    <t>crazy time demo</t>
  </si>
  <si>
    <t>how to win on online casino slots</t>
  </si>
  <si>
    <t>roulette online</t>
  </si>
  <si>
    <t>how to manipulate online slots</t>
  </si>
  <si>
    <t>how to win on online slots</t>
  </si>
  <si>
    <t>online slots</t>
  </si>
  <si>
    <t>free casino demo games</t>
  </si>
  <si>
    <t>how to win slots online</t>
  </si>
  <si>
    <t>how to win money on online slots</t>
  </si>
  <si>
    <t>crazy time</t>
  </si>
  <si>
    <t>how to win at online blackjack</t>
  </si>
  <si>
    <t>online slots bonus</t>
  </si>
  <si>
    <t>casino lobby demo games</t>
  </si>
  <si>
    <t>how to trick online slots</t>
  </si>
  <si>
    <t>online roulette mobile</t>
  </si>
  <si>
    <t>how to play roulette online and win</t>
  </si>
  <si>
    <t>online blackjack tips</t>
  </si>
  <si>
    <t>multi slot games online</t>
  </si>
  <si>
    <t>slot games reviews</t>
  </si>
  <si>
    <t>how to win at online slots</t>
  </si>
  <si>
    <t>online blackjack real money</t>
  </si>
  <si>
    <t>how to win at slots online</t>
  </si>
  <si>
    <t>slot games online</t>
  </si>
  <si>
    <t>how to win online casino blackjack</t>
  </si>
  <si>
    <t>online blackjack live dealer</t>
  </si>
  <si>
    <t>where can you play crazy time</t>
  </si>
  <si>
    <t>demo slot games</t>
  </si>
  <si>
    <t>crazy time live casino</t>
  </si>
  <si>
    <t>how to hack online slot games</t>
  </si>
  <si>
    <t>blackjack online live dealer</t>
  </si>
  <si>
    <t>how to win crazy time casino</t>
  </si>
  <si>
    <t>casino slots jackpot</t>
  </si>
  <si>
    <t>how to win online casino slots</t>
  </si>
  <si>
    <t>paradise games casino demo</t>
  </si>
  <si>
    <t>online slots strategy</t>
  </si>
  <si>
    <t>pgweb cafe</t>
  </si>
  <si>
    <t>how to win at online roulette</t>
  </si>
  <si>
    <t>Sitelinks,People also ask</t>
  </si>
  <si>
    <t>crazy time game</t>
  </si>
  <si>
    <t>Informational,Branded,Non-local</t>
  </si>
  <si>
    <t>how to win online roulette</t>
  </si>
  <si>
    <t>slot games demo</t>
  </si>
  <si>
    <t>online blackjack free</t>
  </si>
  <si>
    <t>what online slots pay real money?</t>
  </si>
  <si>
    <t>how to trigger jackpot online slots</t>
  </si>
  <si>
    <t>roulette online mobile</t>
  </si>
  <si>
    <t>casino slots free</t>
  </si>
  <si>
    <t>where to play blackjack online</t>
  </si>
  <si>
    <t>blackjack online casino</t>
  </si>
  <si>
    <t>how to win online slots</t>
  </si>
  <si>
    <t>online blackjack strategy</t>
  </si>
  <si>
    <t>crazy time game free</t>
  </si>
  <si>
    <t>how to play slots online</t>
  </si>
  <si>
    <t>demo games slot</t>
  </si>
  <si>
    <t>slot games casino</t>
  </si>
  <si>
    <t>how to play blackjack online for money</t>
  </si>
  <si>
    <t>crazy time game casino</t>
  </si>
  <si>
    <t>free slot games</t>
  </si>
  <si>
    <t>what is the best online roulette site</t>
  </si>
  <si>
    <t>online slots casino</t>
  </si>
  <si>
    <t>what time is best to play online slots</t>
  </si>
  <si>
    <t>online slots review</t>
  </si>
  <si>
    <t>demo casino slot games</t>
  </si>
  <si>
    <t>how to beat online blackjack</t>
  </si>
  <si>
    <t>online slots mobile</t>
  </si>
  <si>
    <t>online roulette tips</t>
  </si>
  <si>
    <t>when is the best time to play slots online</t>
  </si>
  <si>
    <t>slot games free spins</t>
  </si>
  <si>
    <t>crazy time live stats</t>
  </si>
  <si>
    <t>how to cheat online slots</t>
  </si>
  <si>
    <t>casino slots free spins</t>
  </si>
  <si>
    <t>crazy time login</t>
  </si>
  <si>
    <t>island luck demo casino games</t>
  </si>
  <si>
    <t>how to win online slot games</t>
  </si>
  <si>
    <t>online slots free spins</t>
  </si>
  <si>
    <t>online slots demo</t>
  </si>
  <si>
    <t>how online slots work</t>
  </si>
  <si>
    <t>slots online</t>
  </si>
  <si>
    <t>online roulette real money</t>
  </si>
  <si>
    <t>how to win with online slots</t>
  </si>
  <si>
    <t>casino slots bonus</t>
  </si>
  <si>
    <t>how to play roulette online</t>
  </si>
  <si>
    <t>casino games demo</t>
  </si>
  <si>
    <t>casino slots app</t>
  </si>
  <si>
    <t>blackjack online strategy</t>
  </si>
  <si>
    <t>crazy time live</t>
  </si>
  <si>
    <t>how does online slots work</t>
  </si>
  <si>
    <t>blackjack online real money</t>
  </si>
  <si>
    <t>crazy time how to win</t>
  </si>
  <si>
    <t>casino slots online</t>
  </si>
  <si>
    <t>crazy time app</t>
  </si>
  <si>
    <t>how to hack online slots</t>
  </si>
  <si>
    <t>free demo slot games</t>
  </si>
  <si>
    <t>crazy time free demo</t>
  </si>
  <si>
    <t>how to play crazy time casino</t>
  </si>
  <si>
    <t>slot games bonus</t>
  </si>
  <si>
    <t>casino slots real money</t>
  </si>
  <si>
    <t>how to win jackpot on online slots</t>
  </si>
  <si>
    <t>online roulette free</t>
  </si>
  <si>
    <t>best online casino slots real money</t>
  </si>
  <si>
    <t>how to play slots online and win</t>
  </si>
  <si>
    <t>demo casino games free</t>
  </si>
  <si>
    <t>online free casino roulette</t>
  </si>
  <si>
    <t>how does online roulette work</t>
  </si>
  <si>
    <t>online slots sweeps coins</t>
  </si>
  <si>
    <t>roulette online real money</t>
  </si>
  <si>
    <t>how to win roulette every spin online</t>
  </si>
  <si>
    <t>online casino live blackjack</t>
  </si>
  <si>
    <t>what is the best free online slots</t>
  </si>
  <si>
    <t>online blackjack rules</t>
  </si>
  <si>
    <t>how to play slots online for real money</t>
  </si>
  <si>
    <t>hot slot games</t>
  </si>
  <si>
    <t>crazy time game strategy</t>
  </si>
  <si>
    <t>how to win slot games online</t>
  </si>
  <si>
    <t>free online multiplayer blackjack</t>
  </si>
  <si>
    <t>what online slots pay real money</t>
  </si>
  <si>
    <t>top online roulette sites for canadian</t>
  </si>
  <si>
    <t>slot games free</t>
  </si>
  <si>
    <t>how to play online slots for real money</t>
  </si>
  <si>
    <t>roulette online casino</t>
  </si>
  <si>
    <t>how to beat online roulette</t>
  </si>
  <si>
    <t>uk online blackjack</t>
  </si>
  <si>
    <t>crazy time evolution</t>
  </si>
  <si>
    <t>how to win on slots online</t>
  </si>
  <si>
    <t>online free casino slots no download</t>
  </si>
  <si>
    <t>crazy time online</t>
  </si>
  <si>
    <t>online blackjack casino</t>
  </si>
  <si>
    <t>how to win big on online casino slots</t>
  </si>
  <si>
    <t>free online casino slots no deposit bonus</t>
  </si>
  <si>
    <t>online roulette bonus</t>
  </si>
  <si>
    <t>free slot machine games with bonus rounds</t>
  </si>
  <si>
    <t>where can i play blackjack online</t>
  </si>
  <si>
    <t>crazy time review</t>
  </si>
  <si>
    <t>when is the best time to play online slots</t>
  </si>
  <si>
    <t>casino online slot games</t>
  </si>
  <si>
    <t>online slots jackpot</t>
  </si>
  <si>
    <t>how to play slot games online</t>
  </si>
  <si>
    <t>online slots free</t>
  </si>
  <si>
    <t>online slot games for real money</t>
  </si>
  <si>
    <t>how to cheat online slot games</t>
  </si>
  <si>
    <t>online roulette live dealer</t>
  </si>
  <si>
    <t>play wms slots online free</t>
  </si>
  <si>
    <t>where can i play crazy time</t>
  </si>
  <si>
    <t>crazy time bonus</t>
  </si>
  <si>
    <t>slot games review</t>
  </si>
  <si>
    <t>monopoly slot games</t>
  </si>
  <si>
    <t>casino slots tips</t>
  </si>
  <si>
    <t>slots online for real money</t>
  </si>
  <si>
    <t>how to play online slots and win</t>
  </si>
  <si>
    <t>crazy time free</t>
  </si>
  <si>
    <t>online slots no deposit required uk</t>
  </si>
  <si>
    <t>how to play casino slot games</t>
  </si>
  <si>
    <t>roulette online free</t>
  </si>
  <si>
    <t>online real cash slots</t>
  </si>
  <si>
    <t>how to hit jackpot on online slots</t>
  </si>
  <si>
    <t>online slots real money</t>
  </si>
  <si>
    <t>blackjack online real money usa</t>
  </si>
  <si>
    <t>how to play roulette online for money</t>
  </si>
  <si>
    <t>online roulette demo</t>
  </si>
  <si>
    <t>free casino slots online</t>
  </si>
  <si>
    <t>how to play online slots</t>
  </si>
  <si>
    <t>online slots tips</t>
  </si>
  <si>
    <t>free blackjack online for fun</t>
  </si>
  <si>
    <t>roulette online strategy</t>
  </si>
  <si>
    <t>free slot games to play for fun</t>
  </si>
  <si>
    <t>where can i play blackjack online for money</t>
  </si>
  <si>
    <t>online roulette free spins</t>
  </si>
  <si>
    <t>blackjack online for fun</t>
  </si>
  <si>
    <t>how to win casino slot games</t>
  </si>
  <si>
    <t>online slots not covered by gamstop</t>
  </si>
  <si>
    <t>how do online slots work</t>
  </si>
  <si>
    <t>best slot games to win real money</t>
  </si>
  <si>
    <t>what are slot games</t>
  </si>
  <si>
    <t>crazy time casino</t>
  </si>
  <si>
    <t>online slots reviews</t>
  </si>
  <si>
    <t>online roulette india</t>
  </si>
  <si>
    <t>how to win in online slots</t>
  </si>
  <si>
    <t>online roulette rules</t>
  </si>
  <si>
    <t>how to play online roulette</t>
  </si>
  <si>
    <t>online roulette app</t>
  </si>
  <si>
    <t>roulette online for money</t>
  </si>
  <si>
    <t>how to win casino slots online</t>
  </si>
  <si>
    <t>casino slots demo</t>
  </si>
  <si>
    <t>3 reel slots free online</t>
  </si>
  <si>
    <t>how to play online blackjack</t>
  </si>
  <si>
    <t>gamble online real money slots</t>
  </si>
  <si>
    <t>how to beat online slots</t>
  </si>
  <si>
    <t>online slot games for money</t>
  </si>
  <si>
    <t>online blackjack app</t>
  </si>
  <si>
    <t>where to play roulette online for real money</t>
  </si>
  <si>
    <t>online casino blackjack real money</t>
  </si>
  <si>
    <t>blackjack online demo</t>
  </si>
  <si>
    <t>novomatic online slots free</t>
  </si>
  <si>
    <t>how to win in online roulette</t>
  </si>
  <si>
    <t>blackjack online rules</t>
  </si>
  <si>
    <t>free downloads casino slot games</t>
  </si>
  <si>
    <t>what slot games pay real money</t>
  </si>
  <si>
    <t>online roulette casino</t>
  </si>
  <si>
    <t>konami slots online</t>
  </si>
  <si>
    <t>what free slot games pay real money</t>
  </si>
  <si>
    <t>roulette online bonus</t>
  </si>
  <si>
    <t>slot games to win real money</t>
  </si>
  <si>
    <t>how to win online blackjack</t>
  </si>
  <si>
    <t>online blackjack bonus</t>
  </si>
  <si>
    <t>what is the best online real money slots</t>
  </si>
  <si>
    <t>online slots best</t>
  </si>
  <si>
    <t>bandar betting blackjack online</t>
  </si>
  <si>
    <t>how to play crazy time</t>
  </si>
  <si>
    <t>free games slot machines</t>
  </si>
  <si>
    <t>crazy time strategy</t>
  </si>
  <si>
    <t>how to win blackjack online</t>
  </si>
  <si>
    <t>free online slot machine games</t>
  </si>
  <si>
    <t>online roulette strategy</t>
  </si>
  <si>
    <t>what are progressive slot games</t>
  </si>
  <si>
    <t>roulette online gratis spielen ohne anmeldung</t>
  </si>
  <si>
    <t>online roulette free demo</t>
  </si>
  <si>
    <t>how to win online roulette every time</t>
  </si>
  <si>
    <t>wms free online slots</t>
  </si>
  <si>
    <t>roulette online demo</t>
  </si>
  <si>
    <t>how to play blackjack online</t>
  </si>
  <si>
    <t>slot games mobile</t>
  </si>
  <si>
    <t>online slots for real money no minimum deposit</t>
  </si>
  <si>
    <t>where can i play roulette online</t>
  </si>
  <si>
    <t>online roulette live casino</t>
  </si>
  <si>
    <t>slots online uk</t>
  </si>
  <si>
    <t>which online slots payout the most</t>
  </si>
  <si>
    <t>slot games real money</t>
  </si>
  <si>
    <t>how to win big on online slots</t>
  </si>
  <si>
    <t>casino slots strategy</t>
  </si>
  <si>
    <t>roulette games online for fun</t>
  </si>
  <si>
    <t>how to play roulette online for real money</t>
  </si>
  <si>
    <t>blackjack online app</t>
  </si>
  <si>
    <t>blackjack online bahamas</t>
  </si>
  <si>
    <t>free online roulette simulator</t>
  </si>
  <si>
    <t>blackjack online best</t>
  </si>
  <si>
    <t>casino games free online roulette</t>
  </si>
  <si>
    <t>blackjack online big bass bonanza</t>
  </si>
  <si>
    <t>online bitcoin slots</t>
  </si>
  <si>
    <t>blackjack online bonus</t>
  </si>
  <si>
    <t>blackjack online caribbean</t>
  </si>
  <si>
    <t>slot games download</t>
  </si>
  <si>
    <t>blackjack online chances</t>
  </si>
  <si>
    <t>crazy time free play demo</t>
  </si>
  <si>
    <t>blackjack online dream catcher</t>
  </si>
  <si>
    <t>blackjack online evolution</t>
  </si>
  <si>
    <t>live roulette online usa</t>
  </si>
  <si>
    <t>blackjack online free demo</t>
  </si>
  <si>
    <t>casino slot machines online free games</t>
  </si>
  <si>
    <t>blackjack online free spins</t>
  </si>
  <si>
    <t>blackjack online gates of olympus</t>
  </si>
  <si>
    <t>online slot games real money</t>
  </si>
  <si>
    <t>blackjack online island luck</t>
  </si>
  <si>
    <t>roulette online gratis senza registrazione</t>
  </si>
  <si>
    <t>blackjack online jackpot</t>
  </si>
  <si>
    <t>blackjack online licensed</t>
  </si>
  <si>
    <t>nieuwe online slots</t>
  </si>
  <si>
    <t>blackjack online lightning roulette</t>
  </si>
  <si>
    <t>casino game online roulette</t>
  </si>
  <si>
    <t>blackjack online live casino</t>
  </si>
  <si>
    <t>blackjack online login</t>
  </si>
  <si>
    <t>best online roulette game in the uk</t>
  </si>
  <si>
    <t>blackjack online mobile</t>
  </si>
  <si>
    <t>online blackjack real money reviews</t>
  </si>
  <si>
    <t>blackjack online monopoly live</t>
  </si>
  <si>
    <t>blackjack online paradise games</t>
  </si>
  <si>
    <t>melhores slots online</t>
  </si>
  <si>
    <t>blackjack online play online</t>
  </si>
  <si>
    <t>playing blackjack online</t>
  </si>
  <si>
    <t>blackjack online pragmatic play</t>
  </si>
  <si>
    <t>blackjack online review</t>
  </si>
  <si>
    <t>slots online real money uk</t>
  </si>
  <si>
    <t>blackjack online reviews</t>
  </si>
  <si>
    <t>blackjack online en vivo</t>
  </si>
  <si>
    <t>blackjack online sweet bonanza</t>
  </si>
  <si>
    <t>blackjack online tips</t>
  </si>
  <si>
    <t>best free online slots</t>
  </si>
  <si>
    <t>blackjack online trusted</t>
  </si>
  <si>
    <t>blackjack online ultra games</t>
  </si>
  <si>
    <t>slot games for money</t>
  </si>
  <si>
    <t>casino slots bahamas</t>
  </si>
  <si>
    <t>casino slots best</t>
  </si>
  <si>
    <t>roleta crazy time</t>
  </si>
  <si>
    <t>casino slots big bass bonanza</t>
  </si>
  <si>
    <t>live roulette online real money</t>
  </si>
  <si>
    <t>casino slots caribbean</t>
  </si>
  <si>
    <t>casino slots chances</t>
  </si>
  <si>
    <t>new jersey online blackjack</t>
  </si>
  <si>
    <t>casino slots dream catcher</t>
  </si>
  <si>
    <t>dragon slot games</t>
  </si>
  <si>
    <t>casino slots evolution</t>
  </si>
  <si>
    <t>casino slots free demo</t>
  </si>
  <si>
    <t>online slot games</t>
  </si>
  <si>
    <t>casino slots gates of olympus</t>
  </si>
  <si>
    <t>blackjack online for money</t>
  </si>
  <si>
    <t>casino slots island luck</t>
  </si>
  <si>
    <t>casino slots licensed</t>
  </si>
  <si>
    <t>crazy time демо</t>
  </si>
  <si>
    <t>casino slots lightning roulette</t>
  </si>
  <si>
    <t>slot machines games download free</t>
  </si>
  <si>
    <t>casino slots live casino</t>
  </si>
  <si>
    <t>casino slots live dealer</t>
  </si>
  <si>
    <t>online casinos with igt slots</t>
  </si>
  <si>
    <t>casino slots login</t>
  </si>
  <si>
    <t>crazy time casino free play</t>
  </si>
  <si>
    <t>casino slots mobile</t>
  </si>
  <si>
    <t>roulette online play free</t>
  </si>
  <si>
    <t>casino slots monopoly live</t>
  </si>
  <si>
    <t>casino slots paradise games</t>
  </si>
  <si>
    <t>online casino slots australia</t>
  </si>
  <si>
    <t>casino slots play online</t>
  </si>
  <si>
    <t>casino slots pragmatic play</t>
  </si>
  <si>
    <t>free online roulette game</t>
  </si>
  <si>
    <t>casino slots review</t>
  </si>
  <si>
    <t>casino slots reviews</t>
  </si>
  <si>
    <t>888 roulette online</t>
  </si>
  <si>
    <t>casino slots rules</t>
  </si>
  <si>
    <t>spanish blackjack online</t>
  </si>
  <si>
    <t>casino slots sweet bonanza</t>
  </si>
  <si>
    <t>casino slots trusted</t>
  </si>
  <si>
    <t>best online slot games for real money</t>
  </si>
  <si>
    <t>casino slots ultra games</t>
  </si>
  <si>
    <t>online casino slots real money</t>
  </si>
  <si>
    <t>blackjack online real money india</t>
  </si>
  <si>
    <t>crazy time bahamas</t>
  </si>
  <si>
    <t>crazy time best</t>
  </si>
  <si>
    <t>bet slots online</t>
  </si>
  <si>
    <t>crazy time big bass bonanza</t>
  </si>
  <si>
    <t>can you make money playing roulette online</t>
  </si>
  <si>
    <t>crazy time caribbean</t>
  </si>
  <si>
    <t>crazy time chances</t>
  </si>
  <si>
    <t>free blackjack practice online</t>
  </si>
  <si>
    <t>crazy time dream catcher</t>
  </si>
  <si>
    <t>roulette demo online</t>
  </si>
  <si>
    <t>crazy time free spins</t>
  </si>
  <si>
    <t>crazy time game app</t>
  </si>
  <si>
    <t>live blackjack tables online</t>
  </si>
  <si>
    <t>crazy time game bahamas</t>
  </si>
  <si>
    <t>crazy time demo play</t>
  </si>
  <si>
    <t>crazy time game best</t>
  </si>
  <si>
    <t>crazy time game big bass bonanza</t>
  </si>
  <si>
    <t>crazy time 8000x</t>
  </si>
  <si>
    <t>crazy time game bonus</t>
  </si>
  <si>
    <t>casino online roulette live</t>
  </si>
  <si>
    <t>crazy time game caribbean</t>
  </si>
  <si>
    <t>vegas slots online real money</t>
  </si>
  <si>
    <t>crazy time game chances</t>
  </si>
  <si>
    <t>crazy time game demo</t>
  </si>
  <si>
    <t>crazy time game dream catcher</t>
  </si>
  <si>
    <t>slot machines with bonus games</t>
  </si>
  <si>
    <t>crazy time game evolution</t>
  </si>
  <si>
    <t>free video slot games with bonus rounds</t>
  </si>
  <si>
    <t>crazy time game free demo</t>
  </si>
  <si>
    <t>crazy time game free spins</t>
  </si>
  <si>
    <t>slot machine games play for fun</t>
  </si>
  <si>
    <t>crazy time game gates of olympus</t>
  </si>
  <si>
    <t>online free slots casinos</t>
  </si>
  <si>
    <t>crazy time game island luck</t>
  </si>
  <si>
    <t>jackpot online slots</t>
  </si>
  <si>
    <t>crazy time game jackpot</t>
  </si>
  <si>
    <t>free online slots game</t>
  </si>
  <si>
    <t>crazy time game licensed</t>
  </si>
  <si>
    <t>uk online slots casino</t>
  </si>
  <si>
    <t>crazy time game lightning roulette</t>
  </si>
  <si>
    <t>blackjack online for real money</t>
  </si>
  <si>
    <t>crazy time game live casino</t>
  </si>
  <si>
    <t>online slots deposit $10</t>
  </si>
  <si>
    <t>crazy time game live dealer</t>
  </si>
  <si>
    <t>blackjack online gratuit</t>
  </si>
  <si>
    <t>crazy time game login</t>
  </si>
  <si>
    <t>histórico do crazy time</t>
  </si>
  <si>
    <t>crazy time game mobile</t>
  </si>
  <si>
    <t>crazy time game monopoly live</t>
  </si>
  <si>
    <t>slots online free</t>
  </si>
  <si>
    <t>crazy time game online</t>
  </si>
  <si>
    <t>pragmatic online slots</t>
  </si>
  <si>
    <t>crazy time game paradise games</t>
  </si>
  <si>
    <t>crazy time game play online</t>
  </si>
  <si>
    <t>live roulette wheel online</t>
  </si>
  <si>
    <t>crazy time game pragmatic play</t>
  </si>
  <si>
    <t>free slot games on line</t>
  </si>
  <si>
    <t>crazy time game real money</t>
  </si>
  <si>
    <t>crazy time game review</t>
  </si>
  <si>
    <t>online slots with fishing frenzy</t>
  </si>
  <si>
    <t>crazy time game reviews</t>
  </si>
  <si>
    <t>online slots uk</t>
  </si>
  <si>
    <t>crazy time game rules</t>
  </si>
  <si>
    <t>crazy time game sweet bonanza</t>
  </si>
  <si>
    <t>blackjack online uk</t>
  </si>
  <si>
    <t>crazy time game tips</t>
  </si>
  <si>
    <t>crazy time game trusted</t>
  </si>
  <si>
    <t>live online roulette canada</t>
  </si>
  <si>
    <t>crazy time game ultra games</t>
  </si>
  <si>
    <t>uk online roulette</t>
  </si>
  <si>
    <t>crazy time gates of olympus</t>
  </si>
  <si>
    <t>free online slot games for real money</t>
  </si>
  <si>
    <t>crazy time island luck</t>
  </si>
  <si>
    <t>crazy time jackpot</t>
  </si>
  <si>
    <t>free casino slot games without downloading</t>
  </si>
  <si>
    <t>crazy time licensed</t>
  </si>
  <si>
    <t>free online slots real money</t>
  </si>
  <si>
    <t>crazy time lightning roulette</t>
  </si>
  <si>
    <t>crazy time live dealer</t>
  </si>
  <si>
    <t>live blackjack online real money</t>
  </si>
  <si>
    <t>crazy time mobile</t>
  </si>
  <si>
    <t>online roulette spellen</t>
  </si>
  <si>
    <t>crazy time monopoly live</t>
  </si>
  <si>
    <t>crazy time paradise games</t>
  </si>
  <si>
    <t>no deposit bonus slot games</t>
  </si>
  <si>
    <t>crazy time play online</t>
  </si>
  <si>
    <t>crazy time pragmatic play</t>
  </si>
  <si>
    <t>crazy time real money</t>
  </si>
  <si>
    <t>blackjack online con dinero real</t>
  </si>
  <si>
    <t>crazy time reviews</t>
  </si>
  <si>
    <t>bingo slot games</t>
  </si>
  <si>
    <t>crazy time rules</t>
  </si>
  <si>
    <t>crazy time sweet bonanza</t>
  </si>
  <si>
    <t>online live roulette casino game</t>
  </si>
  <si>
    <t>crazy time tips</t>
  </si>
  <si>
    <t>crazy time trusted</t>
  </si>
  <si>
    <t>american roulette online game</t>
  </si>
  <si>
    <t>crazy time ultra games</t>
  </si>
  <si>
    <t>online slots with real money</t>
  </si>
  <si>
    <t>demo casino games app</t>
  </si>
  <si>
    <t>сайты с crazy time</t>
  </si>
  <si>
    <t>demo casino games bahamas</t>
  </si>
  <si>
    <t>demo casino games best</t>
  </si>
  <si>
    <t>games slot free games</t>
  </si>
  <si>
    <t>demo casino games big bass bonanza</t>
  </si>
  <si>
    <t>free canadian online slots no download</t>
  </si>
  <si>
    <t>free slots machine online</t>
  </si>
  <si>
    <t>demo casino games bonus</t>
  </si>
  <si>
    <t>demo casino games caribbean</t>
  </si>
  <si>
    <t>online roulette nigeria</t>
  </si>
  <si>
    <t>demo casino games chances</t>
  </si>
  <si>
    <t>demo casino games dream catcher</t>
  </si>
  <si>
    <t>online blackjack betway casino</t>
  </si>
  <si>
    <t>demo casino games evolution</t>
  </si>
  <si>
    <t>live roulette tables online</t>
  </si>
  <si>
    <t>demo casino games free demo</t>
  </si>
  <si>
    <t>free old slot games</t>
  </si>
  <si>
    <t>demo casino games free spins</t>
  </si>
  <si>
    <t>play blackjack online free no download</t>
  </si>
  <si>
    <t>demo casino games gates of olympus</t>
  </si>
  <si>
    <t>free casino roulette online</t>
  </si>
  <si>
    <t>demo casino games island luck</t>
  </si>
  <si>
    <t>roulette predictor online</t>
  </si>
  <si>
    <t>demo casino games jackpot</t>
  </si>
  <si>
    <t>crazy time stas</t>
  </si>
  <si>
    <t>demo casino games licensed</t>
  </si>
  <si>
    <t>demo casino games lightning roulette</t>
  </si>
  <si>
    <t>blackjack online real money canada</t>
  </si>
  <si>
    <t>demo casino games live casino</t>
  </si>
  <si>
    <t>sun and moon slots online</t>
  </si>
  <si>
    <t>demo casino games live dealer</t>
  </si>
  <si>
    <t>demo casino games login</t>
  </si>
  <si>
    <t>roulette trick online casino</t>
  </si>
  <si>
    <t>demo casino games mobile</t>
  </si>
  <si>
    <t>demo casino games monopoly live</t>
  </si>
  <si>
    <t>demo casino games paradise games</t>
  </si>
  <si>
    <t>blackjack gambling online</t>
  </si>
  <si>
    <t>demo casino games play online</t>
  </si>
  <si>
    <t>megaways slot games</t>
  </si>
  <si>
    <t>demo casino games pragmatic play</t>
  </si>
  <si>
    <t>beste online casino live blackjack</t>
  </si>
  <si>
    <t>demo casino games real money</t>
  </si>
  <si>
    <t>online slots real money no deposit bonus</t>
  </si>
  <si>
    <t>demo casino games review</t>
  </si>
  <si>
    <t>roulette online uk</t>
  </si>
  <si>
    <t>demo casino games reviews</t>
  </si>
  <si>
    <t>online slots real money australia</t>
  </si>
  <si>
    <t>demo casino games rules</t>
  </si>
  <si>
    <t>top online blackjack</t>
  </si>
  <si>
    <t>demo casino games strategy</t>
  </si>
  <si>
    <t>free online slots reviews</t>
  </si>
  <si>
    <t>demo casino games sweet bonanza</t>
  </si>
  <si>
    <t>blackjack live online</t>
  </si>
  <si>
    <t>demo casino games tips</t>
  </si>
  <si>
    <t>online slots new</t>
  </si>
  <si>
    <t>demo casino games trusted</t>
  </si>
  <si>
    <t>spin slots online</t>
  </si>
  <si>
    <t>demo casino games ultra games</t>
  </si>
  <si>
    <t>online blackjack bahamas</t>
  </si>
  <si>
    <t>tumbling reels slot games</t>
  </si>
  <si>
    <t>online blackjack best</t>
  </si>
  <si>
    <t>live online roulette uk</t>
  </si>
  <si>
    <t>online blackjack big bass bonanza</t>
  </si>
  <si>
    <t>online blackjack caribbean</t>
  </si>
  <si>
    <t>online blackjack real money australia</t>
  </si>
  <si>
    <t>online blackjack chances</t>
  </si>
  <si>
    <t>online roulette south africa</t>
  </si>
  <si>
    <t>online blackjack demo</t>
  </si>
  <si>
    <t>online blackjack dream catcher</t>
  </si>
  <si>
    <t>best online blackjack casinos</t>
  </si>
  <si>
    <t>online blackjack evolution</t>
  </si>
  <si>
    <t>online roulette canada real money</t>
  </si>
  <si>
    <t>online blackjack free demo</t>
  </si>
  <si>
    <t>online blackjack free spins</t>
  </si>
  <si>
    <t>online blackjack schweiz</t>
  </si>
  <si>
    <t>online blackjack gates of olympus</t>
  </si>
  <si>
    <t>hoe werkt crazy time</t>
  </si>
  <si>
    <t>online blackjack island luck</t>
  </si>
  <si>
    <t>online blackjack jackpot</t>
  </si>
  <si>
    <t>live american roulette online</t>
  </si>
  <si>
    <t>online blackjack licensed</t>
  </si>
  <si>
    <t>bonus online roulette</t>
  </si>
  <si>
    <t>online blackjack lightning roulette</t>
  </si>
  <si>
    <t>free internet slot games</t>
  </si>
  <si>
    <t>online blackjack live casino</t>
  </si>
  <si>
    <t>online blackjack login</t>
  </si>
  <si>
    <t>free real money online slots</t>
  </si>
  <si>
    <t>online blackjack mobile</t>
  </si>
  <si>
    <t>play blackjack for real money online</t>
  </si>
  <si>
    <t>online blackjack monopoly live</t>
  </si>
  <si>
    <t>online blackjack paradise games</t>
  </si>
  <si>
    <t>online blackjack play online</t>
  </si>
  <si>
    <t>online roulette with no deposit</t>
  </si>
  <si>
    <t>online blackjack pragmatic play</t>
  </si>
  <si>
    <t>online blackjack review</t>
  </si>
  <si>
    <t>roulette online gambling</t>
  </si>
  <si>
    <t>online blackjack reviews</t>
  </si>
  <si>
    <t>play real roulette online</t>
  </si>
  <si>
    <t>online blackjack sweet bonanza</t>
  </si>
  <si>
    <t>online blackjack trusted</t>
  </si>
  <si>
    <t>online slots with highest rtp</t>
  </si>
  <si>
    <t>online blackjack ultra games</t>
  </si>
  <si>
    <t>best online slots games</t>
  </si>
  <si>
    <t>online roulette bahamas</t>
  </si>
  <si>
    <t>online roulette best</t>
  </si>
  <si>
    <t>easiest slot games to win</t>
  </si>
  <si>
    <t>online roulette big bass bonanza</t>
  </si>
  <si>
    <t>online roulette caribbean</t>
  </si>
  <si>
    <t>metodi roulette online</t>
  </si>
  <si>
    <t>online roulette chances</t>
  </si>
  <si>
    <t>online roulette dream catcher</t>
  </si>
  <si>
    <t>classic slot machine games</t>
  </si>
  <si>
    <t>online roulette evolution</t>
  </si>
  <si>
    <t>online roulette gates of olympus</t>
  </si>
  <si>
    <t>online slots guide</t>
  </si>
  <si>
    <t>online roulette island luck</t>
  </si>
  <si>
    <t>novomatic slots online casino</t>
  </si>
  <si>
    <t>online slots william hill</t>
  </si>
  <si>
    <t>online roulette jackpot</t>
  </si>
  <si>
    <t>best online slots sites in kenya</t>
  </si>
  <si>
    <t>online roulette licensed</t>
  </si>
  <si>
    <t>blackjack online unblocked</t>
  </si>
  <si>
    <t>online roulette lightning roulette</t>
  </si>
  <si>
    <t>online casino free slots</t>
  </si>
  <si>
    <t>online roulette login</t>
  </si>
  <si>
    <t>online roulette monopoly live</t>
  </si>
  <si>
    <t>easy slot machine games</t>
  </si>
  <si>
    <t>online roulette paradise games</t>
  </si>
  <si>
    <t>best online roulette games</t>
  </si>
  <si>
    <t>online roulette play online</t>
  </si>
  <si>
    <t>online roulette pragmatic play</t>
  </si>
  <si>
    <t>free slot games for ipad</t>
  </si>
  <si>
    <t>online roulette review</t>
  </si>
  <si>
    <t>online roulette reviews</t>
  </si>
  <si>
    <t>historique crazy time</t>
  </si>
  <si>
    <t>online roulette sweet bonanza</t>
  </si>
  <si>
    <t>casino blackjack online free game</t>
  </si>
  <si>
    <t>online roulette trusted</t>
  </si>
  <si>
    <t>online roulette ultra games</t>
  </si>
  <si>
    <t>real online roulette gambling</t>
  </si>
  <si>
    <t>online slots app</t>
  </si>
  <si>
    <t>no deposit online slots free bonus</t>
  </si>
  <si>
    <t>online slots bahamas</t>
  </si>
  <si>
    <t>online casino slots tips and tricks</t>
  </si>
  <si>
    <t>online slots big bass bonanza</t>
  </si>
  <si>
    <t>online slots caribbean</t>
  </si>
  <si>
    <t>spela online roulette</t>
  </si>
  <si>
    <t>online slots chances</t>
  </si>
  <si>
    <t>online roulette australia real money</t>
  </si>
  <si>
    <t>online slots dream catcher</t>
  </si>
  <si>
    <t>online slots evolution</t>
  </si>
  <si>
    <t>roulette casino online</t>
  </si>
  <si>
    <t>online slots free demo</t>
  </si>
  <si>
    <t>is online roulette fixed</t>
  </si>
  <si>
    <t>online slots gates of olympus</t>
  </si>
  <si>
    <t>online slots island luck</t>
  </si>
  <si>
    <t>bet online roulette</t>
  </si>
  <si>
    <t>online slots licensed</t>
  </si>
  <si>
    <t>the truth about online slots</t>
  </si>
  <si>
    <t>online slots lightning roulette</t>
  </si>
  <si>
    <t>online slots live casino</t>
  </si>
  <si>
    <t>free online casino slot machine games</t>
  </si>
  <si>
    <t>online slots live dealer</t>
  </si>
  <si>
    <t>online real money roulette</t>
  </si>
  <si>
    <t>online slots login</t>
  </si>
  <si>
    <t>online slots monopoly live</t>
  </si>
  <si>
    <t>free casino slot games download</t>
  </si>
  <si>
    <t>online slots paradise games</t>
  </si>
  <si>
    <t>slots online free casino</t>
  </si>
  <si>
    <t>online slots play online</t>
  </si>
  <si>
    <t>crazy time link</t>
  </si>
  <si>
    <t>online slots pragmatic play</t>
  </si>
  <si>
    <t>the best slot games</t>
  </si>
  <si>
    <t>online slots rules</t>
  </si>
  <si>
    <t>latest slot games</t>
  </si>
  <si>
    <t>online slots sweet bonanza</t>
  </si>
  <si>
    <t>online slots trusted</t>
  </si>
  <si>
    <t>online casino roulette canada</t>
  </si>
  <si>
    <t>online slots ultra games</t>
  </si>
  <si>
    <t>free online casino slots for fun</t>
  </si>
  <si>
    <t>roulette online app</t>
  </si>
  <si>
    <t>play slots online australia</t>
  </si>
  <si>
    <t>roulette online bahamas</t>
  </si>
  <si>
    <t>game online roulette</t>
  </si>
  <si>
    <t>roulette online best</t>
  </si>
  <si>
    <t>olg slots online</t>
  </si>
  <si>
    <t>roulette online big bass bonanza</t>
  </si>
  <si>
    <t>practise roulette online</t>
  </si>
  <si>
    <t>roulette online caribbean</t>
  </si>
  <si>
    <t>play online roulette for money</t>
  </si>
  <si>
    <t>roulette online chances</t>
  </si>
  <si>
    <t>blackjack online canada</t>
  </si>
  <si>
    <t>roulette online dream catcher</t>
  </si>
  <si>
    <t>demo games free slot</t>
  </si>
  <si>
    <t>roulette online evolution</t>
  </si>
  <si>
    <t>online casino slots malaysia</t>
  </si>
  <si>
    <t>roulette online free demo</t>
  </si>
  <si>
    <t>roulette online free spins</t>
  </si>
  <si>
    <t>best online slots canada</t>
  </si>
  <si>
    <t>roulette online gates of olympus</t>
  </si>
  <si>
    <t>free slots online casino</t>
  </si>
  <si>
    <t>roulette online island luck</t>
  </si>
  <si>
    <t>online jackpot slots</t>
  </si>
  <si>
    <t>roulette online jackpot</t>
  </si>
  <si>
    <t>rtg slot games</t>
  </si>
  <si>
    <t>roulette online licensed</t>
  </si>
  <si>
    <t>types of slot games</t>
  </si>
  <si>
    <t>roulette online lightning roulette</t>
  </si>
  <si>
    <t>voodoo dreams roulette online</t>
  </si>
  <si>
    <t>roulette online live casino</t>
  </si>
  <si>
    <t>vegas downtown blackjack online</t>
  </si>
  <si>
    <t>roulette online live dealer</t>
  </si>
  <si>
    <t>roulette online login</t>
  </si>
  <si>
    <t>best online slots uk</t>
  </si>
  <si>
    <t>roulette online monopoly live</t>
  </si>
  <si>
    <t>roulette online paradise games</t>
  </si>
  <si>
    <t>can you win real money on online slots</t>
  </si>
  <si>
    <t>roulette online play online</t>
  </si>
  <si>
    <t>roulette online pragmatic play</t>
  </si>
  <si>
    <t>roulette online review</t>
  </si>
  <si>
    <t>real cash slot games</t>
  </si>
  <si>
    <t>roulette online reviews</t>
  </si>
  <si>
    <t>american roulette online spielen</t>
  </si>
  <si>
    <t>roulette online rules</t>
  </si>
  <si>
    <t>play online games slots</t>
  </si>
  <si>
    <t>roulette online sweet bonanza</t>
  </si>
  <si>
    <t>roulette online tips</t>
  </si>
  <si>
    <t>best slot bonus games</t>
  </si>
  <si>
    <t>roulette online trusted</t>
  </si>
  <si>
    <t>free online roulette game for fun</t>
  </si>
  <si>
    <t>roulette online ultra games</t>
  </si>
  <si>
    <t>slot games app</t>
  </si>
  <si>
    <t>crazy time online game</t>
  </si>
  <si>
    <t>slot games bahamas</t>
  </si>
  <si>
    <t>newest online slots</t>
  </si>
  <si>
    <t>slot games best</t>
  </si>
  <si>
    <t>merkur online slots</t>
  </si>
  <si>
    <t>slot games big bass bonanza</t>
  </si>
  <si>
    <t>slot games caribbean</t>
  </si>
  <si>
    <t>slot games chances</t>
  </si>
  <si>
    <t>cleopatra slot games</t>
  </si>
  <si>
    <t>slot games dream catcher</t>
  </si>
  <si>
    <t>kostenlose online slots</t>
  </si>
  <si>
    <t>slot games evolution</t>
  </si>
  <si>
    <t>slot games free demo</t>
  </si>
  <si>
    <t>online casino live dealer roulette</t>
  </si>
  <si>
    <t>slot games gates of olympus</t>
  </si>
  <si>
    <t>roulette online sverige</t>
  </si>
  <si>
    <t>slot games island luck</t>
  </si>
  <si>
    <t>play slots games online</t>
  </si>
  <si>
    <t>slot games jackpot</t>
  </si>
  <si>
    <t>slot games licensed</t>
  </si>
  <si>
    <t>red tiger slot games</t>
  </si>
  <si>
    <t>slot games lightning roulette</t>
  </si>
  <si>
    <t>penny roulette online</t>
  </si>
  <si>
    <t>slot games live casino</t>
  </si>
  <si>
    <t>slot games live dealer</t>
  </si>
  <si>
    <t>slot machine free slot games</t>
  </si>
  <si>
    <t>slot games login</t>
  </si>
  <si>
    <t>casino score crazy time</t>
  </si>
  <si>
    <t>slot games monopoly live</t>
  </si>
  <si>
    <t>slot games paradise games</t>
  </si>
  <si>
    <t>judi roulette online</t>
  </si>
  <si>
    <t>slot games play online</t>
  </si>
  <si>
    <t>free casino slots games online</t>
  </si>
  <si>
    <t>slot games pragmatic play</t>
  </si>
  <si>
    <t>wms slots online free</t>
  </si>
  <si>
    <t>slot games rules</t>
  </si>
  <si>
    <t>vincere roulette online</t>
  </si>
  <si>
    <t>slot games strategy</t>
  </si>
  <si>
    <t>free casino slot games with free coins</t>
  </si>
  <si>
    <t>slot games sweet bonanza</t>
  </si>
  <si>
    <t>demo casino</t>
  </si>
  <si>
    <t>free slot games online for fun</t>
  </si>
  <si>
    <t>slot games tips</t>
  </si>
  <si>
    <t>3 reel slot games free</t>
  </si>
  <si>
    <t>slot games trusted</t>
  </si>
  <si>
    <t>slot games ultra games</t>
  </si>
  <si>
    <t>bally online slots</t>
  </si>
  <si>
    <t>2246, 2558, 2611, 2755, 2860, 2891, 2776, 2736, 2779, 2766, 2860, 2828, 2766, 2767, 3187, 3120, 2442, 3023, 2654, 2494, 2682, 2618, 2792, 2781</t>
  </si>
  <si>
    <t>2754, 2832, 2926, 2863, 2809, 3099, 2925, 2825, 2970, 2906, 3080, 3069, 3041</t>
  </si>
  <si>
    <t>blackjack online sin dinero</t>
  </si>
  <si>
    <t>miglior roulette online</t>
  </si>
  <si>
    <t>People also ask,Thumbnail</t>
  </si>
  <si>
    <t>play free bet blackjack online</t>
  </si>
  <si>
    <t>2659, 2751, 2752, 2778, 2830, 2847, 2540, 2425, 2666, 2433, 2621, 2616, 2651, 2745, 2747, 2774, 2827, 2845, 2538, 2423, 2665, 2433, 2620, 2615</t>
  </si>
  <si>
    <t>2651, 2745, 2746, 2774, 2827, 2844, 2538, 2423, 2665, 2432, 2620, 2615, 2651</t>
  </si>
  <si>
    <t>can i play roulette online for real money</t>
  </si>
  <si>
    <t>real money slots online</t>
  </si>
  <si>
    <t>demo casino games hot fruit</t>
  </si>
  <si>
    <t>island luck demo</t>
  </si>
  <si>
    <t>jackpot slots game online</t>
  </si>
  <si>
    <t>all slot games</t>
  </si>
  <si>
    <t>Video preview,Sitelinks</t>
  </si>
  <si>
    <t>slots for real money online</t>
  </si>
  <si>
    <t>crazy time tracksino</t>
  </si>
  <si>
    <t>973, 970, 1117, 1581, 2213, 1192, 978, 925, 885, 839, 1120, 828, 849, 1045, 1252, 1121, 1244, 863, 966, 825, 959, 918, 986, 926</t>
  </si>
  <si>
    <t>914, 963, 1017, 1055, 1137, 1042, 929, 936, 996, 956, 1024, 964, 952</t>
  </si>
  <si>
    <t>free spin slot games</t>
  </si>
  <si>
    <t>chances demo</t>
  </si>
  <si>
    <t>today crazy time history</t>
  </si>
  <si>
    <t>online free slots games</t>
  </si>
  <si>
    <t>Video preview</t>
  </si>
  <si>
    <t>spil roulette online</t>
  </si>
  <si>
    <t>800, 946, 760, 742, 816, 752, 767, 745, 791, 736, 909, 830, 1138, 1081, 1077, 1017, 896, 1065, 990, 1042, 1070, 1055, 1105, 1078</t>
  </si>
  <si>
    <t>blackjack online games for real money</t>
  </si>
  <si>
    <t>1098, 1110, 1069, 1073, 1074, 1134, 1103, 1080, 1124, 1109, 1159</t>
  </si>
  <si>
    <t>rich little piggies slots online</t>
  </si>
  <si>
    <t>casino lobby demo</t>
  </si>
  <si>
    <t>playing slots online for free</t>
  </si>
  <si>
    <t>online slot games no deposit bonus</t>
  </si>
  <si>
    <t>black knight slots online game</t>
  </si>
  <si>
    <t>1207, 1252, 1241, 989, 888, 1021, 1008, 847, 798, 690, 640, 650, 813, 561, 956, 1076, 955, 798, 805, 802, 776, 784, 791, 836</t>
  </si>
  <si>
    <t>889, 798, 911, 854, 882, 892, 801, 798, 776, 784, 791, 836, 889</t>
  </si>
  <si>
    <t>slot machine games real money</t>
  </si>
  <si>
    <t>multislot</t>
  </si>
  <si>
    <t>casino slot games for fun</t>
  </si>
  <si>
    <t>Sitelinks,Video preview</t>
  </si>
  <si>
    <t>free online casino blackjack</t>
  </si>
  <si>
    <t>721, 738, 709, 697, 552, 703, 705, 882, 898, 744, 868, 837, 818, 781, 828, 821, 799, 807, 663, 525, 696, 687, 718, 684</t>
  </si>
  <si>
    <t>679, 729, 740, 689, 648, 719, 664, 652, 684, 677, 709, 677, 674</t>
  </si>
  <si>
    <t>best roulette online casino</t>
  </si>
  <si>
    <t>casino demo play</t>
  </si>
  <si>
    <t>hard rock slots online</t>
  </si>
  <si>
    <t>online roulette for free</t>
  </si>
  <si>
    <t>slot games no deposit free bonus</t>
  </si>
  <si>
    <t>369, 393, 574, 604, 595, 657, 574, 555, 564, 529, 581, 587, 831, 783, 778, 634, 608, 490, 522, 617, 593, 573, 576, 572</t>
  </si>
  <si>
    <t>599, 595, 586, 564, 553, 573, 591, 547, 561, 542, 544, 541, 568</t>
  </si>
  <si>
    <t>quick hit slots online real money</t>
  </si>
  <si>
    <t>make money playing roulette online</t>
  </si>
  <si>
    <t>People also ask,Sitelinks</t>
  </si>
  <si>
    <t>online casino österreich roulette</t>
  </si>
  <si>
    <t>slot games with bonus rounds</t>
  </si>
  <si>
    <t>1271, 1072, 1259, 978, 782, 769, 805, 733, 698, 695, 734, 709, 620, 494, 505, 520, 526, 538, 431, 435, 491, 540, 462, 479</t>
  </si>
  <si>
    <t>430, 382, 405, 358, 315, 403, 372, 448, 477, 526, 447, 464, 416</t>
  </si>
  <si>
    <t>online roulette spielen um echtes geld</t>
  </si>
  <si>
    <t>demo slots</t>
  </si>
  <si>
    <t>slot games with highest rtp</t>
  </si>
  <si>
    <t>online casino slots for real money</t>
  </si>
  <si>
    <t>1150, 1053, 1021, 692, 637, 545, 535, 540, 452, 454, 489, 488, 399, 504, 486, 448, 512, 509, 393, 401, 400, 391, 442, 408</t>
  </si>
  <si>
    <t>blackjack online games</t>
  </si>
  <si>
    <t>402, 431, 413, 383, 413, 433, 417, 398, 398, 389, 441, 407, 401</t>
  </si>
  <si>
    <t>multi slots</t>
  </si>
  <si>
    <t>play roulette online uk</t>
  </si>
  <si>
    <t>live dealer roulette online</t>
  </si>
  <si>
    <t>free roulette game online fun</t>
  </si>
  <si>
    <t>crazy time выигрыш</t>
  </si>
  <si>
    <t>361, 336, 358, 378, 286, 389, 354, 386, 374, 312, 457, 476, 509, 505, 516, 475, 522, 508, 413, 308, 401, 389, 439, 424</t>
  </si>
  <si>
    <t>411, 433, 466, 441, 436, 450, 422, 390, 414, 401, 452, 437, 424</t>
  </si>
  <si>
    <t>online casino live roulette</t>
  </si>
  <si>
    <t>real live roulette online</t>
  </si>
  <si>
    <t>slot games you can win real money on</t>
  </si>
  <si>
    <t>best online blackjack</t>
  </si>
  <si>
    <t>free las vegas slot games</t>
  </si>
  <si>
    <t>gratis slots online spielen</t>
  </si>
  <si>
    <t>chances games demo</t>
  </si>
  <si>
    <t>free online roulette play</t>
  </si>
  <si>
    <t>381, 359, 238, 584, 257, 259, 208, 206, 507, 998, 651, 216, 361, 342, 227, 559, 247, 250, 201, 199, 493, 971, 635, 211</t>
  </si>
  <si>
    <t>353, 335, 223, 550, 243, 246, 199, 197, 487, 961, 629, 209, 350</t>
  </si>
  <si>
    <t>online casino roulette ideal</t>
  </si>
  <si>
    <t>multi slot demo</t>
  </si>
  <si>
    <t>statistica crazy time</t>
  </si>
  <si>
    <t>crazy time demo casino</t>
  </si>
  <si>
    <t>best online slots to play</t>
  </si>
  <si>
    <t>726, 635, 748, 663, 522, 574, 541, 648, 701, 614, 606, 662, 478, 414, 380, 388, 383, 364, 272, 268, 299, 332, 304, 293</t>
  </si>
  <si>
    <t>258, 204, 220, 207, 176, 238, 192, 232, 246, 275, 251, 240, 206</t>
  </si>
  <si>
    <t>online-blackjack</t>
  </si>
  <si>
    <t>demo casino slots</t>
  </si>
  <si>
    <t>situs agen blackjack online</t>
  </si>
  <si>
    <t>blackjack games online free</t>
  </si>
  <si>
    <t>248, 205, 255, 241, 289, 306, 171, 229, 219, 195, 296, 284, 305, 240, 310, 352, 285, 289, 303, 270, 290, 288, 311, 298</t>
  </si>
  <si>
    <t>slots online malaysia</t>
  </si>
  <si>
    <t>304, 293, 320, 327, 311, 319, 297, 307, 311, 308, 331, 318</t>
  </si>
  <si>
    <t>ppgames</t>
  </si>
  <si>
    <t>top casino slot games</t>
  </si>
  <si>
    <t>paradise games</t>
  </si>
  <si>
    <t>most popular online slot machine games</t>
  </si>
  <si>
    <t>top online casino slots</t>
  </si>
  <si>
    <t>49, 82, 21, 38, 34, 37, 25, 30, 27, 15, 23, 17, 24, 33, 20, 23, 49, 65, 49, 412, 790, 729, 476, 52</t>
  </si>
  <si>
    <t>video slots free online</t>
  </si>
  <si>
    <t>Video games; Gambling</t>
  </si>
  <si>
    <t>roulette betting online</t>
  </si>
  <si>
    <t>casino demo multi slots</t>
  </si>
  <si>
    <t>live online roulette</t>
  </si>
  <si>
    <t>online games casino roulette</t>
  </si>
  <si>
    <t>free online slots for real money</t>
  </si>
  <si>
    <t>multi slots demo games</t>
  </si>
  <si>
    <t>new slots online</t>
  </si>
  <si>
    <t>play blackjack online for money</t>
  </si>
  <si>
    <t>crazy time 1xbet</t>
  </si>
  <si>
    <t>153, 120, 189, 151, 128, 157, 158, 156, 186, 186, 231, 203, 162, 169, 167, 164, 247, 202, 202, 198, 220, 218, 229, 219</t>
  </si>
  <si>
    <t>crazy time правила</t>
  </si>
  <si>
    <t>211, 216, 215, 210, 192, 201, 200, 196, 218, 216, 226, 216, 209</t>
  </si>
  <si>
    <t>casino lobby</t>
  </si>
  <si>
    <t>online new slots</t>
  </si>
  <si>
    <t>slots online free game</t>
  </si>
  <si>
    <t>crazy time coin flip</t>
  </si>
  <si>
    <t>345, 355, 295, 246, 244, 293, 197, 202, 197, 236, 190, 198, 296, 231, 242, 230, 249, 231, 124, 166, 144, 145, 150, 156</t>
  </si>
  <si>
    <t>162, 150, 164, 145, 134, 176, 157, 154, 131, 132, 137, 144, 149</t>
  </si>
  <si>
    <t>online roulette spiel</t>
  </si>
  <si>
    <t>lobby demo</t>
  </si>
  <si>
    <t>online roulette game for fun</t>
  </si>
  <si>
    <t>free online slot machine games for ipad</t>
  </si>
  <si>
    <t>alberta online slots</t>
  </si>
  <si>
    <t>best online real money slots</t>
  </si>
  <si>
    <t>fruity fortune demo</t>
  </si>
  <si>
    <t>free slot games with bonus features</t>
  </si>
  <si>
    <t>online roulette systems</t>
  </si>
  <si>
    <t>Branded,Non-local</t>
  </si>
  <si>
    <t>real slots online australia</t>
  </si>
  <si>
    <t>164, 136, 161, 104, 161, 146, 106, 84, 65, 66, 128, 165, 131, 166, 258, 248, 250, 306, 201, 168, 183, 174, 182, 176</t>
  </si>
  <si>
    <t>179, 184, 185, 182, 188, 193, 170, 163, 168, 160, 168, 163, 166</t>
  </si>
  <si>
    <t>roulette online india</t>
  </si>
  <si>
    <t>island luck casino demo play 2</t>
  </si>
  <si>
    <t>free games slot</t>
  </si>
  <si>
    <t>island luck</t>
  </si>
  <si>
    <t>taruhan roulette online</t>
  </si>
  <si>
    <t>free online slot games for fun</t>
  </si>
  <si>
    <t>multislot demo</t>
  </si>
  <si>
    <t>crazy time casino deutschland</t>
  </si>
  <si>
    <t>play online roulette free for fun</t>
  </si>
  <si>
    <t>free online roulette practice game</t>
  </si>
  <si>
    <t>free demo games</t>
  </si>
  <si>
    <t>hack online slot games</t>
  </si>
  <si>
    <t>crazy time live 🎡 icasino.blog</t>
  </si>
  <si>
    <t>online blackjack casino real money</t>
  </si>
  <si>
    <t>Video games</t>
  </si>
  <si>
    <t>free no deposit slot games</t>
  </si>
  <si>
    <t>chances demo games</t>
  </si>
  <si>
    <t>blackjack free game online</t>
  </si>
  <si>
    <t>video slot games</t>
  </si>
  <si>
    <t>online strip blackjack game</t>
  </si>
  <si>
    <t>247, 250, 247, 239, 226, 234, 226, 214, 203, 188, 187, 187, 191, 196, 193, 187, 175, 184, 178, 166, 156, 142, 142, 143</t>
  </si>
  <si>
    <t>play slots online free no download</t>
  </si>
  <si>
    <t>148, 154, 152, 147, 135, 146, 140, 129, 119, 106, 108, 109, 115</t>
  </si>
  <si>
    <t>island luck demo games</t>
  </si>
  <si>
    <t>crazy time tactiek</t>
  </si>
  <si>
    <t>no deposit free slot games</t>
  </si>
  <si>
    <t>blackjack online simulator</t>
  </si>
  <si>
    <t>free slot games apps</t>
  </si>
  <si>
    <t>casino lobby - demo</t>
  </si>
  <si>
    <t>play live blackjack online</t>
  </si>
  <si>
    <t>online casino slots uk</t>
  </si>
  <si>
    <t>vincere alla roulette online</t>
  </si>
  <si>
    <t>slots spiele online</t>
  </si>
  <si>
    <t>free demo slots</t>
  </si>
  <si>
    <t>online vegas slots</t>
  </si>
  <si>
    <t>Thumbnail,Sitelinks</t>
  </si>
  <si>
    <t>atlantic city blackjack online</t>
  </si>
  <si>
    <t>free slots demos</t>
  </si>
  <si>
    <t>free slots online</t>
  </si>
  <si>
    <t>russian roulette game online</t>
  </si>
  <si>
    <t>free mobile casino slot games</t>
  </si>
  <si>
    <t>slots online game</t>
  </si>
  <si>
    <t>islandluck demo</t>
  </si>
  <si>
    <t>slots online kostenlos</t>
  </si>
  <si>
    <t>jogar slots machine online gratis</t>
  </si>
  <si>
    <t>slot games free games</t>
  </si>
  <si>
    <t>us online slots real money</t>
  </si>
  <si>
    <t>117, 131, 121, 112, 107, 140, 157, 147, 132, 116, 148, 130, 119, 115, 120, 129, 126, 111, 138, 121, 128, 120, 128, 131</t>
  </si>
  <si>
    <t>126, 127, 121, 125, 120, 127, 131, 121, 128, 120, 128, 131, 126</t>
  </si>
  <si>
    <t>best online slots games uk</t>
  </si>
  <si>
    <t>island game demo</t>
  </si>
  <si>
    <t>free online slot games with no download</t>
  </si>
  <si>
    <t>crazy time twitch</t>
  </si>
  <si>
    <t>online roulette österreich</t>
  </si>
  <si>
    <t>online slots no download</t>
  </si>
  <si>
    <t>blackjack</t>
  </si>
  <si>
    <t>online roulette new zealand</t>
  </si>
  <si>
    <t>online slots philippines</t>
  </si>
  <si>
    <t>crazy time tracker</t>
  </si>
  <si>
    <t>online slots canada paypal</t>
  </si>
  <si>
    <t>best online casino roulette</t>
  </si>
  <si>
    <t>www.chancesgames.com casino casino games</t>
  </si>
  <si>
    <t>spela blackjack online gratis</t>
  </si>
  <si>
    <t>chances casino</t>
  </si>
  <si>
    <t>free canadian slot games</t>
  </si>
  <si>
    <t>Informational,Navigational,Commercial,Branded,Non-local</t>
  </si>
  <si>
    <t>62, 62, 63, 79, 79, 63, 63, 77, 57, 129, 137, 122, 133, 147, 113, 104, 64, 82, 89, 95, 92, 104, 105, 91</t>
  </si>
  <si>
    <t>93, 109, 102, 95, 94, 105, 99, 90, 90, 101, 102, 89, 90</t>
  </si>
  <si>
    <t>free demo slots online</t>
  </si>
  <si>
    <t>free casino demo</t>
  </si>
  <si>
    <t>casino online slots</t>
  </si>
  <si>
    <t>Discussions,People also ask</t>
  </si>
  <si>
    <t>free online slots no registration no download</t>
  </si>
  <si>
    <t>chances casino demo</t>
  </si>
  <si>
    <t>online slots real money florida</t>
  </si>
  <si>
    <t>free online slots no deposit bonus</t>
  </si>
  <si>
    <t>online real roulette</t>
  </si>
  <si>
    <t>online roulette tricks</t>
  </si>
  <si>
    <t>crazy time watch</t>
  </si>
  <si>
    <t>paradise games demo</t>
  </si>
  <si>
    <t>uk slots online</t>
  </si>
  <si>
    <t>slot games monopoly</t>
  </si>
  <si>
    <t>casino slot games with best odds</t>
  </si>
  <si>
    <t>roulette game online casino</t>
  </si>
  <si>
    <t>casino demo slots</t>
  </si>
  <si>
    <t>free demo games casino</t>
  </si>
  <si>
    <t>jackpot city online slots</t>
  </si>
  <si>
    <t>resultados crazy time</t>
  </si>
  <si>
    <t>www island luck</t>
  </si>
  <si>
    <t>roulette game online live</t>
  </si>
  <si>
    <t>Informational,Navigational,Branded,Non-local</t>
  </si>
  <si>
    <t>safe online slots</t>
  </si>
  <si>
    <t>109, 124, 138, 252, 137, 113, 136, 124, 159, 127, 113, 70, 37, 92, 145, 49, 226, 145, 85, 85, 91, 90, 97, 101</t>
  </si>
  <si>
    <t>115, 127, 127, 113, 101, 88, 85, 86, 92, 91, 98, 102, 116</t>
  </si>
  <si>
    <t>Lottery</t>
  </si>
  <si>
    <t>free blackjack games online</t>
  </si>
  <si>
    <t>fruity fortune slot demo</t>
  </si>
  <si>
    <t>blackjack online ingyen</t>
  </si>
  <si>
    <t>Navigational,Branded,Non-local</t>
  </si>
  <si>
    <t>jugar blackjack online</t>
  </si>
  <si>
    <t>slot demo</t>
  </si>
  <si>
    <t>echtgeld roulette online</t>
  </si>
  <si>
    <t>online slots real</t>
  </si>
  <si>
    <t>best online slots bonus uk</t>
  </si>
  <si>
    <t>best rtp online slots canada</t>
  </si>
  <si>
    <t>People also ask,Video preview</t>
  </si>
  <si>
    <t>free slot games for fun only</t>
  </si>
  <si>
    <t>multi slot</t>
  </si>
  <si>
    <t>cleopatra slots online</t>
  </si>
  <si>
    <t>slot games at casino</t>
  </si>
  <si>
    <t>Casino games; Gambling</t>
  </si>
  <si>
    <t>monopoly slot machine games</t>
  </si>
  <si>
    <t>demo slots casino</t>
  </si>
  <si>
    <t>free diamond slot machine games</t>
  </si>
  <si>
    <t>pirate revenge demo</t>
  </si>
  <si>
    <t>best online blackjack uk</t>
  </si>
  <si>
    <t>play free slots online now</t>
  </si>
  <si>
    <t>island luck casino demo</t>
  </si>
  <si>
    <t>free online casino slots</t>
  </si>
  <si>
    <t>Video preview,People also ask</t>
  </si>
  <si>
    <t>play slot games free</t>
  </si>
  <si>
    <t>slot games on facebook</t>
  </si>
  <si>
    <t>multi demo slots</t>
  </si>
  <si>
    <t>bet365 online slots</t>
  </si>
  <si>
    <t>play slots online</t>
  </si>
  <si>
    <t>blackjack counter online</t>
  </si>
  <si>
    <t>demo games</t>
  </si>
  <si>
    <t>slots spel online</t>
  </si>
  <si>
    <t>online blackjack with friends fake money</t>
  </si>
  <si>
    <t>60, 74, 72, 39, 47, 58, 39, 39, 38, 32, 49, 31, 47, 43, 54, 62, 79, 103, 60, 69, 94, 106, 99, 49</t>
  </si>
  <si>
    <t>best online roulette real money usa</t>
  </si>
  <si>
    <t>39, 28, 20, 19, 28, 48, 41, 65, 87, 99, 92, 42, 32</t>
  </si>
  <si>
    <t>Casual games</t>
  </si>
  <si>
    <t>island demo</t>
  </si>
  <si>
    <t>online slots not on gamstop uk</t>
  </si>
  <si>
    <t>mecca online slots</t>
  </si>
  <si>
    <t>top igt online slots</t>
  </si>
  <si>
    <t>Animation; Music; Online media; TV; Adventure games; Simulation games</t>
  </si>
  <si>
    <t>tips for roulette online</t>
  </si>
  <si>
    <t>asurewin demo</t>
  </si>
  <si>
    <t>best canadian online slots</t>
  </si>
  <si>
    <t>fake slots online free</t>
  </si>
  <si>
    <t>crazy time live score</t>
  </si>
  <si>
    <t>44, 43, 55, 91, 60, 71, 68, 57, 55, 53, 53, 69, 53, 65, 89, 89, 72, 71, 66, 72, 70, 63, 68, 68</t>
  </si>
  <si>
    <t>59, 75, 66, 70, 63, 74, 64, 72, 70, 63, 68, 68, 59</t>
  </si>
  <si>
    <t>free online slots with bonuses</t>
  </si>
  <si>
    <t>betgold demo</t>
  </si>
  <si>
    <t>free on line slot games</t>
  </si>
  <si>
    <t>free bonus slot games no deposit</t>
  </si>
  <si>
    <t>gambling online real money slots</t>
  </si>
  <si>
    <t>best online slots real money</t>
  </si>
  <si>
    <t>ultra games demo</t>
  </si>
  <si>
    <t>cartoon slot games</t>
  </si>
  <si>
    <t>ultra games</t>
  </si>
  <si>
    <t>online roulette dealer</t>
  </si>
  <si>
    <t>dice slots online</t>
  </si>
  <si>
    <t>Browser games</t>
  </si>
  <si>
    <t>online slot games singapore</t>
  </si>
  <si>
    <t>multislots demo</t>
  </si>
  <si>
    <t>best time to play online slots uk</t>
  </si>
  <si>
    <t>video slot machine games</t>
  </si>
  <si>
    <t>ontario online slots</t>
  </si>
  <si>
    <t>casino demo free</t>
  </si>
  <si>
    <t>vegas free slot games</t>
  </si>
  <si>
    <t>roulette play free online</t>
  </si>
  <si>
    <t>best online slots ireland</t>
  </si>
  <si>
    <t>pirates revenge demo</t>
  </si>
  <si>
    <t>online roulette malaysia</t>
  </si>
  <si>
    <t>gold fish casino slot games</t>
  </si>
  <si>
    <t>play blackjack for money online</t>
  </si>
  <si>
    <t>chances demo slots</t>
  </si>
  <si>
    <t>play free slot games</t>
  </si>
  <si>
    <t>top online roulette casinos</t>
  </si>
  <si>
    <t>island luck demo game</t>
  </si>
  <si>
    <t>play quick hit slots online free</t>
  </si>
  <si>
    <t>Videos</t>
  </si>
  <si>
    <t>play slots online for money</t>
  </si>
  <si>
    <t>online slots for free</t>
  </si>
  <si>
    <t>multislots</t>
  </si>
  <si>
    <t>roulette online echt geld</t>
  </si>
  <si>
    <t>free slot machine games with free spins and bonus</t>
  </si>
  <si>
    <t>76, 60, 63, 59, 41, 45, 35, 44, 57, 43, 41, 42, 61, 58, 79, 35, 43, 58, 58, 60, 52, 47, 38, 41</t>
  </si>
  <si>
    <t>41, 40, 32, 40, 38, 53, 48, 54, 47, 41, 33, 35, 36</t>
  </si>
  <si>
    <t>casino guru demo games</t>
  </si>
  <si>
    <t>casino lobby demo play</t>
  </si>
  <si>
    <t>roulette online game</t>
  </si>
  <si>
    <t>online slots legal</t>
  </si>
  <si>
    <t>demo</t>
  </si>
  <si>
    <t>online roulette casino finalnd</t>
  </si>
  <si>
    <t>AI Overview,Thumbnail,People also ask,Video preview</t>
  </si>
  <si>
    <t>best blackjack online casino</t>
  </si>
  <si>
    <t>58, 39, 49, 44, 49, 48, 40, 31, 42, 35, 42, 28, 42, 48, 43, 43, 60, 59, 46, 49, 49, 49, 57, 55</t>
  </si>
  <si>
    <t>64, 57, 58, 55, 63, 61, 52, 46, 49, 49, 57, 55, 64</t>
  </si>
  <si>
    <t>Encyclopedias</t>
  </si>
  <si>
    <t>casino lobby demo multi slots</t>
  </si>
  <si>
    <t>best online blackjack casino</t>
  </si>
  <si>
    <t>download slot games</t>
  </si>
  <si>
    <t>slots demo</t>
  </si>
  <si>
    <t>real online slots usa</t>
  </si>
  <si>
    <t>Knowledge panel,Thumbnail</t>
  </si>
  <si>
    <t>free online slots demo</t>
  </si>
  <si>
    <t>casinodemo</t>
  </si>
  <si>
    <t>free video slot machine games</t>
  </si>
  <si>
    <t>slots lv online casino review</t>
  </si>
  <si>
    <t>black jack</t>
  </si>
  <si>
    <t>play online blackjack for real money</t>
  </si>
  <si>
    <t>online blackjack money</t>
  </si>
  <si>
    <t>online slots real money singapore</t>
  </si>
  <si>
    <t>free slot games app</t>
  </si>
  <si>
    <t>casino roulette online free game</t>
  </si>
  <si>
    <t>fruity demo</t>
  </si>
  <si>
    <t>online slots south africa</t>
  </si>
  <si>
    <t>online slots with paypal</t>
  </si>
  <si>
    <t>fruity fortune plus demo</t>
  </si>
  <si>
    <t>free slots casino online</t>
  </si>
  <si>
    <t>quick hit casino slots free slot machines games</t>
  </si>
  <si>
    <t>demo lobby</t>
  </si>
  <si>
    <t>best paying online slot games</t>
  </si>
  <si>
    <t>free slot bonus games</t>
  </si>
  <si>
    <t>multislotdemo</t>
  </si>
  <si>
    <t>real money online roulette usa</t>
  </si>
  <si>
    <t>free online games roulette</t>
  </si>
  <si>
    <t>free 777 slots online</t>
  </si>
  <si>
    <t>casino lobby - demo multi slots</t>
  </si>
  <si>
    <t>blackjack online multiplayer</t>
  </si>
  <si>
    <t>free online slot games with bonus spins</t>
  </si>
  <si>
    <t>online roulette tips and tricks</t>
  </si>
  <si>
    <t>slots</t>
  </si>
  <si>
    <t>single deck blackjack online casino</t>
  </si>
  <si>
    <t>demo slot</t>
  </si>
  <si>
    <t>nordic slots online casino</t>
  </si>
  <si>
    <t>online play blackjack</t>
  </si>
  <si>
    <t>casino demo lobby</t>
  </si>
  <si>
    <t>play french roulette online free</t>
  </si>
  <si>
    <t>best online slots casino</t>
  </si>
  <si>
    <t>holland casino online roulette</t>
  </si>
  <si>
    <t>888 casino slot games</t>
  </si>
  <si>
    <t>top fantasma games online slot sites</t>
  </si>
  <si>
    <t>casinolobby</t>
  </si>
  <si>
    <t>crazy screen time</t>
  </si>
  <si>
    <t>play vegas blackjack online free</t>
  </si>
  <si>
    <t>lobby casino</t>
  </si>
  <si>
    <t>free online casino games slots</t>
  </si>
  <si>
    <t>online crypto slots</t>
  </si>
  <si>
    <t>roulette online spielen</t>
  </si>
  <si>
    <t>demo games to play</t>
  </si>
  <si>
    <t>besten online slots</t>
  </si>
  <si>
    <t>best free slot games</t>
  </si>
  <si>
    <t>chances casinos</t>
  </si>
  <si>
    <t>online roulette ohne download</t>
  </si>
  <si>
    <t>free slot games bonus</t>
  </si>
  <si>
    <t>greek online slots sites</t>
  </si>
  <si>
    <t>online casino</t>
  </si>
  <si>
    <t>crazy time casino live</t>
  </si>
  <si>
    <t>download free casino slot games</t>
  </si>
  <si>
    <t>Sports betting</t>
  </si>
  <si>
    <t>real slots online real money</t>
  </si>
  <si>
    <t>slot games for ipad</t>
  </si>
  <si>
    <t>new online slots sites</t>
  </si>
  <si>
    <t>casino demo play 2</t>
  </si>
  <si>
    <t>real online slots for real money</t>
  </si>
  <si>
    <t>casino games demo play</t>
  </si>
  <si>
    <t>casino lobby - demo play 1</t>
  </si>
  <si>
    <t>play real money slots online</t>
  </si>
  <si>
    <t>online russian roulette real money</t>
  </si>
  <si>
    <t>island luck demo login</t>
  </si>
  <si>
    <t>blackjack online zadarmo</t>
  </si>
  <si>
    <t>online slots bc</t>
  </si>
  <si>
    <t>best real money online slots</t>
  </si>
  <si>
    <t>blackjack online free game</t>
  </si>
  <si>
    <t>casino demo 2</t>
  </si>
  <si>
    <t>las vegas online slots</t>
  </si>
  <si>
    <t>online blackjack free game</t>
  </si>
  <si>
    <t>grosvenor slots online</t>
  </si>
  <si>
    <t>888 casino</t>
  </si>
  <si>
    <t>casino online</t>
  </si>
  <si>
    <t>online roulette casino sites</t>
  </si>
  <si>
    <t>download free slot games</t>
  </si>
  <si>
    <t>Informational,Navigational,Commercial,Transactional,Branded,Non-local</t>
  </si>
  <si>
    <t>slot casino demo</t>
  </si>
  <si>
    <t>canada online slots</t>
  </si>
  <si>
    <t>play roulette for free online</t>
  </si>
  <si>
    <t>island luck free demo games</t>
  </si>
  <si>
    <t>free 5 reel slot machine games</t>
  </si>
  <si>
    <t>crazy time live 🇮🇹 icasino.blog</t>
  </si>
  <si>
    <t>online blackjack sites</t>
  </si>
  <si>
    <t>demo games free</t>
  </si>
  <si>
    <t>crazy time live game</t>
  </si>
  <si>
    <t>crazy time tracker casino</t>
  </si>
  <si>
    <t>migliori siti di roulette online</t>
  </si>
  <si>
    <t>island luck casino lobby - demo play</t>
  </si>
  <si>
    <t>free online blackjack practice</t>
  </si>
  <si>
    <t>online roulette system sicher</t>
  </si>
  <si>
    <t>blackjack online casino real money</t>
  </si>
  <si>
    <t>play free online blackjack</t>
  </si>
  <si>
    <t>free slots</t>
  </si>
  <si>
    <t>best blueprint online slots</t>
  </si>
  <si>
    <t>best slot games</t>
  </si>
  <si>
    <t>play blackjack online in canada</t>
  </si>
  <si>
    <t>progressive slots online</t>
  </si>
  <si>
    <t>game roulette online</t>
  </si>
  <si>
    <t>online european blackjack</t>
  </si>
  <si>
    <t>free online slots to play</t>
  </si>
  <si>
    <t>blackjack online nz</t>
  </si>
  <si>
    <t>casino lobby - demo pirate revenge</t>
  </si>
  <si>
    <t>jogos casino gratis online slots com br</t>
  </si>
  <si>
    <t>play microgaming slots online</t>
  </si>
  <si>
    <t>bingo online slots</t>
  </si>
  <si>
    <t>demo play</t>
  </si>
  <si>
    <t>casino roulette online</t>
  </si>
  <si>
    <t>online roulette play money</t>
  </si>
  <si>
    <t>demo games slots</t>
  </si>
  <si>
    <t>3d slot games</t>
  </si>
  <si>
    <t>online roulette voor geld</t>
  </si>
  <si>
    <t>best time to play crazy time</t>
  </si>
  <si>
    <t>online roulette games free</t>
  </si>
  <si>
    <t>crazy time casino app download</t>
  </si>
  <si>
    <t>casino roulette online play</t>
  </si>
  <si>
    <t>online slots no wagering requirements</t>
  </si>
  <si>
    <t>betus demo</t>
  </si>
  <si>
    <t>bally slots free online</t>
  </si>
  <si>
    <t>rtp online slots</t>
  </si>
  <si>
    <t>Informational,Commercial,Branded,Non-local</t>
  </si>
  <si>
    <t>luckyme slots online casino review</t>
  </si>
  <si>
    <t>online slots vs real slots</t>
  </si>
  <si>
    <t>play roulette online for real money</t>
  </si>
  <si>
    <t>straight line crazy running time</t>
  </si>
  <si>
    <t>play demo games free</t>
  </si>
  <si>
    <t>best online slots casinos</t>
  </si>
  <si>
    <t>Discussions</t>
  </si>
  <si>
    <t>giochi roulette online</t>
  </si>
  <si>
    <t>chances free demo games</t>
  </si>
  <si>
    <t>free online slots with bonus no download</t>
  </si>
  <si>
    <t>crazy time x50</t>
  </si>
  <si>
    <t>coral slots online</t>
  </si>
  <si>
    <t>wms online slots</t>
  </si>
  <si>
    <t>play roulette online free</t>
  </si>
  <si>
    <t>multislot demo games</t>
  </si>
  <si>
    <t>legal online slots real money</t>
  </si>
  <si>
    <t>crazy time app download apk</t>
  </si>
  <si>
    <t>zeus slot games</t>
  </si>
  <si>
    <t>democasino</t>
  </si>
  <si>
    <t>online practice roulette</t>
  </si>
  <si>
    <t>online real casino slots</t>
  </si>
  <si>
    <t>betus casino demo</t>
  </si>
  <si>
    <t>slot games casino online</t>
  </si>
  <si>
    <t>slots game free online</t>
  </si>
  <si>
    <t>demo free games</t>
  </si>
  <si>
    <t>real online slot machine games</t>
  </si>
  <si>
    <t>crazy time casino app</t>
  </si>
  <si>
    <t>free play slots online</t>
  </si>
  <si>
    <t>demo play slots</t>
  </si>
  <si>
    <t>classic slots online</t>
  </si>
  <si>
    <t>free online slots no deposits</t>
  </si>
  <si>
    <t>casino demo game</t>
  </si>
  <si>
    <t>spela roulette online</t>
  </si>
  <si>
    <t>real money slot machine games</t>
  </si>
  <si>
    <t>best paying slot games</t>
  </si>
  <si>
    <t>new online slots</t>
  </si>
  <si>
    <t>ultra game demo</t>
  </si>
  <si>
    <t>gratis slots spel online</t>
  </si>
  <si>
    <t>online slots no deposit bonuses</t>
  </si>
  <si>
    <t>hd slot machine games</t>
  </si>
  <si>
    <t>olg online slots</t>
  </si>
  <si>
    <t>live slot games</t>
  </si>
  <si>
    <t>online real money slots</t>
  </si>
  <si>
    <t>blackjack games online for money</t>
  </si>
  <si>
    <t>casino slots games online</t>
  </si>
  <si>
    <t>demo slots for fun</t>
  </si>
  <si>
    <t>slots casino free online</t>
  </si>
  <si>
    <t>fishing slot machine games</t>
  </si>
  <si>
    <t>european roulette online</t>
  </si>
  <si>
    <t>free slot demo</t>
  </si>
  <si>
    <t>game online slots</t>
  </si>
  <si>
    <t>aristocrat slots online real money</t>
  </si>
  <si>
    <t>free slot games to play offline</t>
  </si>
  <si>
    <t>www.casino demo</t>
  </si>
  <si>
    <t>online slots cheats</t>
  </si>
  <si>
    <t>gratis casino slots online spelen</t>
  </si>
  <si>
    <t>free slots no download no registration</t>
  </si>
  <si>
    <t>vegas slots free online</t>
  </si>
  <si>
    <t>play slots online for free</t>
  </si>
  <si>
    <t>casino slot demo</t>
  </si>
  <si>
    <t>play drops&amp;wins slots online</t>
  </si>
  <si>
    <t>play free roulette online</t>
  </si>
  <si>
    <t>island luck multi demo</t>
  </si>
  <si>
    <t>online roulette casinon</t>
  </si>
  <si>
    <t>islandluck</t>
  </si>
  <si>
    <t>online slots canada free</t>
  </si>
  <si>
    <t>online blackjack philippines</t>
  </si>
  <si>
    <t>free online slots real money no deposit</t>
  </si>
  <si>
    <t>ppgames.com</t>
  </si>
  <si>
    <t>crazy time casinos</t>
  </si>
  <si>
    <t>counting cards online blackjack</t>
  </si>
  <si>
    <t>online roulette sites</t>
  </si>
  <si>
    <t>progressive slot games</t>
  </si>
  <si>
    <t>free online bonus slots no download</t>
  </si>
  <si>
    <t>new free slot games</t>
  </si>
  <si>
    <t>play french roulette online</t>
  </si>
  <si>
    <t>best platforms to play blackjack online</t>
  </si>
  <si>
    <t>show me slot machine games</t>
  </si>
  <si>
    <t>betusdemo</t>
  </si>
  <si>
    <t>new online casino slot games</t>
  </si>
  <si>
    <t>demo multi slots</t>
  </si>
  <si>
    <t>online roulette betting</t>
  </si>
  <si>
    <t>roulette live online casino</t>
  </si>
  <si>
    <t>online slots aus</t>
  </si>
  <si>
    <t>casinolobby demo</t>
  </si>
  <si>
    <t>play real slots online win real money</t>
  </si>
  <si>
    <t>best roulette sites online</t>
  </si>
  <si>
    <t>top free slots online</t>
  </si>
  <si>
    <t>pirate revenge slot demo</t>
  </si>
  <si>
    <t>bandar roulette online terpercaya</t>
  </si>
  <si>
    <t>free slot games uk</t>
  </si>
  <si>
    <t>online roulette game free</t>
  </si>
  <si>
    <t>casinolobbydemo</t>
  </si>
  <si>
    <t>free slot games for fun</t>
  </si>
  <si>
    <t>win real money playing slots online free</t>
  </si>
  <si>
    <t>chances casino online</t>
  </si>
  <si>
    <t>www pggames com mobile</t>
  </si>
  <si>
    <t>gratis slots online</t>
  </si>
  <si>
    <t>slots online casino</t>
  </si>
  <si>
    <t>Navigational,Transactional,Branded,Non-local</t>
  </si>
  <si>
    <t>islandluckdemo</t>
  </si>
  <si>
    <t>roulette spiel online</t>
  </si>
  <si>
    <t>online casino's blackjack</t>
  </si>
  <si>
    <t>demolobby</t>
  </si>
  <si>
    <t>crazy time id</t>
  </si>
  <si>
    <t>Thumbnail,Video preview</t>
  </si>
  <si>
    <t>best online slots site ireland</t>
  </si>
  <si>
    <t>Video games; Gambling; Virtual worlds</t>
  </si>
  <si>
    <t>lobbydemo</t>
  </si>
  <si>
    <t>roulette fun games online</t>
  </si>
  <si>
    <t>slots lv online casino</t>
  </si>
  <si>
    <t>demo games online</t>
  </si>
  <si>
    <t>online roulette table</t>
  </si>
  <si>
    <t>free online slots aristocrat</t>
  </si>
  <si>
    <t>top 10 best online slots real money</t>
  </si>
  <si>
    <t>online blackjack for real money</t>
  </si>
  <si>
    <t>best betting strategy for online blackjack</t>
  </si>
  <si>
    <t>roulette free online game</t>
  </si>
  <si>
    <t>can you make money online blackjack</t>
  </si>
  <si>
    <t>slot games myanmar</t>
  </si>
  <si>
    <t>blackjack online live</t>
  </si>
  <si>
    <t>free vegas slot games</t>
  </si>
  <si>
    <t>roulette rules online</t>
  </si>
  <si>
    <t>wazdan slots online</t>
  </si>
  <si>
    <t>free video slot games</t>
  </si>
  <si>
    <t>online slots 2022</t>
  </si>
  <si>
    <t>age of gods roulette online</t>
  </si>
  <si>
    <t>earn money online roulette</t>
  </si>
  <si>
    <t>online slots vegas</t>
  </si>
  <si>
    <t>appointment slots online</t>
  </si>
  <si>
    <t>free slots australia online</t>
  </si>
  <si>
    <t>new uk slots online</t>
  </si>
  <si>
    <t>free buffalo slot games</t>
  </si>
  <si>
    <t>evolution gaming crazy time</t>
  </si>
  <si>
    <t>free to play casino slot games</t>
  </si>
  <si>
    <t>online slots sites ireland</t>
  </si>
  <si>
    <t>online slots pokies</t>
  </si>
  <si>
    <t>crazy time fake money</t>
  </si>
  <si>
    <t>crazy time win</t>
  </si>
  <si>
    <t>888 slots online</t>
  </si>
  <si>
    <t>online blackjack basic strategy</t>
  </si>
  <si>
    <t>crazy time скачать</t>
  </si>
  <si>
    <t>free casino slot games for fun</t>
  </si>
  <si>
    <t>best online slots ontario</t>
  </si>
  <si>
    <t>online slots nz</t>
  </si>
  <si>
    <t>online slots play free</t>
  </si>
  <si>
    <t>free blackjack online multiplayer</t>
  </si>
  <si>
    <t>crazy time biggest multiplier</t>
  </si>
  <si>
    <t>máquinas de slots online</t>
  </si>
  <si>
    <t>online slots mi</t>
  </si>
  <si>
    <t>best online blackjack sites</t>
  </si>
  <si>
    <t>online free slots casino</t>
  </si>
  <si>
    <t>slots machines online</t>
  </si>
  <si>
    <t>melhores cassinos online blackjack</t>
  </si>
  <si>
    <t>melhores casinos online blackjack</t>
  </si>
  <si>
    <t>video slots online free</t>
  </si>
  <si>
    <t>real money online blackjack</t>
  </si>
  <si>
    <t>online roulette australia</t>
  </si>
  <si>
    <t>super free slot games</t>
  </si>
  <si>
    <t>malaysia online casino slots</t>
  </si>
  <si>
    <t>tips to win roulette online</t>
  </si>
  <si>
    <t>crazy time prediction</t>
  </si>
  <si>
    <t>online roulette echt geld</t>
  </si>
  <si>
    <t>slots online games free</t>
  </si>
  <si>
    <t>epic jackpot slot games - new!</t>
  </si>
  <si>
    <t>popular online slots in ireland</t>
  </si>
  <si>
    <t>play online slots for free</t>
  </si>
  <si>
    <t>best roulette casino online</t>
  </si>
  <si>
    <t>us slots online</t>
  </si>
  <si>
    <t>roulette online spielgeld</t>
  </si>
  <si>
    <t>blackjack practice online</t>
  </si>
  <si>
    <t>slot games to play for free</t>
  </si>
  <si>
    <t>online slot games malaysia</t>
  </si>
  <si>
    <t>free casino slot games online</t>
  </si>
  <si>
    <t>casino slot games win real money</t>
  </si>
  <si>
    <t>online casino roulette echtgeld</t>
  </si>
  <si>
    <t>online slots game</t>
  </si>
  <si>
    <t>slot games that pay instantly to paypal</t>
  </si>
  <si>
    <t>play online free roulette</t>
  </si>
  <si>
    <t>slot games kostenlos ohne anmeldung</t>
  </si>
  <si>
    <t>quick hit casino slot games</t>
  </si>
  <si>
    <t>free online wms slots</t>
  </si>
  <si>
    <t>no deposit slots online</t>
  </si>
  <si>
    <t>best online casino for roulette system</t>
  </si>
  <si>
    <t>roulette for free online</t>
  </si>
  <si>
    <t>crazy time registration</t>
  </si>
  <si>
    <t>all slots casino online</t>
  </si>
  <si>
    <t>play free slot machine games no download</t>
  </si>
  <si>
    <t>playing blackjack online for free</t>
  </si>
  <si>
    <t>metodi per vincere alla roulette online</t>
  </si>
  <si>
    <t>free bonus online slots</t>
  </si>
  <si>
    <t>best free slots online</t>
  </si>
  <si>
    <t>online blackjack with friends</t>
  </si>
  <si>
    <t>online roulette voor echt geld</t>
  </si>
  <si>
    <t>classic online slots</t>
  </si>
  <si>
    <t>download casino slot games</t>
  </si>
  <si>
    <t>best slot games to play at casino</t>
  </si>
  <si>
    <t>giochi online roulette</t>
  </si>
  <si>
    <t>monopoly online slots</t>
  </si>
  <si>
    <t>online casino roulette live</t>
  </si>
  <si>
    <t>casino free games slot</t>
  </si>
  <si>
    <t>online slots games free</t>
  </si>
  <si>
    <t>goldenhero slots online</t>
  </si>
  <si>
    <t>free online casino slots real money</t>
  </si>
  <si>
    <t>best slot games to play</t>
  </si>
  <si>
    <t>online slots malaysia</t>
  </si>
  <si>
    <t>top online roulette sites for canadian players</t>
  </si>
  <si>
    <t>live crazy time</t>
  </si>
  <si>
    <t>slots bet online</t>
  </si>
  <si>
    <t>online casinos for real money slots</t>
  </si>
  <si>
    <t>aristocrat free slot games</t>
  </si>
  <si>
    <t>william hill free online slots</t>
  </si>
  <si>
    <t>live blackjack casino online</t>
  </si>
  <si>
    <t>roulette online live</t>
  </si>
  <si>
    <t>play for fun slot games</t>
  </si>
  <si>
    <t>multi slot games</t>
  </si>
  <si>
    <t>slots online free play</t>
  </si>
  <si>
    <t>online roulette play free</t>
  </si>
  <si>
    <t>online casino slots usa</t>
  </si>
  <si>
    <t>new slot games</t>
  </si>
  <si>
    <t>crazy time spin history</t>
  </si>
  <si>
    <t>como ganhar nas slots online</t>
  </si>
  <si>
    <t>roulette online pay pal</t>
  </si>
  <si>
    <t>online blackjack usa</t>
  </si>
  <si>
    <t>crazy time roulette</t>
  </si>
  <si>
    <t>betsoft online slots</t>
  </si>
  <si>
    <t>slot games casino free</t>
  </si>
  <si>
    <t>crazy time forum</t>
  </si>
  <si>
    <t>singapore online slot games</t>
  </si>
  <si>
    <t>free online lobstermania slot games</t>
  </si>
  <si>
    <t>best online casino to play roulette</t>
  </si>
  <si>
    <t>online slots offer</t>
  </si>
  <si>
    <t>online free slots play</t>
  </si>
  <si>
    <t>12opal slot games</t>
  </si>
  <si>
    <t>australia online slots</t>
  </si>
  <si>
    <t>best online roulette sites uganda</t>
  </si>
  <si>
    <t>demo slots online</t>
  </si>
  <si>
    <t>virgin slots online</t>
  </si>
  <si>
    <t>online slots machines</t>
  </si>
  <si>
    <t>usa online slots real money</t>
  </si>
  <si>
    <t>slots online nj</t>
  </si>
  <si>
    <t>online slots free sign up bonus</t>
  </si>
  <si>
    <t>slot machine games free online</t>
  </si>
  <si>
    <t>jackpot slots online free</t>
  </si>
  <si>
    <t>free online slots win real money no deposit</t>
  </si>
  <si>
    <t>online slots echt geld</t>
  </si>
  <si>
    <t>free slot games real money</t>
  </si>
  <si>
    <t>live american roulette online casino</t>
  </si>
  <si>
    <t>online roulette live</t>
  </si>
  <si>
    <t>free fruit slots games online</t>
  </si>
  <si>
    <t>free slot games for iphone</t>
  </si>
  <si>
    <t>casino games demo play free</t>
  </si>
  <si>
    <t>free online slots games for fun no download</t>
  </si>
  <si>
    <t>crazy time hosts</t>
  </si>
  <si>
    <t>playing online roulette</t>
  </si>
  <si>
    <t>free slot games machines</t>
  </si>
  <si>
    <t>play blackjack online btc</t>
  </si>
  <si>
    <t>play aristocrat slots online real money</t>
  </si>
  <si>
    <t>best online slots sites in ireland</t>
  </si>
  <si>
    <t>online slots for real money usa</t>
  </si>
  <si>
    <t>online roulette odds</t>
  </si>
  <si>
    <t>ladbrokes online slots</t>
  </si>
  <si>
    <t>migliore roulette online</t>
  </si>
  <si>
    <t>casino slot games free</t>
  </si>
  <si>
    <t>play 3d slots online for free</t>
  </si>
  <si>
    <t>roulette online con bonus senza deposito</t>
  </si>
  <si>
    <t>online roulette spelen</t>
  </si>
  <si>
    <t>free online demo slots</t>
  </si>
  <si>
    <t>play roulette online demo</t>
  </si>
  <si>
    <t>online game slots</t>
  </si>
  <si>
    <t>best slot games to win money</t>
  </si>
  <si>
    <t>free online slots with bonus rounds for fun</t>
  </si>
  <si>
    <t>vegas online free slots</t>
  </si>
  <si>
    <t>blackjack game online free</t>
  </si>
  <si>
    <t>casino online blackjack el salvador</t>
  </si>
  <si>
    <t>online slots real money free spins</t>
  </si>
  <si>
    <t>best online casino slots game</t>
  </si>
  <si>
    <t>free slot games with bonus spins</t>
  </si>
  <si>
    <t>uk online casino slots</t>
  </si>
  <si>
    <t>igt slot games</t>
  </si>
  <si>
    <t>android slot games real money</t>
  </si>
  <si>
    <t>live online casino roulette</t>
  </si>
  <si>
    <t>casino games online slots</t>
  </si>
  <si>
    <t>best time of day to play online slots</t>
  </si>
  <si>
    <t>william hill online blackjack</t>
  </si>
  <si>
    <t>free online slots no download</t>
  </si>
  <si>
    <t>crazy time game history</t>
  </si>
  <si>
    <t>blackjack online real</t>
  </si>
  <si>
    <t>crazy time casino avis</t>
  </si>
  <si>
    <t>best way to win at roulette online</t>
  </si>
  <si>
    <t>play free slots online</t>
  </si>
  <si>
    <t>blackjack online game</t>
  </si>
  <si>
    <t>best online blackjack canada</t>
  </si>
  <si>
    <t>free no download slot games</t>
  </si>
  <si>
    <t>games slot machine</t>
  </si>
  <si>
    <t>best online roulette for real money</t>
  </si>
  <si>
    <t>roulette pro online</t>
  </si>
  <si>
    <t>play n go online slots</t>
  </si>
  <si>
    <t>free online slots no download or registration</t>
  </si>
  <si>
    <t>free online slot games</t>
  </si>
  <si>
    <t>online real gambling slots</t>
  </si>
  <si>
    <t>iphone slot games real money</t>
  </si>
  <si>
    <t>play free casino slot games for fun</t>
  </si>
  <si>
    <t>online blackjack simulator</t>
  </si>
  <si>
    <t>online slots win real money</t>
  </si>
  <si>
    <t>win money online slots</t>
  </si>
  <si>
    <t>free casino games online slots with bonus</t>
  </si>
  <si>
    <t>quais as melhores slots online</t>
  </si>
  <si>
    <t>seychelles online roulette</t>
  </si>
  <si>
    <t>jackpot slot games</t>
  </si>
  <si>
    <t>best paying slots online uk</t>
  </si>
  <si>
    <t>play blackjack online for free</t>
  </si>
  <si>
    <t>online slots and bingo</t>
  </si>
  <si>
    <t>penny slots online</t>
  </si>
  <si>
    <t>gambling slot games</t>
  </si>
  <si>
    <t>crazy time big win</t>
  </si>
  <si>
    <t>crazy time stream</t>
  </si>
  <si>
    <t>free roulette games online fun</t>
  </si>
  <si>
    <t>money slot machine games</t>
  </si>
  <si>
    <t>video slots casino online</t>
  </si>
  <si>
    <t>slots casino online free</t>
  </si>
  <si>
    <t>fruit slots online</t>
  </si>
  <si>
    <t>slots online ohne anmeldung</t>
  </si>
  <si>
    <t>blackjack free online game</t>
  </si>
  <si>
    <t>beat online blackjack</t>
  </si>
  <si>
    <t>australia online slots real money</t>
  </si>
  <si>
    <t>real casino slots online free</t>
  </si>
  <si>
    <t>free online blackjack games</t>
  </si>
  <si>
    <t>majestic slots online casino</t>
  </si>
  <si>
    <t>free live roulette online</t>
  </si>
  <si>
    <t>free online slots canada no download</t>
  </si>
  <si>
    <t>online slots belgie</t>
  </si>
  <si>
    <t>free slot games no deposit</t>
  </si>
  <si>
    <t>slots online canada</t>
  </si>
  <si>
    <t>free online casino slots with bonuses</t>
  </si>
  <si>
    <t>no deposit slot games</t>
  </si>
  <si>
    <t>online slots new jersey</t>
  </si>
  <si>
    <t>free slot machine games gratis</t>
  </si>
  <si>
    <t>slot games online for real money</t>
  </si>
  <si>
    <t>casino slot games real money</t>
  </si>
  <si>
    <t>play slots for real money online</t>
  </si>
  <si>
    <t>best online blackjack for money</t>
  </si>
  <si>
    <t>crazy time ao vivo</t>
  </si>
  <si>
    <t>free blackjack game online</t>
  </si>
  <si>
    <t>best online casino for roulette</t>
  </si>
  <si>
    <t>canadian slots online</t>
  </si>
  <si>
    <t>best online french roulette</t>
  </si>
  <si>
    <t>crazy time stats</t>
  </si>
  <si>
    <t>online roulette games</t>
  </si>
  <si>
    <t>online roulette spel</t>
  </si>
  <si>
    <t>best online roulette us</t>
  </si>
  <si>
    <t>blackjack online vs computer</t>
  </si>
  <si>
    <t>best new online slots</t>
  </si>
  <si>
    <t>australian online blackjack</t>
  </si>
  <si>
    <t>games slot free</t>
  </si>
  <si>
    <t>free slot games wheel fortune</t>
  </si>
  <si>
    <t>play roulette online australia</t>
  </si>
  <si>
    <t>online slots sites</t>
  </si>
  <si>
    <t>blackjack 21 online</t>
  </si>
  <si>
    <t>free mobile slot machine games</t>
  </si>
  <si>
    <t>online slots real money uk</t>
  </si>
  <si>
    <t>roulette online for real money</t>
  </si>
  <si>
    <t>crazy time max win</t>
  </si>
  <si>
    <t>roulette online free for fun</t>
  </si>
  <si>
    <t>the best online slots</t>
  </si>
  <si>
    <t>legit slot games</t>
  </si>
  <si>
    <t>play slot games for real money</t>
  </si>
  <si>
    <t>app crazy time</t>
  </si>
  <si>
    <t>golden goddess slots online</t>
  </si>
  <si>
    <t>dragon link slots online free</t>
  </si>
  <si>
    <t>free online roulette playing games</t>
  </si>
  <si>
    <t>online no deposit slots</t>
  </si>
  <si>
    <t>william hill slot games</t>
  </si>
  <si>
    <t>best payout online slots uk</t>
  </si>
  <si>
    <t>lightning box slot games</t>
  </si>
  <si>
    <t>free online games slots</t>
  </si>
  <si>
    <t>best slot games free</t>
  </si>
  <si>
    <t>online ethereum roulette</t>
  </si>
  <si>
    <t>uk online slots mobile</t>
  </si>
  <si>
    <t>play free slots machines online</t>
  </si>
  <si>
    <t>online slots real money ohio</t>
  </si>
  <si>
    <t>roulette game online play</t>
  </si>
  <si>
    <t>blackjack card game online free</t>
  </si>
  <si>
    <t>casino slots online no deposit</t>
  </si>
  <si>
    <t>blackjack online chile</t>
  </si>
  <si>
    <t>best online slots reviews</t>
  </si>
  <si>
    <t>best roulette online uk</t>
  </si>
  <si>
    <t>blackjack free online</t>
  </si>
  <si>
    <t>free slot machine games 777</t>
  </si>
  <si>
    <t>gamble slots online</t>
  </si>
  <si>
    <t>popular casino slot games</t>
  </si>
  <si>
    <t>win slots online</t>
  </si>
  <si>
    <t>play free roulette games online</t>
  </si>
  <si>
    <t>usa online slots</t>
  </si>
  <si>
    <t>live blackjack dealers online</t>
  </si>
  <si>
    <t>blackjack training online</t>
  </si>
  <si>
    <t>best online casinos for blackjack</t>
  </si>
  <si>
    <t>free vegas slots online casino</t>
  </si>
  <si>
    <t>roulette gratis online</t>
  </si>
  <si>
    <t>play blackjack card game online free</t>
  </si>
  <si>
    <t>статистика crazy time</t>
  </si>
  <si>
    <t>casino games slot</t>
  </si>
  <si>
    <t>online slots mobile deposit</t>
  </si>
  <si>
    <t>free slot games no download no registration</t>
  </si>
  <si>
    <t>igt slot machine games</t>
  </si>
  <si>
    <t>online bingo and slots</t>
  </si>
  <si>
    <t>free slot games canada</t>
  </si>
  <si>
    <t>low stakes online roulette</t>
  </si>
  <si>
    <t>online casino blackjack bonus</t>
  </si>
  <si>
    <t>high volatility slot games</t>
  </si>
  <si>
    <t>play roulette for free online for fun</t>
  </si>
  <si>
    <t>online slots deutschland</t>
  </si>
  <si>
    <t>online bitcoin blackjack</t>
  </si>
  <si>
    <t>real money online slots canada</t>
  </si>
  <si>
    <t>free casino slot games with bonus</t>
  </si>
  <si>
    <t>bitcoin play roulette online</t>
  </si>
  <si>
    <t>free video slots online</t>
  </si>
  <si>
    <t>roulette table games online</t>
  </si>
  <si>
    <t>best online roulette</t>
  </si>
  <si>
    <t>australia online roulette</t>
  </si>
  <si>
    <t>multihand blackjack online</t>
  </si>
  <si>
    <t>top 10 slot games</t>
  </si>
  <si>
    <t>real money online slots australia</t>
  </si>
  <si>
    <t>blackjack game online free play</t>
  </si>
  <si>
    <t>free online casino video slots</t>
  </si>
  <si>
    <t>live roulette games online</t>
  </si>
  <si>
    <t>free casino slot machine games for fun</t>
  </si>
  <si>
    <t>online roulette for real money</t>
  </si>
  <si>
    <t>live roulette online free</t>
  </si>
  <si>
    <t>live slots online</t>
  </si>
  <si>
    <t>casinos online blackjack</t>
  </si>
  <si>
    <t>online slots paysafecard</t>
  </si>
  <si>
    <t>play casino slots for free online</t>
  </si>
  <si>
    <t>online slots casino real money</t>
  </si>
  <si>
    <t>online real slots</t>
  </si>
  <si>
    <t>all slots online casino review</t>
  </si>
  <si>
    <t>roulette game online for fun</t>
  </si>
  <si>
    <t>best slot games for iphone</t>
  </si>
  <si>
    <t>online blackjack for fun</t>
  </si>
  <si>
    <t>real slot games</t>
  </si>
  <si>
    <t>online slots real money free spins no deposit</t>
  </si>
  <si>
    <t>giocare alla roulette online</t>
  </si>
  <si>
    <t>best online casinos for slots</t>
  </si>
  <si>
    <t>canadian online slots real money</t>
  </si>
  <si>
    <t>play enchanted unicorn slots online free</t>
  </si>
  <si>
    <t>online blackjack nz</t>
  </si>
  <si>
    <t>online penny slots</t>
  </si>
  <si>
    <t>free slots online for fun</t>
  </si>
  <si>
    <t>casino live roulette online</t>
  </si>
  <si>
    <t>free online roulette wheel</t>
  </si>
  <si>
    <t>online blackjack pennsylvania</t>
  </si>
  <si>
    <t>online slots michigan</t>
  </si>
  <si>
    <t>online slots no deposit</t>
  </si>
  <si>
    <t>casino lobby - demo games</t>
  </si>
  <si>
    <t>online blackjack games</t>
  </si>
  <si>
    <t>free online 3d casino slot games</t>
  </si>
  <si>
    <t>online blackjack live dealer free</t>
  </si>
  <si>
    <t>online casino slot games real money</t>
  </si>
  <si>
    <t>slots españa online</t>
  </si>
  <si>
    <t>slot games for free no download</t>
  </si>
  <si>
    <t>video slots online casino</t>
  </si>
  <si>
    <t>all new casino slot games</t>
  </si>
  <si>
    <t>online classic slots</t>
  </si>
  <si>
    <t>blackjack games for free online</t>
  </si>
  <si>
    <t>crazy time live 🇩🇪 casinod.casino 🎁</t>
  </si>
  <si>
    <t>free slot games win real money no deposit</t>
  </si>
  <si>
    <t>blackjack online no money</t>
  </si>
  <si>
    <t>best online roulette casino</t>
  </si>
  <si>
    <t>slots online sin deposito</t>
  </si>
  <si>
    <t>online dice slots spellen</t>
  </si>
  <si>
    <t>free slot casino games online for fun</t>
  </si>
  <si>
    <t>crazy time история игр</t>
  </si>
  <si>
    <t>new free slot machine games</t>
  </si>
  <si>
    <t>slot machines free games for fun</t>
  </si>
  <si>
    <t>casino slot machine games list</t>
  </si>
  <si>
    <t>free casinos online slots</t>
  </si>
  <si>
    <t>beste slots online</t>
  </si>
  <si>
    <t>play blackjack online for real money usa</t>
  </si>
  <si>
    <t>best online casino for slots</t>
  </si>
  <si>
    <t>best online slots offers</t>
  </si>
  <si>
    <t>online slots kostenlos ohne anmeldung</t>
  </si>
  <si>
    <t>mostbet live crazy time</t>
  </si>
  <si>
    <t>free online blackjack</t>
  </si>
  <si>
    <t>online roulette games for fun</t>
  </si>
  <si>
    <t>amazon slot games</t>
  </si>
  <si>
    <t>crazy time история</t>
  </si>
  <si>
    <t>online roulette for free in the uk</t>
  </si>
  <si>
    <t>live casino crazy time</t>
  </si>
  <si>
    <t>online casino slots</t>
  </si>
  <si>
    <t>bally slot games</t>
  </si>
  <si>
    <t>online casinos roulette</t>
  </si>
  <si>
    <t>demo games casino</t>
  </si>
  <si>
    <t>lucky slots online</t>
  </si>
  <si>
    <t>online blackjack free multiplayer</t>
  </si>
  <si>
    <t>online slots not on gamstop</t>
  </si>
  <si>
    <t>crazy time как играть</t>
  </si>
  <si>
    <t>jogos de casino online gratis slots</t>
  </si>
  <si>
    <t>legitimate online blackjack for money</t>
  </si>
  <si>
    <t>blackjack play online</t>
  </si>
  <si>
    <t>free no deposit online slots</t>
  </si>
  <si>
    <t>practice roulette online free</t>
  </si>
  <si>
    <t>play blackjack online real money</t>
  </si>
  <si>
    <t>free slots games play online</t>
  </si>
  <si>
    <t>free slot machine games to play online</t>
  </si>
  <si>
    <t>best blackjack online casino sites</t>
  </si>
  <si>
    <t>game slots online</t>
  </si>
  <si>
    <t>roulette calculator online free</t>
  </si>
  <si>
    <t>free vegas slots online</t>
  </si>
  <si>
    <t>roulette casino online game</t>
  </si>
  <si>
    <t>best online slot games to win uk</t>
  </si>
  <si>
    <t>www casino demo games</t>
  </si>
  <si>
    <t>crazy time watch live</t>
  </si>
  <si>
    <t>play real slots online</t>
  </si>
  <si>
    <t>slots free games online</t>
  </si>
  <si>
    <t>play roulette online live dealer free</t>
  </si>
  <si>
    <t>crazy time casino free</t>
  </si>
  <si>
    <t>online roulette gambling real money</t>
  </si>
  <si>
    <t>roulette games online</t>
  </si>
  <si>
    <t>best paying slot games uk</t>
  </si>
  <si>
    <t>online slot machines with bonus games</t>
  </si>
  <si>
    <t>play roulette for cash online</t>
  </si>
  <si>
    <t>online slots australia real money</t>
  </si>
  <si>
    <t>free slot games no downloading</t>
  </si>
  <si>
    <t>best roulette games online betway casino</t>
  </si>
  <si>
    <t>online roulette real money india</t>
  </si>
  <si>
    <t>game online blackjack</t>
  </si>
  <si>
    <t>online roulette european</t>
  </si>
  <si>
    <t>casino tracker crazy time</t>
  </si>
  <si>
    <t>slot games for free</t>
  </si>
  <si>
    <t>eyecon online slots</t>
  </si>
  <si>
    <t>online gaming slots</t>
  </si>
  <si>
    <t>online slots free spins no deposit</t>
  </si>
  <si>
    <t>blackjack online pokerstars</t>
  </si>
  <si>
    <t>online roulette for real money in the uk</t>
  </si>
  <si>
    <t>free online slot casino games</t>
  </si>
  <si>
    <t>crazy time best strategy reddit</t>
  </si>
  <si>
    <t>online slots no deposit bonus uk</t>
  </si>
  <si>
    <t>blackjack ballroom online casino</t>
  </si>
  <si>
    <t>brand new online slots</t>
  </si>
  <si>
    <t>most trusted online slots</t>
  </si>
  <si>
    <t>free online slots in canada</t>
  </si>
  <si>
    <t>best online slots malaysia</t>
  </si>
  <si>
    <t>online roulette for money</t>
  </si>
  <si>
    <t>bovada online slots</t>
  </si>
  <si>
    <t>online slots echtgeld österreich</t>
  </si>
  <si>
    <t>slot games that pay real cash</t>
  </si>
  <si>
    <t>free online vegas casino slot games</t>
  </si>
  <si>
    <t>play online slots demo</t>
  </si>
  <si>
    <t>slots kostenlos online spielen ohne anmeldung</t>
  </si>
  <si>
    <t>roulette game online</t>
  </si>
  <si>
    <t>online slots bingo</t>
  </si>
  <si>
    <t>casino crazy time</t>
  </si>
  <si>
    <t>free spins slot games</t>
  </si>
  <si>
    <t>video roulette online</t>
  </si>
  <si>
    <t>slot free online games</t>
  </si>
  <si>
    <t>winning slots online</t>
  </si>
  <si>
    <t>free slot machine games</t>
  </si>
  <si>
    <t>crazy time gambling</t>
  </si>
  <si>
    <t>win real money slots online</t>
  </si>
  <si>
    <t>play video slots online</t>
  </si>
  <si>
    <t>live blackjack online</t>
  </si>
  <si>
    <t>roulette online spielen kostenlos</t>
  </si>
  <si>
    <t>slots for fun online</t>
  </si>
  <si>
    <t>slot games bonuses</t>
  </si>
  <si>
    <t>betsoft free online slots</t>
  </si>
  <si>
    <t>free online no deposit slots</t>
  </si>
  <si>
    <t>bandar judi casino blackjack online</t>
  </si>
  <si>
    <t>usa slots online</t>
  </si>
  <si>
    <t>online roulette rigged</t>
  </si>
  <si>
    <t>free casino slot games for fun no download</t>
  </si>
  <si>
    <t>blackjack online portugal</t>
  </si>
  <si>
    <t>online blackjack practice</t>
  </si>
  <si>
    <t>slot games free to play</t>
  </si>
  <si>
    <t>playtech slot games</t>
  </si>
  <si>
    <t>online blackjack malaysia</t>
  </si>
  <si>
    <t>play casino slots online for free</t>
  </si>
  <si>
    <t>slot games kostenlos</t>
  </si>
  <si>
    <t>holland casino online slots</t>
  </si>
  <si>
    <t>online casino roulette trick</t>
  </si>
  <si>
    <t>crazy time 747 live</t>
  </si>
  <si>
    <t>free online video slots</t>
  </si>
  <si>
    <t>play the slots online</t>
  </si>
  <si>
    <t>live dealer blackjack online</t>
  </si>
  <si>
    <t>crazy time evolution gaming stats</t>
  </si>
  <si>
    <t>online btc slots</t>
  </si>
  <si>
    <t>crazy time big win today</t>
  </si>
  <si>
    <t>net slot games</t>
  </si>
  <si>
    <t>betway crazy time</t>
  </si>
  <si>
    <t>online blackjack tournaments</t>
  </si>
  <si>
    <t>live stream crazy time</t>
  </si>
  <si>
    <t>free demo online slots</t>
  </si>
  <si>
    <t>highest rtp online slots 2023</t>
  </si>
  <si>
    <t>classic roulette online</t>
  </si>
  <si>
    <t>blackjack online free with friends</t>
  </si>
  <si>
    <t>play blackjack online for real money</t>
  </si>
  <si>
    <t>online blackjack oyna</t>
  </si>
  <si>
    <t>high stakes roulette online</t>
  </si>
  <si>
    <t>online free casino slot games</t>
  </si>
  <si>
    <t>free online quickspin slots</t>
  </si>
  <si>
    <t>play blackjack game online</t>
  </si>
  <si>
    <t>play slots free online for fun</t>
  </si>
  <si>
    <t>roulette real money online</t>
  </si>
  <si>
    <t>best online blackjack casinos ireland</t>
  </si>
  <si>
    <t>crazy time demo game</t>
  </si>
  <si>
    <t>slot games api</t>
  </si>
  <si>
    <t>slots online games</t>
  </si>
  <si>
    <t>online slots no gamstop</t>
  </si>
  <si>
    <t>practice blackjack online</t>
  </si>
  <si>
    <t>casino games slots online</t>
  </si>
  <si>
    <t>no deposit online slots uk</t>
  </si>
  <si>
    <t>wink slots online casino review</t>
  </si>
  <si>
    <t>starburst free slot games</t>
  </si>
  <si>
    <t>best free online roulette</t>
  </si>
  <si>
    <t>demo slot games free</t>
  </si>
  <si>
    <t>slots online real money australia</t>
  </si>
  <si>
    <t>free casino online slots</t>
  </si>
  <si>
    <t>online slots pa</t>
  </si>
  <si>
    <t>online slots real money iowa</t>
  </si>
  <si>
    <t>online roulette singapore</t>
  </si>
  <si>
    <t>casino online blackjack en vivo</t>
  </si>
  <si>
    <t>prime slots online casino</t>
  </si>
  <si>
    <t>blackjack surrender online</t>
  </si>
  <si>
    <t>online roulette uk</t>
  </si>
  <si>
    <t>online blackjack 888</t>
  </si>
  <si>
    <t>giochi blackjack online</t>
  </si>
  <si>
    <t>online dice slots games</t>
  </si>
  <si>
    <t>best online slots real money uk</t>
  </si>
  <si>
    <t>non uk online slots</t>
  </si>
  <si>
    <t>gratis slot games</t>
  </si>
  <si>
    <t>online blackjack casinos</t>
  </si>
  <si>
    <t>best live blackjack online usa</t>
  </si>
  <si>
    <t>blackjack online za darmo</t>
  </si>
  <si>
    <t>roulette online gratis spielen</t>
  </si>
  <si>
    <t>real slots online free</t>
  </si>
  <si>
    <t>new zealand online slots</t>
  </si>
  <si>
    <t>canada online blackjack</t>
  </si>
  <si>
    <t>live casino roulette online</t>
  </si>
  <si>
    <t>roulette play online free games</t>
  </si>
  <si>
    <t>free wms slots online</t>
  </si>
  <si>
    <t>slot games that pay you real money</t>
  </si>
  <si>
    <t>online slots uk paypal</t>
  </si>
  <si>
    <t>games slot online</t>
  </si>
  <si>
    <t>online roulette double up system</t>
  </si>
  <si>
    <t>best free online blackjack</t>
  </si>
  <si>
    <t>online roulette real money review</t>
  </si>
  <si>
    <t>are there any online slots that pay real money</t>
  </si>
  <si>
    <t>roulette online spelen</t>
  </si>
  <si>
    <t>online roulette online</t>
  </si>
  <si>
    <t>slot games online free</t>
  </si>
  <si>
    <t>21 game online blackjack</t>
  </si>
  <si>
    <t>caesars casino online slots</t>
  </si>
  <si>
    <t>online slots japan</t>
  </si>
  <si>
    <t>play free online roulette game for fun</t>
  </si>
  <si>
    <t>mobile slots online</t>
  </si>
  <si>
    <t>online gambling slots</t>
  </si>
  <si>
    <t>free casino online roulette</t>
  </si>
  <si>
    <t>new free casino slot games</t>
  </si>
  <si>
    <t>online play casino roulette game</t>
  </si>
  <si>
    <t>blackjack online casino free</t>
  </si>
  <si>
    <t>crazy time last wins</t>
  </si>
  <si>
    <t>free no download online slots</t>
  </si>
  <si>
    <t>best online slots app</t>
  </si>
  <si>
    <t>best site for online slots</t>
  </si>
  <si>
    <t>best online blackjack for real money</t>
  </si>
  <si>
    <t>crazy time estatísticas</t>
  </si>
  <si>
    <t>pg soft 243 ways slot games list</t>
  </si>
  <si>
    <t>blackjack free play online</t>
  </si>
  <si>
    <t>free online slots with bonus rounds</t>
  </si>
  <si>
    <t>slot machine games online win real money</t>
  </si>
  <si>
    <t>best payout online slots</t>
  </si>
  <si>
    <t>play casino roulette online free</t>
  </si>
  <si>
    <t>como ganhar no blackjack online</t>
  </si>
  <si>
    <t>jogos de blackjack online</t>
  </si>
  <si>
    <t>vegas slots online free</t>
  </si>
  <si>
    <t>online casino blackjack live</t>
  </si>
  <si>
    <t>play slots online uk</t>
  </si>
  <si>
    <t>bingo and slots online</t>
  </si>
  <si>
    <t>slots online gratis</t>
  </si>
  <si>
    <t>play free slots online no download</t>
  </si>
  <si>
    <t>online roulette kostenlos</t>
  </si>
  <si>
    <t>contar cartas blackjack online</t>
  </si>
  <si>
    <t>microgaming slot games</t>
  </si>
  <si>
    <t>play online slots uk</t>
  </si>
  <si>
    <t>free slot games for pc</t>
  </si>
  <si>
    <t>top 10 online roulette casinos</t>
  </si>
  <si>
    <t>bandar betting casino blackjack online</t>
  </si>
  <si>
    <t>real money slots online usa</t>
  </si>
  <si>
    <t>online slots games</t>
  </si>
  <si>
    <t>taruhan casino roulette online</t>
  </si>
  <si>
    <t>live roulette online uk</t>
  </si>
  <si>
    <t>play olg slots online</t>
  </si>
  <si>
    <t>offline slot machine games</t>
  </si>
  <si>
    <t>monopoly slots online</t>
  </si>
  <si>
    <t>play roulette online free ladbrokes</t>
  </si>
  <si>
    <t>dragon link slots online free download</t>
  </si>
  <si>
    <t>free roulette games to play online</t>
  </si>
  <si>
    <t>best online slots sites czech republic</t>
  </si>
  <si>
    <t>casino vegas online slots</t>
  </si>
  <si>
    <t>real roulette online game</t>
  </si>
  <si>
    <t>play new online slots</t>
  </si>
  <si>
    <t>online blackjack tournaments real money</t>
  </si>
  <si>
    <t>online blackjack spelen</t>
  </si>
  <si>
    <t>play slots online ontario</t>
  </si>
  <si>
    <t>online slots free bonus</t>
  </si>
  <si>
    <t>online slots for fun no money</t>
  </si>
  <si>
    <t>evoplay online slots</t>
  </si>
  <si>
    <t>online slots no deposit win real money</t>
  </si>
  <si>
    <t>latest online slots</t>
  </si>
  <si>
    <t>ballys online slots</t>
  </si>
  <si>
    <t>free slot machines games</t>
  </si>
  <si>
    <t>free roulette online</t>
  </si>
  <si>
    <t>casino online games roulette</t>
  </si>
  <si>
    <t>quick hits free online slots</t>
  </si>
  <si>
    <t>can you win real money playing slots online</t>
  </si>
  <si>
    <t>online super slots</t>
  </si>
  <si>
    <t>roulette online paypal</t>
  </si>
  <si>
    <t>free blackjack games online no download</t>
  </si>
  <si>
    <t>free offline casino slot games</t>
  </si>
  <si>
    <t>best real money slots online</t>
  </si>
  <si>
    <t>jocuri online blackjack</t>
  </si>
  <si>
    <t>online video slots</t>
  </si>
  <si>
    <t>machine slot games</t>
  </si>
  <si>
    <t>mobile casino slot games</t>
  </si>
  <si>
    <t>online casino video slots</t>
  </si>
  <si>
    <t>download games slot online</t>
  </si>
  <si>
    <t>online video blackjack</t>
  </si>
  <si>
    <t>123 slots online</t>
  </si>
  <si>
    <t>jogar blackjack casino online</t>
  </si>
  <si>
    <t>slots online casinos</t>
  </si>
  <si>
    <t>best online bonus slots</t>
  </si>
  <si>
    <t>bally slots online free</t>
  </si>
  <si>
    <t>play real casino slots online</t>
  </si>
  <si>
    <t>can you play roulette online</t>
  </si>
  <si>
    <t>777 slot machine games</t>
  </si>
  <si>
    <t>top slot machine games</t>
  </si>
  <si>
    <t>latest online slots uk</t>
  </si>
  <si>
    <t>free casino games slot machines</t>
  </si>
  <si>
    <t>strip blackjack online</t>
  </si>
  <si>
    <t>mejores slots online</t>
  </si>
  <si>
    <t>pa lottery online slots</t>
  </si>
  <si>
    <t>best online jackpot slots</t>
  </si>
  <si>
    <t>live crazy time casino</t>
  </si>
  <si>
    <t>best online roulette casino sri lanka</t>
  </si>
  <si>
    <t>tips for online slots</t>
  </si>
  <si>
    <t>online blackjack strategy chart</t>
  </si>
  <si>
    <t>zeus slots online</t>
  </si>
  <si>
    <t>playing blackjack online for real money</t>
  </si>
  <si>
    <t>can you play blackjack online for real money</t>
  </si>
  <si>
    <t>free slot games offline</t>
  </si>
  <si>
    <t>jugar blackjack online gratis</t>
  </si>
  <si>
    <t>crazy time dealers</t>
  </si>
  <si>
    <t>welcome cashback 100 slot games wcb100 terbaru</t>
  </si>
  <si>
    <t>free slots online no deposit</t>
  </si>
  <si>
    <t>free slots online no downloads</t>
  </si>
  <si>
    <t>bonus roulette online</t>
  </si>
  <si>
    <t>top casinos for online blackjack in the uk</t>
  </si>
  <si>
    <t>all slots online mobile casino</t>
  </si>
  <si>
    <t>is online blackjack legal</t>
  </si>
  <si>
    <t>real online gambling slots</t>
  </si>
  <si>
    <t>best online slots australia</t>
  </si>
  <si>
    <t>can you count cards in online blackjack</t>
  </si>
  <si>
    <t>top online roulette websites</t>
  </si>
  <si>
    <t>michigan online slots</t>
  </si>
  <si>
    <t>real online slots</t>
  </si>
  <si>
    <t>mejores casinos online blackjack</t>
  </si>
  <si>
    <t>free online slots for fun</t>
  </si>
  <si>
    <t>slot games in casino</t>
  </si>
  <si>
    <t>australian online slots</t>
  </si>
  <si>
    <t>casino free online slots</t>
  </si>
  <si>
    <t>free online slots no download no registration</t>
  </si>
  <si>
    <t>play slots online win real money</t>
  </si>
  <si>
    <t>demo slots free online</t>
  </si>
  <si>
    <t>top slots games online</t>
  </si>
  <si>
    <t>colorado online slots</t>
  </si>
  <si>
    <t>blackjack online casinos</t>
  </si>
  <si>
    <t>best online roulette nz</t>
  </si>
  <si>
    <t>evolution crazy time game review</t>
  </si>
  <si>
    <t>blackjack games online</t>
  </si>
  <si>
    <t>harrahs online slots</t>
  </si>
  <si>
    <t>live dealer crazy time</t>
  </si>
  <si>
    <t>free casino and slot games</t>
  </si>
  <si>
    <t>slot machine games online</t>
  </si>
  <si>
    <t>las vegas slot games</t>
  </si>
  <si>
    <t>best strategy for online slots</t>
  </si>
  <si>
    <t>free slot games casino</t>
  </si>
  <si>
    <t>play roulette online for fun</t>
  </si>
  <si>
    <t>card counting online blackjack</t>
  </si>
  <si>
    <t>bingo slots online</t>
  </si>
  <si>
    <t>free online slots with no downloads</t>
  </si>
  <si>
    <t>slot games for mobile</t>
  </si>
  <si>
    <t>roulette games online free</t>
  </si>
  <si>
    <t>best online uk slots</t>
  </si>
  <si>
    <t>topx slots machine online</t>
  </si>
  <si>
    <t>online slots sites in india</t>
  </si>
  <si>
    <t>legal online slots australia</t>
  </si>
  <si>
    <t>free slot machines for fun games</t>
  </si>
  <si>
    <t>online blackjack with other players</t>
  </si>
  <si>
    <t>ethereum slot games</t>
  </si>
  <si>
    <t>free 3d slot games</t>
  </si>
  <si>
    <t>online casino slots nz</t>
  </si>
  <si>
    <t>roulette simulator online</t>
  </si>
  <si>
    <t>www.free casino slot games</t>
  </si>
  <si>
    <t>blackjack online free no download</t>
  </si>
  <si>
    <t>play slots online free</t>
  </si>
  <si>
    <t>roulette online gratis</t>
  </si>
  <si>
    <t>online slots deposit bonus</t>
  </si>
  <si>
    <t>best way to win online slots</t>
  </si>
  <si>
    <t>pa online blackjack</t>
  </si>
  <si>
    <t>slots jackpot online casino</t>
  </si>
  <si>
    <t>crazy time casino online</t>
  </si>
  <si>
    <t>play european roulette online demo</t>
  </si>
  <si>
    <t>play slots free online</t>
  </si>
  <si>
    <t>saucify online slots</t>
  </si>
  <si>
    <t>play new slots online</t>
  </si>
  <si>
    <t>slots free online games</t>
  </si>
  <si>
    <t>best time to play slots online</t>
  </si>
  <si>
    <t>slot games tricks</t>
  </si>
  <si>
    <t>best online slots in canada</t>
  </si>
  <si>
    <t>crazy time betting strategy</t>
  </si>
  <si>
    <t>best live blackjack online</t>
  </si>
  <si>
    <t>online blackjack illinois</t>
  </si>
  <si>
    <t>slot free games</t>
  </si>
  <si>
    <t>free classic slot games</t>
  </si>
  <si>
    <t>free slot machine games for free</t>
  </si>
  <si>
    <t>online blackjack with real money</t>
  </si>
  <si>
    <t>paypal slots online</t>
  </si>
  <si>
    <t>online roulette wheel real money</t>
  </si>
  <si>
    <t>real money slots online no deposit</t>
  </si>
  <si>
    <t>crazy time history</t>
  </si>
  <si>
    <t>come vincere alla roulette online</t>
  </si>
  <si>
    <t>casino games slot machines</t>
  </si>
  <si>
    <t>vegas slots online no deposit bonus</t>
  </si>
  <si>
    <t>online slots real money oregon</t>
  </si>
  <si>
    <t>real cash online slots</t>
  </si>
  <si>
    <t>new online slots no deposit</t>
  </si>
  <si>
    <t>offline slot games</t>
  </si>
  <si>
    <t>pp games slot</t>
  </si>
  <si>
    <t>mejores casinos online blackjack andorra</t>
  </si>
  <si>
    <t>blackjack online casino live dealer</t>
  </si>
  <si>
    <t>microgaming online slots</t>
  </si>
  <si>
    <t>blackjack online spielgeld</t>
  </si>
  <si>
    <t>online slots no deposit free spins</t>
  </si>
  <si>
    <t>online slots hack</t>
  </si>
  <si>
    <t>live casino slots online</t>
  </si>
  <si>
    <t>online games slot machines</t>
  </si>
  <si>
    <t>online slots new zealand</t>
  </si>
  <si>
    <t>casino online slots free play</t>
  </si>
  <si>
    <t>free online blackjack no download</t>
  </si>
  <si>
    <t>slots online demo</t>
  </si>
  <si>
    <t>online blackjack cheat sheet</t>
  </si>
  <si>
    <t>online multiplayer blackjack</t>
  </si>
  <si>
    <t>best slots online casino</t>
  </si>
  <si>
    <t>live online roulette reviews</t>
  </si>
  <si>
    <t>crazy time cash hunt</t>
  </si>
  <si>
    <t>real money slot games online</t>
  </si>
  <si>
    <t>american blackjack online free</t>
  </si>
  <si>
    <t>3 reel slots online</t>
  </si>
  <si>
    <t>crazy time last results</t>
  </si>
  <si>
    <t>slots online free games</t>
  </si>
  <si>
    <t>new free online slots</t>
  </si>
  <si>
    <t>the best free casino slot games</t>
  </si>
  <si>
    <t>slot machine games for real money</t>
  </si>
  <si>
    <t>novomatic slots online</t>
  </si>
  <si>
    <t>real money slots online usacasinobonuses.site 🇺🇸</t>
  </si>
  <si>
    <t>online slots free to play</t>
  </si>
  <si>
    <t>free slots online canada</t>
  </si>
  <si>
    <t>slot online games</t>
  </si>
  <si>
    <t>online blackjack nj</t>
  </si>
  <si>
    <t>caesars online slots</t>
  </si>
  <si>
    <t>online american roulette</t>
  </si>
  <si>
    <t>free slot machine games for fun</t>
  </si>
  <si>
    <t>twin river online slots</t>
  </si>
  <si>
    <t>best uk slots online</t>
  </si>
  <si>
    <t>casino slot games online</t>
  </si>
  <si>
    <t>megaways slots online</t>
  </si>
  <si>
    <t>crazy time gratis demo</t>
  </si>
  <si>
    <t>french roulette online</t>
  </si>
  <si>
    <t>multiplayer online blackjack</t>
  </si>
  <si>
    <t>free casino video slot games</t>
  </si>
  <si>
    <t>free online slots with bonus</t>
  </si>
  <si>
    <t>slots heaven online casino</t>
  </si>
  <si>
    <t>paying slots online</t>
  </si>
  <si>
    <t>free slot games to download for pc</t>
  </si>
  <si>
    <t>live roulette online deutschland</t>
  </si>
  <si>
    <t>unibet online slots machines</t>
  </si>
  <si>
    <t>play blackjack online for real money no deposit</t>
  </si>
  <si>
    <t>online blackjack echtgeld</t>
  </si>
  <si>
    <t>live casino games online slots</t>
  </si>
  <si>
    <t>play real blackjack online</t>
  </si>
  <si>
    <t>slots online real money canada</t>
  </si>
  <si>
    <t>online live roulette free</t>
  </si>
  <si>
    <t>free slot games win real money</t>
  </si>
  <si>
    <t>free online slots ontario</t>
  </si>
  <si>
    <t>crazy time last spins</t>
  </si>
  <si>
    <t>everi slots online</t>
  </si>
  <si>
    <t>online blackjack betting</t>
  </si>
  <si>
    <t>online blackjack with live dealers</t>
  </si>
  <si>
    <t>roulette strategy online</t>
  </si>
  <si>
    <t>blackjack online with real money</t>
  </si>
  <si>
    <t>blackjack gratis online</t>
  </si>
  <si>
    <t>newest free online slots</t>
  </si>
  <si>
    <t>online slots payout percentage</t>
  </si>
  <si>
    <t>casino online live roulette</t>
  </si>
  <si>
    <t>netent slots online</t>
  </si>
  <si>
    <t>slot games promotions</t>
  </si>
  <si>
    <t>real slot games for money</t>
  </si>
  <si>
    <t>new free slots online</t>
  </si>
  <si>
    <t>online slots ohne anmeldung</t>
  </si>
  <si>
    <t>facebook slot games</t>
  </si>
  <si>
    <t>free slot games for mobile</t>
  </si>
  <si>
    <t>coral slot games</t>
  </si>
  <si>
    <t>best online slots</t>
  </si>
  <si>
    <t>drinking roulette online</t>
  </si>
  <si>
    <t>slots of vegas online casino</t>
  </si>
  <si>
    <t>play roulette free online</t>
  </si>
  <si>
    <t>jugar blackjack 2vs1 online</t>
  </si>
  <si>
    <t>roulette games online free play</t>
  </si>
  <si>
    <t>online slot games no deposit</t>
  </si>
  <si>
    <t>neon blackjack single deck online spielen</t>
  </si>
  <si>
    <t>gambling slots online</t>
  </si>
  <si>
    <t>progressive jackpot slots online</t>
  </si>
  <si>
    <t>21 duel blackjack online</t>
  </si>
  <si>
    <t>top isoftbet online slots</t>
  </si>
  <si>
    <t>watch crazy time results</t>
  </si>
  <si>
    <t>parimatch crazy time</t>
  </si>
  <si>
    <t>online mobile roulette</t>
  </si>
  <si>
    <t>crazy time statics</t>
  </si>
  <si>
    <t>casino slot games</t>
  </si>
  <si>
    <t>best australian online casino slots</t>
  </si>
  <si>
    <t>best online blackjack sites malaysia</t>
  </si>
  <si>
    <t>roulette table game online</t>
  </si>
  <si>
    <t>real roulette wheel online</t>
  </si>
  <si>
    <t>free online slots games</t>
  </si>
  <si>
    <t>play wms slots online</t>
  </si>
  <si>
    <t>online slots arabic</t>
  </si>
  <si>
    <t>real money online roulette</t>
  </si>
  <si>
    <t>online roulette for real money paypal</t>
  </si>
  <si>
    <t>online slots real money mobile</t>
  </si>
  <si>
    <t>top online roulette</t>
  </si>
  <si>
    <t>best online blackjack usa</t>
  </si>
  <si>
    <t>online blackjack play with friends</t>
  </si>
  <si>
    <t>slot games with no deposit</t>
  </si>
  <si>
    <t>online slots tips strategies</t>
  </si>
  <si>
    <t>crazy time life</t>
  </si>
  <si>
    <t>free casino games slot machine</t>
  </si>
  <si>
    <t>demo online casino games</t>
  </si>
  <si>
    <t>tracksino crazy time</t>
  </si>
  <si>
    <t>most popular slot games</t>
  </si>
  <si>
    <t>crazy time casino stats</t>
  </si>
  <si>
    <t>online cleopatra slots</t>
  </si>
  <si>
    <t>online roulette bonuses</t>
  </si>
  <si>
    <t>casino free demo games</t>
  </si>
  <si>
    <t>roulette for money online</t>
  </si>
  <si>
    <t>roulette spinner online</t>
  </si>
  <si>
    <t>mini roulette online</t>
  </si>
  <si>
    <t>top betsoft online slots</t>
  </si>
  <si>
    <t>free casino blackjack online</t>
  </si>
  <si>
    <t>free slot online games</t>
  </si>
  <si>
    <t>games slot 500</t>
  </si>
  <si>
    <t>australian online casino slots</t>
  </si>
  <si>
    <t>track crazy time</t>
  </si>
  <si>
    <t>free fun online slots</t>
  </si>
  <si>
    <t>video slot games online</t>
  </si>
  <si>
    <t>best online live blackjack</t>
  </si>
  <si>
    <t>online slots nz real money</t>
  </si>
  <si>
    <t>double ball roulette online</t>
  </si>
  <si>
    <t>play free slots online no download with bonus</t>
  </si>
  <si>
    <t>betting blackjack online</t>
  </si>
  <si>
    <t>spin history crazy time</t>
  </si>
  <si>
    <t>online slots free bonus no deposit</t>
  </si>
  <si>
    <t>real slots online</t>
  </si>
  <si>
    <t>casino demo lobby games at $45</t>
  </si>
  <si>
    <t>crazy time casino demo</t>
  </si>
  <si>
    <t>slot games apps</t>
  </si>
  <si>
    <t>free online slot games no downloads</t>
  </si>
  <si>
    <t>online slots uk no deposit</t>
  </si>
  <si>
    <t>free slot games for my phone</t>
  </si>
  <si>
    <t>slots for money online</t>
  </si>
  <si>
    <t>online crypto blackjack</t>
  </si>
  <si>
    <t>casino online slots uk</t>
  </si>
  <si>
    <t>free slot games aristocrat</t>
  </si>
  <si>
    <t>online slots gaming</t>
  </si>
  <si>
    <t>play online slots real money</t>
  </si>
  <si>
    <t>pirate slot games</t>
  </si>
  <si>
    <t>real online slots real money</t>
  </si>
  <si>
    <t>slots online for money</t>
  </si>
  <si>
    <t>can you play real blackjack online</t>
  </si>
  <si>
    <t>casino online crazy time</t>
  </si>
  <si>
    <t>online slots with high rtp</t>
  </si>
  <si>
    <t>best free online casino slots</t>
  </si>
  <si>
    <t>online slots real money usa</t>
  </si>
  <si>
    <t>australian online slots casino</t>
  </si>
  <si>
    <t>blackjack gratis online spielen</t>
  </si>
  <si>
    <t>slot games south africa</t>
  </si>
  <si>
    <t>win real money online slots</t>
  </si>
  <si>
    <t>online free casino slots machine</t>
  </si>
  <si>
    <t>play free roulette online no download</t>
  </si>
  <si>
    <t>slot games free play</t>
  </si>
  <si>
    <t>slots online no deposit</t>
  </si>
  <si>
    <t>best online slots usa</t>
  </si>
  <si>
    <t>slot machine online games</t>
  </si>
  <si>
    <t>crazy time app download</t>
  </si>
  <si>
    <t>live casino blackjack online</t>
  </si>
  <si>
    <t>7 slots casino online</t>
  </si>
  <si>
    <t>real slots for real money online</t>
  </si>
  <si>
    <t>playing roulette online for real money</t>
  </si>
  <si>
    <t>free online gaming slots</t>
  </si>
  <si>
    <t>new online slots real money</t>
  </si>
  <si>
    <t>online blackjack uk</t>
  </si>
  <si>
    <t>megaways casino &amp; online slots</t>
  </si>
  <si>
    <t>online gambling slots real money</t>
  </si>
  <si>
    <t>caesars slots online</t>
  </si>
  <si>
    <t>vegas slot games</t>
  </si>
  <si>
    <t>play slots free online no download</t>
  </si>
  <si>
    <t>crazy time casino game</t>
  </si>
  <si>
    <t>crazy time last spin</t>
  </si>
  <si>
    <t>free games casino slot machine</t>
  </si>
  <si>
    <t>online cash slots</t>
  </si>
  <si>
    <t>online slots list</t>
  </si>
  <si>
    <t>casino slot machines free games</t>
  </si>
  <si>
    <t>best slot games online</t>
  </si>
  <si>
    <t>free lottery slot games</t>
  </si>
  <si>
    <t>american roulette online for free</t>
  </si>
  <si>
    <t>blackjack online kostenlos spielen</t>
  </si>
  <si>
    <t>casino slots online for real money</t>
  </si>
  <si>
    <t>blackjack online ohne geld</t>
  </si>
  <si>
    <t>slots real money online</t>
  </si>
  <si>
    <t>betway casino online slots</t>
  </si>
  <si>
    <t>slots casino online</t>
  </si>
  <si>
    <t>are online slots legit</t>
  </si>
  <si>
    <t>online blackjack no money</t>
  </si>
  <si>
    <t>free online progressive slots</t>
  </si>
  <si>
    <t>spil blackjack online</t>
  </si>
  <si>
    <t>sg slot games</t>
  </si>
  <si>
    <t>crazy time tactic</t>
  </si>
  <si>
    <t>play casino slots online for real money</t>
  </si>
  <si>
    <t>online slots for real money no deposit</t>
  </si>
  <si>
    <t>online-roulette</t>
  </si>
  <si>
    <t>playing roulette online</t>
  </si>
  <si>
    <t>free online slots no registration</t>
  </si>
  <si>
    <t>online roulette for fun</t>
  </si>
  <si>
    <t>can i play blackjack online for money</t>
  </si>
  <si>
    <t>free casino slot games for android</t>
  </si>
  <si>
    <t>slot games to download</t>
  </si>
  <si>
    <t>online casino slots real money no deposit</t>
  </si>
  <si>
    <t>10 cent roulette online casinos</t>
  </si>
  <si>
    <t>fun slot games</t>
  </si>
  <si>
    <t>online slots real money ny</t>
  </si>
  <si>
    <t>bonus slot games free play</t>
  </si>
  <si>
    <t>slot games that pay real money</t>
  </si>
  <si>
    <t>roulette game free online</t>
  </si>
  <si>
    <t>real money online slots</t>
  </si>
  <si>
    <t>top online slots</t>
  </si>
  <si>
    <t>online demo slots</t>
  </si>
  <si>
    <t>irish slots online</t>
  </si>
  <si>
    <t>top slot games</t>
  </si>
  <si>
    <t>roulette game online free</t>
  </si>
  <si>
    <t>free online play slots</t>
  </si>
  <si>
    <t>top online slots sites hong kong</t>
  </si>
  <si>
    <t>blackjack online gambling</t>
  </si>
  <si>
    <t>roulette free online</t>
  </si>
  <si>
    <t>bitcoin online roulette</t>
  </si>
  <si>
    <t>bitcoin slot games</t>
  </si>
  <si>
    <t>crazy time отзывы</t>
  </si>
  <si>
    <t>giochi di blackjack online</t>
  </si>
  <si>
    <t>play stinkin rich slots online free</t>
  </si>
  <si>
    <t>online blackjack spielen um echtes geld</t>
  </si>
  <si>
    <t>play free slots online without downloading</t>
  </si>
  <si>
    <t>blackjack online echtgeld</t>
  </si>
  <si>
    <t>blackjack online strategie</t>
  </si>
  <si>
    <t>free roulette game online</t>
  </si>
  <si>
    <t>slot games for real money</t>
  </si>
  <si>
    <t>slot machine video games</t>
  </si>
  <si>
    <t>online casino canada slots</t>
  </si>
  <si>
    <t>slots casinos online</t>
  </si>
  <si>
    <t>roulette russa online</t>
  </si>
  <si>
    <t>counting card online blackjack</t>
  </si>
  <si>
    <t>online dice slots</t>
  </si>
  <si>
    <t>slot games with bonus games</t>
  </si>
  <si>
    <t>online slots tricks</t>
  </si>
  <si>
    <t>crazy time statistics live</t>
  </si>
  <si>
    <t>online slots for us players</t>
  </si>
  <si>
    <t>agen betting casino blackjack online</t>
  </si>
  <si>
    <t>free bally slot machine games</t>
  </si>
  <si>
    <t>games online roulette</t>
  </si>
  <si>
    <t>learn roulette online</t>
  </si>
  <si>
    <t>video slot games for fun</t>
  </si>
  <si>
    <t>bandar taruhan blackjack online</t>
  </si>
  <si>
    <t>play roulette online for free</t>
  </si>
  <si>
    <t>slot games online kostenlos</t>
  </si>
  <si>
    <t>push gaming slots online</t>
  </si>
  <si>
    <t>microgaming online slot games</t>
  </si>
  <si>
    <t>play online slots machines</t>
  </si>
  <si>
    <t>free casino slot games with bonus rounds</t>
  </si>
  <si>
    <t>slot games no deposit bonus</t>
  </si>
  <si>
    <t>blackjack online malaysia</t>
  </si>
  <si>
    <t>free online roulette</t>
  </si>
  <si>
    <t>free slot games download</t>
  </si>
  <si>
    <t>best online slots to win uk</t>
  </si>
  <si>
    <t>best online video slots</t>
  </si>
  <si>
    <t>online roulette deutschland</t>
  </si>
  <si>
    <t>top slots online</t>
  </si>
  <si>
    <t>can you beat online blackjack</t>
  </si>
  <si>
    <t>online roulette pay by phone bill</t>
  </si>
  <si>
    <t>play free roulette online for fun</t>
  </si>
  <si>
    <t>247 roulette online</t>
  </si>
  <si>
    <t>crazy time 1win</t>
  </si>
  <si>
    <t>crazy time gratis</t>
  </si>
  <si>
    <t>crazy time casino играть</t>
  </si>
  <si>
    <t>free cleopatra slots online</t>
  </si>
  <si>
    <t>play free slots online with bonus</t>
  </si>
  <si>
    <t>buffalo slots online real money</t>
  </si>
  <si>
    <t>online bingo and slot games</t>
  </si>
  <si>
    <t>casino online roulette</t>
  </si>
  <si>
    <t>online free play slots</t>
  </si>
  <si>
    <t>slot machines games</t>
  </si>
  <si>
    <t>migliori puntate crazy time</t>
  </si>
  <si>
    <t>juega al blackjack online</t>
  </si>
  <si>
    <t>no deposit slot games uk</t>
  </si>
  <si>
    <t>free online slots nz</t>
  </si>
  <si>
    <t>irish online slots</t>
  </si>
  <si>
    <t>online slot machine games</t>
  </si>
  <si>
    <t>online casino slots games</t>
  </si>
  <si>
    <t>play blackjack online money</t>
  </si>
  <si>
    <t>play game slots online</t>
  </si>
  <si>
    <t>can you make money playing online roulette</t>
  </si>
  <si>
    <t>crazy time españa</t>
  </si>
  <si>
    <t>21 blackjack online</t>
  </si>
  <si>
    <t>slots online with bonus</t>
  </si>
  <si>
    <t>play online roulette</t>
  </si>
  <si>
    <t>sizzling 777 slots free online</t>
  </si>
  <si>
    <t>online slots bonuses</t>
  </si>
  <si>
    <t>no deposit bonus online slots</t>
  </si>
  <si>
    <t>play slots online for real money</t>
  </si>
  <si>
    <t>online slots deposit by phone bill</t>
  </si>
  <si>
    <t>dragon link slots online real money</t>
  </si>
  <si>
    <t>live roulette casino online</t>
  </si>
  <si>
    <t>win online roulette every time</t>
  </si>
  <si>
    <t>free slots online games</t>
  </si>
  <si>
    <t>online slots canada free spins</t>
  </si>
  <si>
    <t>roulette online games free</t>
  </si>
  <si>
    <t>trick to online slots</t>
  </si>
  <si>
    <t>real roulette online</t>
  </si>
  <si>
    <t>slot games win real money pa</t>
  </si>
  <si>
    <t>online casino live dealers live roulette</t>
  </si>
  <si>
    <t>big win online roulette</t>
  </si>
  <si>
    <t>slots uk online</t>
  </si>
  <si>
    <t>free roulette online for fun</t>
  </si>
  <si>
    <t>egt slots online</t>
  </si>
  <si>
    <t>gamble blackjack online</t>
  </si>
  <si>
    <t>online game roulette</t>
  </si>
  <si>
    <t>play free games online without downloading slots</t>
  </si>
  <si>
    <t>do online slots really pay out</t>
  </si>
  <si>
    <t>golden nugget online slots</t>
  </si>
  <si>
    <t>slot games online for free</t>
  </si>
  <si>
    <t>online slots real money no deposit texas</t>
  </si>
  <si>
    <t>vegas online slots</t>
  </si>
  <si>
    <t>neue online slots</t>
  </si>
  <si>
    <t>best place to play blackjack online</t>
  </si>
  <si>
    <t>yggdrasil online slots</t>
  </si>
  <si>
    <t>roulette online kostenlos</t>
  </si>
  <si>
    <t>kostenlos online roulette spielen</t>
  </si>
  <si>
    <t>gamomat online slot games</t>
  </si>
  <si>
    <t>live roulette online</t>
  </si>
  <si>
    <t>free real slots online</t>
  </si>
  <si>
    <t>free online games slots machine no download</t>
  </si>
  <si>
    <t>blackjack online with friends</t>
  </si>
  <si>
    <t>can you win money on online slots</t>
  </si>
  <si>
    <t>online blackjack dealer</t>
  </si>
  <si>
    <t>top free slot games</t>
  </si>
  <si>
    <t>no deposit online slots real money</t>
  </si>
  <si>
    <t>online blackjack nederland</t>
  </si>
  <si>
    <t>best online slots payout percentage</t>
  </si>
  <si>
    <t>online play roulette</t>
  </si>
  <si>
    <t>top online slots usa</t>
  </si>
  <si>
    <t>online slots ontario</t>
  </si>
  <si>
    <t>best online slots to win real money</t>
  </si>
  <si>
    <t>asian slot games</t>
  </si>
  <si>
    <t>top online roulette casinos uk</t>
  </si>
  <si>
    <t>real slot games online</t>
  </si>
  <si>
    <t>free online slots with bonuses no download</t>
  </si>
  <si>
    <t>free online slots no deposit</t>
  </si>
  <si>
    <t>blackjack online argentina</t>
  </si>
  <si>
    <t>live blackjack online australia</t>
  </si>
  <si>
    <t>crazy time statistic</t>
  </si>
  <si>
    <t>crazy time 1xbet где находится</t>
  </si>
  <si>
    <t>roulette spil online</t>
  </si>
  <si>
    <t>can you hack online slots</t>
  </si>
  <si>
    <t>crazy time rtp</t>
  </si>
  <si>
    <t>chơi blackjack online</t>
  </si>
  <si>
    <t>blackjack casinos online</t>
  </si>
  <si>
    <t>blackjack 21 online real money</t>
  </si>
  <si>
    <t>live online blackjack casino</t>
  </si>
  <si>
    <t>bitcoin play slots online</t>
  </si>
  <si>
    <t>blackjack online india</t>
  </si>
  <si>
    <t>online roulette real money no deposit</t>
  </si>
  <si>
    <t>migliori roulette online</t>
  </si>
  <si>
    <t>casino slots online free</t>
  </si>
  <si>
    <t>online slot machine games real money</t>
  </si>
  <si>
    <t>play free online slot machine games</t>
  </si>
  <si>
    <t>online roulette gambling</t>
  </si>
  <si>
    <t>live roulette online casino</t>
  </si>
  <si>
    <t>free slot machine games to play</t>
  </si>
  <si>
    <t>play 20p roulette online</t>
  </si>
  <si>
    <t>online free slots with bonus feature</t>
  </si>
  <si>
    <t>online slots kostenlos</t>
  </si>
  <si>
    <t>fantasma games slot provider</t>
  </si>
  <si>
    <t>slots online dinheiro real</t>
  </si>
  <si>
    <t>tracker crazy time</t>
  </si>
  <si>
    <t>crazy time roobet</t>
  </si>
  <si>
    <t>blackjack online play</t>
  </si>
  <si>
    <t>beat online roulette</t>
  </si>
  <si>
    <t>free online slots of vegas</t>
  </si>
  <si>
    <t>online play roulette free</t>
  </si>
  <si>
    <t>slot machine free casino slot games for fun</t>
  </si>
  <si>
    <t>slot games that pay real money no deposit</t>
  </si>
  <si>
    <t>beste online roulette</t>
  </si>
  <si>
    <t>wazdan online slot games</t>
  </si>
  <si>
    <t>caesars free slot games</t>
  </si>
  <si>
    <t>casino slot games free play</t>
  </si>
  <si>
    <t>taruhan casino blackjack online deposit 50 ribu</t>
  </si>
  <si>
    <t>mobile online slots</t>
  </si>
  <si>
    <t>donde jugar blackjack online</t>
  </si>
  <si>
    <t>jogar blackjack online gratis</t>
  </si>
  <si>
    <t>online casino slots free</t>
  </si>
  <si>
    <t>roulette online usa</t>
  </si>
  <si>
    <t>play crazy time live</t>
  </si>
  <si>
    <t>amatic slots online free</t>
  </si>
  <si>
    <t>slots online win real money</t>
  </si>
  <si>
    <t>online slots usa</t>
  </si>
  <si>
    <t>online slots free spin</t>
  </si>
  <si>
    <t>free slot machine games casino</t>
  </si>
  <si>
    <t>slot games free online</t>
  </si>
  <si>
    <t>real money slot machine games online</t>
  </si>
  <si>
    <t>british slots online</t>
  </si>
  <si>
    <t>highest rtp online slots</t>
  </si>
  <si>
    <t>online slots fluffy favourites</t>
  </si>
  <si>
    <t>slot machine games free downloads</t>
  </si>
  <si>
    <t>crazy time как выиграть</t>
  </si>
  <si>
    <t>crazy time 50x</t>
  </si>
  <si>
    <t>online slots real money no deposit canada</t>
  </si>
  <si>
    <t>australian online slots real money</t>
  </si>
  <si>
    <t>viva slots vegas free slot casino games online</t>
  </si>
  <si>
    <t>online casino slots that pay real money</t>
  </si>
  <si>
    <t>online games casino free slot machines</t>
  </si>
  <si>
    <t>games roulette online</t>
  </si>
  <si>
    <t>goldfish slot games</t>
  </si>
  <si>
    <t>online slots spielen</t>
  </si>
  <si>
    <t>online penny slots real money</t>
  </si>
  <si>
    <t>online roulette trick</t>
  </si>
  <si>
    <t>best casino slots online</t>
  </si>
  <si>
    <t>online slots spiele</t>
  </si>
  <si>
    <t>free online slots casino</t>
  </si>
  <si>
    <t>play blackjack online canada</t>
  </si>
  <si>
    <t>blackjack online no download</t>
  </si>
  <si>
    <t>canada roulette online</t>
  </si>
  <si>
    <t>can you count cards on online blackjack</t>
  </si>
  <si>
    <t>play casino slots online</t>
  </si>
  <si>
    <t>free aristocrat slots online</t>
  </si>
  <si>
    <t>live blackjack online casinos</t>
  </si>
  <si>
    <t>online roulette ideal</t>
  </si>
  <si>
    <t>safe online slots for real money</t>
  </si>
  <si>
    <t>как выиграть в crazy time</t>
  </si>
  <si>
    <t>panama online roulette</t>
  </si>
  <si>
    <t>kostenlos roulette online spielen</t>
  </si>
  <si>
    <t>best online slots usa real money</t>
  </si>
  <si>
    <t>blackjack en vivo online</t>
  </si>
  <si>
    <t>casino games slot free</t>
  </si>
  <si>
    <t>play online slots for money</t>
  </si>
  <si>
    <t>online mobile blackjack</t>
  </si>
  <si>
    <t>online roulette usa</t>
  </si>
  <si>
    <t>play real cash money slots online</t>
  </si>
  <si>
    <t>online slots pay by mobile</t>
  </si>
  <si>
    <t>slots casino games online</t>
  </si>
  <si>
    <t>casinos slots online</t>
  </si>
  <si>
    <t>bally online free slots</t>
  </si>
  <si>
    <t>online slots uk reviews</t>
  </si>
  <si>
    <t>online roulette zonder registratie</t>
  </si>
  <si>
    <t>roulette wheel online game</t>
  </si>
  <si>
    <t>free fruit slot machine games</t>
  </si>
  <si>
    <t>sc slots online</t>
  </si>
  <si>
    <t>online poker slots</t>
  </si>
  <si>
    <t>easiest casino slot games to win</t>
  </si>
  <si>
    <t>free casino games online slots</t>
  </si>
  <si>
    <t>australian online roulette</t>
  </si>
  <si>
    <t>online blackjack ethereum</t>
  </si>
  <si>
    <t>top ireland online slots sites</t>
  </si>
  <si>
    <t>best online casino slots usa</t>
  </si>
  <si>
    <t>casino roulette online kostenlos spielen</t>
  </si>
  <si>
    <t>casino online blackjack</t>
  </si>
  <si>
    <t>best online slots nz</t>
  </si>
  <si>
    <t>netent slot games list</t>
  </si>
  <si>
    <t>newest slot games</t>
  </si>
  <si>
    <t>online slots us</t>
  </si>
  <si>
    <t>pragmatic slot games</t>
  </si>
  <si>
    <t>online slots with bonus</t>
  </si>
  <si>
    <t>online slots real money free bonus</t>
  </si>
  <si>
    <t>las vegas free online casino slots</t>
  </si>
  <si>
    <t>best slot games on stake</t>
  </si>
  <si>
    <t>crazy time tactics</t>
  </si>
  <si>
    <t>free slots casinos online</t>
  </si>
  <si>
    <t>games slot machines</t>
  </si>
  <si>
    <t>online slots website</t>
  </si>
  <si>
    <t>online slots deutsch</t>
  </si>
  <si>
    <t>crazy time result</t>
  </si>
  <si>
    <t>free casino slot games to play</t>
  </si>
  <si>
    <t>win real money online free slots</t>
  </si>
  <si>
    <t>uk online slot games</t>
  </si>
  <si>
    <t>real cash slots online</t>
  </si>
  <si>
    <t>free online casino slot games</t>
  </si>
  <si>
    <t>roulette gambling online</t>
  </si>
  <si>
    <t>gamesys online slots</t>
  </si>
  <si>
    <t>free roulette game online for fun</t>
  </si>
  <si>
    <t>blackjack for fun online</t>
  </si>
  <si>
    <t>best us slots online</t>
  </si>
  <si>
    <t>statistiche crazy time</t>
  </si>
  <si>
    <t>slots 777 online</t>
  </si>
  <si>
    <t>igt online slots free play</t>
  </si>
  <si>
    <t>best online slots sites spain</t>
  </si>
  <si>
    <t>crazy time history today</t>
  </si>
  <si>
    <t>online slots no deposit needed</t>
  </si>
  <si>
    <t>free slots to play online</t>
  </si>
  <si>
    <t>free bally slots online</t>
  </si>
  <si>
    <t>slot machines games download</t>
  </si>
  <si>
    <t>slot games with real money</t>
  </si>
  <si>
    <t>roulette poker och blackjack bästa casino online</t>
  </si>
  <si>
    <t>evolution crazy time</t>
  </si>
  <si>
    <t>play online roulette for free</t>
  </si>
  <si>
    <t>slots games online</t>
  </si>
  <si>
    <t>free slots online ohne anmeldung</t>
  </si>
  <si>
    <t>online slots online</t>
  </si>
  <si>
    <t>slot games win real money</t>
  </si>
  <si>
    <t>play online roulette free</t>
  </si>
  <si>
    <t>roulette calculator online</t>
  </si>
  <si>
    <t>online slots germany</t>
  </si>
  <si>
    <t>live dealer roulette online casinos</t>
  </si>
  <si>
    <t>online slots tournament</t>
  </si>
  <si>
    <t>wms gaming online slots</t>
  </si>
  <si>
    <t>free online slots mr vegas</t>
  </si>
  <si>
    <t>free slot machine games with free spins</t>
  </si>
  <si>
    <t>online slots mit echtgeld</t>
  </si>
  <si>
    <t>free poker slot games</t>
  </si>
  <si>
    <t>ladbrokes slot games</t>
  </si>
  <si>
    <t>williams slot games</t>
  </si>
  <si>
    <t>free online slots to win real money</t>
  </si>
  <si>
    <t>die besten slot games</t>
  </si>
  <si>
    <t>online free slots with bonus</t>
  </si>
  <si>
    <t>best online progressive slots</t>
  </si>
  <si>
    <t>online slots not with gamstop</t>
  </si>
  <si>
    <t>online blackjack india</t>
  </si>
  <si>
    <t>play free online slots for fun</t>
  </si>
  <si>
    <t>top 10 best online slots</t>
  </si>
  <si>
    <t>swedish best free online slots</t>
  </si>
  <si>
    <t>new jersey online slots</t>
  </si>
  <si>
    <t>slots gratis online</t>
  </si>
  <si>
    <t>crazy time live streaming</t>
  </si>
  <si>
    <t>canadian online casino slots</t>
  </si>
  <si>
    <t>pompeii slots online</t>
  </si>
  <si>
    <t>online blackjack live dealer real money</t>
  </si>
  <si>
    <t>fantasma slots online</t>
  </si>
  <si>
    <t>crazy time strategy reddit</t>
  </si>
  <si>
    <t>blackjack spelen online</t>
  </si>
  <si>
    <t>play crazy time online</t>
  </si>
  <si>
    <t>highest payout online slots</t>
  </si>
  <si>
    <t>slots online indonesia</t>
  </si>
  <si>
    <t>online slots real money texas</t>
  </si>
  <si>
    <t>does online blackjack cheat</t>
  </si>
  <si>
    <t>play online blackjack for money</t>
  </si>
  <si>
    <t>play online casino slots</t>
  </si>
  <si>
    <t>best uk online slots</t>
  </si>
  <si>
    <t>online slots ontario canada</t>
  </si>
  <si>
    <t>online roulette predictor</t>
  </si>
  <si>
    <t>crazy time diretta</t>
  </si>
  <si>
    <t>blackjack online play free</t>
  </si>
  <si>
    <t>play blackjack free online</t>
  </si>
  <si>
    <t>online slots that accept paypal</t>
  </si>
  <si>
    <t>real money roulette online</t>
  </si>
  <si>
    <t>free online games casino roulette</t>
  </si>
  <si>
    <t>crazy time odds</t>
  </si>
  <si>
    <t>mgm online slots</t>
  </si>
  <si>
    <t>online slots for real money</t>
  </si>
  <si>
    <t>online slots canada</t>
  </si>
  <si>
    <t>slots free online game</t>
  </si>
  <si>
    <t>best blackjack casino online</t>
  </si>
  <si>
    <t>free slot games free slot games</t>
  </si>
  <si>
    <t>online casino demo games</t>
  </si>
  <si>
    <t>slots online no gamstop</t>
  </si>
  <si>
    <t>crazy time free play</t>
  </si>
  <si>
    <t>real blackjack online</t>
  </si>
  <si>
    <t>online betting slots</t>
  </si>
  <si>
    <t>online slots ideal</t>
  </si>
  <si>
    <t>bet roulette online</t>
  </si>
  <si>
    <t>slot games book of ra</t>
  </si>
  <si>
    <t>slots vegas online casino</t>
  </si>
  <si>
    <t>crazy time wheel stats</t>
  </si>
  <si>
    <t>blackjack online colombia</t>
  </si>
  <si>
    <t>blackjack online for real cash</t>
  </si>
  <si>
    <t>lightning roulette online free</t>
  </si>
  <si>
    <t>playing roulette online for free</t>
  </si>
  <si>
    <t>australian slots online</t>
  </si>
  <si>
    <t>slot games with bonuses</t>
  </si>
  <si>
    <t>best online casino slots</t>
  </si>
  <si>
    <t>online roulette canada</t>
  </si>
  <si>
    <t>uk roulette online</t>
  </si>
  <si>
    <t>greenland online roulette</t>
  </si>
  <si>
    <t>online blackjack spel</t>
  </si>
  <si>
    <t>learn blackjack online</t>
  </si>
  <si>
    <t>agen casino blackjack online</t>
  </si>
  <si>
    <t>roulette online canada</t>
  </si>
  <si>
    <t>online slots with no deposit</t>
  </si>
  <si>
    <t>online casinos live roulette</t>
  </si>
  <si>
    <t>slots games free online</t>
  </si>
  <si>
    <t>slots free online play</t>
  </si>
  <si>
    <t>free online slots machine</t>
  </si>
  <si>
    <t>tips for playing online slots</t>
  </si>
  <si>
    <t>juegos online slots</t>
  </si>
  <si>
    <t>free online no download slots</t>
  </si>
  <si>
    <t>online roulette games for money</t>
  </si>
  <si>
    <t>best time to play online slots</t>
  </si>
  <si>
    <t>best online blackjack site real money</t>
  </si>
  <si>
    <t>free online slots cleop</t>
  </si>
  <si>
    <t>games free slot</t>
  </si>
  <si>
    <t>free online slot games to play</t>
  </si>
  <si>
    <t>real online money slots</t>
  </si>
  <si>
    <t>slots machine online free</t>
  </si>
  <si>
    <t>blackjack online kostenlos</t>
  </si>
  <si>
    <t>red slots online casino</t>
  </si>
  <si>
    <t>slot games that are free</t>
  </si>
  <si>
    <t>jugar slots online</t>
  </si>
  <si>
    <t>low volatility online slots</t>
  </si>
  <si>
    <t>crazy time live statistics</t>
  </si>
  <si>
    <t>free slot games wheel of fortune</t>
  </si>
  <si>
    <t>free slot machine games online to play</t>
  </si>
  <si>
    <t>best online roulette sites denmark</t>
  </si>
  <si>
    <t>caesars casino online free slots</t>
  </si>
  <si>
    <t>online roulette random number generator</t>
  </si>
  <si>
    <t>free games slot casino</t>
  </si>
  <si>
    <t>online casino european roulette</t>
  </si>
  <si>
    <t>play 6 deck blackjack online free</t>
  </si>
  <si>
    <t>roulette online fake money</t>
  </si>
  <si>
    <t>auto roulette online</t>
  </si>
  <si>
    <t>agen roulette online</t>
  </si>
  <si>
    <t>free slots online uk</t>
  </si>
  <si>
    <t>casino online lightning roulette</t>
  </si>
  <si>
    <t>lightning roulette online casino</t>
  </si>
  <si>
    <t>online slots uk not on gamstop</t>
  </si>
  <si>
    <t>online slots no deposit uk</t>
  </si>
  <si>
    <t>historico crazy time</t>
  </si>
  <si>
    <t>multi wheel roulette online</t>
  </si>
  <si>
    <t>spela blackjack online</t>
  </si>
  <si>
    <t>roulette online echtgeld</t>
  </si>
  <si>
    <t>play blackjack online</t>
  </si>
  <si>
    <t>online slots that pay real money</t>
  </si>
  <si>
    <t>slots capital casino online</t>
  </si>
  <si>
    <t>highest paying slot games</t>
  </si>
  <si>
    <t>play free slots with bonus games online</t>
  </si>
  <si>
    <t>free online casino slots with bonus rounds</t>
  </si>
  <si>
    <t>online blackjack ipad real money</t>
  </si>
  <si>
    <t>games casino slot</t>
  </si>
  <si>
    <t>online roulette sites egypt</t>
  </si>
  <si>
    <t>practice roulette online</t>
  </si>
  <si>
    <t>spela slots online</t>
  </si>
  <si>
    <t>casino slot machine games</t>
  </si>
  <si>
    <t>easy slot games</t>
  </si>
  <si>
    <t>best online slots for real money</t>
  </si>
  <si>
    <t>online gambling blackjack</t>
  </si>
  <si>
    <t>online 777 slots</t>
  </si>
  <si>
    <t>free download slot games</t>
  </si>
  <si>
    <t>crazy time traker</t>
  </si>
  <si>
    <t>american roulette online casino</t>
  </si>
  <si>
    <t>can i play slots online for real money</t>
  </si>
  <si>
    <t>где играть в crazy time</t>
  </si>
  <si>
    <t>online blackjack apps</t>
  </si>
  <si>
    <t>casino slots online gambling</t>
  </si>
  <si>
    <t>canadian roulette online</t>
  </si>
  <si>
    <t>vincere al blackjack online</t>
  </si>
  <si>
    <t>online free roulette</t>
  </si>
  <si>
    <t>online blackjack card counting</t>
  </si>
  <si>
    <t>online casino roulette 10 cent</t>
  </si>
  <si>
    <t>real money slots online no download</t>
  </si>
  <si>
    <t>beste online roulette casinos</t>
  </si>
  <si>
    <t>play roulette online live dealer</t>
  </si>
  <si>
    <t>jogar slots online</t>
  </si>
  <si>
    <t>online free slots no download</t>
  </si>
  <si>
    <t>tracksino crazy time live</t>
  </si>
  <si>
    <t>bitcoin casino slot games</t>
  </si>
  <si>
    <t>free slot games free spins</t>
  </si>
  <si>
    <t>best online slots 2020</t>
  </si>
  <si>
    <t>best free online slot games</t>
  </si>
  <si>
    <t>wms slots online</t>
  </si>
  <si>
    <t>download free casino slot games for mobile phone</t>
  </si>
  <si>
    <t>blackjack card game online</t>
  </si>
  <si>
    <t>5 reel slot games</t>
  </si>
  <si>
    <t>good slot games</t>
  </si>
  <si>
    <t>uk online slots sites</t>
  </si>
  <si>
    <t>online slot games win real money</t>
  </si>
  <si>
    <t>online slots play</t>
  </si>
  <si>
    <t>crazy time a</t>
  </si>
  <si>
    <t>play blackjack games online</t>
  </si>
  <si>
    <t>free time crazy time</t>
  </si>
  <si>
    <t>play blackjack for free online</t>
  </si>
  <si>
    <t>jugar al blackjack online</t>
  </si>
  <si>
    <t>roulette online betting</t>
  </si>
  <si>
    <t>playing online blackjack</t>
  </si>
  <si>
    <t>online roulette pa</t>
  </si>
  <si>
    <t>best way to win on online slots</t>
  </si>
  <si>
    <t>free slots games online to play</t>
  </si>
  <si>
    <t>best new online slots ireland</t>
  </si>
  <si>
    <t>slots online with real money</t>
  </si>
  <si>
    <t>real online blackjack</t>
  </si>
  <si>
    <t>online live roulette casino</t>
  </si>
  <si>
    <t>games online slots</t>
  </si>
  <si>
    <t>bet real money online roulette</t>
  </si>
  <si>
    <t>play free online roulette</t>
  </si>
  <si>
    <t>free online slots</t>
  </si>
  <si>
    <t>online roulette philippines</t>
  </si>
  <si>
    <t>canada slots online</t>
  </si>
  <si>
    <t>slots online nz</t>
  </si>
  <si>
    <t>slots games online for free</t>
  </si>
  <si>
    <t>slots online play</t>
  </si>
  <si>
    <t>slots free game online</t>
  </si>
  <si>
    <t>online blackjack paypal</t>
  </si>
  <si>
    <t>real online slot games</t>
  </si>
  <si>
    <t>blackjack switch online</t>
  </si>
  <si>
    <t>free game roulette online</t>
  </si>
  <si>
    <t>gametwist slots online casino</t>
  </si>
  <si>
    <t>roulette online spiel</t>
  </si>
  <si>
    <t>slot demo games</t>
  </si>
  <si>
    <t>roulette play online</t>
  </si>
  <si>
    <t>free slot games no downloads</t>
  </si>
  <si>
    <t>us online slots no deposit bonus</t>
  </si>
  <si>
    <t>melhores slots online para ganhar dinheiro</t>
  </si>
  <si>
    <t>live dealer online blackjack</t>
  </si>
  <si>
    <t>crazy time betting</t>
  </si>
  <si>
    <t>slots online bonus</t>
  </si>
  <si>
    <t>can you play slots online and win real money</t>
  </si>
  <si>
    <t>juego de blackjack online</t>
  </si>
  <si>
    <t>online roulette strategy red black</t>
  </si>
  <si>
    <t>online slots software</t>
  </si>
  <si>
    <t>online blackjack for money usa</t>
  </si>
  <si>
    <t>play roulette online real money usa</t>
  </si>
  <si>
    <t>real money slot games</t>
  </si>
  <si>
    <t>betway online casino &amp; slots</t>
  </si>
  <si>
    <t>slots games online free</t>
  </si>
  <si>
    <t>watch crazy time</t>
  </si>
  <si>
    <t>roulette free play online</t>
  </si>
  <si>
    <t>free play online roulette</t>
  </si>
  <si>
    <t>online casino blackjack</t>
  </si>
  <si>
    <t>crypto slot games</t>
  </si>
  <si>
    <t>blackjack free online no download</t>
  </si>
  <si>
    <t>play online slots free</t>
  </si>
  <si>
    <t>low deposit online slots</t>
  </si>
  <si>
    <t>slot games vegas</t>
  </si>
  <si>
    <t>online roulette manipuliert</t>
  </si>
  <si>
    <t>traditional vs online slots</t>
  </si>
  <si>
    <t>sons of slots online casino</t>
  </si>
  <si>
    <t>casino demo slot games</t>
  </si>
  <si>
    <t>live blackjack online casino</t>
  </si>
  <si>
    <t>best winning online slots</t>
  </si>
  <si>
    <t>free online slot machines with bonus games</t>
  </si>
  <si>
    <t>casino games online free play slot</t>
  </si>
  <si>
    <t>casino slots online play</t>
  </si>
  <si>
    <t>european slots online</t>
  </si>
  <si>
    <t>online blackjack kostenlos</t>
  </si>
  <si>
    <t>free play slot games</t>
  </si>
  <si>
    <t>crazy time slot demo</t>
  </si>
  <si>
    <t>bitcoin blackjack online</t>
  </si>
  <si>
    <t>win online slots</t>
  </si>
  <si>
    <t>virgin casino free slots online</t>
  </si>
  <si>
    <t>online roulette real money app</t>
  </si>
  <si>
    <t>free online roulette for fun</t>
  </si>
  <si>
    <t>blackjack online spelen</t>
  </si>
  <si>
    <t>free classic slots online</t>
  </si>
  <si>
    <t>aristocrat online slots free</t>
  </si>
  <si>
    <t>online slots beste auszahlungsquote</t>
  </si>
  <si>
    <t>crazy time казино</t>
  </si>
  <si>
    <t>slot machine games for free</t>
  </si>
  <si>
    <t>crazy time ii</t>
  </si>
  <si>
    <t>best online slot games to win</t>
  </si>
  <si>
    <t>today crazy time</t>
  </si>
  <si>
    <t>live blackjack online uk</t>
  </si>
  <si>
    <t>1 dollar blackjack online</t>
  </si>
  <si>
    <t>online slots blog</t>
  </si>
  <si>
    <t>play online blackjack for free</t>
  </si>
  <si>
    <t>lucky lucky blackjack online free</t>
  </si>
  <si>
    <t>online blackjack calculator</t>
  </si>
  <si>
    <t>irish slot games</t>
  </si>
  <si>
    <t>coin flip crazy time</t>
  </si>
  <si>
    <t>betsoft online slot games</t>
  </si>
  <si>
    <t>jugar a la blackjack online</t>
  </si>
  <si>
    <t>online casino featuring themed slot games</t>
  </si>
  <si>
    <t>megaways online slots</t>
  </si>
  <si>
    <t>secret to winning online slots</t>
  </si>
  <si>
    <t>all slots online</t>
  </si>
  <si>
    <t>demo play casino games</t>
  </si>
  <si>
    <t>online roulette hacks</t>
  </si>
  <si>
    <t>roulette online casinos</t>
  </si>
  <si>
    <t>types of online slots</t>
  </si>
  <si>
    <t>casino roulette free online game</t>
  </si>
  <si>
    <t>best slot games to win</t>
  </si>
  <si>
    <t>online slots game free</t>
  </si>
  <si>
    <t>online slots real money paypal</t>
  </si>
  <si>
    <t>demo games slot spadegaming</t>
  </si>
  <si>
    <t>best slots to play online for real money</t>
  </si>
  <si>
    <t>slot games with free spins</t>
  </si>
  <si>
    <t>online roulette india real money</t>
  </si>
  <si>
    <t>1 dollar roulette online</t>
  </si>
  <si>
    <t>roulette online schweiz</t>
  </si>
  <si>
    <t>online slots machine</t>
  </si>
  <si>
    <t>play demo casino games</t>
  </si>
  <si>
    <t>do online slots really pay</t>
  </si>
  <si>
    <t>singapore online slots</t>
  </si>
  <si>
    <t>siti roulette online</t>
  </si>
  <si>
    <t>online slots sites latvia</t>
  </si>
  <si>
    <t>blackjack online betting</t>
  </si>
  <si>
    <t>beste online blackjack</t>
  </si>
  <si>
    <t>live dealer online roulette</t>
  </si>
  <si>
    <t>can you win real money online slots</t>
  </si>
  <si>
    <t>online slots that pay real cash</t>
  </si>
  <si>
    <t>can you win on online slots</t>
  </si>
  <si>
    <t>roulette online gratis free</t>
  </si>
  <si>
    <t>free slot machines casino online slots games</t>
  </si>
  <si>
    <t>slot machines games free</t>
  </si>
  <si>
    <t>roulette online kostenlos ohne anmeldung</t>
  </si>
  <si>
    <t>top online slot games</t>
  </si>
  <si>
    <t>online slots echtgeld paypal</t>
  </si>
  <si>
    <t>play online blackjack</t>
  </si>
  <si>
    <t>free online slots with no deposit</t>
  </si>
  <si>
    <t>online free casinos slots</t>
  </si>
  <si>
    <t>casino stats crazy time</t>
  </si>
  <si>
    <t>play live roulette online</t>
  </si>
  <si>
    <t>free fruit slots online</t>
  </si>
  <si>
    <t>play lightning roulette online</t>
  </si>
  <si>
    <t>mejor casino online blackjack andorra</t>
  </si>
  <si>
    <t>free casino slot games no deposit</t>
  </si>
  <si>
    <t>best slot games malaysia</t>
  </si>
  <si>
    <t>free online slots no deposit win real money</t>
  </si>
  <si>
    <t>blackjack online real money paypal</t>
  </si>
  <si>
    <t>roulette multiplayer online</t>
  </si>
  <si>
    <t>real money slots online in canada</t>
  </si>
  <si>
    <t>slot games no deposit</t>
  </si>
  <si>
    <t>vegas slots online</t>
  </si>
  <si>
    <t>online casino roulette strategy</t>
  </si>
  <si>
    <t>lucky creek blackjack online</t>
  </si>
  <si>
    <t>online sign up sheet with time slots</t>
  </si>
  <si>
    <t>online free casino slots</t>
  </si>
  <si>
    <t>free slots online no download</t>
  </si>
  <si>
    <t>top online slots real money</t>
  </si>
  <si>
    <t>free penny slot machine games</t>
  </si>
  <si>
    <t>online free slot games</t>
  </si>
  <si>
    <t>play free casino slot games</t>
  </si>
  <si>
    <t>high volatility online slots</t>
  </si>
  <si>
    <t>online roulette no deposit</t>
  </si>
  <si>
    <t>new slot machine games</t>
  </si>
  <si>
    <t>free online roulette australia</t>
  </si>
  <si>
    <t>live roulette online free play</t>
  </si>
  <si>
    <t>free casino slot games for fun downloads</t>
  </si>
  <si>
    <t>online casino roulette bonus</t>
  </si>
  <si>
    <t>free online slots australia</t>
  </si>
  <si>
    <t>free games online slot</t>
  </si>
  <si>
    <t>best online live dealer blackjack</t>
  </si>
  <si>
    <t>free igt slots online</t>
  </si>
  <si>
    <t>american roulette online free</t>
  </si>
  <si>
    <t>online slots free play</t>
  </si>
  <si>
    <t>multi casino demo slot games</t>
  </si>
  <si>
    <t>free online slots win real money</t>
  </si>
  <si>
    <t>roulette online chat</t>
  </si>
  <si>
    <t>can you play slots online for real money</t>
  </si>
  <si>
    <t>new online slots 2023</t>
  </si>
  <si>
    <t>free slot games downloads</t>
  </si>
  <si>
    <t>online casino roulette real money</t>
  </si>
  <si>
    <t>real online slots australia</t>
  </si>
  <si>
    <t>online roulette play for free</t>
  </si>
  <si>
    <t>live casino online blackjack</t>
  </si>
  <si>
    <t>best free slot games for iphone</t>
  </si>
  <si>
    <t>free penny slot games</t>
  </si>
  <si>
    <t>online live roulette</t>
  </si>
  <si>
    <t>thunderkick online slots</t>
  </si>
  <si>
    <t>crazy time score</t>
  </si>
  <si>
    <t>play real slots online free</t>
  </si>
  <si>
    <t>playing slots online</t>
  </si>
  <si>
    <t>online blackjack spellen</t>
  </si>
  <si>
    <t>bingo roulette online</t>
  </si>
  <si>
    <t>crazy time stata</t>
  </si>
  <si>
    <t>play free slot games with bonus rounds</t>
  </si>
  <si>
    <t>slots online australia</t>
  </si>
  <si>
    <t>1win crazy time</t>
  </si>
  <si>
    <t>legal slots online</t>
  </si>
  <si>
    <t>casino slot free games</t>
  </si>
  <si>
    <t>games free slot machines</t>
  </si>
  <si>
    <t>legal online blackjack gambling</t>
  </si>
  <si>
    <t>gala bingo online slots</t>
  </si>
  <si>
    <t>roulette online game real money</t>
  </si>
  <si>
    <t>slots online real money</t>
  </si>
  <si>
    <t>free online slots no downloads</t>
  </si>
  <si>
    <t>blackjack online practice</t>
  </si>
  <si>
    <t>gorilla slot games</t>
  </si>
  <si>
    <t>slot machine casino games</t>
  </si>
  <si>
    <t>free online slots machines</t>
  </si>
  <si>
    <t>online free blackjack</t>
  </si>
  <si>
    <t>bet365 best slot games</t>
  </si>
  <si>
    <t>online slots for real money south africa</t>
  </si>
  <si>
    <t>best bgaming online slots</t>
  </si>
  <si>
    <t>free slot games for android</t>
  </si>
  <si>
    <t>best online slots australia real money</t>
  </si>
  <si>
    <t>online gambling roulette</t>
  </si>
  <si>
    <t>best blackjack online casinos</t>
  </si>
  <si>
    <t>roulette online malaysia</t>
  </si>
  <si>
    <t>multi slots online free</t>
  </si>
  <si>
    <t>slot machine games that pay real money</t>
  </si>
  <si>
    <t>legit online slots</t>
  </si>
  <si>
    <t>roulette spielen online</t>
  </si>
  <si>
    <t>free online blackjack game</t>
  </si>
  <si>
    <t>play european roulette online for free</t>
  </si>
  <si>
    <t>best slot machine games to play</t>
  </si>
  <si>
    <t>top rated online slots</t>
  </si>
  <si>
    <t>online slots volatility</t>
  </si>
  <si>
    <t>online slots real for money</t>
  </si>
  <si>
    <t>free online roulette quick spin</t>
  </si>
  <si>
    <t>crazy time download</t>
  </si>
  <si>
    <t>best online roulette offers</t>
  </si>
  <si>
    <t>free bet blackjack online</t>
  </si>
  <si>
    <t>online slots games real money</t>
  </si>
  <si>
    <t>slots slots online</t>
  </si>
  <si>
    <t>best crazy time strategy</t>
  </si>
  <si>
    <t>super slots online casino</t>
  </si>
  <si>
    <t>blackjack online peru</t>
  </si>
  <si>
    <t>online roulette casino review</t>
  </si>
  <si>
    <t>download online roulette</t>
  </si>
  <si>
    <t>roulette online kostenlos spielen</t>
  </si>
  <si>
    <t>las vegas slot machine games</t>
  </si>
  <si>
    <t>crazy time прямой эфир</t>
  </si>
  <si>
    <t>roulette online free money no deposit</t>
  </si>
  <si>
    <t>bonus slots online</t>
  </si>
  <si>
    <t>online roulette strategier</t>
  </si>
  <si>
    <t>online slots pay by phone bill</t>
  </si>
  <si>
    <t>no deposit online slots</t>
  </si>
  <si>
    <t>pa online slots real money</t>
  </si>
  <si>
    <t>online casino schweiz blackjack</t>
  </si>
  <si>
    <t>online roulette real money paypal</t>
  </si>
  <si>
    <t>lord of the rings online slots</t>
  </si>
  <si>
    <t>free online slot games with bonus</t>
  </si>
  <si>
    <t>online casino roulette</t>
  </si>
  <si>
    <t>score crazy time</t>
  </si>
  <si>
    <t>online roulette nederland</t>
  </si>
  <si>
    <t>legit online blackjack</t>
  </si>
  <si>
    <t>australia slots online</t>
  </si>
  <si>
    <t>online blackjack fake money</t>
  </si>
  <si>
    <t>slot machine free games for fun</t>
  </si>
  <si>
    <t>us online slots</t>
  </si>
  <si>
    <t>double exposure blackjack online</t>
  </si>
  <si>
    <t>scatter slot free games</t>
  </si>
  <si>
    <t>william hill online slots</t>
  </si>
  <si>
    <t>lionline online slots</t>
  </si>
  <si>
    <t>top online slots australia</t>
  </si>
  <si>
    <t>spin palace online slots</t>
  </si>
  <si>
    <t>gambling online slots</t>
  </si>
  <si>
    <t>new online slots uk</t>
  </si>
  <si>
    <t>beste online slots</t>
  </si>
  <si>
    <t>gioco roulette online gratis</t>
  </si>
  <si>
    <t>online blackjack bitcoin</t>
  </si>
  <si>
    <t>play online roulette for free in canada</t>
  </si>
  <si>
    <t>online slot games uk</t>
  </si>
  <si>
    <t>learn to play roulette online free</t>
  </si>
  <si>
    <t>william hill online roulette</t>
  </si>
  <si>
    <t>blackjack online mit freunden</t>
  </si>
  <si>
    <t>winspark crazy time</t>
  </si>
  <si>
    <t>crazy time game download</t>
  </si>
  <si>
    <t>blackjack casino online</t>
  </si>
  <si>
    <t>play free online slots</t>
  </si>
  <si>
    <t>best blackjack online</t>
  </si>
  <si>
    <t>crazy time apk</t>
  </si>
  <si>
    <t>play blackjack online for fun</t>
  </si>
  <si>
    <t>roulette table online</t>
  </si>
  <si>
    <t>free games online blackjack</t>
  </si>
  <si>
    <t>play free slots online with bonus games</t>
  </si>
  <si>
    <t>jackpot city online casino slots</t>
  </si>
  <si>
    <t>online roulette with real money</t>
  </si>
  <si>
    <t>free online vegas slots</t>
  </si>
  <si>
    <t>online slots available in australia</t>
  </si>
  <si>
    <t>play online roulette for real money</t>
  </si>
  <si>
    <t>free slot games to play</t>
  </si>
  <si>
    <t>download free slot machines games</t>
  </si>
  <si>
    <t>agen judi roulette online</t>
  </si>
  <si>
    <t>hot tamale free online slots for fun</t>
  </si>
  <si>
    <t>crazy time demo slot</t>
  </si>
  <si>
    <t>free download of slot machine games</t>
  </si>
  <si>
    <t>blackjack spielen online</t>
  </si>
  <si>
    <t>is there online slots for real money</t>
  </si>
  <si>
    <t>las vegas casino online slots</t>
  </si>
  <si>
    <t>free bonus no deposit slot games</t>
  </si>
  <si>
    <t>free slot games to download</t>
  </si>
  <si>
    <t>roulette online spielen echtgeld</t>
  </si>
  <si>
    <t>online slot games for fun</t>
  </si>
  <si>
    <t>roulette online casino live</t>
  </si>
  <si>
    <t>babu88 crazy time</t>
  </si>
  <si>
    <t>online games slots</t>
  </si>
  <si>
    <t>casino games free slot</t>
  </si>
  <si>
    <t>bästa blackjack online</t>
  </si>
  <si>
    <t>bet365 crazy time</t>
  </si>
  <si>
    <t>play roulette free online casino</t>
  </si>
  <si>
    <t>online roulette wheel for fun</t>
  </si>
  <si>
    <t>gratis online roulette</t>
  </si>
  <si>
    <t>ladbrokes slots online</t>
  </si>
  <si>
    <t>free online games blackjack</t>
  </si>
  <si>
    <t>caesars palace free online slots</t>
  </si>
  <si>
    <t>best online roulette sites</t>
  </si>
  <si>
    <t>online american roulette wheel</t>
  </si>
  <si>
    <t>slot games online free bonus</t>
  </si>
  <si>
    <t>winning online roulette</t>
  </si>
  <si>
    <t>roulette online gaming</t>
  </si>
  <si>
    <t>best quickfire online slots</t>
  </si>
  <si>
    <t>new slot games for free</t>
  </si>
  <si>
    <t>online slots with sticky wilds</t>
  </si>
  <si>
    <t>online slots no deposit free bonus</t>
  </si>
  <si>
    <t>free online slots rainbow riches</t>
  </si>
  <si>
    <t>playing roulette online for money</t>
  </si>
  <si>
    <t>atlantis slots online</t>
  </si>
  <si>
    <t>free online slots play</t>
  </si>
  <si>
    <t>online games blackjack</t>
  </si>
  <si>
    <t>best online slots site</t>
  </si>
  <si>
    <t>slot machine online casino games</t>
  </si>
  <si>
    <t>slot games online singapore</t>
  </si>
  <si>
    <t>online slots paypal</t>
  </si>
  <si>
    <t>online roulette echtgeld</t>
  </si>
  <si>
    <t>online slots for money</t>
  </si>
  <si>
    <t>crazy time играть</t>
  </si>
  <si>
    <t>flaming hot free games slot</t>
  </si>
  <si>
    <t>online blackjack deutschland</t>
  </si>
  <si>
    <t>история crazy time</t>
  </si>
  <si>
    <t>free online blackjack with side bets</t>
  </si>
  <si>
    <t>grosvenor casino online slots</t>
  </si>
  <si>
    <t>best rtp online slots</t>
  </si>
  <si>
    <t>blackjack online play money</t>
  </si>
  <si>
    <t>free online casinos slots</t>
  </si>
  <si>
    <t>online slots games malaysia</t>
  </si>
  <si>
    <t>online casino uk slots</t>
  </si>
  <si>
    <t>win online roulette</t>
  </si>
  <si>
    <t>free online slot games to play now</t>
  </si>
  <si>
    <t>online slots for fun</t>
  </si>
  <si>
    <t>giocare a blackjack online</t>
  </si>
  <si>
    <t>slots online real money usa</t>
  </si>
  <si>
    <t>machine slots online</t>
  </si>
  <si>
    <t>classic slot games</t>
  </si>
  <si>
    <t>free slots machines online</t>
  </si>
  <si>
    <t>slot crazy time</t>
  </si>
  <si>
    <t>ainsworth slots online</t>
  </si>
  <si>
    <t>best online casino for blackjack</t>
  </si>
  <si>
    <t>free online slots vegas world for fun</t>
  </si>
  <si>
    <t>come vincere a blackjack online</t>
  </si>
  <si>
    <t>play online blackjack free</t>
  </si>
  <si>
    <t>online roulette geld verdienen</t>
  </si>
  <si>
    <t>casino slots online uk</t>
  </si>
  <si>
    <t>playing blackjack online for money</t>
  </si>
  <si>
    <t>games slot</t>
  </si>
  <si>
    <t>caesars casino - free online slots machines games</t>
  </si>
  <si>
    <t>free demo slots games online</t>
  </si>
  <si>
    <t>best real online slots</t>
  </si>
  <si>
    <t>novomatic online slots</t>
  </si>
  <si>
    <t>popular slot games online</t>
  </si>
  <si>
    <t>best slot games app</t>
  </si>
  <si>
    <t>online slots canada real money</t>
  </si>
  <si>
    <t>jogos de slots online</t>
  </si>
  <si>
    <t>slots magic online casino</t>
  </si>
  <si>
    <t>best uk slot games</t>
  </si>
  <si>
    <t>best online live roulette</t>
  </si>
  <si>
    <t>roulette online free game</t>
  </si>
  <si>
    <t>free slot games no download</t>
  </si>
  <si>
    <t>free downloadable casino slot games</t>
  </si>
  <si>
    <t>free slot games on facebook</t>
  </si>
  <si>
    <t>best online slots real money reviews</t>
  </si>
  <si>
    <t>slot games online uk</t>
  </si>
  <si>
    <t>online roulette real</t>
  </si>
  <si>
    <t>free slots online no download with bonus</t>
  </si>
  <si>
    <t>demo slot machine games</t>
  </si>
  <si>
    <t>roulette online australia</t>
  </si>
  <si>
    <t>slots online for free</t>
  </si>
  <si>
    <t>crazy time live video</t>
  </si>
  <si>
    <t>best casino slot games</t>
  </si>
  <si>
    <t>online slots not registered with gamstop</t>
  </si>
  <si>
    <t>online slots free no download</t>
  </si>
  <si>
    <t>borgata online slots</t>
  </si>
  <si>
    <t>crazy time senza sldi</t>
  </si>
  <si>
    <t>online blackjack rigged</t>
  </si>
  <si>
    <t>top gluck games online slot sites</t>
  </si>
  <si>
    <t>situs judi online blackjack</t>
  </si>
  <si>
    <t>bally slots online</t>
  </si>
  <si>
    <t>slots online pa</t>
  </si>
  <si>
    <t>casino slots online real money</t>
  </si>
  <si>
    <t>malaysia online slots</t>
  </si>
  <si>
    <t>play american roulette online free</t>
  </si>
  <si>
    <t>free online slots no</t>
  </si>
  <si>
    <t>vegas slots online free play</t>
  </si>
  <si>
    <t>online slots bonus free spins</t>
  </si>
  <si>
    <t>slots bingo online</t>
  </si>
  <si>
    <t>crazy time apps</t>
  </si>
  <si>
    <t>free online casino slot games with bonuses</t>
  </si>
  <si>
    <t>online blackjack south africa</t>
  </si>
  <si>
    <t>popular online slots</t>
  </si>
  <si>
    <t>free buffalo slot machine games</t>
  </si>
  <si>
    <t>игра crazy time</t>
  </si>
  <si>
    <t>online slots real money south africa</t>
  </si>
  <si>
    <t>gaming slots online</t>
  </si>
  <si>
    <t>casino slots free online</t>
  </si>
  <si>
    <t>best online casino european roulette</t>
  </si>
  <si>
    <t>slot games to play</t>
  </si>
  <si>
    <t>is online blackjack rigged</t>
  </si>
  <si>
    <t>can i play online slots for real money</t>
  </si>
  <si>
    <t>online progressive slots</t>
  </si>
  <si>
    <t>online roulette new jersey</t>
  </si>
  <si>
    <t>best online roulette real money</t>
  </si>
  <si>
    <t>slots free play online</t>
  </si>
  <si>
    <t>free online penny slots</t>
  </si>
  <si>
    <t>bandar judi roulette online</t>
  </si>
  <si>
    <t>slots heaven online casino review</t>
  </si>
  <si>
    <t>casino slots online free play</t>
  </si>
  <si>
    <t>online casino slots developer</t>
  </si>
  <si>
    <t>crazy time live tracker</t>
  </si>
  <si>
    <t>slots online to win real money</t>
  </si>
  <si>
    <t>play online slots for real money</t>
  </si>
  <si>
    <t>buffalo free slot games</t>
  </si>
  <si>
    <t>crazy time results</t>
  </si>
  <si>
    <t>online roulette strategie</t>
  </si>
  <si>
    <t>blackjack online game for fun</t>
  </si>
  <si>
    <t>online uk slots</t>
  </si>
  <si>
    <t>crazy time slot canada</t>
  </si>
  <si>
    <t>games slot terpercaya</t>
  </si>
  <si>
    <t>roulette online aams</t>
  </si>
  <si>
    <t>free online game slots</t>
  </si>
  <si>
    <t>best slots online</t>
  </si>
  <si>
    <t>online blackjack for beginners</t>
  </si>
  <si>
    <t>are there real online slots</t>
  </si>
  <si>
    <t>best online blackjack site</t>
  </si>
  <si>
    <t>play for real money online slots</t>
  </si>
  <si>
    <t>play crypto roulette online</t>
  </si>
  <si>
    <t>legal online blackjack</t>
  </si>
  <si>
    <t>cash slots online</t>
  </si>
  <si>
    <t>free play online slots</t>
  </si>
  <si>
    <t>online slots with free spins</t>
  </si>
  <si>
    <t>crazy time strategie</t>
  </si>
  <si>
    <t>best online slot games</t>
  </si>
  <si>
    <t>last crazy time</t>
  </si>
  <si>
    <t>best roulette strategy for online casino</t>
  </si>
  <si>
    <t>play slots for real money online in usa</t>
  </si>
  <si>
    <t>fun slots online</t>
  </si>
  <si>
    <t>barcrest online slots</t>
  </si>
  <si>
    <t>result crazy time</t>
  </si>
  <si>
    <t>casino live crazy time</t>
  </si>
  <si>
    <t>best online slots sites uk</t>
  </si>
  <si>
    <t>real money blackjack online</t>
  </si>
  <si>
    <t>online slots real money canada</t>
  </si>
  <si>
    <t>online slots bonus ohne einzahlung</t>
  </si>
  <si>
    <t>free bonus slot games</t>
  </si>
  <si>
    <t>games slot online indonesia</t>
  </si>
  <si>
    <t>casino free slots online</t>
  </si>
  <si>
    <t>online casino roulette royal</t>
  </si>
  <si>
    <t>play live blackjack online for money</t>
  </si>
  <si>
    <t>online slots spelen</t>
  </si>
  <si>
    <t>slots free online bonus</t>
  </si>
  <si>
    <t>free games slots online</t>
  </si>
  <si>
    <t>free mobile slot games</t>
  </si>
  <si>
    <t>sites with crazy time</t>
  </si>
  <si>
    <t>slot casino free games</t>
  </si>
  <si>
    <t>slots free online</t>
  </si>
  <si>
    <t>best australian online slots</t>
  </si>
  <si>
    <t>online live roulette uk</t>
  </si>
  <si>
    <t>crazy time регистрация</t>
  </si>
  <si>
    <t>casinos online blackjack en vivo</t>
  </si>
  <si>
    <t>online blackjack game</t>
  </si>
  <si>
    <t>online slots free money</t>
  </si>
  <si>
    <t>cops and donuts slots online</t>
  </si>
  <si>
    <t>free online casino demo games</t>
  </si>
  <si>
    <t>slots play online</t>
  </si>
  <si>
    <t>online roulette websites</t>
  </si>
  <si>
    <t>best online roulette app</t>
  </si>
  <si>
    <t>crazy time online casino</t>
  </si>
  <si>
    <t>online roulette real money australia</t>
  </si>
  <si>
    <t>real online slots win real money</t>
  </si>
  <si>
    <t>tips roulette online</t>
  </si>
  <si>
    <t>best slot games for android</t>
  </si>
  <si>
    <t>online blackjack gambling</t>
  </si>
  <si>
    <t>real online casino slots</t>
  </si>
  <si>
    <t>quick hit casino slots - free slot machines games</t>
  </si>
  <si>
    <t>casinos online blackjack andorra</t>
  </si>
  <si>
    <t>wheres the gold free online slots</t>
  </si>
  <si>
    <t>slots of vegas online casino instant play</t>
  </si>
  <si>
    <t>habanero slot games</t>
  </si>
  <si>
    <t>online games roulette</t>
  </si>
  <si>
    <t>free slot games free</t>
  </si>
  <si>
    <t>quick hit casino online slots</t>
  </si>
  <si>
    <t>gratis blackjack online</t>
  </si>
  <si>
    <t>mobile slot games</t>
  </si>
  <si>
    <t>games slot games</t>
  </si>
  <si>
    <t>online slots india</t>
  </si>
  <si>
    <t>online slots with no deposit bonus</t>
  </si>
  <si>
    <t>online blackjack ontario</t>
  </si>
  <si>
    <t>quais os melhores slots online</t>
  </si>
  <si>
    <t>sex roulette online</t>
  </si>
  <si>
    <t>slot free casino games</t>
  </si>
  <si>
    <t>slot games free slot games</t>
  </si>
  <si>
    <t>free mobile slots online</t>
  </si>
  <si>
    <t>top slot games online</t>
  </si>
  <si>
    <t>roulette table online free</t>
  </si>
  <si>
    <t>slot games to download for free</t>
  </si>
  <si>
    <t>vegas free slots online</t>
  </si>
  <si>
    <t>casino slots real money online</t>
  </si>
  <si>
    <t>roulette online game free</t>
  </si>
  <si>
    <t>online lightning roulette</t>
  </si>
  <si>
    <t>no deposit free slots online</t>
  </si>
  <si>
    <t>crazy time spin</t>
  </si>
  <si>
    <t>play slot games for free</t>
  </si>
  <si>
    <t>crazy time download app</t>
  </si>
  <si>
    <t>slots online free money</t>
  </si>
  <si>
    <t>blackjack online dinero real</t>
  </si>
  <si>
    <t>online blackjack real money uk</t>
  </si>
  <si>
    <t>free online casino slot games to play for fun</t>
  </si>
  <si>
    <t>3d slots online</t>
  </si>
  <si>
    <t>online blackjack spielen</t>
  </si>
  <si>
    <t>play blackjack switch online</t>
  </si>
  <si>
    <t>slingo slot games</t>
  </si>
  <si>
    <t>online roulette aus</t>
  </si>
  <si>
    <t>online blackjack real money usa</t>
  </si>
  <si>
    <t>high stakes blackjack online</t>
  </si>
  <si>
    <t>bitcoin online slots</t>
  </si>
  <si>
    <t>online slots rigged</t>
  </si>
  <si>
    <t>spin slot games</t>
  </si>
  <si>
    <t>casino roulette online free</t>
  </si>
  <si>
    <t>online casinos slots</t>
  </si>
  <si>
    <t>play free blackjack online</t>
  </si>
  <si>
    <t>online casino slots for free</t>
  </si>
  <si>
    <t>watch crazy time live</t>
  </si>
  <si>
    <t>online blackjack tables</t>
  </si>
  <si>
    <t>top rated slot games</t>
  </si>
  <si>
    <t>roulette online simulator</t>
  </si>
  <si>
    <t>scatter slot games</t>
  </si>
  <si>
    <t>bandar roulette online</t>
  </si>
  <si>
    <t>can i play roulette online for money</t>
  </si>
  <si>
    <t>roulette uk online</t>
  </si>
  <si>
    <t>slot online free casino games</t>
  </si>
  <si>
    <t>online roulette strategy to win</t>
  </si>
  <si>
    <t>online poker slots real money</t>
  </si>
  <si>
    <t>slot games bonus free</t>
  </si>
  <si>
    <t>crazy time apk download</t>
  </si>
  <si>
    <t>online blackjack real money canada</t>
  </si>
  <si>
    <t>slot machine free games grátis</t>
  </si>
  <si>
    <t>french roulette online free</t>
  </si>
  <si>
    <t>best online live roulette casino</t>
  </si>
  <si>
    <t>slots online no deposit bonus</t>
  </si>
  <si>
    <t>online roulette in india</t>
  </si>
  <si>
    <t>online slots with aztec</t>
  </si>
  <si>
    <t>coral online slots</t>
  </si>
  <si>
    <t>free slot games online</t>
  </si>
  <si>
    <t>free roulette online game for fun</t>
  </si>
  <si>
    <t>free slot games with no deposit</t>
  </si>
  <si>
    <t>mecca bingo online slots</t>
  </si>
  <si>
    <t>online casino roulette kostenlos</t>
  </si>
  <si>
    <t>online roulette casino game</t>
  </si>
  <si>
    <t>legit slots online</t>
  </si>
  <si>
    <t>play free slots game online</t>
  </si>
  <si>
    <t>play free demo casino games</t>
  </si>
  <si>
    <t>online mobile slots</t>
  </si>
  <si>
    <t>slot boss online slots</t>
  </si>
  <si>
    <t>play slots online canada</t>
  </si>
  <si>
    <t>real casino slots online</t>
  </si>
  <si>
    <t>blackjack online free no money</t>
  </si>
  <si>
    <t>juegos slots online</t>
  </si>
  <si>
    <t>free slots games online</t>
  </si>
  <si>
    <t>aristocrat free slot games online</t>
  </si>
  <si>
    <t>free slots online play</t>
  </si>
  <si>
    <t>best online slots to win</t>
  </si>
  <si>
    <t>play online roulette australia</t>
  </si>
  <si>
    <t>slot free games machine</t>
  </si>
  <si>
    <t>best payout slots online</t>
  </si>
  <si>
    <t>88 fortunes casino slot games</t>
  </si>
  <si>
    <t>online blackjack pa</t>
  </si>
  <si>
    <t>free slot casino games online</t>
  </si>
  <si>
    <t>free blackjack online unblocked</t>
  </si>
  <si>
    <t>slot games with bonus</t>
  </si>
  <si>
    <t>best slots online uk</t>
  </si>
  <si>
    <t>play roulette online</t>
  </si>
  <si>
    <t>online blackjack ideal</t>
  </si>
  <si>
    <t>free download slot games play offline</t>
  </si>
  <si>
    <t>play casino slot games</t>
  </si>
  <si>
    <t>play roulette online india</t>
  </si>
  <si>
    <t>online slots ca</t>
  </si>
  <si>
    <t>online casino live roulette wheel</t>
  </si>
  <si>
    <t>blackjack 21 juego online</t>
  </si>
  <si>
    <t>european roulette online free</t>
  </si>
  <si>
    <t>play real online slots</t>
  </si>
  <si>
    <t>best slots to play online</t>
  </si>
  <si>
    <t>top yggdrasil online slots</t>
  </si>
  <si>
    <t>slot games uk</t>
  </si>
  <si>
    <t>best online roulette uk</t>
  </si>
  <si>
    <t>konami slot games</t>
  </si>
  <si>
    <t>online roulette william hill</t>
  </si>
  <si>
    <t>slot adventure games</t>
  </si>
  <si>
    <t>online roulette play for fun</t>
  </si>
  <si>
    <t>blackjack online free for fun</t>
  </si>
  <si>
    <t>play online roulette real money</t>
  </si>
  <si>
    <t>online russian roulette</t>
  </si>
  <si>
    <t>online roulette casinos</t>
  </si>
  <si>
    <t>custom roulette wheel online</t>
  </si>
  <si>
    <t>las vegas slots online</t>
  </si>
  <si>
    <t>crazy time livestream</t>
  </si>
  <si>
    <t>slot games free bonus</t>
  </si>
  <si>
    <t>online roulette practice</t>
  </si>
  <si>
    <t>european roulette free online</t>
  </si>
  <si>
    <t>best netent slot games</t>
  </si>
  <si>
    <t>internet slot games</t>
  </si>
  <si>
    <t>play online blackjack in canada</t>
  </si>
  <si>
    <t>most popular online slots</t>
  </si>
  <si>
    <t>real online slots for money</t>
  </si>
  <si>
    <t>online slots ireland</t>
  </si>
  <si>
    <t>free slots online free</t>
  </si>
  <si>
    <t>slots online slots</t>
  </si>
  <si>
    <t>strategie roulette online</t>
  </si>
  <si>
    <t>pa slots online</t>
  </si>
  <si>
    <t>online roulette game</t>
  </si>
  <si>
    <t>slot free games online</t>
  </si>
  <si>
    <t>free slots online to play</t>
  </si>
  <si>
    <t>best live roulette online</t>
  </si>
  <si>
    <t>american online roulette</t>
  </si>
  <si>
    <t>free slot machine games online</t>
  </si>
  <si>
    <t>online slots with bonus rounds</t>
  </si>
  <si>
    <t>online casinos like liberty slots</t>
  </si>
  <si>
    <t>high volatility slots online</t>
  </si>
  <si>
    <t>best slot machine games</t>
  </si>
  <si>
    <t>free online slots canada</t>
  </si>
  <si>
    <t>casino blackjack online free</t>
  </si>
  <si>
    <t>free online cleopatra slots</t>
  </si>
  <si>
    <t>free multi line slots online</t>
  </si>
  <si>
    <t>roulette online games</t>
  </si>
  <si>
    <t>online blackjack no deposit bonus</t>
  </si>
  <si>
    <t>slot games real money india</t>
  </si>
  <si>
    <t>aussie slots online</t>
  </si>
  <si>
    <t>free online mobile slots</t>
  </si>
  <si>
    <t>mejor blackjack online</t>
  </si>
  <si>
    <t>top 10 online casino slots</t>
  </si>
  <si>
    <t>slots machine online</t>
  </si>
  <si>
    <t>online slots sverige</t>
  </si>
  <si>
    <t>blackjack online ao vivo</t>
  </si>
  <si>
    <t>crazy time demo mode</t>
  </si>
  <si>
    <t>play free demo slot games</t>
  </si>
  <si>
    <t>crazy time landing page download</t>
  </si>
  <si>
    <t>online slots mcluck</t>
  </si>
  <si>
    <t>highest rtp online slots 2020</t>
  </si>
  <si>
    <t>online slots welcome bonus</t>
  </si>
  <si>
    <t>888 blackjack online</t>
  </si>
  <si>
    <t>online slot machines games</t>
  </si>
  <si>
    <t>bitcoin slot machine games</t>
  </si>
  <si>
    <t>roulette casinos online</t>
  </si>
  <si>
    <t>blackjack kostenlos online spielen</t>
  </si>
  <si>
    <t>best merkur online slots</t>
  </si>
  <si>
    <t>cleopatra free slot games</t>
  </si>
  <si>
    <t>slot machines free games</t>
  </si>
  <si>
    <t>panda slot games</t>
  </si>
  <si>
    <t>online roulette app real money</t>
  </si>
  <si>
    <t>best uk online roulette</t>
  </si>
  <si>
    <t>buckshot roulette online</t>
  </si>
  <si>
    <t>roulette gratis online spielen</t>
  </si>
  <si>
    <t>best online blackjack game</t>
  </si>
  <si>
    <t>online casino slots mit hoher gewinnchance</t>
  </si>
  <si>
    <t>online casino real money slots</t>
  </si>
  <si>
    <t>online roulette free bet</t>
  </si>
  <si>
    <t>online slots nj</t>
  </si>
  <si>
    <t>high roller slots online</t>
  </si>
  <si>
    <t>blackjack tournament online</t>
  </si>
  <si>
    <t>the best online slot games</t>
  </si>
  <si>
    <t>video blackjack online</t>
  </si>
  <si>
    <t>online free roulette games</t>
  </si>
  <si>
    <t>situs slots online</t>
  </si>
  <si>
    <t>best online blackjack app</t>
  </si>
  <si>
    <t>online casino slots tricks</t>
  </si>
  <si>
    <t>american roulette online</t>
  </si>
  <si>
    <t>blackjack game online</t>
  </si>
  <si>
    <t>play online slots videopoker</t>
  </si>
  <si>
    <t>games slots online</t>
  </si>
  <si>
    <t>crazy time bonus tracker</t>
  </si>
  <si>
    <t>online slot casino games</t>
  </si>
  <si>
    <t>top payout online slots</t>
  </si>
  <si>
    <t>best online blackjack casino canada</t>
  </si>
  <si>
    <t>casino slot games free download</t>
  </si>
  <si>
    <t>vegas strip blackjack online</t>
  </si>
  <si>
    <t>free slots online no download no registration</t>
  </si>
  <si>
    <t>lightning roulette online</t>
  </si>
  <si>
    <t>best online roulette site</t>
  </si>
  <si>
    <t>slot games that pay real money instantly</t>
  </si>
  <si>
    <t>new slot games nz</t>
  </si>
  <si>
    <t>free slot casino games</t>
  </si>
  <si>
    <t>free online casino roulette games play</t>
  </si>
  <si>
    <t>slots to play online</t>
  </si>
  <si>
    <t>roulette online with real money</t>
  </si>
  <si>
    <t>popular slot games</t>
  </si>
  <si>
    <t>netent slot games</t>
  </si>
  <si>
    <t>roulette online play</t>
  </si>
  <si>
    <t>slots online portugal</t>
  </si>
  <si>
    <t>hack slots online</t>
  </si>
  <si>
    <t>slot machine free games</t>
  </si>
  <si>
    <t>crazy time wheel</t>
  </si>
  <si>
    <t>slot for fun free games</t>
  </si>
  <si>
    <t>online casino slot games</t>
  </si>
  <si>
    <t>strategy crazy time</t>
  </si>
  <si>
    <t>blackjack online gratis</t>
  </si>
  <si>
    <t>bandar blackjack online</t>
  </si>
  <si>
    <t>bonus crazy time</t>
  </si>
  <si>
    <t>slot games that pay out real money</t>
  </si>
  <si>
    <t>play free slot games online</t>
  </si>
  <si>
    <t>casino scores crazy time</t>
  </si>
  <si>
    <t>roulette online casino games</t>
  </si>
  <si>
    <t>free casino games demo</t>
  </si>
  <si>
    <t>free slot games with bonus spins no download</t>
  </si>
  <si>
    <t>liechtenstein online roulette</t>
  </si>
  <si>
    <t>best paying casino slot games</t>
  </si>
  <si>
    <t>games online slot</t>
  </si>
  <si>
    <t>online games slot</t>
  </si>
  <si>
    <t>free online las vegas slots</t>
  </si>
  <si>
    <t>best online casino for live dealer blackjack</t>
  </si>
  <si>
    <t>roulette online real</t>
  </si>
  <si>
    <t>roulette game free online for fun</t>
  </si>
  <si>
    <t>free 3d slot machine games</t>
  </si>
  <si>
    <t>crazy time evolution gaming</t>
  </si>
  <si>
    <t>casino slot games online free</t>
  </si>
  <si>
    <t>best online slots michigan</t>
  </si>
  <si>
    <t>play free slots online for fun no download</t>
  </si>
  <si>
    <t>online slots real money nz</t>
  </si>
  <si>
    <t>best online roulette gambling sites usa</t>
  </si>
  <si>
    <t>photo roulette online</t>
  </si>
  <si>
    <t>best online slots game</t>
  </si>
  <si>
    <t>free online strip blackjack</t>
  </si>
  <si>
    <t>uk slot games</t>
  </si>
  <si>
    <t>slots game online</t>
  </si>
  <si>
    <t>premium roulette pro online</t>
  </si>
  <si>
    <t>online roulette legal</t>
  </si>
  <si>
    <t>free online slots twin win</t>
  </si>
  <si>
    <t>free roulette online game</t>
  </si>
  <si>
    <t>crazy time scores</t>
  </si>
  <si>
    <t>online live roulette nederland</t>
  </si>
  <si>
    <t>online slots real money app</t>
  </si>
  <si>
    <t>best online free slots</t>
  </si>
  <si>
    <t>european online roulette</t>
  </si>
  <si>
    <t>online blackjack echtgeld schweiz</t>
  </si>
  <si>
    <t>online roulette simulator</t>
  </si>
  <si>
    <t>slot games with free bonus</t>
  </si>
  <si>
    <t>casino slot machines games</t>
  </si>
  <si>
    <t>free games slot machine</t>
  </si>
  <si>
    <t>double bubble slot games</t>
  </si>
  <si>
    <t>online free slots</t>
  </si>
  <si>
    <t>best online casino blackjack</t>
  </si>
  <si>
    <t>free slot games online no download</t>
  </si>
  <si>
    <t>fruit slot games</t>
  </si>
  <si>
    <t>online live dealer roulette</t>
  </si>
  <si>
    <t>online roulette wheel simulator</t>
  </si>
  <si>
    <t>best gluck games slot sites</t>
  </si>
  <si>
    <t>online bonus slots</t>
  </si>
  <si>
    <t>slot machine games free slot games</t>
  </si>
  <si>
    <t>como jogar blackjack online</t>
  </si>
  <si>
    <t>new casino slot games</t>
  </si>
  <si>
    <t>best online slot games uk</t>
  </si>
  <si>
    <t>truques slots online</t>
  </si>
  <si>
    <t>online roulette strategies</t>
  </si>
  <si>
    <t>slot casino games free</t>
  </si>
  <si>
    <t>online roulette nz</t>
  </si>
  <si>
    <t>the best slots to play online</t>
  </si>
  <si>
    <t>jackpot slots online</t>
  </si>
  <si>
    <t>slots online casino free</t>
  </si>
  <si>
    <t>classic slots free online</t>
  </si>
  <si>
    <t>free online slots wheel of fortune</t>
  </si>
  <si>
    <t>casino online slots real money</t>
  </si>
  <si>
    <t>play free blackjack games online</t>
  </si>
  <si>
    <t>slots machines online free</t>
  </si>
  <si>
    <t>free slot games with bonus rounds no download</t>
  </si>
  <si>
    <t>perfect pairs blackjack online</t>
  </si>
  <si>
    <t>bonus blackjack online</t>
  </si>
  <si>
    <t>online roulette real money canada</t>
  </si>
  <si>
    <t>online slots best payout</t>
  </si>
  <si>
    <t>online slots with free sign up bonus</t>
  </si>
  <si>
    <t>roulette francese online</t>
  </si>
  <si>
    <t>christmas slot games</t>
  </si>
  <si>
    <t>ladbrokes free roulette online</t>
  </si>
  <si>
    <t>crazy time где играть</t>
  </si>
  <si>
    <t>online free slots machine</t>
  </si>
  <si>
    <t>ontario slots online</t>
  </si>
  <si>
    <t>crazy time topx</t>
  </si>
  <si>
    <t>new online slot games</t>
  </si>
  <si>
    <t>online slots uk new</t>
  </si>
  <si>
    <t>free casinos slots online</t>
  </si>
  <si>
    <t>free online slots with free spins</t>
  </si>
  <si>
    <t>crazy time casino tracker</t>
  </si>
  <si>
    <t>bandar betting casino roulette online</t>
  </si>
  <si>
    <t>play online slots with real money</t>
  </si>
  <si>
    <t>pc slot games</t>
  </si>
  <si>
    <t>are online slots rigged</t>
  </si>
  <si>
    <t>online slot games for free</t>
  </si>
  <si>
    <t>online roulette system</t>
  </si>
  <si>
    <t>barcrest free online slots</t>
  </si>
  <si>
    <t>online roulette and start up bonus</t>
  </si>
  <si>
    <t>mason slots online casino</t>
  </si>
  <si>
    <t>respin slot games</t>
  </si>
  <si>
    <t>kostenlose slot games</t>
  </si>
  <si>
    <t>free online casino slots games</t>
  </si>
  <si>
    <t>can you win money playing online slots</t>
  </si>
  <si>
    <t>free slots online with bonus</t>
  </si>
  <si>
    <t>slot casino games</t>
  </si>
  <si>
    <t>slots online dinero real</t>
  </si>
  <si>
    <t>roulette kostenlos online spielen</t>
  </si>
  <si>
    <t>real slot machine games</t>
  </si>
  <si>
    <t>play roulette online real money</t>
  </si>
  <si>
    <t>slot games for pc</t>
  </si>
  <si>
    <t>online casino games slot machine</t>
  </si>
  <si>
    <t>online slots for free to play</t>
  </si>
  <si>
    <t>malaysia online slot games</t>
  </si>
  <si>
    <t>online casino vegas slots</t>
  </si>
  <si>
    <t>bonus slot games</t>
  </si>
  <si>
    <t>aztec slots online free</t>
  </si>
  <si>
    <t>slot machine games free</t>
  </si>
  <si>
    <t>online play slots</t>
  </si>
  <si>
    <t>online roulette play</t>
  </si>
  <si>
    <t>best online slots site in india</t>
  </si>
  <si>
    <t>online slots mit hoher gewinnchance</t>
  </si>
  <si>
    <t>live online blackjack</t>
  </si>
  <si>
    <t>roulette live online</t>
  </si>
  <si>
    <t>online roulette game real money</t>
  </si>
  <si>
    <t>blackjack online free multiplayer</t>
  </si>
  <si>
    <t>blackjack online spielen</t>
  </si>
  <si>
    <t>bitcoin slots online</t>
  </si>
  <si>
    <t>hack online slots</t>
  </si>
  <si>
    <t>slots online usa</t>
  </si>
  <si>
    <t>best slot games on draftkings</t>
  </si>
  <si>
    <t>free casino slot games buffalo</t>
  </si>
  <si>
    <t>free slots games online no download</t>
  </si>
  <si>
    <t>casino online blackjack live</t>
  </si>
  <si>
    <t>online blackjack casinos philippines</t>
  </si>
  <si>
    <t>best online casino slots for real money</t>
  </si>
  <si>
    <t>slots with real money online</t>
  </si>
  <si>
    <t>online real money slots usa</t>
  </si>
  <si>
    <t>online real money slot games</t>
  </si>
  <si>
    <t>free online roulette american</t>
  </si>
  <si>
    <t>casino slot games uk</t>
  </si>
  <si>
    <t>european blackjack online free</t>
  </si>
  <si>
    <t>uk online slots</t>
  </si>
  <si>
    <t>online slots gambling</t>
  </si>
  <si>
    <t>wolf slot games</t>
  </si>
  <si>
    <t>roulette spelen online</t>
  </si>
  <si>
    <t>free games slot play</t>
  </si>
  <si>
    <t>best online blackjack michigan</t>
  </si>
  <si>
    <t>kostenlos slots online spielen</t>
  </si>
  <si>
    <t>free slot machine games no download</t>
  </si>
  <si>
    <t>roulette wheel free online</t>
  </si>
  <si>
    <t>real slots for money online</t>
  </si>
  <si>
    <t>top croatia online slots sites</t>
  </si>
  <si>
    <t>slot machine games to play for free</t>
  </si>
  <si>
    <t>european roulette online real money</t>
  </si>
  <si>
    <t>slot games free with bonus</t>
  </si>
  <si>
    <t>free slot games with no download</t>
  </si>
  <si>
    <t>come vincere al blackjack online</t>
  </si>
  <si>
    <t>aristocrat online slots</t>
  </si>
  <si>
    <t>no download slot games</t>
  </si>
  <si>
    <t>online slots usa real money</t>
  </si>
  <si>
    <t>online casino roulette games</t>
  </si>
  <si>
    <t>slots online spielen echtgeld</t>
  </si>
  <si>
    <t>blackjack online free play</t>
  </si>
  <si>
    <t>free roulette games online</t>
  </si>
  <si>
    <t>play roulette online for real money in usa</t>
  </si>
  <si>
    <t>crazy time stat</t>
  </si>
  <si>
    <t>online skill slots</t>
  </si>
  <si>
    <t>online gokken roulette</t>
  </si>
  <si>
    <t>roulette online deutschland</t>
  </si>
  <si>
    <t>best free online casino slot games</t>
  </si>
  <si>
    <t>crazy time slot</t>
  </si>
  <si>
    <t>cleopatra slots free online</t>
  </si>
  <si>
    <t>slots online spielen</t>
  </si>
  <si>
    <t>zodiac casino online slots</t>
  </si>
  <si>
    <t>wink slots online casino</t>
  </si>
  <si>
    <t>online classic roulette</t>
  </si>
  <si>
    <t>online free slots game</t>
  </si>
  <si>
    <t>online slots singapore</t>
  </si>
  <si>
    <t>bet online slots</t>
  </si>
  <si>
    <t>online-slots</t>
  </si>
  <si>
    <t>real money online slots usa</t>
  </si>
  <si>
    <t>online slots nederland</t>
  </si>
  <si>
    <t>slot games free for fun</t>
  </si>
  <si>
    <t>best slots to play online uk</t>
  </si>
  <si>
    <t>best slots games online</t>
  </si>
  <si>
    <t>747.live casino crazy time login</t>
  </si>
  <si>
    <t>online live casino roulette</t>
  </si>
  <si>
    <t>free vegas casino slot machine games</t>
  </si>
  <si>
    <t>live online roulette casino</t>
  </si>
  <si>
    <t>wms slot games</t>
  </si>
  <si>
    <t>blackjack trainer online</t>
  </si>
  <si>
    <t>online slots offers</t>
  </si>
  <si>
    <t>online live dealer blackjack</t>
  </si>
  <si>
    <t>luckyme slots online casino</t>
  </si>
  <si>
    <t>free roulette play online</t>
  </si>
  <si>
    <t>online blackjack australia</t>
  </si>
  <si>
    <t>bonus slots online free</t>
  </si>
  <si>
    <t>slots gambling online</t>
  </si>
  <si>
    <t>games online blackjack</t>
  </si>
  <si>
    <t>bestes blackjack online casino</t>
  </si>
  <si>
    <t>diamond slots free online</t>
  </si>
  <si>
    <t>free online roulette games</t>
  </si>
  <si>
    <t>online slots casinos</t>
  </si>
  <si>
    <t>blackjack gioco online</t>
  </si>
  <si>
    <t>blackjack poker online</t>
  </si>
  <si>
    <t>free slot games play free</t>
  </si>
  <si>
    <t>free online blackjack for fun</t>
  </si>
  <si>
    <t>practice blackjack online free</t>
  </si>
  <si>
    <t>download free casino slot games play offline</t>
  </si>
  <si>
    <t>wolf slots online free</t>
  </si>
  <si>
    <t>dragon slot machine games</t>
  </si>
  <si>
    <t>russian roulette online</t>
  </si>
  <si>
    <t>online french roulette real money</t>
  </si>
  <si>
    <t>can you cheat online slots</t>
  </si>
  <si>
    <t>video slots online</t>
  </si>
  <si>
    <t>online roulette betway games</t>
  </si>
  <si>
    <t>strategia roulette online</t>
  </si>
  <si>
    <t>canadian online slots</t>
  </si>
  <si>
    <t>online roulette guide</t>
  </si>
  <si>
    <t>beating online blackjack</t>
  </si>
  <si>
    <t>online blackjack for free</t>
  </si>
  <si>
    <t>free slots online machines</t>
  </si>
  <si>
    <t>is online roulette rigged</t>
  </si>
  <si>
    <t>halloween slot games</t>
  </si>
  <si>
    <t>multimedia games slot machines</t>
  </si>
  <si>
    <t>free slots games online for fun</t>
  </si>
  <si>
    <t>best roulette online</t>
  </si>
  <si>
    <t>play online slots</t>
  </si>
  <si>
    <t>free american roulette online</t>
  </si>
  <si>
    <t>free online games slots fruit machine</t>
  </si>
  <si>
    <t>roulette practice online</t>
  </si>
  <si>
    <t>online blackjack real money live dealers</t>
  </si>
  <si>
    <t>playing slots online for money</t>
  </si>
  <si>
    <t>new slot games free</t>
  </si>
  <si>
    <t>stat crazy time</t>
  </si>
  <si>
    <t>netflix slot games</t>
  </si>
  <si>
    <t>online blackjack canada</t>
  </si>
  <si>
    <t>play european roulette online</t>
  </si>
  <si>
    <t>roulette wheel online free</t>
  </si>
  <si>
    <t>free slot online casino games</t>
  </si>
  <si>
    <t>free online slots bonus</t>
  </si>
  <si>
    <t>free online roulette games for fun</t>
  </si>
  <si>
    <t>crazy time statistics</t>
  </si>
  <si>
    <t>slot games online real money</t>
  </si>
  <si>
    <t>slot games pay by phone bill</t>
  </si>
  <si>
    <t>wonder 4 slots free online</t>
  </si>
  <si>
    <t>play online roulette for fun</t>
  </si>
  <si>
    <t>jocuri blackjack online</t>
  </si>
  <si>
    <t>crazy time play</t>
  </si>
  <si>
    <t>online roulette algorithm calculator</t>
  </si>
  <si>
    <t>blackjack demo online</t>
  </si>
  <si>
    <t>judi casino blackjack online</t>
  </si>
  <si>
    <t>free novomatic slots online</t>
  </si>
  <si>
    <t>blackjack online game no money</t>
  </si>
  <si>
    <t>online gambling blackjack real money</t>
  </si>
  <si>
    <t>pirates slot machine games</t>
  </si>
  <si>
    <t>win real money playing slots online</t>
  </si>
  <si>
    <t>roulette games free online</t>
  </si>
  <si>
    <t>strip blackjack online game</t>
  </si>
  <si>
    <t>popular online casino slots</t>
  </si>
  <si>
    <t>play roulette online free for fun</t>
  </si>
  <si>
    <t>crazy time state</t>
  </si>
  <si>
    <t>free slot games with free spins</t>
  </si>
  <si>
    <t>new jersey online roulette</t>
  </si>
  <si>
    <t>online roulette gratis</t>
  </si>
  <si>
    <t>free casino games slot machines download</t>
  </si>
  <si>
    <t>blackjack online for free</t>
  </si>
  <si>
    <t>casino online free slots</t>
  </si>
  <si>
    <t>play slots machines online</t>
  </si>
  <si>
    <t>real online roulette</t>
  </si>
  <si>
    <t>online slots real money no deposit</t>
  </si>
  <si>
    <t>online slots in pa</t>
  </si>
  <si>
    <t>gioco roulette online</t>
  </si>
  <si>
    <t>netent slot machine games</t>
  </si>
  <si>
    <t>pragmatic play online slots</t>
  </si>
  <si>
    <t>bally's free slots online</t>
  </si>
  <si>
    <t>free slot machine games with bonus spins</t>
  </si>
  <si>
    <t>roulette online game fun</t>
  </si>
  <si>
    <t>slot games gratis</t>
  </si>
  <si>
    <t>online roulette bets</t>
  </si>
  <si>
    <t>play crazy time free</t>
  </si>
  <si>
    <t>multi slot demo games</t>
  </si>
  <si>
    <t>track casino crazy time</t>
  </si>
  <si>
    <t>online slots play for real money</t>
  </si>
  <si>
    <t>best online slots sites</t>
  </si>
  <si>
    <t>best slot games to play online</t>
  </si>
  <si>
    <t>bitcoin roulette online</t>
  </si>
  <si>
    <t>free online slots uk</t>
  </si>
  <si>
    <t>neteller online slots</t>
  </si>
  <si>
    <t>roulette online free play</t>
  </si>
  <si>
    <t>topx slot games online</t>
  </si>
  <si>
    <t>slots online gambling</t>
  </si>
  <si>
    <t>trucchi roulette online</t>
  </si>
  <si>
    <t>roulette online for free</t>
  </si>
  <si>
    <t>online slots no deposit bonus</t>
  </si>
  <si>
    <t>online blackjack cash games</t>
  </si>
  <si>
    <t>slots online ireland</t>
  </si>
  <si>
    <t>online blackjack for money</t>
  </si>
  <si>
    <t>play blackjack online with friends</t>
  </si>
  <si>
    <t>demo crazy time</t>
  </si>
  <si>
    <t>slots online españa</t>
  </si>
  <si>
    <t>poker slots online</t>
  </si>
  <si>
    <t>online slots portugal</t>
  </si>
  <si>
    <t>play free blackjack online for fun</t>
  </si>
  <si>
    <t>online slots florida</t>
  </si>
  <si>
    <t>nz online slots</t>
  </si>
  <si>
    <t>crazy time track casino</t>
  </si>
  <si>
    <t>monopoly free slots online</t>
  </si>
  <si>
    <t>online blackjack for real money usa</t>
  </si>
  <si>
    <t>yggdrasil slot games</t>
  </si>
  <si>
    <t>free online roulette real money</t>
  </si>
  <si>
    <t>free slot games with bonus rounds</t>
  </si>
  <si>
    <t>free slots casino games online</t>
  </si>
  <si>
    <t>play slot games online for real money</t>
  </si>
  <si>
    <t>online roulette real money usa</t>
  </si>
  <si>
    <t>grosvenor online slots</t>
  </si>
  <si>
    <t>play crazy time</t>
  </si>
  <si>
    <t>free games casino slot</t>
  </si>
  <si>
    <t>jugar blackjack online dinero ficticio</t>
  </si>
  <si>
    <t>online slots without gamestop</t>
  </si>
  <si>
    <t>online slots sign up bonus</t>
  </si>
  <si>
    <t>free online 3 reel slots</t>
  </si>
  <si>
    <t>juegos de slots online</t>
  </si>
  <si>
    <t>crazy time evolution gaming review</t>
  </si>
  <si>
    <t>truelab slots online</t>
  </si>
  <si>
    <t>online casino slots schweiz</t>
  </si>
  <si>
    <t>free demo casino slot games</t>
  </si>
  <si>
    <t>die besten online slots</t>
  </si>
  <si>
    <t>free slots online with bonus games</t>
  </si>
  <si>
    <t>online video roulette</t>
  </si>
  <si>
    <t>play roulette online for money</t>
  </si>
  <si>
    <t>best igt online slots</t>
  </si>
  <si>
    <t>best online roulette casinos norway</t>
  </si>
  <si>
    <t>free online las vegas casino slot games</t>
  </si>
  <si>
    <t>online casino slots provider</t>
  </si>
  <si>
    <t>guide to online roulette</t>
  </si>
  <si>
    <t>topx crazy time</t>
  </si>
  <si>
    <t>playing online slots</t>
  </si>
  <si>
    <t>online slots no wagering</t>
  </si>
  <si>
    <t>online roulette for real money in usa</t>
  </si>
  <si>
    <t>online free slots machines</t>
  </si>
  <si>
    <t>french roulette free online</t>
  </si>
  <si>
    <t>situs agen roulette online</t>
  </si>
  <si>
    <t>online european roulette</t>
  </si>
  <si>
    <t>online electronic roulette</t>
  </si>
  <si>
    <t>crazy time download apk</t>
  </si>
  <si>
    <t>online roulette free play</t>
  </si>
  <si>
    <t>roulette online for fun</t>
  </si>
  <si>
    <t>online roulette echtgeld mit startguthaben</t>
  </si>
  <si>
    <t>slots online free spins</t>
  </si>
  <si>
    <t>nj online slots</t>
  </si>
  <si>
    <t>jogos online casino gratis slots</t>
  </si>
  <si>
    <t>best slots online payout</t>
  </si>
  <si>
    <t>the best online casino for roulette</t>
  </si>
  <si>
    <t>tracksino crazy time a</t>
  </si>
  <si>
    <t>online slots for real cash</t>
  </si>
  <si>
    <t>play slot games</t>
  </si>
  <si>
    <t>online gambling real money blackjack</t>
  </si>
  <si>
    <t>play aristocrat slots online</t>
  </si>
  <si>
    <t>best online slots site in hong kong</t>
  </si>
  <si>
    <t>free blackjack online</t>
  </si>
  <si>
    <t>play slot games online</t>
  </si>
  <si>
    <t>jugar online blackjack</t>
  </si>
  <si>
    <t>play slots online for fun</t>
  </si>
  <si>
    <t>free online roulette no download</t>
  </si>
  <si>
    <t>blackjack online gratis spielen</t>
  </si>
  <si>
    <t>nz slots online</t>
  </si>
  <si>
    <t>free slots play online</t>
  </si>
  <si>
    <t>online slots free no deposit</t>
  </si>
  <si>
    <t>online slots promotions</t>
  </si>
  <si>
    <t>online casino slots machine</t>
  </si>
  <si>
    <t>online slots websites</t>
  </si>
  <si>
    <t>online slots site</t>
  </si>
  <si>
    <t>top online slots uk</t>
  </si>
  <si>
    <t>popiplay slots online</t>
  </si>
  <si>
    <t>online game blackjack</t>
  </si>
  <si>
    <t>gratis roulette online</t>
  </si>
  <si>
    <t>betsoft slot games list</t>
  </si>
  <si>
    <t>live casino slot games</t>
  </si>
  <si>
    <t>popular free slot games</t>
  </si>
  <si>
    <t>real casino slots online real money</t>
  </si>
  <si>
    <t>free casino slot games no download</t>
  </si>
  <si>
    <t>slot free slot games</t>
  </si>
  <si>
    <t>online casino slots real money australia</t>
  </si>
  <si>
    <t>play demo casino games online</t>
  </si>
  <si>
    <t>win real cash online slots</t>
  </si>
  <si>
    <t>slots online new</t>
  </si>
  <si>
    <t>online roulette fake money</t>
  </si>
  <si>
    <t>online roulette bonus ohne einzahlung</t>
  </si>
  <si>
    <t>casinos online slots</t>
  </si>
  <si>
    <t>best casino slot games to win money</t>
  </si>
  <si>
    <t>best online slots site in ireland</t>
  </si>
  <si>
    <t>best online slots review</t>
  </si>
  <si>
    <t>online casino slots mobile</t>
  </si>
  <si>
    <t>evolution crazy time demo</t>
  </si>
  <si>
    <t>evoplay slot games</t>
  </si>
  <si>
    <t>online pokie slots</t>
  </si>
  <si>
    <t>top online slots sites</t>
  </si>
  <si>
    <t>online casino blackjack usa</t>
  </si>
  <si>
    <t>online 20p roulette</t>
  </si>
  <si>
    <t>slot games free spins no deposit</t>
  </si>
  <si>
    <t>online slots mit hohen einsätzen</t>
  </si>
  <si>
    <t>online strip blackjack</t>
  </si>
  <si>
    <t>new uk online slots</t>
  </si>
  <si>
    <t>roulette online spielen betway casino bonus</t>
  </si>
  <si>
    <t>best casino online slots</t>
  </si>
  <si>
    <t>roulette live online free</t>
  </si>
  <si>
    <t>free slot games nz</t>
  </si>
  <si>
    <t>live roulette online canada</t>
  </si>
  <si>
    <t>online slots österreich</t>
  </si>
  <si>
    <t>legal online slots</t>
  </si>
  <si>
    <t>тактика crazy time</t>
  </si>
  <si>
    <t>online blackjack online</t>
  </si>
  <si>
    <t>online live blackjack</t>
  </si>
  <si>
    <t>crazy time live stream</t>
  </si>
  <si>
    <t>free play roulette online</t>
  </si>
  <si>
    <t>lo roller european roulette pro online spielen</t>
  </si>
  <si>
    <t>resultado crazy time</t>
  </si>
  <si>
    <t>iphone slot games</t>
  </si>
  <si>
    <t>slot machines games for free</t>
  </si>
  <si>
    <t>play new slots online free</t>
  </si>
  <si>
    <t>pay by mobile online slots</t>
  </si>
  <si>
    <t>online slots australia</t>
  </si>
  <si>
    <t>online blackjack cu dealeri live</t>
  </si>
  <si>
    <t>free fun slot games</t>
  </si>
  <si>
    <t>slots online free bonus no deposit</t>
  </si>
  <si>
    <t>slots online singapore</t>
  </si>
  <si>
    <t>live european roulette online</t>
  </si>
  <si>
    <t>online slots echtgeld</t>
  </si>
  <si>
    <t>vegas slots online casino</t>
  </si>
  <si>
    <t>are online blackjack games rigged</t>
  </si>
  <si>
    <t>online slots sites in portugal</t>
  </si>
  <si>
    <t>best online casino slot games</t>
  </si>
  <si>
    <t>online roulette schweiz</t>
  </si>
  <si>
    <t>roulette online practice</t>
  </si>
  <si>
    <t>wheel of fortune slots online</t>
  </si>
  <si>
    <t>malaysian best online slots</t>
  </si>
  <si>
    <t>cleopatra online slots</t>
  </si>
  <si>
    <t>aristocrat slot games</t>
  </si>
  <si>
    <t>roulette wheel online</t>
  </si>
  <si>
    <t>merkur slots online</t>
  </si>
  <si>
    <t>island luck demo slot games</t>
  </si>
  <si>
    <t>online roulette wheel</t>
  </si>
  <si>
    <t>bestes online casino blackjack</t>
  </si>
  <si>
    <t>online blackjack multiplayer free no download</t>
  </si>
  <si>
    <t>free slot games with bonuses</t>
  </si>
  <si>
    <t>play online roulette with real money</t>
  </si>
  <si>
    <t>crazy time results today</t>
  </si>
  <si>
    <t>bandar casino roulette online</t>
  </si>
  <si>
    <t>gamble online slots</t>
  </si>
  <si>
    <t>online slots echtgeld ohne einzahlung</t>
  </si>
  <si>
    <t>free online slots games for fun</t>
  </si>
  <si>
    <t>good online slots</t>
  </si>
  <si>
    <t>roulette online uang asli</t>
  </si>
  <si>
    <t>online real blackjack</t>
  </si>
  <si>
    <t>best paying online slots</t>
  </si>
  <si>
    <t>crazy time games</t>
  </si>
  <si>
    <t>best online slots sites malaysia</t>
  </si>
  <si>
    <t>legit blackjack online</t>
  </si>
  <si>
    <t>practice roulette online for free</t>
  </si>
  <si>
    <t>online slots to play for free</t>
  </si>
  <si>
    <t>online slot games free</t>
  </si>
  <si>
    <t>online slots no deposits</t>
  </si>
  <si>
    <t>rtp percentage of the casino slot games</t>
  </si>
  <si>
    <t>online casino slots real money usa</t>
  </si>
  <si>
    <t>all slots online casino</t>
  </si>
  <si>
    <t>3d roulette online</t>
  </si>
  <si>
    <t>blackjack for free online</t>
  </si>
  <si>
    <t>casino free slot games</t>
  </si>
  <si>
    <t>playtech slots online</t>
  </si>
  <si>
    <t>top slot games for android</t>
  </si>
  <si>
    <t>online slots au</t>
  </si>
  <si>
    <t>best online roulette sites uk</t>
  </si>
  <si>
    <t>online roulette paypal</t>
  </si>
  <si>
    <t>blackjack online australia</t>
  </si>
  <si>
    <t>free online slots with free spins no download</t>
  </si>
  <si>
    <t>no deposit bonus online roulette</t>
  </si>
  <si>
    <t>live roulette online india</t>
  </si>
  <si>
    <t>contare le carte blackjack online</t>
  </si>
  <si>
    <t>best online blackjack real money</t>
  </si>
  <si>
    <t>slots canada online</t>
  </si>
  <si>
    <t>best online roulette casinos</t>
  </si>
  <si>
    <t>live roulette online australia</t>
  </si>
  <si>
    <t>monopoly slots free slot machines &amp; casino games</t>
  </si>
  <si>
    <t>online slots bonus codes</t>
  </si>
  <si>
    <t>buffalo slots online</t>
  </si>
  <si>
    <t>free casino slot games</t>
  </si>
  <si>
    <t>free online slots with no download</t>
  </si>
  <si>
    <t>contare carte blackjack online</t>
  </si>
  <si>
    <t>best online slots bonus games</t>
  </si>
  <si>
    <t>slot games that pay real money to cash app</t>
  </si>
  <si>
    <t>blackjack online zdarma</t>
  </si>
  <si>
    <t>real casino slot games</t>
  </si>
  <si>
    <t>online blackjack singapore</t>
  </si>
  <si>
    <t>online slots real cash</t>
  </si>
  <si>
    <t>free online blackjack with other players</t>
  </si>
  <si>
    <t>best free online blackjack games</t>
  </si>
  <si>
    <t>dragon slots online</t>
  </si>
  <si>
    <t>online casino games slots</t>
  </si>
  <si>
    <t>blackjack online vegas world</t>
  </si>
  <si>
    <t>free casino slot machine games</t>
  </si>
  <si>
    <t>best usa online slots</t>
  </si>
  <si>
    <t>best online slot games to win real money</t>
  </si>
  <si>
    <t>online roulette software</t>
  </si>
  <si>
    <t>igt online casinoskonami slot games</t>
  </si>
  <si>
    <t>slot games no download</t>
  </si>
  <si>
    <t>play blackjack online free</t>
  </si>
  <si>
    <t>games on slot machines</t>
  </si>
  <si>
    <t>online slots in canada</t>
  </si>
  <si>
    <t>best online blackjack websites</t>
  </si>
  <si>
    <t>crazy time online 🇮🇹 icasino.blog</t>
  </si>
  <si>
    <t>free online bonus slots</t>
  </si>
  <si>
    <t>new online slots usa</t>
  </si>
  <si>
    <t>online slots best bonus</t>
  </si>
  <si>
    <t>online blackjack live</t>
  </si>
  <si>
    <t>play slots online real money</t>
  </si>
  <si>
    <t>best online casino live roulette</t>
  </si>
  <si>
    <t>free progressive slots online no download</t>
  </si>
  <si>
    <t>free bonus slots online</t>
  </si>
  <si>
    <t>free online roulette practice</t>
  </si>
  <si>
    <t>estrategia crazy time</t>
  </si>
  <si>
    <t>slot machine games</t>
  </si>
  <si>
    <t>best online roulette australia</t>
  </si>
  <si>
    <t>real cash payout online slots</t>
  </si>
  <si>
    <t>slot games for fun only</t>
  </si>
  <si>
    <t>free online european roulette</t>
  </si>
  <si>
    <t>gratis online roulette spielen</t>
  </si>
  <si>
    <t>free spins no deposit online slots</t>
  </si>
  <si>
    <t>online slots pay real money</t>
  </si>
  <si>
    <t>online roulette spielen</t>
  </si>
  <si>
    <t>online free slots canada</t>
  </si>
  <si>
    <t>strategie blackjack online</t>
  </si>
  <si>
    <t>speel online roulette</t>
  </si>
  <si>
    <t>free slot games with bonus</t>
  </si>
  <si>
    <t>jogar blackjack online</t>
  </si>
  <si>
    <t>best online slots real money usa</t>
  </si>
  <si>
    <t>online slots that pay</t>
  </si>
  <si>
    <t>real money online casino slots</t>
  </si>
  <si>
    <t>blackjack 21 online casino</t>
  </si>
  <si>
    <t>play online casino slots for real money</t>
  </si>
  <si>
    <t>free online slot games with bonuses</t>
  </si>
  <si>
    <t>roulette online free game play</t>
  </si>
  <si>
    <t>online slots tournaments</t>
  </si>
  <si>
    <t>online roulette no download</t>
  </si>
  <si>
    <t>online slots mit startguthaben</t>
  </si>
  <si>
    <t>blackjack online real money australia</t>
  </si>
  <si>
    <t>slots game online free</t>
  </si>
  <si>
    <t>roulette game online real money</t>
  </si>
  <si>
    <t>free video slots online no download</t>
  </si>
  <si>
    <t>online blackjack canada real money</t>
  </si>
  <si>
    <t>beste online slots echtgeld</t>
  </si>
  <si>
    <t>play slots online for real cash</t>
  </si>
  <si>
    <t>online free slots casino games</t>
  </si>
  <si>
    <t>slot games nz</t>
  </si>
  <si>
    <t>juegos de blackjack online</t>
  </si>
  <si>
    <t>chinese slot machine games</t>
  </si>
  <si>
    <t>live casino online roulette</t>
  </si>
  <si>
    <t>free online slot games no download</t>
  </si>
  <si>
    <t>free to play online slots</t>
  </si>
  <si>
    <t>online free slots with no downloading required</t>
  </si>
  <si>
    <t>free slot games ohne anmeldung</t>
  </si>
  <si>
    <t>online slots machines real money</t>
  </si>
  <si>
    <t>online bingo slots</t>
  </si>
  <si>
    <t>aristocrat slots online</t>
  </si>
  <si>
    <t>roulette online with other players</t>
  </si>
  <si>
    <t>roulette computer online casino</t>
  </si>
  <si>
    <t>casino blackjack online</t>
  </si>
  <si>
    <t>online slots machine real money</t>
  </si>
  <si>
    <t>play online slots games</t>
  </si>
  <si>
    <t>play slot machine games</t>
  </si>
  <si>
    <t>free online slots tournaments</t>
  </si>
  <si>
    <t>online casino slots canada</t>
  </si>
  <si>
    <t>all free slot games</t>
  </si>
  <si>
    <t>single zero roulette online</t>
  </si>
  <si>
    <t>online megaways slots</t>
  </si>
  <si>
    <t>best online blackjack live dealer</t>
  </si>
  <si>
    <t>free slot games that pay real money</t>
  </si>
  <si>
    <t>play free online casino slots for fun no reg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</si>
</sst>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color rgb="FF222222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ppgames.com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B2" s="9" t="str">
        <f>IFERROR(__xludf.DUMMYFUNCTION("IMPORTRANGE(""https://docs.google.com/spreadsheets/d/1LduFx7JK4t-GmGIaBexReDj5uh95VZrwzy2h8Fs4wwk/edit?usp=sharing"", ""'Bracket 9 - Casino Games'!M3:M"")"),"crazy time bahamas")</f>
        <v>crazy time bahamas</v>
      </c>
      <c r="C2" s="6"/>
      <c r="N2" s="8"/>
    </row>
    <row r="3">
      <c r="B3" s="9" t="str">
        <f>IFERROR(__xludf.DUMMYFUNCTION("""COMPUTED_VALUE"""),"crazy time game bahamas")</f>
        <v>crazy time game bahamas</v>
      </c>
      <c r="N3" s="8"/>
    </row>
    <row r="4">
      <c r="B4" s="9" t="str">
        <f>IFERROR(__xludf.DUMMYFUNCTION("""COMPUTED_VALUE"""),"online blackjack bahamas")</f>
        <v>online blackjack bahamas</v>
      </c>
      <c r="N4" s="8"/>
    </row>
    <row r="5">
      <c r="B5" s="9" t="str">
        <f>IFERROR(__xludf.DUMMYFUNCTION("""COMPUTED_VALUE"""),"blackjack online bahamas")</f>
        <v>blackjack online bahamas</v>
      </c>
      <c r="N5" s="8"/>
    </row>
    <row r="6">
      <c r="B6" s="9" t="str">
        <f>IFERROR(__xludf.DUMMYFUNCTION("""COMPUTED_VALUE"""),"online roulette bahamas")</f>
        <v>online roulette bahamas</v>
      </c>
    </row>
    <row r="7">
      <c r="B7" s="9" t="str">
        <f>IFERROR(__xludf.DUMMYFUNCTION("""COMPUTED_VALUE"""),"roulette online bahamas")</f>
        <v>roulette online bahamas</v>
      </c>
    </row>
    <row r="8">
      <c r="B8" s="9" t="str">
        <f>IFERROR(__xludf.DUMMYFUNCTION("""COMPUTED_VALUE"""),"online slots bahamas")</f>
        <v>online slots bahamas</v>
      </c>
    </row>
    <row r="9">
      <c r="B9" s="9" t="str">
        <f>IFERROR(__xludf.DUMMYFUNCTION("""COMPUTED_VALUE"""),"slot games bahamas")</f>
        <v>slot games bahamas</v>
      </c>
    </row>
    <row r="10">
      <c r="B10" s="9" t="str">
        <f>IFERROR(__xludf.DUMMYFUNCTION("""COMPUTED_VALUE"""),"casino slots bahamas")</f>
        <v>casino slots bahamas</v>
      </c>
    </row>
    <row r="11">
      <c r="B11" s="9" t="str">
        <f>IFERROR(__xludf.DUMMYFUNCTION("""COMPUTED_VALUE"""),"demo casino games bahamas")</f>
        <v>demo casino games bahamas</v>
      </c>
    </row>
    <row r="12">
      <c r="B12" s="9" t="str">
        <f>IFERROR(__xludf.DUMMYFUNCTION("""COMPUTED_VALUE"""),"crazy time online")</f>
        <v>crazy time online</v>
      </c>
    </row>
    <row r="13">
      <c r="B13" s="9" t="str">
        <f>IFERROR(__xludf.DUMMYFUNCTION("""COMPUTED_VALUE"""),"crazy time game online")</f>
        <v>crazy time game online</v>
      </c>
    </row>
    <row r="14">
      <c r="B14" s="9" t="str">
        <f>IFERROR(__xludf.DUMMYFUNCTION("""COMPUTED_VALUE"""),"online blackjack")</f>
        <v>online blackjack</v>
      </c>
    </row>
    <row r="15">
      <c r="B15" s="9" t="str">
        <f>IFERROR(__xludf.DUMMYFUNCTION("""COMPUTED_VALUE"""),"blackjack online")</f>
        <v>blackjack online</v>
      </c>
    </row>
    <row r="16">
      <c r="B16" s="9" t="str">
        <f>IFERROR(__xludf.DUMMYFUNCTION("""COMPUTED_VALUE"""),"online roulette")</f>
        <v>online roulette</v>
      </c>
    </row>
    <row r="17">
      <c r="B17" s="9" t="str">
        <f>IFERROR(__xludf.DUMMYFUNCTION("""COMPUTED_VALUE"""),"roulette online")</f>
        <v>roulette online</v>
      </c>
    </row>
    <row r="18">
      <c r="B18" s="9" t="str">
        <f>IFERROR(__xludf.DUMMYFUNCTION("""COMPUTED_VALUE"""),"online slots")</f>
        <v>online slots</v>
      </c>
    </row>
    <row r="19">
      <c r="B19" s="9" t="str">
        <f>IFERROR(__xludf.DUMMYFUNCTION("""COMPUTED_VALUE"""),"slot games online")</f>
        <v>slot games online</v>
      </c>
    </row>
    <row r="20">
      <c r="B20" s="9" t="str">
        <f>IFERROR(__xludf.DUMMYFUNCTION("""COMPUTED_VALUE"""),"casino slots online")</f>
        <v>casino slots online</v>
      </c>
    </row>
    <row r="21">
      <c r="B21" s="9" t="str">
        <f>IFERROR(__xludf.DUMMYFUNCTION("""COMPUTED_VALUE"""),"demo casino games online")</f>
        <v>demo casino games online</v>
      </c>
    </row>
    <row r="22">
      <c r="B22" s="9" t="str">
        <f>IFERROR(__xludf.DUMMYFUNCTION("""COMPUTED_VALUE"""),"crazy time play online")</f>
        <v>crazy time play online</v>
      </c>
    </row>
    <row r="23">
      <c r="B23" s="9" t="str">
        <f>IFERROR(__xludf.DUMMYFUNCTION("""COMPUTED_VALUE"""),"crazy time game play online")</f>
        <v>crazy time game play online</v>
      </c>
    </row>
    <row r="24">
      <c r="B24" s="9" t="str">
        <f>IFERROR(__xludf.DUMMYFUNCTION("""COMPUTED_VALUE"""),"online blackjack play online")</f>
        <v>online blackjack play online</v>
      </c>
    </row>
    <row r="25">
      <c r="B25" s="9" t="str">
        <f>IFERROR(__xludf.DUMMYFUNCTION("""COMPUTED_VALUE"""),"blackjack online play online")</f>
        <v>blackjack online play online</v>
      </c>
    </row>
    <row r="26">
      <c r="B26" s="9" t="str">
        <f>IFERROR(__xludf.DUMMYFUNCTION("""COMPUTED_VALUE"""),"online roulette play online")</f>
        <v>online roulette play online</v>
      </c>
    </row>
    <row r="27">
      <c r="B27" s="9" t="str">
        <f>IFERROR(__xludf.DUMMYFUNCTION("""COMPUTED_VALUE"""),"roulette online play online")</f>
        <v>roulette online play online</v>
      </c>
    </row>
    <row r="28">
      <c r="B28" s="9" t="str">
        <f>IFERROR(__xludf.DUMMYFUNCTION("""COMPUTED_VALUE"""),"online slots play online")</f>
        <v>online slots play online</v>
      </c>
    </row>
    <row r="29">
      <c r="B29" s="9" t="str">
        <f>IFERROR(__xludf.DUMMYFUNCTION("""COMPUTED_VALUE"""),"slot games play online")</f>
        <v>slot games play online</v>
      </c>
    </row>
    <row r="30">
      <c r="B30" s="9" t="str">
        <f>IFERROR(__xludf.DUMMYFUNCTION("""COMPUTED_VALUE"""),"casino slots play online")</f>
        <v>casino slots play online</v>
      </c>
    </row>
    <row r="31">
      <c r="B31" s="9" t="str">
        <f>IFERROR(__xludf.DUMMYFUNCTION("""COMPUTED_VALUE"""),"demo casino games play online")</f>
        <v>demo casino games play online</v>
      </c>
    </row>
    <row r="32">
      <c r="B32" s="9" t="str">
        <f>IFERROR(__xludf.DUMMYFUNCTION("""COMPUTED_VALUE"""),"crazy time real money")</f>
        <v>crazy time real money</v>
      </c>
    </row>
    <row r="33">
      <c r="B33" s="9" t="str">
        <f>IFERROR(__xludf.DUMMYFUNCTION("""COMPUTED_VALUE"""),"crazy time game real money")</f>
        <v>crazy time game real money</v>
      </c>
    </row>
    <row r="34">
      <c r="B34" s="9" t="str">
        <f>IFERROR(__xludf.DUMMYFUNCTION("""COMPUTED_VALUE"""),"online blackjack real money")</f>
        <v>online blackjack real money</v>
      </c>
    </row>
    <row r="35">
      <c r="B35" s="9" t="str">
        <f>IFERROR(__xludf.DUMMYFUNCTION("""COMPUTED_VALUE"""),"blackjack online real money")</f>
        <v>blackjack online real money</v>
      </c>
    </row>
    <row r="36">
      <c r="B36" s="9" t="str">
        <f>IFERROR(__xludf.DUMMYFUNCTION("""COMPUTED_VALUE"""),"online roulette real money")</f>
        <v>online roulette real money</v>
      </c>
    </row>
    <row r="37">
      <c r="B37" s="9" t="str">
        <f>IFERROR(__xludf.DUMMYFUNCTION("""COMPUTED_VALUE"""),"roulette online real money")</f>
        <v>roulette online real money</v>
      </c>
    </row>
    <row r="38">
      <c r="B38" s="9" t="str">
        <f>IFERROR(__xludf.DUMMYFUNCTION("""COMPUTED_VALUE"""),"online slots real money")</f>
        <v>online slots real money</v>
      </c>
    </row>
    <row r="39">
      <c r="B39" s="9" t="str">
        <f>IFERROR(__xludf.DUMMYFUNCTION("""COMPUTED_VALUE"""),"slot games real money")</f>
        <v>slot games real money</v>
      </c>
    </row>
    <row r="40">
      <c r="B40" s="9" t="str">
        <f>IFERROR(__xludf.DUMMYFUNCTION("""COMPUTED_VALUE"""),"casino slots real money")</f>
        <v>casino slots real money</v>
      </c>
    </row>
    <row r="41">
      <c r="B41" s="9" t="str">
        <f>IFERROR(__xludf.DUMMYFUNCTION("""COMPUTED_VALUE"""),"demo casino games real money")</f>
        <v>demo casino games real money</v>
      </c>
    </row>
    <row r="42">
      <c r="B42" s="9" t="str">
        <f>IFERROR(__xludf.DUMMYFUNCTION("""COMPUTED_VALUE"""),"crazy time mobile")</f>
        <v>crazy time mobile</v>
      </c>
    </row>
    <row r="43">
      <c r="B43" s="9" t="str">
        <f>IFERROR(__xludf.DUMMYFUNCTION("""COMPUTED_VALUE"""),"crazy time game mobile")</f>
        <v>crazy time game mobile</v>
      </c>
    </row>
    <row r="44">
      <c r="B44" s="9" t="str">
        <f>IFERROR(__xludf.DUMMYFUNCTION("""COMPUTED_VALUE"""),"online blackjack mobile")</f>
        <v>online blackjack mobile</v>
      </c>
    </row>
    <row r="45">
      <c r="B45" s="9" t="str">
        <f>IFERROR(__xludf.DUMMYFUNCTION("""COMPUTED_VALUE"""),"blackjack online mobile")</f>
        <v>blackjack online mobile</v>
      </c>
    </row>
    <row r="46">
      <c r="B46" s="9" t="str">
        <f>IFERROR(__xludf.DUMMYFUNCTION("""COMPUTED_VALUE"""),"online roulette mobile")</f>
        <v>online roulette mobile</v>
      </c>
    </row>
    <row r="47">
      <c r="B47" s="9" t="str">
        <f>IFERROR(__xludf.DUMMYFUNCTION("""COMPUTED_VALUE"""),"roulette online mobile")</f>
        <v>roulette online mobile</v>
      </c>
    </row>
    <row r="48">
      <c r="B48" s="9" t="str">
        <f>IFERROR(__xludf.DUMMYFUNCTION("""COMPUTED_VALUE"""),"online slots mobile")</f>
        <v>online slots mobile</v>
      </c>
    </row>
    <row r="49">
      <c r="B49" s="9" t="str">
        <f>IFERROR(__xludf.DUMMYFUNCTION("""COMPUTED_VALUE"""),"slot games mobile")</f>
        <v>slot games mobile</v>
      </c>
    </row>
    <row r="50">
      <c r="B50" s="9" t="str">
        <f>IFERROR(__xludf.DUMMYFUNCTION("""COMPUTED_VALUE"""),"casino slots mobile")</f>
        <v>casino slots mobile</v>
      </c>
    </row>
    <row r="51">
      <c r="B51" s="9" t="str">
        <f>IFERROR(__xludf.DUMMYFUNCTION("""COMPUTED_VALUE"""),"demo casino games mobile")</f>
        <v>demo casino games mobile</v>
      </c>
    </row>
    <row r="52">
      <c r="B52" s="9" t="str">
        <f>IFERROR(__xludf.DUMMYFUNCTION("""COMPUTED_VALUE"""),"crazy time casino")</f>
        <v>crazy time casino</v>
      </c>
    </row>
    <row r="53">
      <c r="B53" s="9" t="str">
        <f>IFERROR(__xludf.DUMMYFUNCTION("""COMPUTED_VALUE"""),"crazy time game casino")</f>
        <v>crazy time game casino</v>
      </c>
    </row>
    <row r="54">
      <c r="B54" s="9" t="str">
        <f>IFERROR(__xludf.DUMMYFUNCTION("""COMPUTED_VALUE"""),"online blackjack casino")</f>
        <v>online blackjack casino</v>
      </c>
    </row>
    <row r="55">
      <c r="B55" s="9" t="str">
        <f>IFERROR(__xludf.DUMMYFUNCTION("""COMPUTED_VALUE"""),"blackjack online casino")</f>
        <v>blackjack online casino</v>
      </c>
    </row>
    <row r="56">
      <c r="B56" s="9" t="str">
        <f>IFERROR(__xludf.DUMMYFUNCTION("""COMPUTED_VALUE"""),"online roulette casino")</f>
        <v>online roulette casino</v>
      </c>
    </row>
    <row r="57">
      <c r="B57" s="9" t="str">
        <f>IFERROR(__xludf.DUMMYFUNCTION("""COMPUTED_VALUE"""),"roulette online casino")</f>
        <v>roulette online casino</v>
      </c>
    </row>
    <row r="58">
      <c r="B58" s="9" t="str">
        <f>IFERROR(__xludf.DUMMYFUNCTION("""COMPUTED_VALUE"""),"online slots casino")</f>
        <v>online slots casino</v>
      </c>
    </row>
    <row r="59">
      <c r="B59" s="9" t="str">
        <f>IFERROR(__xludf.DUMMYFUNCTION("""COMPUTED_VALUE"""),"slot games casino")</f>
        <v>slot games casino</v>
      </c>
    </row>
    <row r="60">
      <c r="B60" s="9" t="str">
        <f>IFERROR(__xludf.DUMMYFUNCTION("""COMPUTED_VALUE"""),"casino slots")</f>
        <v>casino slots</v>
      </c>
    </row>
    <row r="61">
      <c r="B61" s="9" t="str">
        <f>IFERROR(__xludf.DUMMYFUNCTION("""COMPUTED_VALUE"""),"demo casino games")</f>
        <v>demo casino games</v>
      </c>
    </row>
    <row r="62">
      <c r="B62" s="9" t="str">
        <f>IFERROR(__xludf.DUMMYFUNCTION("""COMPUTED_VALUE"""),"crazy time live casino")</f>
        <v>crazy time live casino</v>
      </c>
    </row>
    <row r="63">
      <c r="B63" s="9" t="str">
        <f>IFERROR(__xludf.DUMMYFUNCTION("""COMPUTED_VALUE"""),"crazy time game live casino")</f>
        <v>crazy time game live casino</v>
      </c>
    </row>
    <row r="64">
      <c r="B64" s="9" t="str">
        <f>IFERROR(__xludf.DUMMYFUNCTION("""COMPUTED_VALUE"""),"online blackjack live casino")</f>
        <v>online blackjack live casino</v>
      </c>
    </row>
    <row r="65">
      <c r="B65" s="9" t="str">
        <f>IFERROR(__xludf.DUMMYFUNCTION("""COMPUTED_VALUE"""),"blackjack online live casino")</f>
        <v>blackjack online live casino</v>
      </c>
    </row>
    <row r="66">
      <c r="B66" s="9" t="str">
        <f>IFERROR(__xludf.DUMMYFUNCTION("""COMPUTED_VALUE"""),"online roulette live casino")</f>
        <v>online roulette live casino</v>
      </c>
    </row>
    <row r="67">
      <c r="B67" s="9" t="str">
        <f>IFERROR(__xludf.DUMMYFUNCTION("""COMPUTED_VALUE"""),"roulette online live casino")</f>
        <v>roulette online live casino</v>
      </c>
    </row>
    <row r="68">
      <c r="B68" s="9" t="str">
        <f>IFERROR(__xludf.DUMMYFUNCTION("""COMPUTED_VALUE"""),"online slots live casino")</f>
        <v>online slots live casino</v>
      </c>
    </row>
    <row r="69">
      <c r="B69" s="9" t="str">
        <f>IFERROR(__xludf.DUMMYFUNCTION("""COMPUTED_VALUE"""),"slot games live casino")</f>
        <v>slot games live casino</v>
      </c>
    </row>
    <row r="70">
      <c r="B70" s="9" t="str">
        <f>IFERROR(__xludf.DUMMYFUNCTION("""COMPUTED_VALUE"""),"casino slots live casino")</f>
        <v>casino slots live casino</v>
      </c>
    </row>
    <row r="71">
      <c r="B71" s="9" t="str">
        <f>IFERROR(__xludf.DUMMYFUNCTION("""COMPUTED_VALUE"""),"demo casino games live casino")</f>
        <v>demo casino games live casino</v>
      </c>
    </row>
    <row r="72">
      <c r="B72" s="9" t="str">
        <f>IFERROR(__xludf.DUMMYFUNCTION("""COMPUTED_VALUE"""),"crazy time live dealer")</f>
        <v>crazy time live dealer</v>
      </c>
    </row>
    <row r="73">
      <c r="B73" s="9" t="str">
        <f>IFERROR(__xludf.DUMMYFUNCTION("""COMPUTED_VALUE"""),"crazy time game live dealer")</f>
        <v>crazy time game live dealer</v>
      </c>
    </row>
    <row r="74">
      <c r="B74" s="9" t="str">
        <f>IFERROR(__xludf.DUMMYFUNCTION("""COMPUTED_VALUE"""),"online blackjack live dealer")</f>
        <v>online blackjack live dealer</v>
      </c>
    </row>
    <row r="75">
      <c r="B75" s="9" t="str">
        <f>IFERROR(__xludf.DUMMYFUNCTION("""COMPUTED_VALUE"""),"blackjack online live dealer")</f>
        <v>blackjack online live dealer</v>
      </c>
    </row>
    <row r="76">
      <c r="B76" s="9" t="str">
        <f>IFERROR(__xludf.DUMMYFUNCTION("""COMPUTED_VALUE"""),"online roulette live dealer")</f>
        <v>online roulette live dealer</v>
      </c>
    </row>
    <row r="77">
      <c r="B77" s="9" t="str">
        <f>IFERROR(__xludf.DUMMYFUNCTION("""COMPUTED_VALUE"""),"roulette online live dealer")</f>
        <v>roulette online live dealer</v>
      </c>
    </row>
    <row r="78">
      <c r="B78" s="9" t="str">
        <f>IFERROR(__xludf.DUMMYFUNCTION("""COMPUTED_VALUE"""),"online slots live dealer")</f>
        <v>online slots live dealer</v>
      </c>
    </row>
    <row r="79">
      <c r="B79" s="9" t="str">
        <f>IFERROR(__xludf.DUMMYFUNCTION("""COMPUTED_VALUE"""),"slot games live dealer")</f>
        <v>slot games live dealer</v>
      </c>
    </row>
    <row r="80">
      <c r="B80" s="9" t="str">
        <f>IFERROR(__xludf.DUMMYFUNCTION("""COMPUTED_VALUE"""),"casino slots live dealer")</f>
        <v>casino slots live dealer</v>
      </c>
    </row>
    <row r="81">
      <c r="B81" s="9" t="str">
        <f>IFERROR(__xludf.DUMMYFUNCTION("""COMPUTED_VALUE"""),"demo casino games live dealer")</f>
        <v>demo casino games live dealer</v>
      </c>
    </row>
    <row r="82">
      <c r="B82" s="9" t="str">
        <f>IFERROR(__xludf.DUMMYFUNCTION("""COMPUTED_VALUE"""),"crazy time Evolution")</f>
        <v>crazy time Evolution</v>
      </c>
    </row>
    <row r="83">
      <c r="B83" s="9" t="str">
        <f>IFERROR(__xludf.DUMMYFUNCTION("""COMPUTED_VALUE"""),"crazy time game Evolution")</f>
        <v>crazy time game Evolution</v>
      </c>
    </row>
    <row r="84">
      <c r="B84" s="9" t="str">
        <f>IFERROR(__xludf.DUMMYFUNCTION("""COMPUTED_VALUE"""),"online blackjack Evolution")</f>
        <v>online blackjack Evolution</v>
      </c>
    </row>
    <row r="85">
      <c r="B85" s="9" t="str">
        <f>IFERROR(__xludf.DUMMYFUNCTION("""COMPUTED_VALUE"""),"blackjack online Evolution")</f>
        <v>blackjack online Evolution</v>
      </c>
    </row>
    <row r="86">
      <c r="B86" s="9" t="str">
        <f>IFERROR(__xludf.DUMMYFUNCTION("""COMPUTED_VALUE"""),"online roulette Evolution")</f>
        <v>online roulette Evolution</v>
      </c>
    </row>
    <row r="87">
      <c r="B87" s="9" t="str">
        <f>IFERROR(__xludf.DUMMYFUNCTION("""COMPUTED_VALUE"""),"roulette online Evolution")</f>
        <v>roulette online Evolution</v>
      </c>
    </row>
    <row r="88">
      <c r="B88" s="9" t="str">
        <f>IFERROR(__xludf.DUMMYFUNCTION("""COMPUTED_VALUE"""),"online slots Evolution")</f>
        <v>online slots Evolution</v>
      </c>
    </row>
    <row r="89">
      <c r="B89" s="9" t="str">
        <f>IFERROR(__xludf.DUMMYFUNCTION("""COMPUTED_VALUE"""),"slot games Evolution")</f>
        <v>slot games Evolution</v>
      </c>
    </row>
    <row r="90">
      <c r="B90" s="9" t="str">
        <f>IFERROR(__xludf.DUMMYFUNCTION("""COMPUTED_VALUE"""),"casino slots Evolution")</f>
        <v>casino slots Evolution</v>
      </c>
    </row>
    <row r="91">
      <c r="B91" s="9" t="str">
        <f>IFERROR(__xludf.DUMMYFUNCTION("""COMPUTED_VALUE"""),"demo casino games Evolution")</f>
        <v>demo casino games Evolution</v>
      </c>
    </row>
    <row r="92">
      <c r="B92" s="9" t="str">
        <f>IFERROR(__xludf.DUMMYFUNCTION("""COMPUTED_VALUE"""),"crazy time Pragmatic Play")</f>
        <v>crazy time Pragmatic Play</v>
      </c>
    </row>
    <row r="93">
      <c r="B93" s="9" t="str">
        <f>IFERROR(__xludf.DUMMYFUNCTION("""COMPUTED_VALUE"""),"crazy time game Pragmatic Play")</f>
        <v>crazy time game Pragmatic Play</v>
      </c>
    </row>
    <row r="94">
      <c r="B94" s="9" t="str">
        <f>IFERROR(__xludf.DUMMYFUNCTION("""COMPUTED_VALUE"""),"online blackjack Pragmatic Play")</f>
        <v>online blackjack Pragmatic Play</v>
      </c>
    </row>
    <row r="95">
      <c r="B95" s="9" t="str">
        <f>IFERROR(__xludf.DUMMYFUNCTION("""COMPUTED_VALUE"""),"blackjack online Pragmatic Play")</f>
        <v>blackjack online Pragmatic Play</v>
      </c>
    </row>
    <row r="96">
      <c r="B96" s="9" t="str">
        <f>IFERROR(__xludf.DUMMYFUNCTION("""COMPUTED_VALUE"""),"online roulette Pragmatic Play")</f>
        <v>online roulette Pragmatic Play</v>
      </c>
    </row>
    <row r="97">
      <c r="B97" s="9" t="str">
        <f>IFERROR(__xludf.DUMMYFUNCTION("""COMPUTED_VALUE"""),"roulette online Pragmatic Play")</f>
        <v>roulette online Pragmatic Play</v>
      </c>
    </row>
    <row r="98">
      <c r="B98" s="9" t="str">
        <f>IFERROR(__xludf.DUMMYFUNCTION("""COMPUTED_VALUE"""),"online slots Pragmatic Play")</f>
        <v>online slots Pragmatic Play</v>
      </c>
    </row>
    <row r="99">
      <c r="B99" s="9" t="str">
        <f>IFERROR(__xludf.DUMMYFUNCTION("""COMPUTED_VALUE"""),"slot games Pragmatic Play")</f>
        <v>slot games Pragmatic Play</v>
      </c>
    </row>
    <row r="100">
      <c r="B100" s="9" t="str">
        <f>IFERROR(__xludf.DUMMYFUNCTION("""COMPUTED_VALUE"""),"casino slots Pragmatic Play")</f>
        <v>casino slots Pragmatic Play</v>
      </c>
    </row>
    <row r="101">
      <c r="B101" s="9" t="str">
        <f>IFERROR(__xludf.DUMMYFUNCTION("""COMPUTED_VALUE"""),"demo casino games Pragmatic Play")</f>
        <v>demo casino games Pragmatic Play</v>
      </c>
    </row>
    <row r="102">
      <c r="B102" s="9" t="str">
        <f>IFERROR(__xludf.DUMMYFUNCTION("""COMPUTED_VALUE"""),"crazy time rules")</f>
        <v>crazy time rules</v>
      </c>
    </row>
    <row r="103">
      <c r="B103" s="9" t="str">
        <f>IFERROR(__xludf.DUMMYFUNCTION("""COMPUTED_VALUE"""),"crazy time game rules")</f>
        <v>crazy time game rules</v>
      </c>
    </row>
    <row r="104">
      <c r="B104" s="9" t="str">
        <f>IFERROR(__xludf.DUMMYFUNCTION("""COMPUTED_VALUE"""),"online blackjack rules")</f>
        <v>online blackjack rules</v>
      </c>
    </row>
    <row r="105">
      <c r="B105" s="9" t="str">
        <f>IFERROR(__xludf.DUMMYFUNCTION("""COMPUTED_VALUE"""),"blackjack online rules")</f>
        <v>blackjack online rules</v>
      </c>
    </row>
    <row r="106">
      <c r="B106" s="9" t="str">
        <f>IFERROR(__xludf.DUMMYFUNCTION("""COMPUTED_VALUE"""),"online roulette rules")</f>
        <v>online roulette rules</v>
      </c>
    </row>
    <row r="107">
      <c r="B107" s="9" t="str">
        <f>IFERROR(__xludf.DUMMYFUNCTION("""COMPUTED_VALUE"""),"roulette online rules")</f>
        <v>roulette online rules</v>
      </c>
    </row>
    <row r="108">
      <c r="B108" s="9" t="str">
        <f>IFERROR(__xludf.DUMMYFUNCTION("""COMPUTED_VALUE"""),"online slots rules")</f>
        <v>online slots rules</v>
      </c>
    </row>
    <row r="109">
      <c r="B109" s="9" t="str">
        <f>IFERROR(__xludf.DUMMYFUNCTION("""COMPUTED_VALUE"""),"slot games rules")</f>
        <v>slot games rules</v>
      </c>
    </row>
    <row r="110">
      <c r="B110" s="9" t="str">
        <f>IFERROR(__xludf.DUMMYFUNCTION("""COMPUTED_VALUE"""),"casino slots rules")</f>
        <v>casino slots rules</v>
      </c>
    </row>
    <row r="111">
      <c r="B111" s="9" t="str">
        <f>IFERROR(__xludf.DUMMYFUNCTION("""COMPUTED_VALUE"""),"demo casino games rules")</f>
        <v>demo casino games rules</v>
      </c>
    </row>
    <row r="112">
      <c r="B112" s="9" t="str">
        <f>IFERROR(__xludf.DUMMYFUNCTION("""COMPUTED_VALUE"""),"crazy time strategy")</f>
        <v>crazy time strategy</v>
      </c>
    </row>
    <row r="113">
      <c r="B113" s="9" t="str">
        <f>IFERROR(__xludf.DUMMYFUNCTION("""COMPUTED_VALUE"""),"crazy time game strategy")</f>
        <v>crazy time game strategy</v>
      </c>
    </row>
    <row r="114">
      <c r="B114" s="9" t="str">
        <f>IFERROR(__xludf.DUMMYFUNCTION("""COMPUTED_VALUE"""),"online blackjack strategy")</f>
        <v>online blackjack strategy</v>
      </c>
    </row>
    <row r="115">
      <c r="B115" s="9" t="str">
        <f>IFERROR(__xludf.DUMMYFUNCTION("""COMPUTED_VALUE"""),"blackjack online strategy")</f>
        <v>blackjack online strategy</v>
      </c>
    </row>
    <row r="116">
      <c r="B116" s="9" t="str">
        <f>IFERROR(__xludf.DUMMYFUNCTION("""COMPUTED_VALUE"""),"online roulette strategy")</f>
        <v>online roulette strategy</v>
      </c>
    </row>
    <row r="117">
      <c r="B117" s="9" t="str">
        <f>IFERROR(__xludf.DUMMYFUNCTION("""COMPUTED_VALUE"""),"roulette online strategy")</f>
        <v>roulette online strategy</v>
      </c>
    </row>
    <row r="118">
      <c r="B118" s="9" t="str">
        <f>IFERROR(__xludf.DUMMYFUNCTION("""COMPUTED_VALUE"""),"online slots strategy")</f>
        <v>online slots strategy</v>
      </c>
    </row>
    <row r="119">
      <c r="B119" s="9" t="str">
        <f>IFERROR(__xludf.DUMMYFUNCTION("""COMPUTED_VALUE"""),"slot games strategy")</f>
        <v>slot games strategy</v>
      </c>
    </row>
    <row r="120">
      <c r="B120" s="9" t="str">
        <f>IFERROR(__xludf.DUMMYFUNCTION("""COMPUTED_VALUE"""),"casino slots strategy")</f>
        <v>casino slots strategy</v>
      </c>
    </row>
    <row r="121">
      <c r="B121" s="9" t="str">
        <f>IFERROR(__xludf.DUMMYFUNCTION("""COMPUTED_VALUE"""),"demo casino games strategy")</f>
        <v>demo casino games strategy</v>
      </c>
    </row>
    <row r="122">
      <c r="B122" s="9" t="str">
        <f>IFERROR(__xludf.DUMMYFUNCTION("""COMPUTED_VALUE"""),"crazy time tips")</f>
        <v>crazy time tips</v>
      </c>
    </row>
    <row r="123">
      <c r="B123" s="9" t="str">
        <f>IFERROR(__xludf.DUMMYFUNCTION("""COMPUTED_VALUE"""),"crazy time game tips")</f>
        <v>crazy time game tips</v>
      </c>
    </row>
    <row r="124">
      <c r="B124" s="9" t="str">
        <f>IFERROR(__xludf.DUMMYFUNCTION("""COMPUTED_VALUE"""),"online blackjack tips")</f>
        <v>online blackjack tips</v>
      </c>
    </row>
    <row r="125">
      <c r="B125" s="9" t="str">
        <f>IFERROR(__xludf.DUMMYFUNCTION("""COMPUTED_VALUE"""),"blackjack online tips")</f>
        <v>blackjack online tips</v>
      </c>
    </row>
    <row r="126">
      <c r="B126" s="9" t="str">
        <f>IFERROR(__xludf.DUMMYFUNCTION("""COMPUTED_VALUE"""),"online roulette tips")</f>
        <v>online roulette tips</v>
      </c>
    </row>
    <row r="127">
      <c r="B127" s="9" t="str">
        <f>IFERROR(__xludf.DUMMYFUNCTION("""COMPUTED_VALUE"""),"roulette online tips")</f>
        <v>roulette online tips</v>
      </c>
    </row>
    <row r="128">
      <c r="B128" s="9" t="str">
        <f>IFERROR(__xludf.DUMMYFUNCTION("""COMPUTED_VALUE"""),"online slots tips")</f>
        <v>online slots tips</v>
      </c>
    </row>
    <row r="129">
      <c r="B129" s="9" t="str">
        <f>IFERROR(__xludf.DUMMYFUNCTION("""COMPUTED_VALUE"""),"slot games tips")</f>
        <v>slot games tips</v>
      </c>
    </row>
    <row r="130">
      <c r="B130" s="9" t="str">
        <f>IFERROR(__xludf.DUMMYFUNCTION("""COMPUTED_VALUE"""),"casino slots tips")</f>
        <v>casino slots tips</v>
      </c>
    </row>
    <row r="131">
      <c r="B131" s="9" t="str">
        <f>IFERROR(__xludf.DUMMYFUNCTION("""COMPUTED_VALUE"""),"demo casino games tips")</f>
        <v>demo casino games tips</v>
      </c>
    </row>
    <row r="132">
      <c r="B132" s="9" t="str">
        <f>IFERROR(__xludf.DUMMYFUNCTION("""COMPUTED_VALUE"""),"crazy time demo")</f>
        <v>crazy time demo</v>
      </c>
    </row>
    <row r="133">
      <c r="B133" s="9" t="str">
        <f>IFERROR(__xludf.DUMMYFUNCTION("""COMPUTED_VALUE"""),"crazy time game demo")</f>
        <v>crazy time game demo</v>
      </c>
    </row>
    <row r="134">
      <c r="B134" s="9" t="str">
        <f>IFERROR(__xludf.DUMMYFUNCTION("""COMPUTED_VALUE"""),"online blackjack demo")</f>
        <v>online blackjack demo</v>
      </c>
    </row>
    <row r="135">
      <c r="B135" s="9" t="str">
        <f>IFERROR(__xludf.DUMMYFUNCTION("""COMPUTED_VALUE"""),"blackjack online demo")</f>
        <v>blackjack online demo</v>
      </c>
    </row>
    <row r="136">
      <c r="B136" s="9" t="str">
        <f>IFERROR(__xludf.DUMMYFUNCTION("""COMPUTED_VALUE"""),"online roulette demo")</f>
        <v>online roulette demo</v>
      </c>
    </row>
    <row r="137">
      <c r="B137" s="9" t="str">
        <f>IFERROR(__xludf.DUMMYFUNCTION("""COMPUTED_VALUE"""),"roulette online demo")</f>
        <v>roulette online demo</v>
      </c>
    </row>
    <row r="138">
      <c r="B138" s="9" t="str">
        <f>IFERROR(__xludf.DUMMYFUNCTION("""COMPUTED_VALUE"""),"online slots demo")</f>
        <v>online slots demo</v>
      </c>
    </row>
    <row r="139">
      <c r="B139" s="9" t="str">
        <f>IFERROR(__xludf.DUMMYFUNCTION("""COMPUTED_VALUE"""),"slot games demo")</f>
        <v>slot games demo</v>
      </c>
    </row>
    <row r="140">
      <c r="B140" s="9" t="str">
        <f>IFERROR(__xludf.DUMMYFUNCTION("""COMPUTED_VALUE"""),"casino slots demo")</f>
        <v>casino slots demo</v>
      </c>
    </row>
    <row r="141">
      <c r="B141" s="9" t="str">
        <f>IFERROR(__xludf.DUMMYFUNCTION("""COMPUTED_VALUE"""),"demo casino games")</f>
        <v>demo casino games</v>
      </c>
    </row>
    <row r="142">
      <c r="B142" s="9" t="str">
        <f>IFERROR(__xludf.DUMMYFUNCTION("""COMPUTED_VALUE"""),"crazy time free demo")</f>
        <v>crazy time free demo</v>
      </c>
    </row>
    <row r="143">
      <c r="B143" s="9" t="str">
        <f>IFERROR(__xludf.DUMMYFUNCTION("""COMPUTED_VALUE"""),"crazy time game free demo")</f>
        <v>crazy time game free demo</v>
      </c>
    </row>
    <row r="144">
      <c r="B144" s="9" t="str">
        <f>IFERROR(__xludf.DUMMYFUNCTION("""COMPUTED_VALUE"""),"online blackjack free demo")</f>
        <v>online blackjack free demo</v>
      </c>
    </row>
    <row r="145">
      <c r="B145" s="9" t="str">
        <f>IFERROR(__xludf.DUMMYFUNCTION("""COMPUTED_VALUE"""),"blackjack online free demo")</f>
        <v>blackjack online free demo</v>
      </c>
    </row>
    <row r="146">
      <c r="B146" s="9" t="str">
        <f>IFERROR(__xludf.DUMMYFUNCTION("""COMPUTED_VALUE"""),"online roulette free demo")</f>
        <v>online roulette free demo</v>
      </c>
    </row>
    <row r="147">
      <c r="B147" s="9" t="str">
        <f>IFERROR(__xludf.DUMMYFUNCTION("""COMPUTED_VALUE"""),"roulette online free demo")</f>
        <v>roulette online free demo</v>
      </c>
    </row>
    <row r="148">
      <c r="B148" s="9" t="str">
        <f>IFERROR(__xludf.DUMMYFUNCTION("""COMPUTED_VALUE"""),"online slots free demo")</f>
        <v>online slots free demo</v>
      </c>
    </row>
    <row r="149">
      <c r="B149" s="9" t="str">
        <f>IFERROR(__xludf.DUMMYFUNCTION("""COMPUTED_VALUE"""),"slot games free demo")</f>
        <v>slot games free demo</v>
      </c>
    </row>
    <row r="150">
      <c r="B150" s="9" t="str">
        <f>IFERROR(__xludf.DUMMYFUNCTION("""COMPUTED_VALUE"""),"casino slots free demo")</f>
        <v>casino slots free demo</v>
      </c>
    </row>
    <row r="151">
      <c r="B151" s="9" t="str">
        <f>IFERROR(__xludf.DUMMYFUNCTION("""COMPUTED_VALUE"""),"demo casino games free demo")</f>
        <v>demo casino games free demo</v>
      </c>
    </row>
    <row r="152">
      <c r="B152" s="9" t="str">
        <f>IFERROR(__xludf.DUMMYFUNCTION("""COMPUTED_VALUE"""),"crazy time free")</f>
        <v>crazy time free</v>
      </c>
    </row>
    <row r="153">
      <c r="B153" s="9" t="str">
        <f>IFERROR(__xludf.DUMMYFUNCTION("""COMPUTED_VALUE"""),"crazy time game free")</f>
        <v>crazy time game free</v>
      </c>
    </row>
    <row r="154">
      <c r="B154" s="9" t="str">
        <f>IFERROR(__xludf.DUMMYFUNCTION("""COMPUTED_VALUE"""),"online blackjack free")</f>
        <v>online blackjack free</v>
      </c>
    </row>
    <row r="155">
      <c r="B155" s="9" t="str">
        <f>IFERROR(__xludf.DUMMYFUNCTION("""COMPUTED_VALUE"""),"blackjack online free")</f>
        <v>blackjack online free</v>
      </c>
    </row>
    <row r="156">
      <c r="B156" s="9" t="str">
        <f>IFERROR(__xludf.DUMMYFUNCTION("""COMPUTED_VALUE"""),"online roulette free")</f>
        <v>online roulette free</v>
      </c>
    </row>
    <row r="157">
      <c r="B157" s="9" t="str">
        <f>IFERROR(__xludf.DUMMYFUNCTION("""COMPUTED_VALUE"""),"roulette online free")</f>
        <v>roulette online free</v>
      </c>
    </row>
    <row r="158">
      <c r="B158" s="9" t="str">
        <f>IFERROR(__xludf.DUMMYFUNCTION("""COMPUTED_VALUE"""),"online slots free")</f>
        <v>online slots free</v>
      </c>
    </row>
    <row r="159">
      <c r="B159" s="9" t="str">
        <f>IFERROR(__xludf.DUMMYFUNCTION("""COMPUTED_VALUE"""),"slot games free")</f>
        <v>slot games free</v>
      </c>
    </row>
    <row r="160">
      <c r="B160" s="9" t="str">
        <f>IFERROR(__xludf.DUMMYFUNCTION("""COMPUTED_VALUE"""),"casino slots free")</f>
        <v>casino slots free</v>
      </c>
    </row>
    <row r="161">
      <c r="B161" s="9" t="str">
        <f>IFERROR(__xludf.DUMMYFUNCTION("""COMPUTED_VALUE"""),"demo casino games free")</f>
        <v>demo casino games free</v>
      </c>
    </row>
    <row r="162">
      <c r="B162" s="9" t="str">
        <f>IFERROR(__xludf.DUMMYFUNCTION("""COMPUTED_VALUE"""),"crazy time bonus")</f>
        <v>crazy time bonus</v>
      </c>
    </row>
    <row r="163">
      <c r="B163" s="9" t="str">
        <f>IFERROR(__xludf.DUMMYFUNCTION("""COMPUTED_VALUE"""),"crazy time game bonus")</f>
        <v>crazy time game bonus</v>
      </c>
    </row>
    <row r="164">
      <c r="B164" s="9" t="str">
        <f>IFERROR(__xludf.DUMMYFUNCTION("""COMPUTED_VALUE"""),"online blackjack bonus")</f>
        <v>online blackjack bonus</v>
      </c>
    </row>
    <row r="165">
      <c r="B165" s="9" t="str">
        <f>IFERROR(__xludf.DUMMYFUNCTION("""COMPUTED_VALUE"""),"blackjack online bonus")</f>
        <v>blackjack online bonus</v>
      </c>
    </row>
    <row r="166">
      <c r="B166" s="9" t="str">
        <f>IFERROR(__xludf.DUMMYFUNCTION("""COMPUTED_VALUE"""),"online roulette bonus")</f>
        <v>online roulette bonus</v>
      </c>
    </row>
    <row r="167">
      <c r="B167" s="9" t="str">
        <f>IFERROR(__xludf.DUMMYFUNCTION("""COMPUTED_VALUE"""),"roulette online bonus")</f>
        <v>roulette online bonus</v>
      </c>
    </row>
    <row r="168">
      <c r="B168" s="9" t="str">
        <f>IFERROR(__xludf.DUMMYFUNCTION("""COMPUTED_VALUE"""),"online slots bonus")</f>
        <v>online slots bonus</v>
      </c>
    </row>
    <row r="169">
      <c r="B169" s="9" t="str">
        <f>IFERROR(__xludf.DUMMYFUNCTION("""COMPUTED_VALUE"""),"slot games bonus")</f>
        <v>slot games bonus</v>
      </c>
    </row>
    <row r="170">
      <c r="B170" s="9" t="str">
        <f>IFERROR(__xludf.DUMMYFUNCTION("""COMPUTED_VALUE"""),"casino slots bonus")</f>
        <v>casino slots bonus</v>
      </c>
    </row>
    <row r="171">
      <c r="B171" s="9" t="str">
        <f>IFERROR(__xludf.DUMMYFUNCTION("""COMPUTED_VALUE"""),"demo casino games bonus")</f>
        <v>demo casino games bonus</v>
      </c>
    </row>
    <row r="172">
      <c r="B172" s="9" t="str">
        <f>IFERROR(__xludf.DUMMYFUNCTION("""COMPUTED_VALUE"""),"crazy time jackpot")</f>
        <v>crazy time jackpot</v>
      </c>
    </row>
    <row r="173">
      <c r="B173" s="9" t="str">
        <f>IFERROR(__xludf.DUMMYFUNCTION("""COMPUTED_VALUE"""),"crazy time game jackpot")</f>
        <v>crazy time game jackpot</v>
      </c>
    </row>
    <row r="174">
      <c r="B174" s="9" t="str">
        <f>IFERROR(__xludf.DUMMYFUNCTION("""COMPUTED_VALUE"""),"online blackjack jackpot")</f>
        <v>online blackjack jackpot</v>
      </c>
    </row>
    <row r="175">
      <c r="B175" s="9" t="str">
        <f>IFERROR(__xludf.DUMMYFUNCTION("""COMPUTED_VALUE"""),"blackjack online jackpot")</f>
        <v>blackjack online jackpot</v>
      </c>
    </row>
    <row r="176">
      <c r="B176" s="9" t="str">
        <f>IFERROR(__xludf.DUMMYFUNCTION("""COMPUTED_VALUE"""),"online roulette jackpot")</f>
        <v>online roulette jackpot</v>
      </c>
    </row>
    <row r="177">
      <c r="B177" s="9" t="str">
        <f>IFERROR(__xludf.DUMMYFUNCTION("""COMPUTED_VALUE"""),"roulette online jackpot")</f>
        <v>roulette online jackpot</v>
      </c>
    </row>
    <row r="178">
      <c r="B178" s="9" t="str">
        <f>IFERROR(__xludf.DUMMYFUNCTION("""COMPUTED_VALUE"""),"online slots jackpot")</f>
        <v>online slots jackpot</v>
      </c>
    </row>
    <row r="179">
      <c r="B179" s="9" t="str">
        <f>IFERROR(__xludf.DUMMYFUNCTION("""COMPUTED_VALUE"""),"slot games jackpot")</f>
        <v>slot games jackpot</v>
      </c>
    </row>
    <row r="180">
      <c r="B180" s="9" t="str">
        <f>IFERROR(__xludf.DUMMYFUNCTION("""COMPUTED_VALUE"""),"casino slots jackpot")</f>
        <v>casino slots jackpot</v>
      </c>
    </row>
    <row r="181">
      <c r="B181" s="9" t="str">
        <f>IFERROR(__xludf.DUMMYFUNCTION("""COMPUTED_VALUE"""),"demo casino games jackpot")</f>
        <v>demo casino games jackpot</v>
      </c>
    </row>
    <row r="182">
      <c r="B182" s="9" t="str">
        <f>IFERROR(__xludf.DUMMYFUNCTION("""COMPUTED_VALUE"""),"crazy time best")</f>
        <v>crazy time best</v>
      </c>
    </row>
    <row r="183">
      <c r="B183" s="9" t="str">
        <f>IFERROR(__xludf.DUMMYFUNCTION("""COMPUTED_VALUE"""),"crazy time game best")</f>
        <v>crazy time game best</v>
      </c>
    </row>
    <row r="184">
      <c r="B184" s="9" t="str">
        <f>IFERROR(__xludf.DUMMYFUNCTION("""COMPUTED_VALUE"""),"online blackjack best")</f>
        <v>online blackjack best</v>
      </c>
    </row>
    <row r="185">
      <c r="B185" s="9" t="str">
        <f>IFERROR(__xludf.DUMMYFUNCTION("""COMPUTED_VALUE"""),"blackjack online best")</f>
        <v>blackjack online best</v>
      </c>
    </row>
    <row r="186">
      <c r="B186" s="9" t="str">
        <f>IFERROR(__xludf.DUMMYFUNCTION("""COMPUTED_VALUE"""),"online roulette best")</f>
        <v>online roulette best</v>
      </c>
    </row>
    <row r="187">
      <c r="B187" s="9" t="str">
        <f>IFERROR(__xludf.DUMMYFUNCTION("""COMPUTED_VALUE"""),"roulette online best")</f>
        <v>roulette online best</v>
      </c>
    </row>
    <row r="188">
      <c r="B188" s="9" t="str">
        <f>IFERROR(__xludf.DUMMYFUNCTION("""COMPUTED_VALUE"""),"online slots best")</f>
        <v>online slots best</v>
      </c>
    </row>
    <row r="189">
      <c r="B189" s="9" t="str">
        <f>IFERROR(__xludf.DUMMYFUNCTION("""COMPUTED_VALUE"""),"slot games best")</f>
        <v>slot games best</v>
      </c>
    </row>
    <row r="190">
      <c r="B190" s="9" t="str">
        <f>IFERROR(__xludf.DUMMYFUNCTION("""COMPUTED_VALUE"""),"casino slots best")</f>
        <v>casino slots best</v>
      </c>
    </row>
    <row r="191">
      <c r="B191" s="9" t="str">
        <f>IFERROR(__xludf.DUMMYFUNCTION("""COMPUTED_VALUE"""),"demo casino games best")</f>
        <v>demo casino games best</v>
      </c>
    </row>
    <row r="192">
      <c r="B192" s="9" t="str">
        <f>IFERROR(__xludf.DUMMYFUNCTION("""COMPUTED_VALUE"""),"crazy time review")</f>
        <v>crazy time review</v>
      </c>
    </row>
    <row r="193">
      <c r="B193" s="9" t="str">
        <f>IFERROR(__xludf.DUMMYFUNCTION("""COMPUTED_VALUE"""),"crazy time game review")</f>
        <v>crazy time game review</v>
      </c>
    </row>
    <row r="194">
      <c r="B194" s="9" t="str">
        <f>IFERROR(__xludf.DUMMYFUNCTION("""COMPUTED_VALUE"""),"online blackjack review")</f>
        <v>online blackjack review</v>
      </c>
    </row>
    <row r="195">
      <c r="B195" s="9" t="str">
        <f>IFERROR(__xludf.DUMMYFUNCTION("""COMPUTED_VALUE"""),"blackjack online review")</f>
        <v>blackjack online review</v>
      </c>
    </row>
    <row r="196">
      <c r="B196" s="9" t="str">
        <f>IFERROR(__xludf.DUMMYFUNCTION("""COMPUTED_VALUE"""),"online roulette review")</f>
        <v>online roulette review</v>
      </c>
    </row>
    <row r="197">
      <c r="B197" s="9" t="str">
        <f>IFERROR(__xludf.DUMMYFUNCTION("""COMPUTED_VALUE"""),"roulette online review")</f>
        <v>roulette online review</v>
      </c>
    </row>
    <row r="198">
      <c r="B198" s="9" t="str">
        <f>IFERROR(__xludf.DUMMYFUNCTION("""COMPUTED_VALUE"""),"online slots review")</f>
        <v>online slots review</v>
      </c>
    </row>
    <row r="199">
      <c r="B199" s="9" t="str">
        <f>IFERROR(__xludf.DUMMYFUNCTION("""COMPUTED_VALUE"""),"slot games review")</f>
        <v>slot games review</v>
      </c>
    </row>
    <row r="200">
      <c r="B200" s="9" t="str">
        <f>IFERROR(__xludf.DUMMYFUNCTION("""COMPUTED_VALUE"""),"casino slots review")</f>
        <v>casino slots review</v>
      </c>
    </row>
    <row r="201">
      <c r="B201" s="9" t="str">
        <f>IFERROR(__xludf.DUMMYFUNCTION("""COMPUTED_VALUE"""),"demo casino games review")</f>
        <v>demo casino games review</v>
      </c>
    </row>
    <row r="202">
      <c r="B202" s="9" t="str">
        <f>IFERROR(__xludf.DUMMYFUNCTION("""COMPUTED_VALUE"""),"crazy time reviews")</f>
        <v>crazy time reviews</v>
      </c>
    </row>
    <row r="203">
      <c r="B203" s="9" t="str">
        <f>IFERROR(__xludf.DUMMYFUNCTION("""COMPUTED_VALUE"""),"crazy time game reviews")</f>
        <v>crazy time game reviews</v>
      </c>
    </row>
    <row r="204">
      <c r="B204" s="9" t="str">
        <f>IFERROR(__xludf.DUMMYFUNCTION("""COMPUTED_VALUE"""),"online blackjack reviews")</f>
        <v>online blackjack reviews</v>
      </c>
    </row>
    <row r="205">
      <c r="B205" s="9" t="str">
        <f>IFERROR(__xludf.DUMMYFUNCTION("""COMPUTED_VALUE"""),"blackjack online reviews")</f>
        <v>blackjack online reviews</v>
      </c>
    </row>
    <row r="206">
      <c r="B206" s="9" t="str">
        <f>IFERROR(__xludf.DUMMYFUNCTION("""COMPUTED_VALUE"""),"online roulette reviews")</f>
        <v>online roulette reviews</v>
      </c>
    </row>
    <row r="207">
      <c r="B207" s="9" t="str">
        <f>IFERROR(__xludf.DUMMYFUNCTION("""COMPUTED_VALUE"""),"roulette online reviews")</f>
        <v>roulette online reviews</v>
      </c>
    </row>
    <row r="208">
      <c r="B208" s="9" t="str">
        <f>IFERROR(__xludf.DUMMYFUNCTION("""COMPUTED_VALUE"""),"online slots reviews")</f>
        <v>online slots reviews</v>
      </c>
    </row>
    <row r="209">
      <c r="B209" s="9" t="str">
        <f>IFERROR(__xludf.DUMMYFUNCTION("""COMPUTED_VALUE"""),"slot games reviews")</f>
        <v>slot games reviews</v>
      </c>
    </row>
    <row r="210">
      <c r="B210" s="9" t="str">
        <f>IFERROR(__xludf.DUMMYFUNCTION("""COMPUTED_VALUE"""),"casino slots reviews")</f>
        <v>casino slots reviews</v>
      </c>
    </row>
    <row r="211">
      <c r="B211" s="9" t="str">
        <f>IFERROR(__xludf.DUMMYFUNCTION("""COMPUTED_VALUE"""),"demo casino games reviews")</f>
        <v>demo casino games reviews</v>
      </c>
    </row>
    <row r="212">
      <c r="B212" s="9" t="str">
        <f>IFERROR(__xludf.DUMMYFUNCTION("""COMPUTED_VALUE"""),"crazy time app")</f>
        <v>crazy time app</v>
      </c>
    </row>
    <row r="213">
      <c r="B213" s="9" t="str">
        <f>IFERROR(__xludf.DUMMYFUNCTION("""COMPUTED_VALUE"""),"crazy time game app")</f>
        <v>crazy time game app</v>
      </c>
    </row>
    <row r="214">
      <c r="B214" s="9" t="str">
        <f>IFERROR(__xludf.DUMMYFUNCTION("""COMPUTED_VALUE"""),"online blackjack app")</f>
        <v>online blackjack app</v>
      </c>
    </row>
    <row r="215">
      <c r="B215" s="9" t="str">
        <f>IFERROR(__xludf.DUMMYFUNCTION("""COMPUTED_VALUE"""),"blackjack online app")</f>
        <v>blackjack online app</v>
      </c>
    </row>
    <row r="216">
      <c r="B216" s="9" t="str">
        <f>IFERROR(__xludf.DUMMYFUNCTION("""COMPUTED_VALUE"""),"online roulette app")</f>
        <v>online roulette app</v>
      </c>
    </row>
    <row r="217">
      <c r="B217" s="9" t="str">
        <f>IFERROR(__xludf.DUMMYFUNCTION("""COMPUTED_VALUE"""),"roulette online app")</f>
        <v>roulette online app</v>
      </c>
    </row>
    <row r="218">
      <c r="B218" s="9" t="str">
        <f>IFERROR(__xludf.DUMMYFUNCTION("""COMPUTED_VALUE"""),"online slots app")</f>
        <v>online slots app</v>
      </c>
    </row>
    <row r="219">
      <c r="B219" s="9" t="str">
        <f>IFERROR(__xludf.DUMMYFUNCTION("""COMPUTED_VALUE"""),"slot games app")</f>
        <v>slot games app</v>
      </c>
    </row>
    <row r="220">
      <c r="B220" s="9" t="str">
        <f>IFERROR(__xludf.DUMMYFUNCTION("""COMPUTED_VALUE"""),"casino slots app")</f>
        <v>casino slots app</v>
      </c>
    </row>
    <row r="221">
      <c r="B221" s="9" t="str">
        <f>IFERROR(__xludf.DUMMYFUNCTION("""COMPUTED_VALUE"""),"demo casino games app")</f>
        <v>demo casino games app</v>
      </c>
    </row>
    <row r="222">
      <c r="B222" s="9" t="str">
        <f>IFERROR(__xludf.DUMMYFUNCTION("""COMPUTED_VALUE"""),"crazy time login")</f>
        <v>crazy time login</v>
      </c>
    </row>
    <row r="223">
      <c r="B223" s="9" t="str">
        <f>IFERROR(__xludf.DUMMYFUNCTION("""COMPUTED_VALUE"""),"crazy time game login")</f>
        <v>crazy time game login</v>
      </c>
    </row>
    <row r="224">
      <c r="B224" s="9" t="str">
        <f>IFERROR(__xludf.DUMMYFUNCTION("""COMPUTED_VALUE"""),"online blackjack login")</f>
        <v>online blackjack login</v>
      </c>
    </row>
    <row r="225">
      <c r="B225" s="9" t="str">
        <f>IFERROR(__xludf.DUMMYFUNCTION("""COMPUTED_VALUE"""),"blackjack online login")</f>
        <v>blackjack online login</v>
      </c>
    </row>
    <row r="226">
      <c r="B226" s="9" t="str">
        <f>IFERROR(__xludf.DUMMYFUNCTION("""COMPUTED_VALUE"""),"online roulette login")</f>
        <v>online roulette login</v>
      </c>
    </row>
    <row r="227">
      <c r="B227" s="9" t="str">
        <f>IFERROR(__xludf.DUMMYFUNCTION("""COMPUTED_VALUE"""),"roulette online login")</f>
        <v>roulette online login</v>
      </c>
    </row>
    <row r="228">
      <c r="B228" s="9" t="str">
        <f>IFERROR(__xludf.DUMMYFUNCTION("""COMPUTED_VALUE"""),"online slots login")</f>
        <v>online slots login</v>
      </c>
    </row>
    <row r="229">
      <c r="B229" s="9" t="str">
        <f>IFERROR(__xludf.DUMMYFUNCTION("""COMPUTED_VALUE"""),"slot games login")</f>
        <v>slot games login</v>
      </c>
    </row>
    <row r="230">
      <c r="B230" s="9" t="str">
        <f>IFERROR(__xludf.DUMMYFUNCTION("""COMPUTED_VALUE"""),"casino slots login")</f>
        <v>casino slots login</v>
      </c>
    </row>
    <row r="231">
      <c r="B231" s="9" t="str">
        <f>IFERROR(__xludf.DUMMYFUNCTION("""COMPUTED_VALUE"""),"demo casino games login")</f>
        <v>demo casino games login</v>
      </c>
    </row>
    <row r="232">
      <c r="B232" s="9" t="str">
        <f>IFERROR(__xludf.DUMMYFUNCTION("""COMPUTED_VALUE"""),"crazy time paradise games")</f>
        <v>crazy time paradise games</v>
      </c>
    </row>
    <row r="233">
      <c r="B233" s="9" t="str">
        <f>IFERROR(__xludf.DUMMYFUNCTION("""COMPUTED_VALUE"""),"crazy time game paradise games")</f>
        <v>crazy time game paradise games</v>
      </c>
    </row>
    <row r="234">
      <c r="B234" s="9" t="str">
        <f>IFERROR(__xludf.DUMMYFUNCTION("""COMPUTED_VALUE"""),"online blackjack paradise games")</f>
        <v>online blackjack paradise games</v>
      </c>
    </row>
    <row r="235">
      <c r="B235" s="9" t="str">
        <f>IFERROR(__xludf.DUMMYFUNCTION("""COMPUTED_VALUE"""),"blackjack online paradise games")</f>
        <v>blackjack online paradise games</v>
      </c>
    </row>
    <row r="236">
      <c r="B236" s="9" t="str">
        <f>IFERROR(__xludf.DUMMYFUNCTION("""COMPUTED_VALUE"""),"online roulette paradise games")</f>
        <v>online roulette paradise games</v>
      </c>
    </row>
    <row r="237">
      <c r="B237" s="9" t="str">
        <f>IFERROR(__xludf.DUMMYFUNCTION("""COMPUTED_VALUE"""),"roulette online paradise games")</f>
        <v>roulette online paradise games</v>
      </c>
    </row>
    <row r="238">
      <c r="B238" s="9" t="str">
        <f>IFERROR(__xludf.DUMMYFUNCTION("""COMPUTED_VALUE"""),"online slots paradise games")</f>
        <v>online slots paradise games</v>
      </c>
    </row>
    <row r="239">
      <c r="B239" s="9" t="str">
        <f>IFERROR(__xludf.DUMMYFUNCTION("""COMPUTED_VALUE"""),"slot games paradise games")</f>
        <v>slot games paradise games</v>
      </c>
    </row>
    <row r="240">
      <c r="B240" s="9" t="str">
        <f>IFERROR(__xludf.DUMMYFUNCTION("""COMPUTED_VALUE"""),"casino slots paradise games")</f>
        <v>casino slots paradise games</v>
      </c>
    </row>
    <row r="241">
      <c r="B241" s="9" t="str">
        <f>IFERROR(__xludf.DUMMYFUNCTION("""COMPUTED_VALUE"""),"demo casino games paradise games")</f>
        <v>demo casino games paradise games</v>
      </c>
    </row>
    <row r="242">
      <c r="B242" s="9" t="str">
        <f>IFERROR(__xludf.DUMMYFUNCTION("""COMPUTED_VALUE"""),"crazy time island luck")</f>
        <v>crazy time island luck</v>
      </c>
    </row>
    <row r="243">
      <c r="B243" s="9" t="str">
        <f>IFERROR(__xludf.DUMMYFUNCTION("""COMPUTED_VALUE"""),"crazy time game island luck")</f>
        <v>crazy time game island luck</v>
      </c>
    </row>
    <row r="244">
      <c r="B244" s="9" t="str">
        <f>IFERROR(__xludf.DUMMYFUNCTION("""COMPUTED_VALUE"""),"online blackjack island luck")</f>
        <v>online blackjack island luck</v>
      </c>
    </row>
    <row r="245">
      <c r="B245" s="9" t="str">
        <f>IFERROR(__xludf.DUMMYFUNCTION("""COMPUTED_VALUE"""),"blackjack online island luck")</f>
        <v>blackjack online island luck</v>
      </c>
    </row>
    <row r="246">
      <c r="B246" s="9" t="str">
        <f>IFERROR(__xludf.DUMMYFUNCTION("""COMPUTED_VALUE"""),"online roulette island luck")</f>
        <v>online roulette island luck</v>
      </c>
    </row>
    <row r="247">
      <c r="B247" s="9" t="str">
        <f>IFERROR(__xludf.DUMMYFUNCTION("""COMPUTED_VALUE"""),"roulette online island luck")</f>
        <v>roulette online island luck</v>
      </c>
    </row>
    <row r="248">
      <c r="B248" s="9" t="str">
        <f>IFERROR(__xludf.DUMMYFUNCTION("""COMPUTED_VALUE"""),"online slots island luck")</f>
        <v>online slots island luck</v>
      </c>
    </row>
    <row r="249">
      <c r="B249" s="9" t="str">
        <f>IFERROR(__xludf.DUMMYFUNCTION("""COMPUTED_VALUE"""),"slot games island luck")</f>
        <v>slot games island luck</v>
      </c>
    </row>
    <row r="250">
      <c r="B250" s="9" t="str">
        <f>IFERROR(__xludf.DUMMYFUNCTION("""COMPUTED_VALUE"""),"casino slots island luck")</f>
        <v>casino slots island luck</v>
      </c>
    </row>
    <row r="251">
      <c r="B251" s="9" t="str">
        <f>IFERROR(__xludf.DUMMYFUNCTION("""COMPUTED_VALUE"""),"demo casino games island luck")</f>
        <v>demo casino games island luck</v>
      </c>
    </row>
    <row r="252">
      <c r="B252" s="9" t="str">
        <f>IFERROR(__xludf.DUMMYFUNCTION("""COMPUTED_VALUE"""),"crazy time chances")</f>
        <v>crazy time chances</v>
      </c>
    </row>
    <row r="253">
      <c r="B253" s="9" t="str">
        <f>IFERROR(__xludf.DUMMYFUNCTION("""COMPUTED_VALUE"""),"crazy time game chances")</f>
        <v>crazy time game chances</v>
      </c>
    </row>
    <row r="254">
      <c r="B254" s="9" t="str">
        <f>IFERROR(__xludf.DUMMYFUNCTION("""COMPUTED_VALUE"""),"online blackjack chances")</f>
        <v>online blackjack chances</v>
      </c>
    </row>
    <row r="255">
      <c r="B255" s="9" t="str">
        <f>IFERROR(__xludf.DUMMYFUNCTION("""COMPUTED_VALUE"""),"blackjack online chances")</f>
        <v>blackjack online chances</v>
      </c>
    </row>
    <row r="256">
      <c r="B256" s="9" t="str">
        <f>IFERROR(__xludf.DUMMYFUNCTION("""COMPUTED_VALUE"""),"online roulette chances")</f>
        <v>online roulette chances</v>
      </c>
    </row>
    <row r="257">
      <c r="B257" s="9" t="str">
        <f>IFERROR(__xludf.DUMMYFUNCTION("""COMPUTED_VALUE"""),"roulette online chances")</f>
        <v>roulette online chances</v>
      </c>
    </row>
    <row r="258">
      <c r="B258" s="9" t="str">
        <f>IFERROR(__xludf.DUMMYFUNCTION("""COMPUTED_VALUE"""),"online slots chances")</f>
        <v>online slots chances</v>
      </c>
    </row>
    <row r="259">
      <c r="B259" s="9" t="str">
        <f>IFERROR(__xludf.DUMMYFUNCTION("""COMPUTED_VALUE"""),"slot games chances")</f>
        <v>slot games chances</v>
      </c>
    </row>
    <row r="260">
      <c r="B260" s="9" t="str">
        <f>IFERROR(__xludf.DUMMYFUNCTION("""COMPUTED_VALUE"""),"casino slots chances")</f>
        <v>casino slots chances</v>
      </c>
    </row>
    <row r="261">
      <c r="B261" s="9" t="str">
        <f>IFERROR(__xludf.DUMMYFUNCTION("""COMPUTED_VALUE"""),"demo casino games chances")</f>
        <v>demo casino games chances</v>
      </c>
    </row>
    <row r="262">
      <c r="B262" s="9" t="str">
        <f>IFERROR(__xludf.DUMMYFUNCTION("""COMPUTED_VALUE"""),"crazy time ultra games")</f>
        <v>crazy time ultra games</v>
      </c>
    </row>
    <row r="263">
      <c r="B263" s="9" t="str">
        <f>IFERROR(__xludf.DUMMYFUNCTION("""COMPUTED_VALUE"""),"crazy time game ultra games")</f>
        <v>crazy time game ultra games</v>
      </c>
    </row>
    <row r="264">
      <c r="B264" s="9" t="str">
        <f>IFERROR(__xludf.DUMMYFUNCTION("""COMPUTED_VALUE"""),"online blackjack ultra games")</f>
        <v>online blackjack ultra games</v>
      </c>
    </row>
    <row r="265">
      <c r="B265" s="9" t="str">
        <f>IFERROR(__xludf.DUMMYFUNCTION("""COMPUTED_VALUE"""),"blackjack online ultra games")</f>
        <v>blackjack online ultra games</v>
      </c>
    </row>
    <row r="266">
      <c r="B266" s="9" t="str">
        <f>IFERROR(__xludf.DUMMYFUNCTION("""COMPUTED_VALUE"""),"online roulette ultra games")</f>
        <v>online roulette ultra games</v>
      </c>
    </row>
    <row r="267">
      <c r="B267" s="9" t="str">
        <f>IFERROR(__xludf.DUMMYFUNCTION("""COMPUTED_VALUE"""),"roulette online ultra games")</f>
        <v>roulette online ultra games</v>
      </c>
    </row>
    <row r="268">
      <c r="B268" s="9" t="str">
        <f>IFERROR(__xludf.DUMMYFUNCTION("""COMPUTED_VALUE"""),"online slots ultra games")</f>
        <v>online slots ultra games</v>
      </c>
    </row>
    <row r="269">
      <c r="B269" s="9" t="str">
        <f>IFERROR(__xludf.DUMMYFUNCTION("""COMPUTED_VALUE"""),"slot games ultra games")</f>
        <v>slot games ultra games</v>
      </c>
    </row>
    <row r="270">
      <c r="B270" s="9" t="str">
        <f>IFERROR(__xludf.DUMMYFUNCTION("""COMPUTED_VALUE"""),"casino slots ultra games")</f>
        <v>casino slots ultra games</v>
      </c>
    </row>
    <row r="271">
      <c r="B271" s="9" t="str">
        <f>IFERROR(__xludf.DUMMYFUNCTION("""COMPUTED_VALUE"""),"demo casino games ultra games")</f>
        <v>demo casino games ultra games</v>
      </c>
    </row>
    <row r="272">
      <c r="B272" s="9" t="str">
        <f>IFERROR(__xludf.DUMMYFUNCTION("""COMPUTED_VALUE"""),"crazy time sweet bonanza")</f>
        <v>crazy time sweet bonanza</v>
      </c>
    </row>
    <row r="273">
      <c r="B273" s="9" t="str">
        <f>IFERROR(__xludf.DUMMYFUNCTION("""COMPUTED_VALUE"""),"crazy time game sweet bonanza")</f>
        <v>crazy time game sweet bonanza</v>
      </c>
    </row>
    <row r="274">
      <c r="B274" s="9" t="str">
        <f>IFERROR(__xludf.DUMMYFUNCTION("""COMPUTED_VALUE"""),"online blackjack sweet bonanza")</f>
        <v>online blackjack sweet bonanza</v>
      </c>
    </row>
    <row r="275">
      <c r="B275" s="9" t="str">
        <f>IFERROR(__xludf.DUMMYFUNCTION("""COMPUTED_VALUE"""),"blackjack online sweet bonanza")</f>
        <v>blackjack online sweet bonanza</v>
      </c>
    </row>
    <row r="276">
      <c r="B276" s="9" t="str">
        <f>IFERROR(__xludf.DUMMYFUNCTION("""COMPUTED_VALUE"""),"online roulette sweet bonanza")</f>
        <v>online roulette sweet bonanza</v>
      </c>
    </row>
    <row r="277">
      <c r="B277" s="9" t="str">
        <f>IFERROR(__xludf.DUMMYFUNCTION("""COMPUTED_VALUE"""),"roulette online sweet bonanza")</f>
        <v>roulette online sweet bonanza</v>
      </c>
    </row>
    <row r="278">
      <c r="B278" s="9" t="str">
        <f>IFERROR(__xludf.DUMMYFUNCTION("""COMPUTED_VALUE"""),"online slots sweet bonanza")</f>
        <v>online slots sweet bonanza</v>
      </c>
    </row>
    <row r="279">
      <c r="B279" s="9" t="str">
        <f>IFERROR(__xludf.DUMMYFUNCTION("""COMPUTED_VALUE"""),"slot games sweet bonanza")</f>
        <v>slot games sweet bonanza</v>
      </c>
    </row>
    <row r="280">
      <c r="B280" s="9" t="str">
        <f>IFERROR(__xludf.DUMMYFUNCTION("""COMPUTED_VALUE"""),"casino slots sweet bonanza")</f>
        <v>casino slots sweet bonanza</v>
      </c>
    </row>
    <row r="281">
      <c r="B281" s="9" t="str">
        <f>IFERROR(__xludf.DUMMYFUNCTION("""COMPUTED_VALUE"""),"demo casino games sweet bonanza")</f>
        <v>demo casino games sweet bonanza</v>
      </c>
    </row>
    <row r="282">
      <c r="B282" s="9" t="str">
        <f>IFERROR(__xludf.DUMMYFUNCTION("""COMPUTED_VALUE"""),"crazy time gates of olympus")</f>
        <v>crazy time gates of olympus</v>
      </c>
    </row>
    <row r="283">
      <c r="B283" s="9" t="str">
        <f>IFERROR(__xludf.DUMMYFUNCTION("""COMPUTED_VALUE"""),"crazy time game gates of olympus")</f>
        <v>crazy time game gates of olympus</v>
      </c>
    </row>
    <row r="284">
      <c r="B284" s="9" t="str">
        <f>IFERROR(__xludf.DUMMYFUNCTION("""COMPUTED_VALUE"""),"online blackjack gates of olympus")</f>
        <v>online blackjack gates of olympus</v>
      </c>
    </row>
    <row r="285">
      <c r="B285" s="9" t="str">
        <f>IFERROR(__xludf.DUMMYFUNCTION("""COMPUTED_VALUE"""),"blackjack online gates of olympus")</f>
        <v>blackjack online gates of olympus</v>
      </c>
    </row>
    <row r="286">
      <c r="B286" s="9" t="str">
        <f>IFERROR(__xludf.DUMMYFUNCTION("""COMPUTED_VALUE"""),"online roulette gates of olympus")</f>
        <v>online roulette gates of olympus</v>
      </c>
    </row>
    <row r="287">
      <c r="B287" s="9" t="str">
        <f>IFERROR(__xludf.DUMMYFUNCTION("""COMPUTED_VALUE"""),"roulette online gates of olympus")</f>
        <v>roulette online gates of olympus</v>
      </c>
    </row>
    <row r="288">
      <c r="B288" s="9" t="str">
        <f>IFERROR(__xludf.DUMMYFUNCTION("""COMPUTED_VALUE"""),"online slots gates of olympus")</f>
        <v>online slots gates of olympus</v>
      </c>
    </row>
    <row r="289">
      <c r="B289" s="9" t="str">
        <f>IFERROR(__xludf.DUMMYFUNCTION("""COMPUTED_VALUE"""),"slot games gates of olympus")</f>
        <v>slot games gates of olympus</v>
      </c>
    </row>
    <row r="290">
      <c r="B290" s="9" t="str">
        <f>IFERROR(__xludf.DUMMYFUNCTION("""COMPUTED_VALUE"""),"casino slots gates of olympus")</f>
        <v>casino slots gates of olympus</v>
      </c>
    </row>
    <row r="291">
      <c r="B291" s="9" t="str">
        <f>IFERROR(__xludf.DUMMYFUNCTION("""COMPUTED_VALUE"""),"demo casino games gates of olympus")</f>
        <v>demo casino games gates of olympus</v>
      </c>
    </row>
    <row r="292">
      <c r="B292" s="9" t="str">
        <f>IFERROR(__xludf.DUMMYFUNCTION("""COMPUTED_VALUE"""),"crazy time big bass bonanza")</f>
        <v>crazy time big bass bonanza</v>
      </c>
    </row>
    <row r="293">
      <c r="B293" s="9" t="str">
        <f>IFERROR(__xludf.DUMMYFUNCTION("""COMPUTED_VALUE"""),"crazy time game big bass bonanza")</f>
        <v>crazy time game big bass bonanza</v>
      </c>
    </row>
    <row r="294">
      <c r="B294" s="9" t="str">
        <f>IFERROR(__xludf.DUMMYFUNCTION("""COMPUTED_VALUE"""),"online blackjack big bass bonanza")</f>
        <v>online blackjack big bass bonanza</v>
      </c>
    </row>
    <row r="295">
      <c r="B295" s="9" t="str">
        <f>IFERROR(__xludf.DUMMYFUNCTION("""COMPUTED_VALUE"""),"blackjack online big bass bonanza")</f>
        <v>blackjack online big bass bonanza</v>
      </c>
    </row>
    <row r="296">
      <c r="B296" s="9" t="str">
        <f>IFERROR(__xludf.DUMMYFUNCTION("""COMPUTED_VALUE"""),"online roulette big bass bonanza")</f>
        <v>online roulette big bass bonanza</v>
      </c>
    </row>
    <row r="297">
      <c r="B297" s="9" t="str">
        <f>IFERROR(__xludf.DUMMYFUNCTION("""COMPUTED_VALUE"""),"roulette online big bass bonanza")</f>
        <v>roulette online big bass bonanza</v>
      </c>
    </row>
    <row r="298">
      <c r="B298" s="9" t="str">
        <f>IFERROR(__xludf.DUMMYFUNCTION("""COMPUTED_VALUE"""),"online slots big bass bonanza")</f>
        <v>online slots big bass bonanza</v>
      </c>
    </row>
    <row r="299">
      <c r="B299" s="9" t="str">
        <f>IFERROR(__xludf.DUMMYFUNCTION("""COMPUTED_VALUE"""),"slot games big bass bonanza")</f>
        <v>slot games big bass bonanza</v>
      </c>
    </row>
    <row r="300">
      <c r="B300" s="9" t="str">
        <f>IFERROR(__xludf.DUMMYFUNCTION("""COMPUTED_VALUE"""),"casino slots big bass bonanza")</f>
        <v>casino slots big bass bonanza</v>
      </c>
    </row>
    <row r="301">
      <c r="B301" s="9" t="str">
        <f>IFERROR(__xludf.DUMMYFUNCTION("""COMPUTED_VALUE"""),"demo casino games big bass bonanza")</f>
        <v>demo casino games big bass bonanza</v>
      </c>
    </row>
    <row r="302">
      <c r="B302" s="9" t="str">
        <f>IFERROR(__xludf.DUMMYFUNCTION("""COMPUTED_VALUE"""),"crazy time lightning roulette")</f>
        <v>crazy time lightning roulette</v>
      </c>
    </row>
    <row r="303">
      <c r="B303" s="9" t="str">
        <f>IFERROR(__xludf.DUMMYFUNCTION("""COMPUTED_VALUE"""),"crazy time game lightning roulette")</f>
        <v>crazy time game lightning roulette</v>
      </c>
    </row>
    <row r="304">
      <c r="B304" s="9" t="str">
        <f>IFERROR(__xludf.DUMMYFUNCTION("""COMPUTED_VALUE"""),"online blackjack lightning roulette")</f>
        <v>online blackjack lightning roulette</v>
      </c>
    </row>
    <row r="305">
      <c r="B305" s="9" t="str">
        <f>IFERROR(__xludf.DUMMYFUNCTION("""COMPUTED_VALUE"""),"blackjack online lightning roulette")</f>
        <v>blackjack online lightning roulette</v>
      </c>
    </row>
    <row r="306">
      <c r="B306" s="9" t="str">
        <f>IFERROR(__xludf.DUMMYFUNCTION("""COMPUTED_VALUE"""),"online roulette lightning roulette")</f>
        <v>online roulette lightning roulette</v>
      </c>
    </row>
    <row r="307">
      <c r="B307" s="9" t="str">
        <f>IFERROR(__xludf.DUMMYFUNCTION("""COMPUTED_VALUE"""),"roulette online lightning roulette")</f>
        <v>roulette online lightning roulette</v>
      </c>
    </row>
    <row r="308">
      <c r="B308" s="9" t="str">
        <f>IFERROR(__xludf.DUMMYFUNCTION("""COMPUTED_VALUE"""),"online slots lightning roulette")</f>
        <v>online slots lightning roulette</v>
      </c>
    </row>
    <row r="309">
      <c r="B309" s="9" t="str">
        <f>IFERROR(__xludf.DUMMYFUNCTION("""COMPUTED_VALUE"""),"slot games lightning roulette")</f>
        <v>slot games lightning roulette</v>
      </c>
    </row>
    <row r="310">
      <c r="B310" s="9" t="str">
        <f>IFERROR(__xludf.DUMMYFUNCTION("""COMPUTED_VALUE"""),"casino slots lightning roulette")</f>
        <v>casino slots lightning roulette</v>
      </c>
    </row>
    <row r="311">
      <c r="B311" s="9" t="str">
        <f>IFERROR(__xludf.DUMMYFUNCTION("""COMPUTED_VALUE"""),"demo casino games lightning roulette")</f>
        <v>demo casino games lightning roulette</v>
      </c>
    </row>
    <row r="312">
      <c r="B312" s="9" t="str">
        <f>IFERROR(__xludf.DUMMYFUNCTION("""COMPUTED_VALUE"""),"crazy time monopoly live")</f>
        <v>crazy time monopoly live</v>
      </c>
    </row>
    <row r="313">
      <c r="B313" s="9" t="str">
        <f>IFERROR(__xludf.DUMMYFUNCTION("""COMPUTED_VALUE"""),"crazy time game monopoly live")</f>
        <v>crazy time game monopoly live</v>
      </c>
    </row>
    <row r="314">
      <c r="B314" s="9" t="str">
        <f>IFERROR(__xludf.DUMMYFUNCTION("""COMPUTED_VALUE"""),"online blackjack monopoly live")</f>
        <v>online blackjack monopoly live</v>
      </c>
    </row>
    <row r="315">
      <c r="B315" s="9" t="str">
        <f>IFERROR(__xludf.DUMMYFUNCTION("""COMPUTED_VALUE"""),"blackjack online monopoly live")</f>
        <v>blackjack online monopoly live</v>
      </c>
    </row>
    <row r="316">
      <c r="B316" s="9" t="str">
        <f>IFERROR(__xludf.DUMMYFUNCTION("""COMPUTED_VALUE"""),"online roulette monopoly live")</f>
        <v>online roulette monopoly live</v>
      </c>
    </row>
    <row r="317">
      <c r="B317" s="9" t="str">
        <f>IFERROR(__xludf.DUMMYFUNCTION("""COMPUTED_VALUE"""),"roulette online monopoly live")</f>
        <v>roulette online monopoly live</v>
      </c>
    </row>
    <row r="318">
      <c r="B318" s="9" t="str">
        <f>IFERROR(__xludf.DUMMYFUNCTION("""COMPUTED_VALUE"""),"online slots monopoly live")</f>
        <v>online slots monopoly live</v>
      </c>
    </row>
    <row r="319">
      <c r="B319" s="9" t="str">
        <f>IFERROR(__xludf.DUMMYFUNCTION("""COMPUTED_VALUE"""),"slot games monopoly live")</f>
        <v>slot games monopoly live</v>
      </c>
    </row>
    <row r="320">
      <c r="B320" s="9" t="str">
        <f>IFERROR(__xludf.DUMMYFUNCTION("""COMPUTED_VALUE"""),"casino slots monopoly live")</f>
        <v>casino slots monopoly live</v>
      </c>
    </row>
    <row r="321">
      <c r="B321" s="9" t="str">
        <f>IFERROR(__xludf.DUMMYFUNCTION("""COMPUTED_VALUE"""),"demo casino games monopoly live")</f>
        <v>demo casino games monopoly live</v>
      </c>
    </row>
    <row r="322">
      <c r="B322" s="9" t="str">
        <f>IFERROR(__xludf.DUMMYFUNCTION("""COMPUTED_VALUE"""),"crazy time dream catcher")</f>
        <v>crazy time dream catcher</v>
      </c>
    </row>
    <row r="323">
      <c r="B323" s="9" t="str">
        <f>IFERROR(__xludf.DUMMYFUNCTION("""COMPUTED_VALUE"""),"crazy time game dream catcher")</f>
        <v>crazy time game dream catcher</v>
      </c>
    </row>
    <row r="324">
      <c r="B324" s="9" t="str">
        <f>IFERROR(__xludf.DUMMYFUNCTION("""COMPUTED_VALUE"""),"online blackjack dream catcher")</f>
        <v>online blackjack dream catcher</v>
      </c>
    </row>
    <row r="325">
      <c r="B325" s="9" t="str">
        <f>IFERROR(__xludf.DUMMYFUNCTION("""COMPUTED_VALUE"""),"blackjack online dream catcher")</f>
        <v>blackjack online dream catcher</v>
      </c>
    </row>
    <row r="326">
      <c r="B326" s="9" t="str">
        <f>IFERROR(__xludf.DUMMYFUNCTION("""COMPUTED_VALUE"""),"online roulette dream catcher")</f>
        <v>online roulette dream catcher</v>
      </c>
    </row>
    <row r="327">
      <c r="B327" s="9" t="str">
        <f>IFERROR(__xludf.DUMMYFUNCTION("""COMPUTED_VALUE"""),"roulette online dream catcher")</f>
        <v>roulette online dream catcher</v>
      </c>
    </row>
    <row r="328">
      <c r="B328" s="9" t="str">
        <f>IFERROR(__xludf.DUMMYFUNCTION("""COMPUTED_VALUE"""),"online slots dream catcher")</f>
        <v>online slots dream catcher</v>
      </c>
    </row>
    <row r="329">
      <c r="B329" s="9" t="str">
        <f>IFERROR(__xludf.DUMMYFUNCTION("""COMPUTED_VALUE"""),"slot games dream catcher")</f>
        <v>slot games dream catcher</v>
      </c>
    </row>
    <row r="330">
      <c r="B330" s="9" t="str">
        <f>IFERROR(__xludf.DUMMYFUNCTION("""COMPUTED_VALUE"""),"casino slots dream catcher")</f>
        <v>casino slots dream catcher</v>
      </c>
    </row>
    <row r="331">
      <c r="B331" s="9" t="str">
        <f>IFERROR(__xludf.DUMMYFUNCTION("""COMPUTED_VALUE"""),"demo casino games dream catcher")</f>
        <v>demo casino games dream catcher</v>
      </c>
    </row>
    <row r="332">
      <c r="B332" s="9" t="str">
        <f>IFERROR(__xludf.DUMMYFUNCTION("""COMPUTED_VALUE"""),"crazy time caribbean")</f>
        <v>crazy time caribbean</v>
      </c>
    </row>
    <row r="333">
      <c r="B333" s="9" t="str">
        <f>IFERROR(__xludf.DUMMYFUNCTION("""COMPUTED_VALUE"""),"crazy time game caribbean")</f>
        <v>crazy time game caribbean</v>
      </c>
    </row>
    <row r="334">
      <c r="B334" s="9" t="str">
        <f>IFERROR(__xludf.DUMMYFUNCTION("""COMPUTED_VALUE"""),"online blackjack caribbean")</f>
        <v>online blackjack caribbean</v>
      </c>
    </row>
    <row r="335">
      <c r="B335" s="9" t="str">
        <f>IFERROR(__xludf.DUMMYFUNCTION("""COMPUTED_VALUE"""),"blackjack online caribbean")</f>
        <v>blackjack online caribbean</v>
      </c>
    </row>
    <row r="336">
      <c r="B336" s="9" t="str">
        <f>IFERROR(__xludf.DUMMYFUNCTION("""COMPUTED_VALUE"""),"online roulette caribbean")</f>
        <v>online roulette caribbean</v>
      </c>
    </row>
    <row r="337">
      <c r="B337" s="9" t="str">
        <f>IFERROR(__xludf.DUMMYFUNCTION("""COMPUTED_VALUE"""),"roulette online caribbean")</f>
        <v>roulette online caribbean</v>
      </c>
    </row>
    <row r="338">
      <c r="B338" s="9" t="str">
        <f>IFERROR(__xludf.DUMMYFUNCTION("""COMPUTED_VALUE"""),"online slots caribbean")</f>
        <v>online slots caribbean</v>
      </c>
    </row>
    <row r="339">
      <c r="B339" s="9" t="str">
        <f>IFERROR(__xludf.DUMMYFUNCTION("""COMPUTED_VALUE"""),"slot games caribbean")</f>
        <v>slot games caribbean</v>
      </c>
    </row>
    <row r="340">
      <c r="B340" s="9" t="str">
        <f>IFERROR(__xludf.DUMMYFUNCTION("""COMPUTED_VALUE"""),"casino slots caribbean")</f>
        <v>casino slots caribbean</v>
      </c>
    </row>
    <row r="341">
      <c r="B341" s="9" t="str">
        <f>IFERROR(__xludf.DUMMYFUNCTION("""COMPUTED_VALUE"""),"demo casino games caribbean")</f>
        <v>demo casino games caribbean</v>
      </c>
    </row>
    <row r="342">
      <c r="B342" s="9" t="str">
        <f>IFERROR(__xludf.DUMMYFUNCTION("""COMPUTED_VALUE"""),"crazy time trusted")</f>
        <v>crazy time trusted</v>
      </c>
    </row>
    <row r="343">
      <c r="B343" s="9" t="str">
        <f>IFERROR(__xludf.DUMMYFUNCTION("""COMPUTED_VALUE"""),"crazy time game trusted")</f>
        <v>crazy time game trusted</v>
      </c>
    </row>
    <row r="344">
      <c r="B344" s="9" t="str">
        <f>IFERROR(__xludf.DUMMYFUNCTION("""COMPUTED_VALUE"""),"online blackjack trusted")</f>
        <v>online blackjack trusted</v>
      </c>
    </row>
    <row r="345">
      <c r="B345" s="9" t="str">
        <f>IFERROR(__xludf.DUMMYFUNCTION("""COMPUTED_VALUE"""),"blackjack online trusted")</f>
        <v>blackjack online trusted</v>
      </c>
    </row>
    <row r="346">
      <c r="B346" s="9" t="str">
        <f>IFERROR(__xludf.DUMMYFUNCTION("""COMPUTED_VALUE"""),"online roulette trusted")</f>
        <v>online roulette trusted</v>
      </c>
    </row>
    <row r="347">
      <c r="B347" s="9" t="str">
        <f>IFERROR(__xludf.DUMMYFUNCTION("""COMPUTED_VALUE"""),"roulette online trusted")</f>
        <v>roulette online trusted</v>
      </c>
    </row>
    <row r="348">
      <c r="B348" s="9" t="str">
        <f>IFERROR(__xludf.DUMMYFUNCTION("""COMPUTED_VALUE"""),"online slots trusted")</f>
        <v>online slots trusted</v>
      </c>
    </row>
    <row r="349">
      <c r="B349" s="9" t="str">
        <f>IFERROR(__xludf.DUMMYFUNCTION("""COMPUTED_VALUE"""),"slot games trusted")</f>
        <v>slot games trusted</v>
      </c>
    </row>
    <row r="350">
      <c r="B350" s="9" t="str">
        <f>IFERROR(__xludf.DUMMYFUNCTION("""COMPUTED_VALUE"""),"casino slots trusted")</f>
        <v>casino slots trusted</v>
      </c>
    </row>
    <row r="351">
      <c r="B351" s="9" t="str">
        <f>IFERROR(__xludf.DUMMYFUNCTION("""COMPUTED_VALUE"""),"demo casino games trusted")</f>
        <v>demo casino games trusted</v>
      </c>
    </row>
    <row r="352">
      <c r="B352" s="9" t="str">
        <f>IFERROR(__xludf.DUMMYFUNCTION("""COMPUTED_VALUE"""),"crazy time licensed")</f>
        <v>crazy time licensed</v>
      </c>
    </row>
    <row r="353">
      <c r="B353" s="9" t="str">
        <f>IFERROR(__xludf.DUMMYFUNCTION("""COMPUTED_VALUE"""),"crazy time game licensed")</f>
        <v>crazy time game licensed</v>
      </c>
    </row>
    <row r="354">
      <c r="B354" s="9" t="str">
        <f>IFERROR(__xludf.DUMMYFUNCTION("""COMPUTED_VALUE"""),"online blackjack licensed")</f>
        <v>online blackjack licensed</v>
      </c>
    </row>
    <row r="355">
      <c r="B355" s="9" t="str">
        <f>IFERROR(__xludf.DUMMYFUNCTION("""COMPUTED_VALUE"""),"blackjack online licensed")</f>
        <v>blackjack online licensed</v>
      </c>
    </row>
    <row r="356">
      <c r="B356" s="9" t="str">
        <f>IFERROR(__xludf.DUMMYFUNCTION("""COMPUTED_VALUE"""),"online roulette licensed")</f>
        <v>online roulette licensed</v>
      </c>
    </row>
    <row r="357">
      <c r="B357" s="9" t="str">
        <f>IFERROR(__xludf.DUMMYFUNCTION("""COMPUTED_VALUE"""),"roulette online licensed")</f>
        <v>roulette online licensed</v>
      </c>
    </row>
    <row r="358">
      <c r="B358" s="9" t="str">
        <f>IFERROR(__xludf.DUMMYFUNCTION("""COMPUTED_VALUE"""),"online slots licensed")</f>
        <v>online slots licensed</v>
      </c>
    </row>
    <row r="359">
      <c r="B359" s="9" t="str">
        <f>IFERROR(__xludf.DUMMYFUNCTION("""COMPUTED_VALUE"""),"slot games licensed")</f>
        <v>slot games licensed</v>
      </c>
    </row>
    <row r="360">
      <c r="B360" s="9" t="str">
        <f>IFERROR(__xludf.DUMMYFUNCTION("""COMPUTED_VALUE"""),"casino slots licensed")</f>
        <v>casino slots licensed</v>
      </c>
    </row>
    <row r="361">
      <c r="B361" s="9" t="str">
        <f>IFERROR(__xludf.DUMMYFUNCTION("""COMPUTED_VALUE"""),"demo casino games licensed")</f>
        <v>demo casino games licensed</v>
      </c>
    </row>
    <row r="362">
      <c r="B362" s="9" t="str">
        <f>IFERROR(__xludf.DUMMYFUNCTION("""COMPUTED_VALUE"""),"crazy time free spins")</f>
        <v>crazy time free spins</v>
      </c>
    </row>
    <row r="363">
      <c r="B363" s="9" t="str">
        <f>IFERROR(__xludf.DUMMYFUNCTION("""COMPUTED_VALUE"""),"crazy time game free spins")</f>
        <v>crazy time game free spins</v>
      </c>
    </row>
    <row r="364">
      <c r="B364" s="9" t="str">
        <f>IFERROR(__xludf.DUMMYFUNCTION("""COMPUTED_VALUE"""),"online blackjack free spins")</f>
        <v>online blackjack free spins</v>
      </c>
    </row>
    <row r="365">
      <c r="B365" s="9" t="str">
        <f>IFERROR(__xludf.DUMMYFUNCTION("""COMPUTED_VALUE"""),"blackjack online free spins")</f>
        <v>blackjack online free spins</v>
      </c>
    </row>
    <row r="366">
      <c r="B366" s="9" t="str">
        <f>IFERROR(__xludf.DUMMYFUNCTION("""COMPUTED_VALUE"""),"online roulette free spins")</f>
        <v>online roulette free spins</v>
      </c>
    </row>
    <row r="367">
      <c r="B367" s="9" t="str">
        <f>IFERROR(__xludf.DUMMYFUNCTION("""COMPUTED_VALUE"""),"roulette online free spins")</f>
        <v>roulette online free spins</v>
      </c>
    </row>
    <row r="368">
      <c r="B368" s="9" t="str">
        <f>IFERROR(__xludf.DUMMYFUNCTION("""COMPUTED_VALUE"""),"online slots free spins")</f>
        <v>online slots free spins</v>
      </c>
    </row>
    <row r="369">
      <c r="B369" s="9" t="str">
        <f>IFERROR(__xludf.DUMMYFUNCTION("""COMPUTED_VALUE"""),"slot games free spins")</f>
        <v>slot games free spins</v>
      </c>
    </row>
    <row r="370">
      <c r="B370" s="9" t="str">
        <f>IFERROR(__xludf.DUMMYFUNCTION("""COMPUTED_VALUE"""),"casino slots free spins")</f>
        <v>casino slots free spins</v>
      </c>
    </row>
    <row r="371">
      <c r="B371" s="9" t="str">
        <f>IFERROR(__xludf.DUMMYFUNCTION("""COMPUTED_VALUE"""),"demo casino games free spins")</f>
        <v>demo casino games free spins</v>
      </c>
    </row>
    <row r="372">
      <c r="B372" s="9" t="str">
        <f>IFERROR(__xludf.DUMMYFUNCTION("""COMPUTED_VALUE"""),"crazy time")</f>
        <v>crazy time</v>
      </c>
    </row>
    <row r="373">
      <c r="B373" s="9" t="str">
        <f>IFERROR(__xludf.DUMMYFUNCTION("""COMPUTED_VALUE"""),"crazy time game")</f>
        <v>crazy time game</v>
      </c>
    </row>
    <row r="374">
      <c r="B374" s="9" t="str">
        <f>IFERROR(__xludf.DUMMYFUNCTION("""COMPUTED_VALUE"""),"online blackjack")</f>
        <v>online blackjack</v>
      </c>
    </row>
    <row r="375">
      <c r="B375" s="9" t="str">
        <f>IFERROR(__xludf.DUMMYFUNCTION("""COMPUTED_VALUE"""),"blackjack online")</f>
        <v>blackjack online</v>
      </c>
    </row>
    <row r="376">
      <c r="B376" s="9" t="str">
        <f>IFERROR(__xludf.DUMMYFUNCTION("""COMPUTED_VALUE"""),"online roulette")</f>
        <v>online roulette</v>
      </c>
    </row>
    <row r="377">
      <c r="B377" s="9" t="str">
        <f>IFERROR(__xludf.DUMMYFUNCTION("""COMPUTED_VALUE"""),"roulette online")</f>
        <v>roulette online</v>
      </c>
    </row>
    <row r="378">
      <c r="B378" s="9" t="str">
        <f>IFERROR(__xludf.DUMMYFUNCTION("""COMPUTED_VALUE"""),"online slots")</f>
        <v>online slots</v>
      </c>
    </row>
    <row r="379">
      <c r="B379" s="9" t="str">
        <f>IFERROR(__xludf.DUMMYFUNCTION("""COMPUTED_VALUE"""),"slot games")</f>
        <v>slot games</v>
      </c>
    </row>
    <row r="380">
      <c r="B380" s="9" t="str">
        <f>IFERROR(__xludf.DUMMYFUNCTION("""COMPUTED_VALUE"""),"casino slots")</f>
        <v>casino slots</v>
      </c>
    </row>
    <row r="381">
      <c r="B381" s="9" t="str">
        <f>IFERROR(__xludf.DUMMYFUNCTION("""COMPUTED_VALUE"""),"demo casino games")</f>
        <v>demo casino games</v>
      </c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  <row r="999">
      <c r="B999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20</v>
      </c>
      <c r="C2" s="6" t="s">
        <v>21</v>
      </c>
      <c r="D2" s="5">
        <v>89.0</v>
      </c>
      <c r="E2" s="5">
        <v>1100.0</v>
      </c>
      <c r="F2" s="5">
        <v>0.6</v>
      </c>
      <c r="H2" s="5" t="s">
        <v>22</v>
      </c>
      <c r="I2" s="7">
        <v>45896.83646990741</v>
      </c>
      <c r="J2" s="5" t="s">
        <v>23</v>
      </c>
      <c r="K2" s="5">
        <v>3900.0</v>
      </c>
      <c r="L2" s="5">
        <v>5400.0</v>
      </c>
      <c r="M2" s="5">
        <v>6500.0</v>
      </c>
      <c r="N2" s="8">
        <v>43188.0</v>
      </c>
      <c r="O2" s="5" t="s">
        <v>24</v>
      </c>
      <c r="P2" s="5" t="s">
        <v>25</v>
      </c>
      <c r="Q2" s="5" t="s">
        <v>27</v>
      </c>
      <c r="R2" s="5" t="s">
        <v>28</v>
      </c>
      <c r="S2" s="5" t="s">
        <v>29</v>
      </c>
    </row>
    <row r="3">
      <c r="A3" s="5">
        <v>2.0</v>
      </c>
      <c r="B3" s="5" t="s">
        <v>30</v>
      </c>
      <c r="C3" s="5" t="s">
        <v>21</v>
      </c>
      <c r="D3" s="5">
        <v>83.0</v>
      </c>
      <c r="E3" s="5">
        <v>70.0</v>
      </c>
      <c r="K3" s="5">
        <v>450.0</v>
      </c>
      <c r="N3" s="8">
        <v>42721.0</v>
      </c>
    </row>
    <row r="4">
      <c r="A4" s="5">
        <v>3.0</v>
      </c>
      <c r="B4" s="5" t="s">
        <v>33</v>
      </c>
      <c r="C4" s="5" t="s">
        <v>21</v>
      </c>
      <c r="D4" s="5">
        <v>83.0</v>
      </c>
      <c r="E4" s="5">
        <v>30.0</v>
      </c>
      <c r="H4" s="5" t="s">
        <v>33</v>
      </c>
      <c r="I4" s="7">
        <v>46131.83086805556</v>
      </c>
      <c r="K4" s="5">
        <v>112000.0</v>
      </c>
      <c r="L4" s="5">
        <v>20.0</v>
      </c>
      <c r="M4" s="5">
        <v>213000.0</v>
      </c>
      <c r="N4" s="8">
        <v>43358.0</v>
      </c>
      <c r="O4" s="5" t="s">
        <v>39</v>
      </c>
      <c r="P4" s="5" t="s">
        <v>25</v>
      </c>
      <c r="S4" s="5" t="s">
        <v>29</v>
      </c>
    </row>
    <row r="5">
      <c r="A5" s="5">
        <v>4.0</v>
      </c>
      <c r="B5" s="5" t="s">
        <v>42</v>
      </c>
      <c r="C5" s="5" t="s">
        <v>21</v>
      </c>
      <c r="D5" s="5">
        <v>84.0</v>
      </c>
      <c r="E5" s="5">
        <v>20.0</v>
      </c>
      <c r="K5" s="5">
        <v>54000.0</v>
      </c>
      <c r="N5" s="8">
        <v>42628.0</v>
      </c>
    </row>
    <row r="6">
      <c r="A6" s="5">
        <v>5.0</v>
      </c>
      <c r="B6" s="5" t="s">
        <v>46</v>
      </c>
      <c r="C6" s="5" t="s">
        <v>21</v>
      </c>
      <c r="D6" s="5">
        <v>84.0</v>
      </c>
      <c r="E6" s="5">
        <v>20.0</v>
      </c>
      <c r="H6" s="5" t="s">
        <v>33</v>
      </c>
      <c r="I6" s="7">
        <v>46146.61423611111</v>
      </c>
      <c r="J6" s="5" t="s">
        <v>49</v>
      </c>
      <c r="K6" s="5">
        <v>108000.0</v>
      </c>
      <c r="L6" s="5">
        <v>30.0</v>
      </c>
      <c r="M6" s="5">
        <v>198000.0</v>
      </c>
      <c r="N6" s="8">
        <v>43867.0</v>
      </c>
      <c r="O6" s="5" t="s">
        <v>51</v>
      </c>
      <c r="P6" s="5" t="s">
        <v>25</v>
      </c>
      <c r="S6" s="5" t="s">
        <v>29</v>
      </c>
    </row>
    <row r="7">
      <c r="A7" s="5">
        <v>6.0</v>
      </c>
      <c r="B7" s="5" t="s">
        <v>53</v>
      </c>
      <c r="C7" s="5" t="s">
        <v>21</v>
      </c>
      <c r="D7" s="5">
        <v>78.0</v>
      </c>
      <c r="E7" s="5">
        <v>10.0</v>
      </c>
      <c r="K7" s="5">
        <v>25000.0</v>
      </c>
      <c r="N7" s="8">
        <v>43431.0</v>
      </c>
    </row>
    <row r="8">
      <c r="A8" s="5">
        <v>7.0</v>
      </c>
      <c r="B8" s="5" t="s">
        <v>57</v>
      </c>
      <c r="C8" s="5" t="s">
        <v>21</v>
      </c>
      <c r="D8" s="5">
        <v>83.0</v>
      </c>
      <c r="E8" s="5">
        <v>10.0</v>
      </c>
      <c r="K8" s="5">
        <v>40000.0</v>
      </c>
      <c r="N8" s="8">
        <v>42787.0</v>
      </c>
    </row>
    <row r="9">
      <c r="A9" s="5">
        <v>8.0</v>
      </c>
      <c r="B9" s="5" t="s">
        <v>60</v>
      </c>
      <c r="C9" s="5" t="s">
        <v>21</v>
      </c>
      <c r="D9" s="5">
        <v>83.0</v>
      </c>
      <c r="E9" s="5">
        <v>10.0</v>
      </c>
      <c r="H9" s="5" t="s">
        <v>61</v>
      </c>
      <c r="I9" s="7">
        <v>46124.713912037034</v>
      </c>
      <c r="J9" s="5" t="s">
        <v>49</v>
      </c>
      <c r="K9" s="5">
        <v>44000.0</v>
      </c>
      <c r="L9" s="5">
        <v>10.0</v>
      </c>
      <c r="M9" s="5">
        <v>108000.0</v>
      </c>
      <c r="N9" s="8">
        <v>43860.0</v>
      </c>
      <c r="O9" s="5" t="s">
        <v>64</v>
      </c>
      <c r="P9" s="5" t="s">
        <v>25</v>
      </c>
      <c r="S9" s="5" t="s">
        <v>66</v>
      </c>
    </row>
    <row r="10">
      <c r="A10" s="5">
        <v>9.0</v>
      </c>
      <c r="B10" s="5" t="s">
        <v>67</v>
      </c>
      <c r="C10" s="5" t="s">
        <v>21</v>
      </c>
      <c r="D10" s="5">
        <v>58.0</v>
      </c>
      <c r="E10" s="5">
        <v>10.0</v>
      </c>
      <c r="K10" s="5">
        <v>14000.0</v>
      </c>
      <c r="N10" s="8">
        <v>44698.0</v>
      </c>
    </row>
    <row r="11">
      <c r="A11" s="5">
        <v>10.0</v>
      </c>
      <c r="B11" s="5" t="s">
        <v>69</v>
      </c>
      <c r="C11" s="5" t="s">
        <v>21</v>
      </c>
      <c r="D11" s="5">
        <v>81.0</v>
      </c>
      <c r="E11" s="5">
        <v>10.0</v>
      </c>
      <c r="K11" s="5">
        <v>45000.0</v>
      </c>
      <c r="N11" s="8">
        <v>43845.0</v>
      </c>
      <c r="O11" s="5" t="s">
        <v>39</v>
      </c>
      <c r="P11" s="5" t="s">
        <v>25</v>
      </c>
      <c r="S11" s="5" t="s">
        <v>29</v>
      </c>
    </row>
    <row r="12">
      <c r="A12" s="5">
        <v>11.0</v>
      </c>
      <c r="B12" s="5" t="s">
        <v>72</v>
      </c>
      <c r="C12" s="5" t="s">
        <v>21</v>
      </c>
      <c r="D12" s="5">
        <v>87.0</v>
      </c>
      <c r="E12" s="5">
        <v>10.0</v>
      </c>
      <c r="H12" s="5" t="s">
        <v>72</v>
      </c>
      <c r="I12" s="7">
        <v>46145.85576388889</v>
      </c>
      <c r="K12" s="5">
        <v>120000.0</v>
      </c>
      <c r="L12" s="5">
        <v>0.0</v>
      </c>
      <c r="M12" s="5">
        <v>42000.0</v>
      </c>
      <c r="N12" s="8">
        <v>42385.0</v>
      </c>
      <c r="O12" s="5" t="s">
        <v>64</v>
      </c>
      <c r="P12" s="5" t="s">
        <v>25</v>
      </c>
      <c r="S12" s="5" t="s">
        <v>66</v>
      </c>
    </row>
    <row r="13">
      <c r="A13" s="5">
        <v>12.0</v>
      </c>
      <c r="B13" s="5" t="s">
        <v>76</v>
      </c>
      <c r="C13" s="5" t="s">
        <v>21</v>
      </c>
      <c r="D13" s="5">
        <v>80.0</v>
      </c>
      <c r="E13" s="5">
        <v>10.0</v>
      </c>
      <c r="K13" s="5">
        <v>347000.0</v>
      </c>
      <c r="N13" s="8">
        <v>44118.0</v>
      </c>
    </row>
    <row r="14">
      <c r="A14" s="5">
        <v>13.0</v>
      </c>
      <c r="B14" s="5" t="s">
        <v>78</v>
      </c>
      <c r="C14" s="5" t="s">
        <v>21</v>
      </c>
      <c r="K14" s="5">
        <v>2400.0</v>
      </c>
      <c r="N14" s="8">
        <v>44335.0</v>
      </c>
    </row>
    <row r="15">
      <c r="A15" s="5">
        <v>14.0</v>
      </c>
      <c r="B15" s="5" t="s">
        <v>81</v>
      </c>
      <c r="C15" s="5" t="s">
        <v>21</v>
      </c>
      <c r="K15" s="5">
        <v>20.0</v>
      </c>
      <c r="N15" s="8">
        <v>43878.0</v>
      </c>
    </row>
    <row r="16">
      <c r="A16" s="5">
        <v>15.0</v>
      </c>
      <c r="B16" s="5" t="s">
        <v>83</v>
      </c>
      <c r="C16" s="5" t="s">
        <v>21</v>
      </c>
      <c r="K16" s="5">
        <v>800.0</v>
      </c>
      <c r="N16" s="8">
        <v>42362.0</v>
      </c>
    </row>
    <row r="17">
      <c r="A17" s="5">
        <v>16.0</v>
      </c>
      <c r="B17" s="5" t="s">
        <v>85</v>
      </c>
      <c r="C17" s="5" t="s">
        <v>21</v>
      </c>
      <c r="K17" s="5">
        <v>200.0</v>
      </c>
      <c r="N17" s="8">
        <v>44813.0</v>
      </c>
    </row>
    <row r="18">
      <c r="A18" s="5">
        <v>17.0</v>
      </c>
      <c r="B18" s="5" t="s">
        <v>87</v>
      </c>
      <c r="C18" s="5" t="s">
        <v>21</v>
      </c>
      <c r="K18" s="5">
        <v>7900.0</v>
      </c>
      <c r="N18" s="8">
        <v>43218.0</v>
      </c>
    </row>
    <row r="19">
      <c r="A19" s="5">
        <v>18.0</v>
      </c>
      <c r="B19" s="5" t="s">
        <v>89</v>
      </c>
      <c r="C19" s="5" t="s">
        <v>21</v>
      </c>
      <c r="K19" s="5">
        <v>10000.0</v>
      </c>
      <c r="N19" s="8">
        <v>43850.0</v>
      </c>
    </row>
    <row r="20">
      <c r="A20" s="5">
        <v>19.0</v>
      </c>
      <c r="B20" s="5" t="s">
        <v>91</v>
      </c>
      <c r="C20" s="5" t="s">
        <v>21</v>
      </c>
      <c r="K20" s="5">
        <v>3400.0</v>
      </c>
      <c r="N20" s="8">
        <v>43868.0</v>
      </c>
    </row>
    <row r="21">
      <c r="A21" s="5">
        <v>20.0</v>
      </c>
      <c r="B21" s="5" t="s">
        <v>94</v>
      </c>
      <c r="C21" s="5" t="s">
        <v>21</v>
      </c>
      <c r="K21" s="5">
        <v>8200.0</v>
      </c>
      <c r="N21" s="8">
        <v>44580.0</v>
      </c>
    </row>
    <row r="22">
      <c r="A22" s="5">
        <v>21.0</v>
      </c>
      <c r="B22" s="5" t="s">
        <v>96</v>
      </c>
      <c r="C22" s="5" t="s">
        <v>21</v>
      </c>
      <c r="K22" s="5">
        <v>800.0</v>
      </c>
      <c r="N22" s="8">
        <v>44555.0</v>
      </c>
    </row>
    <row r="23">
      <c r="A23" s="5">
        <v>22.0</v>
      </c>
      <c r="B23" s="5" t="s">
        <v>98</v>
      </c>
      <c r="C23" s="5" t="s">
        <v>21</v>
      </c>
      <c r="K23" s="5">
        <v>600.0</v>
      </c>
      <c r="N23" s="8">
        <v>44424.0</v>
      </c>
    </row>
    <row r="24">
      <c r="A24" s="5">
        <v>23.0</v>
      </c>
      <c r="B24" s="5" t="s">
        <v>101</v>
      </c>
      <c r="C24" s="5" t="s">
        <v>21</v>
      </c>
      <c r="K24" s="5">
        <v>450.0</v>
      </c>
      <c r="N24" s="8">
        <v>43929.0</v>
      </c>
    </row>
    <row r="25">
      <c r="A25" s="5">
        <v>24.0</v>
      </c>
      <c r="B25" s="5" t="s">
        <v>105</v>
      </c>
      <c r="C25" s="5" t="s">
        <v>21</v>
      </c>
      <c r="K25" s="5">
        <v>11000.0</v>
      </c>
      <c r="N25" s="8">
        <v>44107.0</v>
      </c>
    </row>
    <row r="26">
      <c r="A26" s="5">
        <v>25.0</v>
      </c>
      <c r="B26" s="5" t="s">
        <v>108</v>
      </c>
      <c r="C26" s="5" t="s">
        <v>21</v>
      </c>
      <c r="K26" s="5">
        <v>800.0</v>
      </c>
      <c r="N26" s="8">
        <v>44633.0</v>
      </c>
    </row>
    <row r="27">
      <c r="A27" s="5">
        <v>26.0</v>
      </c>
      <c r="B27" s="5" t="s">
        <v>109</v>
      </c>
      <c r="C27" s="5" t="s">
        <v>21</v>
      </c>
      <c r="K27" s="5">
        <v>5300.0</v>
      </c>
      <c r="N27" s="8">
        <v>43888.0</v>
      </c>
    </row>
    <row r="28">
      <c r="A28" s="5">
        <v>27.0</v>
      </c>
      <c r="B28" s="5" t="s">
        <v>112</v>
      </c>
      <c r="C28" s="5" t="s">
        <v>21</v>
      </c>
      <c r="K28" s="5">
        <v>150.0</v>
      </c>
      <c r="N28" s="8">
        <v>44779.0</v>
      </c>
    </row>
    <row r="29">
      <c r="A29" s="5">
        <v>28.0</v>
      </c>
      <c r="B29" s="5" t="s">
        <v>113</v>
      </c>
      <c r="C29" s="5" t="s">
        <v>21</v>
      </c>
      <c r="K29" s="5">
        <v>2400.0</v>
      </c>
      <c r="N29" s="8">
        <v>44047.0</v>
      </c>
    </row>
    <row r="30">
      <c r="A30" s="5">
        <v>29.0</v>
      </c>
      <c r="B30" s="5" t="s">
        <v>115</v>
      </c>
      <c r="C30" s="5" t="s">
        <v>21</v>
      </c>
      <c r="K30" s="5">
        <v>11000.0</v>
      </c>
      <c r="N30" s="8">
        <v>43891.0</v>
      </c>
    </row>
    <row r="31">
      <c r="A31" s="5">
        <v>30.0</v>
      </c>
      <c r="B31" s="5" t="s">
        <v>117</v>
      </c>
      <c r="C31" s="5" t="s">
        <v>21</v>
      </c>
      <c r="K31" s="5">
        <v>1900.0</v>
      </c>
      <c r="N31" s="8">
        <v>43759.0</v>
      </c>
    </row>
    <row r="32">
      <c r="A32" s="5">
        <v>31.0</v>
      </c>
      <c r="B32" s="5" t="s">
        <v>118</v>
      </c>
      <c r="C32" s="5" t="s">
        <v>21</v>
      </c>
      <c r="K32" s="5">
        <v>300.0</v>
      </c>
      <c r="N32" s="8">
        <v>45634.0</v>
      </c>
    </row>
    <row r="33">
      <c r="A33" s="5">
        <v>32.0</v>
      </c>
      <c r="B33" s="5" t="s">
        <v>121</v>
      </c>
      <c r="C33" s="5" t="s">
        <v>21</v>
      </c>
      <c r="K33" s="5">
        <v>1800.0</v>
      </c>
      <c r="N33" s="8">
        <v>44565.0</v>
      </c>
    </row>
    <row r="34">
      <c r="A34" s="5">
        <v>33.0</v>
      </c>
      <c r="B34" s="5" t="s">
        <v>123</v>
      </c>
      <c r="C34" s="5" t="s">
        <v>21</v>
      </c>
      <c r="K34" s="5">
        <v>900.0</v>
      </c>
      <c r="N34" s="8">
        <v>45441.0</v>
      </c>
    </row>
    <row r="35">
      <c r="A35" s="5">
        <v>34.0</v>
      </c>
      <c r="B35" s="5" t="s">
        <v>126</v>
      </c>
      <c r="C35" s="5" t="s">
        <v>21</v>
      </c>
      <c r="K35" s="5">
        <v>6400.0</v>
      </c>
      <c r="N35" s="8">
        <v>44174.0</v>
      </c>
    </row>
    <row r="36">
      <c r="A36" s="5">
        <v>35.0</v>
      </c>
      <c r="B36" s="5" t="s">
        <v>128</v>
      </c>
      <c r="C36" s="5" t="s">
        <v>21</v>
      </c>
      <c r="K36" s="5">
        <v>450.0</v>
      </c>
      <c r="N36" s="8">
        <v>44402.0</v>
      </c>
    </row>
    <row r="37">
      <c r="A37" s="5">
        <v>36.0</v>
      </c>
      <c r="B37" s="5" t="s">
        <v>131</v>
      </c>
      <c r="C37" s="5" t="s">
        <v>21</v>
      </c>
      <c r="K37" s="5">
        <v>600.0</v>
      </c>
      <c r="N37" s="8">
        <v>44126.0</v>
      </c>
    </row>
    <row r="38">
      <c r="A38" s="5">
        <v>37.0</v>
      </c>
      <c r="B38" s="5" t="s">
        <v>132</v>
      </c>
      <c r="C38" s="5" t="s">
        <v>21</v>
      </c>
      <c r="K38" s="5">
        <v>900.0</v>
      </c>
      <c r="N38" s="8">
        <v>44537.0</v>
      </c>
    </row>
    <row r="39">
      <c r="A39" s="5">
        <v>38.0</v>
      </c>
      <c r="B39" s="5" t="s">
        <v>134</v>
      </c>
      <c r="C39" s="5" t="s">
        <v>21</v>
      </c>
      <c r="K39" s="5">
        <v>600.0</v>
      </c>
      <c r="N39" s="8">
        <v>44728.0</v>
      </c>
    </row>
    <row r="40">
      <c r="A40" s="5">
        <v>39.0</v>
      </c>
      <c r="B40" s="5" t="s">
        <v>137</v>
      </c>
      <c r="C40" s="5" t="s">
        <v>21</v>
      </c>
      <c r="K40" s="5">
        <v>700.0</v>
      </c>
      <c r="N40" s="8">
        <v>44172.0</v>
      </c>
    </row>
    <row r="41">
      <c r="A41" s="5">
        <v>40.0</v>
      </c>
      <c r="B41" s="5" t="s">
        <v>138</v>
      </c>
      <c r="C41" s="5" t="s">
        <v>21</v>
      </c>
      <c r="K41" s="5">
        <v>17000.0</v>
      </c>
      <c r="N41" s="8">
        <v>45568.0</v>
      </c>
    </row>
    <row r="42">
      <c r="A42" s="5">
        <v>41.0</v>
      </c>
      <c r="B42" s="5" t="s">
        <v>141</v>
      </c>
      <c r="C42" s="5" t="s">
        <v>21</v>
      </c>
      <c r="K42" s="5">
        <v>3800.0</v>
      </c>
      <c r="N42" s="8">
        <v>44208.0</v>
      </c>
    </row>
    <row r="43">
      <c r="A43" s="5">
        <v>42.0</v>
      </c>
      <c r="B43" s="5" t="s">
        <v>142</v>
      </c>
      <c r="C43" s="5" t="s">
        <v>21</v>
      </c>
      <c r="K43" s="5">
        <v>350.0</v>
      </c>
      <c r="N43" s="8">
        <v>43963.0</v>
      </c>
    </row>
    <row r="44">
      <c r="A44" s="5">
        <v>43.0</v>
      </c>
      <c r="B44" s="5" t="s">
        <v>145</v>
      </c>
      <c r="C44" s="5" t="s">
        <v>21</v>
      </c>
      <c r="K44" s="5">
        <v>5300.0</v>
      </c>
      <c r="N44" s="8">
        <v>43926.0</v>
      </c>
    </row>
    <row r="45">
      <c r="A45" s="5">
        <v>44.0</v>
      </c>
      <c r="B45" s="5" t="s">
        <v>147</v>
      </c>
      <c r="C45" s="5" t="s">
        <v>21</v>
      </c>
      <c r="K45" s="5">
        <v>1000.0</v>
      </c>
      <c r="N45" s="8">
        <v>44047.0</v>
      </c>
    </row>
    <row r="46">
      <c r="A46" s="5">
        <v>45.0</v>
      </c>
      <c r="B46" s="5" t="s">
        <v>150</v>
      </c>
      <c r="C46" s="5" t="s">
        <v>21</v>
      </c>
      <c r="K46" s="5">
        <v>600.0</v>
      </c>
      <c r="N46" s="8">
        <v>44152.0</v>
      </c>
    </row>
    <row r="47">
      <c r="A47" s="5">
        <v>46.0</v>
      </c>
      <c r="B47" s="5" t="s">
        <v>151</v>
      </c>
      <c r="C47" s="5" t="s">
        <v>21</v>
      </c>
      <c r="K47" s="5">
        <v>300.0</v>
      </c>
      <c r="N47" s="8">
        <v>44310.0</v>
      </c>
    </row>
    <row r="48">
      <c r="A48" s="5">
        <v>47.0</v>
      </c>
      <c r="B48" s="5" t="s">
        <v>154</v>
      </c>
      <c r="C48" s="5" t="s">
        <v>21</v>
      </c>
      <c r="K48" s="5">
        <v>5300.0</v>
      </c>
      <c r="N48" s="8">
        <v>43908.0</v>
      </c>
    </row>
    <row r="49">
      <c r="A49" s="5">
        <v>48.0</v>
      </c>
      <c r="B49" s="5" t="s">
        <v>156</v>
      </c>
      <c r="C49" s="5" t="s">
        <v>21</v>
      </c>
      <c r="K49" s="5">
        <v>14000.0</v>
      </c>
      <c r="N49" s="8">
        <v>43362.0</v>
      </c>
    </row>
    <row r="50">
      <c r="A50" s="5">
        <v>49.0</v>
      </c>
      <c r="B50" s="5" t="s">
        <v>157</v>
      </c>
      <c r="C50" s="5" t="s">
        <v>21</v>
      </c>
      <c r="K50" s="5">
        <v>16000.0</v>
      </c>
      <c r="N50" s="8">
        <v>45458.0</v>
      </c>
    </row>
    <row r="51">
      <c r="A51" s="5">
        <v>50.0</v>
      </c>
      <c r="B51" s="5" t="s">
        <v>160</v>
      </c>
      <c r="C51" s="5" t="s">
        <v>21</v>
      </c>
      <c r="K51" s="5">
        <v>500.0</v>
      </c>
      <c r="N51" s="8">
        <v>45152.0</v>
      </c>
    </row>
    <row r="52">
      <c r="A52" s="5">
        <v>51.0</v>
      </c>
      <c r="B52" s="5" t="s">
        <v>162</v>
      </c>
      <c r="C52" s="5" t="s">
        <v>21</v>
      </c>
      <c r="K52" s="5">
        <v>700.0</v>
      </c>
      <c r="N52" s="8">
        <v>44632.0</v>
      </c>
    </row>
    <row r="53">
      <c r="A53" s="5">
        <v>52.0</v>
      </c>
      <c r="B53" s="5" t="s">
        <v>163</v>
      </c>
      <c r="C53" s="5" t="s">
        <v>21</v>
      </c>
      <c r="K53" s="5">
        <v>4500.0</v>
      </c>
      <c r="N53" s="8">
        <v>43875.0</v>
      </c>
    </row>
    <row r="54">
      <c r="A54" s="5">
        <v>53.0</v>
      </c>
      <c r="B54" s="5" t="s">
        <v>165</v>
      </c>
      <c r="C54" s="5" t="s">
        <v>21</v>
      </c>
      <c r="K54" s="5">
        <v>3200.0</v>
      </c>
      <c r="N54" s="8">
        <v>43888.0</v>
      </c>
    </row>
    <row r="55">
      <c r="A55" s="5">
        <v>54.0</v>
      </c>
      <c r="B55" s="5" t="s">
        <v>168</v>
      </c>
      <c r="C55" s="5" t="s">
        <v>21</v>
      </c>
      <c r="K55" s="5">
        <v>90.0</v>
      </c>
      <c r="N55" s="8">
        <v>45876.0</v>
      </c>
    </row>
    <row r="56">
      <c r="A56" s="5">
        <v>55.0</v>
      </c>
      <c r="B56" s="5" t="s">
        <v>172</v>
      </c>
      <c r="C56" s="5" t="s">
        <v>21</v>
      </c>
      <c r="K56" s="5">
        <v>3200.0</v>
      </c>
      <c r="N56" s="8">
        <v>43894.0</v>
      </c>
    </row>
    <row r="57">
      <c r="A57" s="5">
        <v>56.0</v>
      </c>
      <c r="B57" s="5" t="s">
        <v>176</v>
      </c>
      <c r="C57" s="5" t="s">
        <v>21</v>
      </c>
      <c r="K57" s="5">
        <v>150.0</v>
      </c>
      <c r="N57" s="8">
        <v>45067.0</v>
      </c>
    </row>
    <row r="58">
      <c r="A58" s="5">
        <v>57.0</v>
      </c>
      <c r="B58" s="5" t="s">
        <v>179</v>
      </c>
      <c r="C58" s="5" t="s">
        <v>21</v>
      </c>
      <c r="K58" s="5">
        <v>400.0</v>
      </c>
      <c r="N58" s="8">
        <v>44402.0</v>
      </c>
    </row>
    <row r="59">
      <c r="A59" s="5">
        <v>58.0</v>
      </c>
      <c r="B59" s="5" t="s">
        <v>184</v>
      </c>
      <c r="C59" s="5" t="s">
        <v>21</v>
      </c>
      <c r="K59" s="5">
        <v>2000.0</v>
      </c>
      <c r="N59" s="8">
        <v>43950.0</v>
      </c>
    </row>
    <row r="60">
      <c r="A60" s="5">
        <v>59.0</v>
      </c>
      <c r="B60" s="5" t="s">
        <v>186</v>
      </c>
      <c r="C60" s="5" t="s">
        <v>21</v>
      </c>
      <c r="K60" s="5">
        <v>4600.0</v>
      </c>
      <c r="N60" s="8">
        <v>44087.0</v>
      </c>
    </row>
    <row r="61">
      <c r="A61" s="5">
        <v>60.0</v>
      </c>
      <c r="B61" s="5" t="s">
        <v>189</v>
      </c>
      <c r="C61" s="5" t="s">
        <v>21</v>
      </c>
      <c r="K61" s="5">
        <v>1300.0</v>
      </c>
      <c r="N61" s="8">
        <v>45265.0</v>
      </c>
    </row>
    <row r="62">
      <c r="A62" s="5">
        <v>61.0</v>
      </c>
      <c r="B62" s="5" t="s">
        <v>192</v>
      </c>
      <c r="C62" s="5" t="s">
        <v>21</v>
      </c>
      <c r="K62" s="5">
        <v>2500.0</v>
      </c>
      <c r="N62" s="8">
        <v>45044.0</v>
      </c>
    </row>
    <row r="63">
      <c r="A63" s="5">
        <v>62.0</v>
      </c>
      <c r="B63" s="5" t="s">
        <v>193</v>
      </c>
      <c r="C63" s="5" t="s">
        <v>21</v>
      </c>
      <c r="K63" s="5">
        <v>6200.0</v>
      </c>
      <c r="N63" s="8">
        <v>43952.0</v>
      </c>
    </row>
    <row r="64">
      <c r="A64" s="5">
        <v>63.0</v>
      </c>
      <c r="B64" s="5" t="s">
        <v>196</v>
      </c>
      <c r="C64" s="5" t="s">
        <v>21</v>
      </c>
      <c r="K64" s="5">
        <v>1600.0</v>
      </c>
      <c r="N64" s="8">
        <v>44244.0</v>
      </c>
    </row>
    <row r="65">
      <c r="A65" s="5">
        <v>64.0</v>
      </c>
      <c r="B65" s="5" t="s">
        <v>199</v>
      </c>
      <c r="C65" s="5" t="s">
        <v>21</v>
      </c>
      <c r="K65" s="5">
        <v>300.0</v>
      </c>
      <c r="N65" s="8">
        <v>45465.0</v>
      </c>
    </row>
    <row r="66">
      <c r="A66" s="5">
        <v>65.0</v>
      </c>
      <c r="B66" s="5" t="s">
        <v>202</v>
      </c>
      <c r="C66" s="5" t="s">
        <v>21</v>
      </c>
      <c r="K66" s="5">
        <v>700.0</v>
      </c>
      <c r="N66" s="8">
        <v>44523.0</v>
      </c>
    </row>
    <row r="67">
      <c r="A67" s="5">
        <v>66.0</v>
      </c>
      <c r="B67" s="5" t="s">
        <v>204</v>
      </c>
      <c r="C67" s="5" t="s">
        <v>21</v>
      </c>
      <c r="K67" s="5">
        <v>3500.0</v>
      </c>
      <c r="N67" s="8">
        <v>44044.0</v>
      </c>
    </row>
    <row r="68">
      <c r="A68" s="5">
        <v>67.0</v>
      </c>
      <c r="B68" s="5" t="s">
        <v>207</v>
      </c>
      <c r="C68" s="5" t="s">
        <v>21</v>
      </c>
      <c r="F68" s="5">
        <v>0.0</v>
      </c>
      <c r="K68" s="5">
        <v>400.0</v>
      </c>
      <c r="N68" s="8">
        <v>44228.0</v>
      </c>
    </row>
    <row r="69">
      <c r="A69" s="5">
        <v>68.0</v>
      </c>
      <c r="B69" s="5" t="s">
        <v>210</v>
      </c>
      <c r="C69" s="5" t="s">
        <v>21</v>
      </c>
      <c r="K69" s="5">
        <v>1700.0</v>
      </c>
      <c r="N69" s="8">
        <v>45240.0</v>
      </c>
    </row>
    <row r="70">
      <c r="A70" s="5">
        <v>69.0</v>
      </c>
      <c r="B70" s="5" t="s">
        <v>211</v>
      </c>
      <c r="C70" s="5" t="s">
        <v>21</v>
      </c>
      <c r="K70" s="5">
        <v>250.0</v>
      </c>
      <c r="N70" s="8">
        <v>44526.0</v>
      </c>
    </row>
    <row r="71">
      <c r="A71" s="5">
        <v>70.0</v>
      </c>
      <c r="B71" s="5" t="s">
        <v>213</v>
      </c>
      <c r="C71" s="5" t="s">
        <v>21</v>
      </c>
      <c r="K71" s="5">
        <v>250.0</v>
      </c>
      <c r="N71" s="8">
        <v>44047.0</v>
      </c>
    </row>
    <row r="72">
      <c r="A72" s="5">
        <v>71.0</v>
      </c>
      <c r="B72" s="5" t="s">
        <v>216</v>
      </c>
      <c r="C72" s="5" t="s">
        <v>21</v>
      </c>
      <c r="K72" s="5">
        <v>900.0</v>
      </c>
      <c r="N72" s="8">
        <v>45570.0</v>
      </c>
    </row>
    <row r="73">
      <c r="A73" s="5">
        <v>72.0</v>
      </c>
      <c r="B73" s="5" t="s">
        <v>219</v>
      </c>
      <c r="C73" s="5" t="s">
        <v>21</v>
      </c>
      <c r="K73" s="5">
        <v>5300.0</v>
      </c>
      <c r="N73" s="8">
        <v>43998.0</v>
      </c>
    </row>
    <row r="74">
      <c r="A74" s="5">
        <v>73.0</v>
      </c>
      <c r="B74" s="5" t="s">
        <v>222</v>
      </c>
      <c r="C74" s="5" t="s">
        <v>21</v>
      </c>
      <c r="K74" s="5">
        <v>20000.0</v>
      </c>
      <c r="N74" s="8">
        <v>43841.0</v>
      </c>
    </row>
    <row r="75">
      <c r="A75" s="5">
        <v>74.0</v>
      </c>
      <c r="B75" s="5" t="s">
        <v>225</v>
      </c>
      <c r="C75" s="5" t="s">
        <v>21</v>
      </c>
      <c r="K75" s="5">
        <v>400.0</v>
      </c>
      <c r="N75" s="8">
        <v>44547.0</v>
      </c>
    </row>
    <row r="76">
      <c r="A76" s="5">
        <v>75.0</v>
      </c>
      <c r="B76" s="5" t="s">
        <v>228</v>
      </c>
      <c r="C76" s="5" t="s">
        <v>21</v>
      </c>
      <c r="K76" s="5">
        <v>900.0</v>
      </c>
      <c r="N76" s="8">
        <v>44004.0</v>
      </c>
    </row>
    <row r="77">
      <c r="A77" s="5">
        <v>76.0</v>
      </c>
      <c r="B77" s="5" t="s">
        <v>230</v>
      </c>
      <c r="C77" s="5" t="s">
        <v>21</v>
      </c>
      <c r="K77" s="5">
        <v>90.0</v>
      </c>
      <c r="N77" s="8">
        <v>44850.0</v>
      </c>
    </row>
    <row r="78">
      <c r="A78" s="5">
        <v>77.0</v>
      </c>
      <c r="B78" s="5" t="s">
        <v>233</v>
      </c>
      <c r="C78" s="5" t="s">
        <v>21</v>
      </c>
      <c r="K78" s="5">
        <v>20.0</v>
      </c>
      <c r="N78" s="8">
        <v>45031.0</v>
      </c>
    </row>
    <row r="79">
      <c r="A79" s="5">
        <v>78.0</v>
      </c>
      <c r="B79" s="5" t="s">
        <v>240</v>
      </c>
      <c r="C79" s="5" t="s">
        <v>21</v>
      </c>
      <c r="K79" s="5">
        <v>20000.0</v>
      </c>
      <c r="N79" s="8">
        <v>44011.0</v>
      </c>
    </row>
    <row r="80">
      <c r="A80" s="5">
        <v>79.0</v>
      </c>
      <c r="B80" s="5" t="s">
        <v>241</v>
      </c>
      <c r="C80" s="5" t="s">
        <v>21</v>
      </c>
      <c r="K80" s="5">
        <v>900.0</v>
      </c>
      <c r="N80" s="8">
        <v>43855.0</v>
      </c>
    </row>
    <row r="81">
      <c r="A81" s="5">
        <v>80.0</v>
      </c>
      <c r="B81" s="5" t="s">
        <v>244</v>
      </c>
      <c r="C81" s="5" t="s">
        <v>21</v>
      </c>
      <c r="K81" s="5">
        <v>400.0</v>
      </c>
      <c r="N81" s="8">
        <v>44160.0</v>
      </c>
    </row>
    <row r="82">
      <c r="A82" s="5">
        <v>81.0</v>
      </c>
      <c r="B82" s="5" t="s">
        <v>246</v>
      </c>
      <c r="C82" s="5" t="s">
        <v>21</v>
      </c>
      <c r="K82" s="5">
        <v>400.0</v>
      </c>
      <c r="N82" s="8">
        <v>44698.0</v>
      </c>
    </row>
    <row r="83">
      <c r="A83" s="5">
        <v>82.0</v>
      </c>
      <c r="B83" s="5" t="s">
        <v>249</v>
      </c>
      <c r="C83" s="5" t="s">
        <v>21</v>
      </c>
      <c r="D83" s="5">
        <v>86.0</v>
      </c>
      <c r="H83" s="5" t="s">
        <v>22</v>
      </c>
      <c r="I83" s="7">
        <v>46149.28826388889</v>
      </c>
      <c r="J83" s="5" t="s">
        <v>44</v>
      </c>
      <c r="K83" s="5">
        <v>600.0</v>
      </c>
      <c r="L83" s="5">
        <v>2100.0</v>
      </c>
      <c r="M83" s="5">
        <v>2700.0</v>
      </c>
      <c r="N83" s="8">
        <v>43922.0</v>
      </c>
      <c r="O83" s="5" t="s">
        <v>24</v>
      </c>
      <c r="P83" s="5" t="s">
        <v>25</v>
      </c>
      <c r="S83" s="5" t="s">
        <v>29</v>
      </c>
    </row>
    <row r="84">
      <c r="A84" s="5">
        <v>83.0</v>
      </c>
      <c r="B84" s="5" t="s">
        <v>255</v>
      </c>
      <c r="C84" s="5" t="s">
        <v>21</v>
      </c>
      <c r="K84" s="5">
        <v>400.0</v>
      </c>
      <c r="N84" s="8">
        <v>44228.0</v>
      </c>
    </row>
    <row r="85">
      <c r="A85" s="5">
        <v>84.0</v>
      </c>
      <c r="B85" s="5" t="s">
        <v>258</v>
      </c>
      <c r="C85" s="5" t="s">
        <v>21</v>
      </c>
      <c r="K85" s="5">
        <v>500.0</v>
      </c>
      <c r="N85" s="8">
        <v>44573.0</v>
      </c>
    </row>
    <row r="86">
      <c r="A86" s="5">
        <v>85.0</v>
      </c>
      <c r="B86" s="5" t="s">
        <v>261</v>
      </c>
      <c r="C86" s="5" t="s">
        <v>21</v>
      </c>
      <c r="K86" s="5">
        <v>10.0</v>
      </c>
      <c r="N86" s="8">
        <v>44959.0</v>
      </c>
    </row>
    <row r="87">
      <c r="A87" s="5">
        <v>86.0</v>
      </c>
      <c r="B87" s="5" t="s">
        <v>264</v>
      </c>
      <c r="C87" s="5" t="s">
        <v>21</v>
      </c>
      <c r="K87" s="5">
        <v>5900.0</v>
      </c>
      <c r="N87" s="8">
        <v>43975.0</v>
      </c>
    </row>
    <row r="88">
      <c r="A88" s="5">
        <v>87.0</v>
      </c>
      <c r="B88" s="5" t="s">
        <v>267</v>
      </c>
      <c r="C88" s="5" t="s">
        <v>21</v>
      </c>
      <c r="K88" s="5">
        <v>300.0</v>
      </c>
      <c r="N88" s="8">
        <v>44732.0</v>
      </c>
    </row>
    <row r="89">
      <c r="A89" s="5">
        <v>88.0</v>
      </c>
      <c r="B89" s="5" t="s">
        <v>270</v>
      </c>
      <c r="C89" s="5" t="s">
        <v>21</v>
      </c>
      <c r="K89" s="5">
        <v>1200.0</v>
      </c>
      <c r="N89" s="8">
        <v>44302.0</v>
      </c>
    </row>
    <row r="90">
      <c r="A90" s="5">
        <v>89.0</v>
      </c>
      <c r="B90" s="5" t="s">
        <v>272</v>
      </c>
      <c r="C90" s="5" t="s">
        <v>21</v>
      </c>
      <c r="K90" s="5">
        <v>1000.0</v>
      </c>
      <c r="N90" s="8">
        <v>44542.0</v>
      </c>
    </row>
    <row r="91">
      <c r="A91" s="5">
        <v>90.0</v>
      </c>
      <c r="B91" s="5" t="s">
        <v>276</v>
      </c>
      <c r="C91" s="5" t="s">
        <v>21</v>
      </c>
      <c r="K91" s="5">
        <v>1500.0</v>
      </c>
      <c r="N91" s="8">
        <v>44289.0</v>
      </c>
    </row>
    <row r="92">
      <c r="A92" s="5">
        <v>91.0</v>
      </c>
      <c r="B92" s="5" t="s">
        <v>279</v>
      </c>
      <c r="C92" s="5" t="s">
        <v>21</v>
      </c>
      <c r="K92" s="5">
        <v>900.0</v>
      </c>
      <c r="N92" s="8">
        <v>44501.0</v>
      </c>
    </row>
    <row r="93">
      <c r="A93" s="5">
        <v>92.0</v>
      </c>
      <c r="B93" s="5" t="s">
        <v>282</v>
      </c>
      <c r="C93" s="5" t="s">
        <v>21</v>
      </c>
      <c r="K93" s="5">
        <v>150.0</v>
      </c>
      <c r="N93" s="8">
        <v>45369.0</v>
      </c>
    </row>
    <row r="94">
      <c r="A94" s="5">
        <v>93.0</v>
      </c>
      <c r="B94" s="5" t="s">
        <v>285</v>
      </c>
      <c r="C94" s="5" t="s">
        <v>21</v>
      </c>
      <c r="K94" s="5">
        <v>600.0</v>
      </c>
      <c r="N94" s="8">
        <v>44577.0</v>
      </c>
    </row>
    <row r="95">
      <c r="A95" s="5">
        <v>94.0</v>
      </c>
      <c r="B95" s="5" t="s">
        <v>287</v>
      </c>
      <c r="C95" s="5" t="s">
        <v>21</v>
      </c>
      <c r="K95" s="5">
        <v>150.0</v>
      </c>
      <c r="N95" s="8">
        <v>44799.0</v>
      </c>
    </row>
    <row r="96">
      <c r="A96" s="5">
        <v>95.0</v>
      </c>
      <c r="B96" s="5" t="s">
        <v>290</v>
      </c>
      <c r="C96" s="5" t="s">
        <v>21</v>
      </c>
      <c r="K96" s="5">
        <v>1100.0</v>
      </c>
      <c r="N96" s="8">
        <v>44571.0</v>
      </c>
    </row>
    <row r="97">
      <c r="A97" s="5">
        <v>96.0</v>
      </c>
      <c r="B97" s="5" t="s">
        <v>293</v>
      </c>
      <c r="C97" s="5" t="s">
        <v>21</v>
      </c>
      <c r="K97" s="5">
        <v>2800.0</v>
      </c>
      <c r="N97" s="8">
        <v>43915.0</v>
      </c>
    </row>
    <row r="98">
      <c r="A98" s="5">
        <v>97.0</v>
      </c>
      <c r="B98" s="5" t="s">
        <v>295</v>
      </c>
      <c r="C98" s="5" t="s">
        <v>21</v>
      </c>
      <c r="K98" s="5">
        <v>100.0</v>
      </c>
      <c r="N98" s="8">
        <v>44047.0</v>
      </c>
    </row>
    <row r="99">
      <c r="A99" s="5">
        <v>98.0</v>
      </c>
      <c r="B99" s="5" t="s">
        <v>298</v>
      </c>
      <c r="C99" s="5" t="s">
        <v>21</v>
      </c>
    </row>
    <row r="100">
      <c r="A100" s="5">
        <v>99.0</v>
      </c>
      <c r="B100" s="5" t="s">
        <v>299</v>
      </c>
      <c r="C100" s="5" t="s">
        <v>21</v>
      </c>
    </row>
    <row r="101">
      <c r="A101" s="5">
        <v>100.0</v>
      </c>
      <c r="B101" s="5" t="s">
        <v>301</v>
      </c>
      <c r="C101" s="5" t="s">
        <v>21</v>
      </c>
    </row>
    <row r="102">
      <c r="A102" s="5">
        <v>101.0</v>
      </c>
      <c r="B102" s="5" t="s">
        <v>303</v>
      </c>
      <c r="C102" s="5" t="s">
        <v>21</v>
      </c>
    </row>
    <row r="103">
      <c r="A103" s="5">
        <v>102.0</v>
      </c>
      <c r="B103" s="5" t="s">
        <v>305</v>
      </c>
      <c r="C103" s="5" t="s">
        <v>21</v>
      </c>
    </row>
    <row r="104">
      <c r="A104" s="5">
        <v>103.0</v>
      </c>
      <c r="B104" s="5" t="s">
        <v>306</v>
      </c>
      <c r="C104" s="5" t="s">
        <v>21</v>
      </c>
    </row>
    <row r="105">
      <c r="A105" s="5">
        <v>104.0</v>
      </c>
      <c r="B105" s="5" t="s">
        <v>308</v>
      </c>
      <c r="C105" s="5" t="s">
        <v>21</v>
      </c>
    </row>
    <row r="106">
      <c r="A106" s="5">
        <v>105.0</v>
      </c>
      <c r="B106" s="5" t="s">
        <v>310</v>
      </c>
      <c r="C106" s="5" t="s">
        <v>21</v>
      </c>
    </row>
    <row r="107">
      <c r="A107" s="5">
        <v>106.0</v>
      </c>
      <c r="B107" s="5" t="s">
        <v>311</v>
      </c>
      <c r="C107" s="5" t="s">
        <v>21</v>
      </c>
    </row>
    <row r="108">
      <c r="A108" s="5">
        <v>107.0</v>
      </c>
      <c r="B108" s="5" t="s">
        <v>313</v>
      </c>
      <c r="C108" s="5" t="s">
        <v>21</v>
      </c>
    </row>
    <row r="109">
      <c r="A109" s="5">
        <v>108.0</v>
      </c>
      <c r="B109" s="5" t="s">
        <v>315</v>
      </c>
      <c r="C109" s="5" t="s">
        <v>21</v>
      </c>
    </row>
    <row r="110">
      <c r="A110" s="5">
        <v>109.0</v>
      </c>
      <c r="B110" s="5" t="s">
        <v>316</v>
      </c>
      <c r="C110" s="5" t="s">
        <v>21</v>
      </c>
    </row>
    <row r="111">
      <c r="A111" s="5">
        <v>110.0</v>
      </c>
      <c r="B111" s="5" t="s">
        <v>318</v>
      </c>
      <c r="C111" s="5" t="s">
        <v>21</v>
      </c>
    </row>
    <row r="112">
      <c r="A112" s="5">
        <v>111.0</v>
      </c>
      <c r="B112" s="5" t="s">
        <v>320</v>
      </c>
      <c r="C112" s="5" t="s">
        <v>21</v>
      </c>
    </row>
    <row r="113">
      <c r="A113" s="5">
        <v>112.0</v>
      </c>
      <c r="B113" s="5" t="s">
        <v>321</v>
      </c>
      <c r="C113" s="5" t="s">
        <v>21</v>
      </c>
    </row>
    <row r="114">
      <c r="A114" s="5">
        <v>113.0</v>
      </c>
      <c r="B114" s="5" t="s">
        <v>323</v>
      </c>
      <c r="C114" s="5" t="s">
        <v>21</v>
      </c>
    </row>
    <row r="115">
      <c r="A115" s="5">
        <v>114.0</v>
      </c>
      <c r="B115" s="5" t="s">
        <v>325</v>
      </c>
      <c r="C115" s="5" t="s">
        <v>21</v>
      </c>
    </row>
    <row r="116">
      <c r="A116" s="5">
        <v>115.0</v>
      </c>
      <c r="B116" s="5" t="s">
        <v>326</v>
      </c>
      <c r="C116" s="5" t="s">
        <v>21</v>
      </c>
    </row>
    <row r="117">
      <c r="A117" s="5">
        <v>116.0</v>
      </c>
      <c r="B117" s="5" t="s">
        <v>328</v>
      </c>
      <c r="C117" s="5" t="s">
        <v>21</v>
      </c>
    </row>
    <row r="118">
      <c r="A118" s="5">
        <v>117.0</v>
      </c>
      <c r="B118" s="5" t="s">
        <v>330</v>
      </c>
      <c r="C118" s="5" t="s">
        <v>21</v>
      </c>
    </row>
    <row r="119">
      <c r="A119" s="5">
        <v>118.0</v>
      </c>
      <c r="B119" s="5" t="s">
        <v>331</v>
      </c>
      <c r="C119" s="5" t="s">
        <v>21</v>
      </c>
    </row>
    <row r="120">
      <c r="A120" s="5">
        <v>119.0</v>
      </c>
      <c r="B120" s="5" t="s">
        <v>333</v>
      </c>
      <c r="C120" s="5" t="s">
        <v>21</v>
      </c>
    </row>
    <row r="121">
      <c r="A121" s="5">
        <v>120.0</v>
      </c>
      <c r="B121" s="5" t="s">
        <v>335</v>
      </c>
      <c r="C121" s="5" t="s">
        <v>21</v>
      </c>
    </row>
    <row r="122">
      <c r="A122" s="5">
        <v>121.0</v>
      </c>
      <c r="B122" s="5" t="s">
        <v>336</v>
      </c>
      <c r="C122" s="5" t="s">
        <v>21</v>
      </c>
    </row>
    <row r="123">
      <c r="A123" s="5">
        <v>122.0</v>
      </c>
      <c r="B123" s="5" t="s">
        <v>338</v>
      </c>
      <c r="C123" s="5" t="s">
        <v>21</v>
      </c>
    </row>
    <row r="124">
      <c r="A124" s="5">
        <v>123.0</v>
      </c>
      <c r="B124" s="5" t="s">
        <v>340</v>
      </c>
      <c r="C124" s="5" t="s">
        <v>21</v>
      </c>
    </row>
    <row r="125">
      <c r="A125" s="5">
        <v>124.0</v>
      </c>
      <c r="B125" s="5" t="s">
        <v>341</v>
      </c>
      <c r="C125" s="5" t="s">
        <v>21</v>
      </c>
    </row>
    <row r="126">
      <c r="A126" s="5">
        <v>125.0</v>
      </c>
      <c r="B126" s="5" t="s">
        <v>343</v>
      </c>
      <c r="C126" s="5" t="s">
        <v>21</v>
      </c>
    </row>
    <row r="127">
      <c r="A127" s="5">
        <v>126.0</v>
      </c>
      <c r="B127" s="5" t="s">
        <v>344</v>
      </c>
      <c r="C127" s="5" t="s">
        <v>21</v>
      </c>
    </row>
    <row r="128">
      <c r="A128" s="5">
        <v>127.0</v>
      </c>
      <c r="B128" s="5" t="s">
        <v>346</v>
      </c>
      <c r="C128" s="5" t="s">
        <v>21</v>
      </c>
    </row>
    <row r="129">
      <c r="A129" s="5">
        <v>128.0</v>
      </c>
      <c r="B129" s="5" t="s">
        <v>347</v>
      </c>
      <c r="C129" s="5" t="s">
        <v>21</v>
      </c>
    </row>
    <row r="130">
      <c r="A130" s="5">
        <v>129.0</v>
      </c>
      <c r="B130" s="5" t="s">
        <v>349</v>
      </c>
      <c r="C130" s="5" t="s">
        <v>21</v>
      </c>
    </row>
    <row r="131">
      <c r="A131" s="5">
        <v>130.0</v>
      </c>
      <c r="B131" s="5" t="s">
        <v>351</v>
      </c>
      <c r="C131" s="5" t="s">
        <v>21</v>
      </c>
    </row>
    <row r="132">
      <c r="A132" s="5">
        <v>131.0</v>
      </c>
      <c r="B132" s="5" t="s">
        <v>352</v>
      </c>
      <c r="C132" s="5" t="s">
        <v>21</v>
      </c>
    </row>
    <row r="133">
      <c r="A133" s="5">
        <v>132.0</v>
      </c>
      <c r="B133" s="5" t="s">
        <v>354</v>
      </c>
      <c r="C133" s="5" t="s">
        <v>21</v>
      </c>
    </row>
    <row r="134">
      <c r="A134" s="5">
        <v>133.0</v>
      </c>
      <c r="B134" s="5" t="s">
        <v>356</v>
      </c>
      <c r="C134" s="5" t="s">
        <v>21</v>
      </c>
    </row>
    <row r="135">
      <c r="A135" s="5">
        <v>134.0</v>
      </c>
      <c r="B135" s="5" t="s">
        <v>357</v>
      </c>
      <c r="C135" s="5" t="s">
        <v>21</v>
      </c>
    </row>
    <row r="136">
      <c r="A136" s="5">
        <v>135.0</v>
      </c>
      <c r="B136" s="5" t="s">
        <v>359</v>
      </c>
      <c r="C136" s="5" t="s">
        <v>21</v>
      </c>
    </row>
    <row r="137">
      <c r="A137" s="5">
        <v>136.0</v>
      </c>
      <c r="B137" s="5" t="s">
        <v>361</v>
      </c>
      <c r="C137" s="5" t="s">
        <v>21</v>
      </c>
    </row>
    <row r="138">
      <c r="A138" s="5">
        <v>137.0</v>
      </c>
      <c r="B138" s="5" t="s">
        <v>362</v>
      </c>
      <c r="C138" s="5" t="s">
        <v>21</v>
      </c>
    </row>
    <row r="139">
      <c r="A139" s="5">
        <v>138.0</v>
      </c>
      <c r="B139" s="5" t="s">
        <v>364</v>
      </c>
      <c r="C139" s="5" t="s">
        <v>21</v>
      </c>
    </row>
    <row r="140">
      <c r="A140" s="5">
        <v>139.0</v>
      </c>
      <c r="B140" s="5" t="s">
        <v>366</v>
      </c>
      <c r="C140" s="5" t="s">
        <v>21</v>
      </c>
    </row>
    <row r="141">
      <c r="A141" s="5">
        <v>140.0</v>
      </c>
      <c r="B141" s="5" t="s">
        <v>367</v>
      </c>
      <c r="C141" s="5" t="s">
        <v>21</v>
      </c>
    </row>
    <row r="142">
      <c r="A142" s="5">
        <v>141.0</v>
      </c>
      <c r="B142" s="5" t="s">
        <v>369</v>
      </c>
      <c r="C142" s="5" t="s">
        <v>21</v>
      </c>
    </row>
    <row r="143">
      <c r="A143" s="5">
        <v>142.0</v>
      </c>
      <c r="B143" s="5" t="s">
        <v>371</v>
      </c>
      <c r="C143" s="5" t="s">
        <v>21</v>
      </c>
    </row>
    <row r="144">
      <c r="A144" s="5">
        <v>143.0</v>
      </c>
      <c r="B144" s="5" t="s">
        <v>373</v>
      </c>
      <c r="C144" s="5" t="s">
        <v>21</v>
      </c>
    </row>
    <row r="145">
      <c r="A145" s="5">
        <v>144.0</v>
      </c>
      <c r="B145" s="5" t="s">
        <v>374</v>
      </c>
      <c r="C145" s="5" t="s">
        <v>21</v>
      </c>
    </row>
    <row r="146">
      <c r="A146" s="5">
        <v>145.0</v>
      </c>
      <c r="B146" s="5" t="s">
        <v>376</v>
      </c>
      <c r="C146" s="5" t="s">
        <v>21</v>
      </c>
    </row>
    <row r="147">
      <c r="A147" s="5">
        <v>146.0</v>
      </c>
      <c r="B147" s="5" t="s">
        <v>377</v>
      </c>
      <c r="C147" s="5" t="s">
        <v>21</v>
      </c>
    </row>
    <row r="148">
      <c r="A148" s="5">
        <v>147.0</v>
      </c>
      <c r="B148" s="5" t="s">
        <v>379</v>
      </c>
      <c r="C148" s="5" t="s">
        <v>21</v>
      </c>
    </row>
    <row r="149">
      <c r="A149" s="5">
        <v>148.0</v>
      </c>
      <c r="B149" s="5" t="s">
        <v>380</v>
      </c>
      <c r="C149" s="5" t="s">
        <v>21</v>
      </c>
    </row>
    <row r="150">
      <c r="A150" s="5">
        <v>149.0</v>
      </c>
      <c r="B150" s="5" t="s">
        <v>382</v>
      </c>
      <c r="C150" s="5" t="s">
        <v>21</v>
      </c>
    </row>
    <row r="151">
      <c r="A151" s="5">
        <v>150.0</v>
      </c>
      <c r="B151" s="5" t="s">
        <v>384</v>
      </c>
      <c r="C151" s="5" t="s">
        <v>21</v>
      </c>
    </row>
    <row r="152">
      <c r="A152" s="5">
        <v>151.0</v>
      </c>
      <c r="B152" s="5" t="s">
        <v>385</v>
      </c>
      <c r="C152" s="5" t="s">
        <v>21</v>
      </c>
    </row>
    <row r="153">
      <c r="A153" s="5">
        <v>152.0</v>
      </c>
      <c r="B153" s="5" t="s">
        <v>387</v>
      </c>
      <c r="C153" s="5" t="s">
        <v>21</v>
      </c>
    </row>
    <row r="154">
      <c r="A154" s="5">
        <v>153.0</v>
      </c>
      <c r="B154" s="5" t="s">
        <v>390</v>
      </c>
      <c r="C154" s="5" t="s">
        <v>21</v>
      </c>
    </row>
    <row r="155">
      <c r="A155" s="5">
        <v>154.0</v>
      </c>
      <c r="B155" s="5" t="s">
        <v>391</v>
      </c>
      <c r="C155" s="5" t="s">
        <v>21</v>
      </c>
    </row>
    <row r="156">
      <c r="A156" s="5">
        <v>155.0</v>
      </c>
      <c r="B156" s="5" t="s">
        <v>393</v>
      </c>
      <c r="C156" s="5" t="s">
        <v>21</v>
      </c>
    </row>
    <row r="157">
      <c r="A157" s="5">
        <v>156.0</v>
      </c>
      <c r="B157" s="5" t="s">
        <v>395</v>
      </c>
      <c r="C157" s="5" t="s">
        <v>21</v>
      </c>
    </row>
    <row r="158">
      <c r="A158" s="5">
        <v>157.0</v>
      </c>
      <c r="B158" s="5" t="s">
        <v>396</v>
      </c>
      <c r="C158" s="5" t="s">
        <v>21</v>
      </c>
    </row>
    <row r="159">
      <c r="A159" s="5">
        <v>158.0</v>
      </c>
      <c r="B159" s="5" t="s">
        <v>398</v>
      </c>
      <c r="C159" s="5" t="s">
        <v>21</v>
      </c>
    </row>
    <row r="160">
      <c r="A160" s="5">
        <v>159.0</v>
      </c>
      <c r="B160" s="5" t="s">
        <v>400</v>
      </c>
      <c r="C160" s="5" t="s">
        <v>21</v>
      </c>
    </row>
    <row r="161">
      <c r="A161" s="5">
        <v>160.0</v>
      </c>
      <c r="B161" s="5" t="s">
        <v>401</v>
      </c>
      <c r="C161" s="5" t="s">
        <v>21</v>
      </c>
    </row>
    <row r="162">
      <c r="A162" s="5">
        <v>161.0</v>
      </c>
      <c r="B162" s="5" t="s">
        <v>403</v>
      </c>
      <c r="C162" s="5" t="s">
        <v>21</v>
      </c>
    </row>
    <row r="163">
      <c r="A163" s="5">
        <v>162.0</v>
      </c>
      <c r="B163" s="5" t="s">
        <v>405</v>
      </c>
      <c r="C163" s="5" t="s">
        <v>21</v>
      </c>
    </row>
    <row r="164">
      <c r="A164" s="5">
        <v>163.0</v>
      </c>
      <c r="B164" s="5" t="s">
        <v>406</v>
      </c>
      <c r="C164" s="5" t="s">
        <v>21</v>
      </c>
    </row>
    <row r="165">
      <c r="A165" s="5">
        <v>164.0</v>
      </c>
      <c r="B165" s="5" t="s">
        <v>408</v>
      </c>
      <c r="C165" s="5" t="s">
        <v>21</v>
      </c>
    </row>
    <row r="166">
      <c r="A166" s="5">
        <v>165.0</v>
      </c>
      <c r="B166" s="5" t="s">
        <v>410</v>
      </c>
      <c r="C166" s="5" t="s">
        <v>21</v>
      </c>
    </row>
    <row r="167">
      <c r="A167" s="5">
        <v>166.0</v>
      </c>
      <c r="B167" s="5" t="s">
        <v>412</v>
      </c>
      <c r="C167" s="5" t="s">
        <v>21</v>
      </c>
    </row>
    <row r="168">
      <c r="A168" s="5">
        <v>167.0</v>
      </c>
      <c r="B168" s="5" t="s">
        <v>413</v>
      </c>
      <c r="C168" s="5" t="s">
        <v>21</v>
      </c>
    </row>
    <row r="169">
      <c r="A169" s="5">
        <v>168.0</v>
      </c>
      <c r="B169" s="5" t="s">
        <v>414</v>
      </c>
      <c r="C169" s="5" t="s">
        <v>21</v>
      </c>
    </row>
    <row r="170">
      <c r="A170" s="5">
        <v>169.0</v>
      </c>
      <c r="B170" s="5" t="s">
        <v>416</v>
      </c>
      <c r="C170" s="5" t="s">
        <v>21</v>
      </c>
    </row>
    <row r="171">
      <c r="A171" s="5">
        <v>170.0</v>
      </c>
      <c r="B171" s="5" t="s">
        <v>418</v>
      </c>
      <c r="C171" s="5" t="s">
        <v>21</v>
      </c>
    </row>
    <row r="172">
      <c r="A172" s="5">
        <v>171.0</v>
      </c>
      <c r="B172" s="5" t="s">
        <v>419</v>
      </c>
      <c r="C172" s="5" t="s">
        <v>21</v>
      </c>
    </row>
    <row r="173">
      <c r="A173" s="5">
        <v>172.0</v>
      </c>
      <c r="B173" s="5" t="s">
        <v>421</v>
      </c>
      <c r="C173" s="5" t="s">
        <v>21</v>
      </c>
    </row>
    <row r="174">
      <c r="A174" s="5">
        <v>173.0</v>
      </c>
      <c r="B174" s="5" t="s">
        <v>423</v>
      </c>
      <c r="C174" s="5" t="s">
        <v>21</v>
      </c>
    </row>
    <row r="175">
      <c r="A175" s="5">
        <v>174.0</v>
      </c>
      <c r="B175" s="5" t="s">
        <v>425</v>
      </c>
      <c r="C175" s="5" t="s">
        <v>21</v>
      </c>
    </row>
    <row r="176">
      <c r="A176" s="5">
        <v>175.0</v>
      </c>
      <c r="B176" s="5" t="s">
        <v>427</v>
      </c>
      <c r="C176" s="5" t="s">
        <v>21</v>
      </c>
    </row>
    <row r="177">
      <c r="A177" s="5">
        <v>176.0</v>
      </c>
      <c r="B177" s="5" t="s">
        <v>429</v>
      </c>
      <c r="C177" s="5" t="s">
        <v>21</v>
      </c>
    </row>
    <row r="178">
      <c r="A178" s="5">
        <v>177.0</v>
      </c>
      <c r="B178" s="5" t="s">
        <v>431</v>
      </c>
      <c r="C178" s="5" t="s">
        <v>21</v>
      </c>
    </row>
    <row r="179">
      <c r="A179" s="5">
        <v>178.0</v>
      </c>
      <c r="B179" s="5" t="s">
        <v>433</v>
      </c>
      <c r="C179" s="5" t="s">
        <v>21</v>
      </c>
    </row>
    <row r="180">
      <c r="A180" s="5">
        <v>179.0</v>
      </c>
      <c r="B180" s="5" t="s">
        <v>435</v>
      </c>
      <c r="C180" s="5" t="s">
        <v>21</v>
      </c>
    </row>
    <row r="181">
      <c r="A181" s="5">
        <v>180.0</v>
      </c>
      <c r="B181" s="5" t="s">
        <v>437</v>
      </c>
      <c r="C181" s="5" t="s">
        <v>21</v>
      </c>
    </row>
    <row r="182">
      <c r="A182" s="5">
        <v>181.0</v>
      </c>
      <c r="B182" s="5" t="s">
        <v>438</v>
      </c>
      <c r="C182" s="5" t="s">
        <v>21</v>
      </c>
    </row>
    <row r="183">
      <c r="A183" s="5">
        <v>182.0</v>
      </c>
      <c r="B183" s="5" t="s">
        <v>440</v>
      </c>
      <c r="C183" s="5" t="s">
        <v>21</v>
      </c>
    </row>
    <row r="184">
      <c r="A184" s="5">
        <v>183.0</v>
      </c>
      <c r="B184" s="5" t="s">
        <v>442</v>
      </c>
      <c r="C184" s="5" t="s">
        <v>21</v>
      </c>
    </row>
    <row r="185">
      <c r="A185" s="5">
        <v>184.0</v>
      </c>
      <c r="B185" s="5" t="s">
        <v>443</v>
      </c>
      <c r="C185" s="5" t="s">
        <v>21</v>
      </c>
    </row>
    <row r="186">
      <c r="A186" s="5">
        <v>185.0</v>
      </c>
      <c r="B186" s="5" t="s">
        <v>445</v>
      </c>
      <c r="C186" s="5" t="s">
        <v>21</v>
      </c>
    </row>
    <row r="187">
      <c r="A187" s="5">
        <v>186.0</v>
      </c>
      <c r="B187" s="5" t="s">
        <v>447</v>
      </c>
      <c r="C187" s="5" t="s">
        <v>21</v>
      </c>
    </row>
    <row r="188">
      <c r="A188" s="5">
        <v>187.0</v>
      </c>
      <c r="B188" s="5" t="s">
        <v>448</v>
      </c>
      <c r="C188" s="5" t="s">
        <v>21</v>
      </c>
    </row>
    <row r="189">
      <c r="A189" s="5">
        <v>188.0</v>
      </c>
      <c r="B189" s="5" t="s">
        <v>450</v>
      </c>
      <c r="C189" s="5" t="s">
        <v>21</v>
      </c>
    </row>
    <row r="190">
      <c r="A190" s="5">
        <v>189.0</v>
      </c>
      <c r="B190" s="5" t="s">
        <v>452</v>
      </c>
      <c r="C190" s="5" t="s">
        <v>21</v>
      </c>
    </row>
    <row r="191">
      <c r="A191" s="5">
        <v>190.0</v>
      </c>
      <c r="B191" s="5" t="s">
        <v>453</v>
      </c>
      <c r="C191" s="5" t="s">
        <v>21</v>
      </c>
    </row>
    <row r="192">
      <c r="A192" s="5">
        <v>191.0</v>
      </c>
      <c r="B192" s="5" t="s">
        <v>455</v>
      </c>
      <c r="C192" s="5" t="s">
        <v>21</v>
      </c>
    </row>
    <row r="193">
      <c r="A193" s="5">
        <v>192.0</v>
      </c>
      <c r="B193" s="5" t="s">
        <v>456</v>
      </c>
      <c r="C193" s="5" t="s">
        <v>21</v>
      </c>
    </row>
    <row r="194">
      <c r="A194" s="5">
        <v>193.0</v>
      </c>
      <c r="B194" s="5" t="s">
        <v>458</v>
      </c>
      <c r="C194" s="5" t="s">
        <v>21</v>
      </c>
    </row>
    <row r="195">
      <c r="A195" s="5">
        <v>194.0</v>
      </c>
      <c r="B195" s="5" t="s">
        <v>460</v>
      </c>
      <c r="C195" s="5" t="s">
        <v>21</v>
      </c>
    </row>
    <row r="196">
      <c r="A196" s="5">
        <v>195.0</v>
      </c>
      <c r="B196" s="5" t="s">
        <v>462</v>
      </c>
      <c r="C196" s="5" t="s">
        <v>21</v>
      </c>
    </row>
    <row r="197">
      <c r="A197" s="5">
        <v>196.0</v>
      </c>
      <c r="B197" s="5" t="s">
        <v>463</v>
      </c>
      <c r="C197" s="5" t="s">
        <v>21</v>
      </c>
    </row>
    <row r="198">
      <c r="A198" s="5">
        <v>197.0</v>
      </c>
      <c r="B198" s="5" t="s">
        <v>465</v>
      </c>
      <c r="C198" s="5" t="s">
        <v>21</v>
      </c>
    </row>
    <row r="199">
      <c r="A199" s="5">
        <v>198.0</v>
      </c>
      <c r="B199" s="5" t="s">
        <v>467</v>
      </c>
      <c r="C199" s="5" t="s">
        <v>21</v>
      </c>
    </row>
    <row r="200">
      <c r="A200" s="5">
        <v>199.0</v>
      </c>
      <c r="B200" s="5" t="s">
        <v>468</v>
      </c>
      <c r="C200" s="5" t="s">
        <v>21</v>
      </c>
    </row>
    <row r="201">
      <c r="A201" s="5">
        <v>200.0</v>
      </c>
      <c r="B201" s="5" t="s">
        <v>470</v>
      </c>
      <c r="C201" s="5" t="s">
        <v>21</v>
      </c>
    </row>
    <row r="202">
      <c r="A202" s="5">
        <v>201.0</v>
      </c>
      <c r="B202" s="5" t="s">
        <v>472</v>
      </c>
      <c r="C202" s="5" t="s">
        <v>21</v>
      </c>
    </row>
    <row r="203">
      <c r="A203" s="5">
        <v>202.0</v>
      </c>
      <c r="B203" s="5" t="s">
        <v>473</v>
      </c>
      <c r="C203" s="5" t="s">
        <v>21</v>
      </c>
    </row>
    <row r="204">
      <c r="A204" s="5">
        <v>203.0</v>
      </c>
      <c r="B204" s="5" t="s">
        <v>475</v>
      </c>
      <c r="C204" s="5" t="s">
        <v>21</v>
      </c>
    </row>
    <row r="205">
      <c r="A205" s="5">
        <v>204.0</v>
      </c>
      <c r="B205" s="5" t="s">
        <v>476</v>
      </c>
      <c r="C205" s="5" t="s">
        <v>21</v>
      </c>
    </row>
    <row r="206">
      <c r="A206" s="5">
        <v>205.0</v>
      </c>
      <c r="B206" s="5" t="s">
        <v>477</v>
      </c>
      <c r="C206" s="5" t="s">
        <v>21</v>
      </c>
    </row>
    <row r="207">
      <c r="A207" s="5">
        <v>206.0</v>
      </c>
      <c r="B207" s="5" t="s">
        <v>479</v>
      </c>
      <c r="C207" s="5" t="s">
        <v>21</v>
      </c>
    </row>
    <row r="208">
      <c r="A208" s="5">
        <v>207.0</v>
      </c>
      <c r="B208" s="5" t="s">
        <v>481</v>
      </c>
      <c r="C208" s="5" t="s">
        <v>21</v>
      </c>
    </row>
    <row r="209">
      <c r="A209" s="5">
        <v>208.0</v>
      </c>
      <c r="B209" s="5" t="s">
        <v>482</v>
      </c>
      <c r="C209" s="5" t="s">
        <v>21</v>
      </c>
    </row>
    <row r="210">
      <c r="A210" s="5">
        <v>209.0</v>
      </c>
      <c r="B210" s="5" t="s">
        <v>484</v>
      </c>
      <c r="C210" s="5" t="s">
        <v>21</v>
      </c>
    </row>
    <row r="211">
      <c r="A211" s="5">
        <v>210.0</v>
      </c>
      <c r="B211" s="5" t="s">
        <v>485</v>
      </c>
      <c r="C211" s="5" t="s">
        <v>21</v>
      </c>
    </row>
    <row r="212">
      <c r="A212" s="5">
        <v>211.0</v>
      </c>
      <c r="B212" s="5" t="s">
        <v>487</v>
      </c>
      <c r="C212" s="5" t="s">
        <v>21</v>
      </c>
    </row>
    <row r="213">
      <c r="A213" s="5">
        <v>212.0</v>
      </c>
      <c r="B213" s="5" t="s">
        <v>489</v>
      </c>
      <c r="C213" s="5" t="s">
        <v>21</v>
      </c>
    </row>
    <row r="214">
      <c r="A214" s="5">
        <v>213.0</v>
      </c>
      <c r="B214" s="5" t="s">
        <v>491</v>
      </c>
      <c r="C214" s="5" t="s">
        <v>21</v>
      </c>
    </row>
    <row r="215">
      <c r="A215" s="5">
        <v>214.0</v>
      </c>
      <c r="B215" s="5" t="s">
        <v>492</v>
      </c>
      <c r="C215" s="5" t="s">
        <v>21</v>
      </c>
    </row>
    <row r="216">
      <c r="A216" s="5">
        <v>215.0</v>
      </c>
      <c r="B216" s="5" t="s">
        <v>494</v>
      </c>
      <c r="C216" s="5" t="s">
        <v>21</v>
      </c>
    </row>
    <row r="217">
      <c r="A217" s="5">
        <v>216.0</v>
      </c>
      <c r="B217" s="5" t="s">
        <v>497</v>
      </c>
      <c r="C217" s="5" t="s">
        <v>21</v>
      </c>
    </row>
    <row r="218">
      <c r="A218" s="5">
        <v>217.0</v>
      </c>
      <c r="B218" s="5" t="s">
        <v>498</v>
      </c>
      <c r="C218" s="5" t="s">
        <v>21</v>
      </c>
    </row>
    <row r="219">
      <c r="A219" s="5">
        <v>218.0</v>
      </c>
      <c r="B219" s="5" t="s">
        <v>500</v>
      </c>
      <c r="C219" s="5" t="s">
        <v>21</v>
      </c>
    </row>
    <row r="220">
      <c r="A220" s="5">
        <v>219.0</v>
      </c>
      <c r="B220" s="5" t="s">
        <v>501</v>
      </c>
      <c r="C220" s="5" t="s">
        <v>21</v>
      </c>
    </row>
    <row r="221">
      <c r="A221" s="5">
        <v>220.0</v>
      </c>
      <c r="B221" s="5" t="s">
        <v>503</v>
      </c>
      <c r="C221" s="5" t="s">
        <v>21</v>
      </c>
    </row>
    <row r="222">
      <c r="A222" s="5">
        <v>221.0</v>
      </c>
      <c r="B222" s="5" t="s">
        <v>505</v>
      </c>
      <c r="C222" s="5" t="s">
        <v>21</v>
      </c>
    </row>
    <row r="223">
      <c r="A223" s="5">
        <v>222.0</v>
      </c>
      <c r="B223" s="5" t="s">
        <v>507</v>
      </c>
      <c r="C223" s="5" t="s">
        <v>21</v>
      </c>
    </row>
    <row r="224">
      <c r="A224" s="5">
        <v>223.0</v>
      </c>
      <c r="B224" s="5" t="s">
        <v>509</v>
      </c>
      <c r="C224" s="5" t="s">
        <v>21</v>
      </c>
    </row>
    <row r="225">
      <c r="A225" s="5">
        <v>224.0</v>
      </c>
      <c r="B225" s="5" t="s">
        <v>511</v>
      </c>
      <c r="C225" s="5" t="s">
        <v>21</v>
      </c>
    </row>
    <row r="226">
      <c r="A226" s="5">
        <v>225.0</v>
      </c>
      <c r="B226" s="5" t="s">
        <v>513</v>
      </c>
      <c r="C226" s="5" t="s">
        <v>21</v>
      </c>
    </row>
    <row r="227">
      <c r="A227" s="5">
        <v>226.0</v>
      </c>
      <c r="B227" s="5" t="s">
        <v>515</v>
      </c>
      <c r="C227" s="5" t="s">
        <v>21</v>
      </c>
    </row>
    <row r="228">
      <c r="A228" s="5">
        <v>227.0</v>
      </c>
      <c r="B228" s="5" t="s">
        <v>516</v>
      </c>
      <c r="C228" s="5" t="s">
        <v>21</v>
      </c>
    </row>
    <row r="229">
      <c r="A229" s="5">
        <v>228.0</v>
      </c>
      <c r="B229" s="5" t="s">
        <v>518</v>
      </c>
      <c r="C229" s="5" t="s">
        <v>21</v>
      </c>
    </row>
    <row r="230">
      <c r="A230" s="5">
        <v>229.0</v>
      </c>
      <c r="B230" s="5" t="s">
        <v>520</v>
      </c>
      <c r="C230" s="5" t="s">
        <v>21</v>
      </c>
    </row>
    <row r="231">
      <c r="A231" s="5">
        <v>230.0</v>
      </c>
      <c r="B231" s="5" t="s">
        <v>521</v>
      </c>
      <c r="C231" s="5" t="s">
        <v>21</v>
      </c>
    </row>
    <row r="232">
      <c r="A232" s="5">
        <v>231.0</v>
      </c>
      <c r="B232" s="5" t="s">
        <v>523</v>
      </c>
      <c r="C232" s="5" t="s">
        <v>21</v>
      </c>
    </row>
    <row r="233">
      <c r="A233" s="5">
        <v>232.0</v>
      </c>
      <c r="B233" s="5" t="s">
        <v>524</v>
      </c>
      <c r="C233" s="5" t="s">
        <v>21</v>
      </c>
    </row>
    <row r="234">
      <c r="A234" s="5">
        <v>233.0</v>
      </c>
      <c r="B234" s="5" t="s">
        <v>525</v>
      </c>
      <c r="C234" s="5" t="s">
        <v>21</v>
      </c>
    </row>
    <row r="235">
      <c r="A235" s="5">
        <v>234.0</v>
      </c>
      <c r="B235" s="5" t="s">
        <v>527</v>
      </c>
      <c r="C235" s="5" t="s">
        <v>21</v>
      </c>
    </row>
    <row r="236">
      <c r="A236" s="5">
        <v>235.0</v>
      </c>
      <c r="B236" s="5" t="s">
        <v>529</v>
      </c>
      <c r="C236" s="5" t="s">
        <v>21</v>
      </c>
    </row>
    <row r="237">
      <c r="A237" s="5">
        <v>236.0</v>
      </c>
      <c r="B237" s="5" t="s">
        <v>531</v>
      </c>
      <c r="C237" s="5" t="s">
        <v>21</v>
      </c>
    </row>
    <row r="238">
      <c r="A238" s="5">
        <v>237.0</v>
      </c>
      <c r="B238" s="5" t="s">
        <v>533</v>
      </c>
      <c r="C238" s="5" t="s">
        <v>21</v>
      </c>
    </row>
    <row r="239">
      <c r="A239" s="5">
        <v>238.0</v>
      </c>
      <c r="B239" s="5" t="s">
        <v>535</v>
      </c>
      <c r="C239" s="5" t="s">
        <v>21</v>
      </c>
    </row>
    <row r="240">
      <c r="A240" s="5">
        <v>239.0</v>
      </c>
      <c r="B240" s="5" t="s">
        <v>537</v>
      </c>
      <c r="C240" s="5" t="s">
        <v>21</v>
      </c>
    </row>
    <row r="241">
      <c r="A241" s="5">
        <v>240.0</v>
      </c>
      <c r="B241" s="5" t="s">
        <v>539</v>
      </c>
      <c r="C241" s="5" t="s">
        <v>21</v>
      </c>
    </row>
    <row r="242">
      <c r="A242" s="5">
        <v>241.0</v>
      </c>
      <c r="B242" s="5" t="s">
        <v>541</v>
      </c>
      <c r="C242" s="5" t="s">
        <v>21</v>
      </c>
    </row>
    <row r="243">
      <c r="A243" s="5">
        <v>242.0</v>
      </c>
      <c r="B243" s="5" t="s">
        <v>543</v>
      </c>
      <c r="C243" s="5" t="s">
        <v>21</v>
      </c>
    </row>
    <row r="244">
      <c r="A244" s="5">
        <v>243.0</v>
      </c>
      <c r="B244" s="5" t="s">
        <v>545</v>
      </c>
      <c r="C244" s="5" t="s">
        <v>21</v>
      </c>
    </row>
    <row r="245">
      <c r="A245" s="5">
        <v>244.0</v>
      </c>
      <c r="B245" s="5" t="s">
        <v>547</v>
      </c>
      <c r="C245" s="5" t="s">
        <v>21</v>
      </c>
    </row>
    <row r="246">
      <c r="A246" s="5">
        <v>245.0</v>
      </c>
      <c r="B246" s="5" t="s">
        <v>548</v>
      </c>
      <c r="C246" s="5" t="s">
        <v>21</v>
      </c>
    </row>
    <row r="247">
      <c r="A247" s="5">
        <v>246.0</v>
      </c>
      <c r="B247" s="5" t="s">
        <v>550</v>
      </c>
      <c r="C247" s="5" t="s">
        <v>21</v>
      </c>
    </row>
    <row r="248">
      <c r="A248" s="5">
        <v>247.0</v>
      </c>
      <c r="B248" s="5" t="s">
        <v>552</v>
      </c>
      <c r="C248" s="5" t="s">
        <v>21</v>
      </c>
    </row>
    <row r="249">
      <c r="A249" s="5">
        <v>248.0</v>
      </c>
      <c r="B249" s="5" t="s">
        <v>553</v>
      </c>
      <c r="C249" s="5" t="s">
        <v>21</v>
      </c>
    </row>
    <row r="250">
      <c r="A250" s="5">
        <v>249.0</v>
      </c>
      <c r="B250" s="5" t="s">
        <v>555</v>
      </c>
      <c r="C250" s="5" t="s">
        <v>21</v>
      </c>
    </row>
    <row r="251">
      <c r="A251" s="5">
        <v>250.0</v>
      </c>
      <c r="B251" s="5" t="s">
        <v>557</v>
      </c>
      <c r="C251" s="5" t="s">
        <v>21</v>
      </c>
    </row>
    <row r="252">
      <c r="A252" s="5">
        <v>251.0</v>
      </c>
      <c r="B252" s="5" t="s">
        <v>558</v>
      </c>
      <c r="C252" s="5" t="s">
        <v>21</v>
      </c>
    </row>
    <row r="253">
      <c r="A253" s="5">
        <v>252.0</v>
      </c>
      <c r="B253" s="5" t="s">
        <v>560</v>
      </c>
      <c r="C253" s="5" t="s">
        <v>21</v>
      </c>
    </row>
    <row r="254">
      <c r="A254" s="5">
        <v>253.0</v>
      </c>
      <c r="B254" s="5" t="s">
        <v>562</v>
      </c>
      <c r="C254" s="5" t="s">
        <v>21</v>
      </c>
    </row>
    <row r="255">
      <c r="A255" s="5">
        <v>254.0</v>
      </c>
      <c r="B255" s="5" t="s">
        <v>563</v>
      </c>
      <c r="C255" s="5" t="s">
        <v>21</v>
      </c>
    </row>
    <row r="256">
      <c r="A256" s="5">
        <v>255.0</v>
      </c>
      <c r="B256" s="5" t="s">
        <v>565</v>
      </c>
      <c r="C256" s="5" t="s">
        <v>21</v>
      </c>
    </row>
    <row r="257">
      <c r="A257" s="5">
        <v>256.0</v>
      </c>
      <c r="B257" s="5" t="s">
        <v>567</v>
      </c>
      <c r="C257" s="5" t="s">
        <v>21</v>
      </c>
    </row>
    <row r="258">
      <c r="A258" s="5">
        <v>257.0</v>
      </c>
      <c r="B258" s="5" t="s">
        <v>568</v>
      </c>
      <c r="C258" s="5" t="s">
        <v>21</v>
      </c>
    </row>
    <row r="259">
      <c r="A259" s="5">
        <v>258.0</v>
      </c>
      <c r="B259" s="5" t="s">
        <v>570</v>
      </c>
      <c r="C259" s="5" t="s">
        <v>21</v>
      </c>
    </row>
    <row r="260">
      <c r="A260" s="5">
        <v>259.0</v>
      </c>
      <c r="B260" s="5" t="s">
        <v>572</v>
      </c>
      <c r="C260" s="5" t="s">
        <v>21</v>
      </c>
    </row>
    <row r="261">
      <c r="A261" s="5">
        <v>260.0</v>
      </c>
      <c r="B261" s="5" t="s">
        <v>574</v>
      </c>
      <c r="C261" s="5" t="s">
        <v>21</v>
      </c>
    </row>
    <row r="262">
      <c r="A262" s="5">
        <v>261.0</v>
      </c>
      <c r="B262" s="5" t="s">
        <v>575</v>
      </c>
      <c r="C262" s="5" t="s">
        <v>21</v>
      </c>
    </row>
    <row r="263">
      <c r="A263" s="5">
        <v>262.0</v>
      </c>
      <c r="B263" s="5" t="s">
        <v>577</v>
      </c>
      <c r="C263" s="5" t="s">
        <v>21</v>
      </c>
    </row>
    <row r="264">
      <c r="A264" s="5">
        <v>263.0</v>
      </c>
      <c r="B264" s="5" t="s">
        <v>579</v>
      </c>
      <c r="C264" s="5" t="s">
        <v>21</v>
      </c>
    </row>
    <row r="265">
      <c r="A265" s="5">
        <v>264.0</v>
      </c>
      <c r="B265" s="5" t="s">
        <v>580</v>
      </c>
      <c r="C265" s="5" t="s">
        <v>21</v>
      </c>
    </row>
    <row r="266">
      <c r="A266" s="5">
        <v>265.0</v>
      </c>
      <c r="B266" s="5" t="s">
        <v>581</v>
      </c>
      <c r="C266" s="5" t="s">
        <v>21</v>
      </c>
    </row>
    <row r="267">
      <c r="A267" s="5">
        <v>266.0</v>
      </c>
      <c r="B267" s="5" t="s">
        <v>583</v>
      </c>
      <c r="C267" s="5" t="s">
        <v>21</v>
      </c>
    </row>
    <row r="268">
      <c r="A268" s="5">
        <v>267.0</v>
      </c>
      <c r="B268" s="5" t="s">
        <v>584</v>
      </c>
      <c r="C268" s="5" t="s">
        <v>21</v>
      </c>
    </row>
    <row r="269">
      <c r="A269" s="5">
        <v>268.0</v>
      </c>
      <c r="B269" s="5" t="s">
        <v>586</v>
      </c>
      <c r="C269" s="5" t="s">
        <v>21</v>
      </c>
    </row>
    <row r="270">
      <c r="A270" s="5">
        <v>269.0</v>
      </c>
      <c r="B270" s="5" t="s">
        <v>588</v>
      </c>
      <c r="C270" s="5" t="s">
        <v>21</v>
      </c>
    </row>
    <row r="271">
      <c r="A271" s="5">
        <v>270.0</v>
      </c>
      <c r="B271" s="5" t="s">
        <v>589</v>
      </c>
      <c r="C271" s="5" t="s">
        <v>21</v>
      </c>
    </row>
    <row r="272">
      <c r="A272" s="5">
        <v>271.0</v>
      </c>
      <c r="B272" s="5" t="s">
        <v>591</v>
      </c>
      <c r="C272" s="5" t="s">
        <v>21</v>
      </c>
    </row>
    <row r="273">
      <c r="A273" s="5">
        <v>272.0</v>
      </c>
      <c r="B273" s="5" t="s">
        <v>593</v>
      </c>
      <c r="C273" s="5" t="s">
        <v>21</v>
      </c>
    </row>
    <row r="274">
      <c r="A274" s="5">
        <v>273.0</v>
      </c>
      <c r="B274" s="5" t="s">
        <v>594</v>
      </c>
      <c r="C274" s="5" t="s">
        <v>21</v>
      </c>
    </row>
    <row r="275">
      <c r="A275" s="5">
        <v>274.0</v>
      </c>
      <c r="B275" s="5" t="s">
        <v>596</v>
      </c>
      <c r="C275" s="5" t="s">
        <v>21</v>
      </c>
    </row>
    <row r="276">
      <c r="A276" s="5">
        <v>275.0</v>
      </c>
      <c r="B276" s="5" t="s">
        <v>597</v>
      </c>
      <c r="C276" s="5" t="s">
        <v>21</v>
      </c>
    </row>
    <row r="277">
      <c r="A277" s="5">
        <v>276.0</v>
      </c>
      <c r="B277" s="5" t="s">
        <v>599</v>
      </c>
      <c r="C277" s="5" t="s">
        <v>21</v>
      </c>
    </row>
    <row r="278">
      <c r="A278" s="5">
        <v>277.0</v>
      </c>
      <c r="B278" s="5" t="s">
        <v>600</v>
      </c>
      <c r="C278" s="5" t="s">
        <v>21</v>
      </c>
    </row>
    <row r="279">
      <c r="A279" s="5">
        <v>278.0</v>
      </c>
      <c r="B279" s="5" t="s">
        <v>602</v>
      </c>
      <c r="C279" s="5" t="s">
        <v>21</v>
      </c>
    </row>
    <row r="280">
      <c r="A280" s="5">
        <v>279.0</v>
      </c>
      <c r="B280" s="5" t="s">
        <v>603</v>
      </c>
      <c r="C280" s="5" t="s">
        <v>21</v>
      </c>
    </row>
    <row r="281">
      <c r="A281" s="5">
        <v>280.0</v>
      </c>
      <c r="B281" s="5" t="s">
        <v>605</v>
      </c>
      <c r="C281" s="5" t="s">
        <v>21</v>
      </c>
    </row>
    <row r="282">
      <c r="A282" s="5">
        <v>281.0</v>
      </c>
      <c r="B282" s="5" t="s">
        <v>608</v>
      </c>
      <c r="C282" s="5" t="s">
        <v>21</v>
      </c>
    </row>
    <row r="283">
      <c r="A283" s="5">
        <v>282.0</v>
      </c>
      <c r="B283" s="5" t="s">
        <v>610</v>
      </c>
      <c r="C283" s="5" t="s">
        <v>21</v>
      </c>
    </row>
    <row r="284">
      <c r="A284" s="5">
        <v>283.0</v>
      </c>
      <c r="B284" s="5" t="s">
        <v>612</v>
      </c>
      <c r="C284" s="5" t="s">
        <v>21</v>
      </c>
    </row>
    <row r="285">
      <c r="A285" s="5">
        <v>284.0</v>
      </c>
      <c r="B285" s="5" t="s">
        <v>614</v>
      </c>
      <c r="C285" s="5" t="s">
        <v>21</v>
      </c>
    </row>
    <row r="286">
      <c r="A286" s="5">
        <v>285.0</v>
      </c>
      <c r="B286" s="5" t="s">
        <v>615</v>
      </c>
      <c r="C286" s="5" t="s">
        <v>21</v>
      </c>
    </row>
    <row r="287">
      <c r="A287" s="5">
        <v>286.0</v>
      </c>
      <c r="B287" s="5" t="s">
        <v>617</v>
      </c>
      <c r="C287" s="5" t="s">
        <v>21</v>
      </c>
    </row>
    <row r="288">
      <c r="A288" s="5">
        <v>287.0</v>
      </c>
      <c r="B288" s="5" t="s">
        <v>619</v>
      </c>
      <c r="C288" s="5" t="s">
        <v>21</v>
      </c>
    </row>
    <row r="289">
      <c r="A289" s="5">
        <v>288.0</v>
      </c>
      <c r="B289" s="5" t="s">
        <v>620</v>
      </c>
      <c r="C289" s="5" t="s">
        <v>21</v>
      </c>
    </row>
    <row r="290">
      <c r="A290" s="5">
        <v>289.0</v>
      </c>
      <c r="B290" s="5" t="s">
        <v>622</v>
      </c>
      <c r="C290" s="5" t="s">
        <v>21</v>
      </c>
    </row>
    <row r="291">
      <c r="A291" s="5">
        <v>290.0</v>
      </c>
      <c r="B291" s="5" t="s">
        <v>623</v>
      </c>
      <c r="C291" s="5" t="s">
        <v>21</v>
      </c>
    </row>
    <row r="292">
      <c r="A292" s="5">
        <v>291.0</v>
      </c>
      <c r="B292" s="5" t="s">
        <v>625</v>
      </c>
      <c r="C292" s="5" t="s">
        <v>21</v>
      </c>
    </row>
    <row r="293">
      <c r="A293" s="5">
        <v>292.0</v>
      </c>
      <c r="B293" s="5" t="s">
        <v>627</v>
      </c>
      <c r="C293" s="5" t="s">
        <v>21</v>
      </c>
    </row>
    <row r="294">
      <c r="A294" s="5">
        <v>293.0</v>
      </c>
      <c r="B294" s="5" t="s">
        <v>628</v>
      </c>
      <c r="C294" s="5" t="s">
        <v>21</v>
      </c>
    </row>
    <row r="295">
      <c r="A295" s="5">
        <v>294.0</v>
      </c>
      <c r="B295" s="5" t="s">
        <v>630</v>
      </c>
      <c r="C295" s="5" t="s">
        <v>21</v>
      </c>
    </row>
    <row r="296">
      <c r="A296" s="5">
        <v>295.0</v>
      </c>
      <c r="B296" s="5" t="s">
        <v>632</v>
      </c>
      <c r="C296" s="5" t="s">
        <v>21</v>
      </c>
    </row>
    <row r="297">
      <c r="A297" s="5">
        <v>296.0</v>
      </c>
      <c r="B297" s="5" t="s">
        <v>634</v>
      </c>
      <c r="C297" s="5" t="s">
        <v>21</v>
      </c>
    </row>
    <row r="298">
      <c r="A298" s="5">
        <v>297.0</v>
      </c>
      <c r="B298" s="5" t="s">
        <v>635</v>
      </c>
      <c r="C298" s="5" t="s">
        <v>21</v>
      </c>
    </row>
    <row r="299">
      <c r="A299" s="5">
        <v>298.0</v>
      </c>
      <c r="B299" s="5" t="s">
        <v>637</v>
      </c>
      <c r="C299" s="5" t="s">
        <v>21</v>
      </c>
    </row>
    <row r="300">
      <c r="A300" s="5">
        <v>299.0</v>
      </c>
      <c r="B300" s="5" t="s">
        <v>639</v>
      </c>
      <c r="C300" s="5" t="s">
        <v>21</v>
      </c>
    </row>
    <row r="301">
      <c r="A301" s="5">
        <v>300.0</v>
      </c>
      <c r="B301" s="5" t="s">
        <v>640</v>
      </c>
      <c r="C301" s="5" t="s">
        <v>21</v>
      </c>
    </row>
    <row r="302">
      <c r="A302" s="5">
        <v>301.0</v>
      </c>
      <c r="B302" s="5" t="s">
        <v>642</v>
      </c>
      <c r="C302" s="5" t="s">
        <v>21</v>
      </c>
    </row>
    <row r="303">
      <c r="A303" s="5">
        <v>302.0</v>
      </c>
      <c r="B303" s="5" t="s">
        <v>644</v>
      </c>
      <c r="C303" s="5" t="s">
        <v>21</v>
      </c>
    </row>
    <row r="304">
      <c r="A304" s="5">
        <v>303.0</v>
      </c>
      <c r="B304" s="5" t="s">
        <v>645</v>
      </c>
      <c r="C304" s="5" t="s">
        <v>21</v>
      </c>
    </row>
    <row r="305">
      <c r="A305" s="5">
        <v>304.0</v>
      </c>
      <c r="B305" s="5" t="s">
        <v>647</v>
      </c>
      <c r="C305" s="5" t="s">
        <v>21</v>
      </c>
    </row>
    <row r="306">
      <c r="A306" s="5">
        <v>305.0</v>
      </c>
      <c r="B306" s="5" t="s">
        <v>649</v>
      </c>
      <c r="C306" s="5" t="s">
        <v>21</v>
      </c>
    </row>
    <row r="307">
      <c r="A307" s="5">
        <v>306.0</v>
      </c>
      <c r="B307" s="5" t="s">
        <v>650</v>
      </c>
      <c r="C307" s="5" t="s">
        <v>21</v>
      </c>
    </row>
    <row r="308">
      <c r="A308" s="5">
        <v>307.0</v>
      </c>
      <c r="B308" s="5" t="s">
        <v>652</v>
      </c>
      <c r="C308" s="5" t="s">
        <v>21</v>
      </c>
    </row>
    <row r="309">
      <c r="A309" s="5">
        <v>308.0</v>
      </c>
      <c r="B309" s="5" t="s">
        <v>654</v>
      </c>
      <c r="C309" s="5" t="s">
        <v>21</v>
      </c>
    </row>
    <row r="310">
      <c r="A310" s="5">
        <v>309.0</v>
      </c>
      <c r="B310" s="5" t="s">
        <v>655</v>
      </c>
      <c r="C310" s="5" t="s">
        <v>21</v>
      </c>
    </row>
    <row r="311">
      <c r="A311" s="5">
        <v>310.0</v>
      </c>
      <c r="B311" s="5" t="s">
        <v>657</v>
      </c>
      <c r="C311" s="5" t="s">
        <v>21</v>
      </c>
    </row>
    <row r="312">
      <c r="A312" s="5">
        <v>311.0</v>
      </c>
      <c r="B312" s="5" t="s">
        <v>659</v>
      </c>
      <c r="C312" s="5" t="s">
        <v>21</v>
      </c>
    </row>
    <row r="313">
      <c r="A313" s="5">
        <v>312.0</v>
      </c>
      <c r="B313" s="5" t="s">
        <v>661</v>
      </c>
      <c r="C313" s="5" t="s">
        <v>21</v>
      </c>
    </row>
    <row r="314">
      <c r="A314" s="5">
        <v>313.0</v>
      </c>
      <c r="B314" s="5" t="s">
        <v>663</v>
      </c>
      <c r="C314" s="5" t="s">
        <v>21</v>
      </c>
    </row>
    <row r="315">
      <c r="A315" s="5">
        <v>314.0</v>
      </c>
      <c r="B315" s="5" t="s">
        <v>665</v>
      </c>
      <c r="C315" s="5" t="s">
        <v>21</v>
      </c>
    </row>
    <row r="316">
      <c r="A316" s="5">
        <v>315.0</v>
      </c>
      <c r="B316" s="5" t="s">
        <v>666</v>
      </c>
      <c r="C316" s="5" t="s">
        <v>21</v>
      </c>
    </row>
    <row r="317">
      <c r="A317" s="5">
        <v>316.0</v>
      </c>
      <c r="B317" s="5" t="s">
        <v>668</v>
      </c>
      <c r="C317" s="5" t="s">
        <v>21</v>
      </c>
    </row>
    <row r="318">
      <c r="A318" s="5">
        <v>317.0</v>
      </c>
      <c r="B318" s="5" t="s">
        <v>670</v>
      </c>
      <c r="C318" s="5" t="s">
        <v>21</v>
      </c>
    </row>
    <row r="319">
      <c r="A319" s="5">
        <v>318.0</v>
      </c>
      <c r="B319" s="5" t="s">
        <v>672</v>
      </c>
      <c r="C319" s="5" t="s">
        <v>21</v>
      </c>
    </row>
    <row r="320">
      <c r="A320" s="5">
        <v>319.0</v>
      </c>
      <c r="B320" s="5" t="s">
        <v>674</v>
      </c>
      <c r="C320" s="5" t="s">
        <v>21</v>
      </c>
    </row>
    <row r="321">
      <c r="A321" s="5">
        <v>320.0</v>
      </c>
      <c r="B321" s="5" t="s">
        <v>676</v>
      </c>
      <c r="C321" s="5" t="s">
        <v>21</v>
      </c>
    </row>
    <row r="322">
      <c r="A322" s="5">
        <v>321.0</v>
      </c>
      <c r="B322" s="5" t="s">
        <v>678</v>
      </c>
      <c r="C322" s="5" t="s">
        <v>21</v>
      </c>
    </row>
    <row r="323">
      <c r="A323" s="5">
        <v>322.0</v>
      </c>
      <c r="B323" s="5" t="s">
        <v>680</v>
      </c>
      <c r="C323" s="5" t="s">
        <v>21</v>
      </c>
    </row>
    <row r="324">
      <c r="A324" s="5">
        <v>323.0</v>
      </c>
      <c r="B324" s="5" t="s">
        <v>682</v>
      </c>
      <c r="C324" s="5" t="s">
        <v>21</v>
      </c>
    </row>
    <row r="325">
      <c r="A325" s="5">
        <v>324.0</v>
      </c>
      <c r="B325" s="5" t="s">
        <v>684</v>
      </c>
      <c r="C325" s="5" t="s">
        <v>21</v>
      </c>
    </row>
    <row r="326">
      <c r="A326" s="5">
        <v>325.0</v>
      </c>
      <c r="B326" s="5" t="s">
        <v>686</v>
      </c>
      <c r="C326" s="5" t="s">
        <v>21</v>
      </c>
    </row>
    <row r="327">
      <c r="A327" s="5">
        <v>326.0</v>
      </c>
      <c r="B327" s="5" t="s">
        <v>687</v>
      </c>
      <c r="C327" s="5" t="s">
        <v>21</v>
      </c>
    </row>
    <row r="328">
      <c r="A328" s="5">
        <v>327.0</v>
      </c>
      <c r="B328" s="5" t="s">
        <v>689</v>
      </c>
      <c r="C328" s="5" t="s">
        <v>21</v>
      </c>
    </row>
    <row r="329">
      <c r="A329" s="5">
        <v>328.0</v>
      </c>
      <c r="B329" s="5" t="s">
        <v>691</v>
      </c>
      <c r="C329" s="5" t="s">
        <v>21</v>
      </c>
    </row>
    <row r="330">
      <c r="A330" s="5">
        <v>329.0</v>
      </c>
      <c r="B330" s="5" t="s">
        <v>693</v>
      </c>
      <c r="C330" s="5" t="s">
        <v>21</v>
      </c>
    </row>
    <row r="331">
      <c r="A331" s="5">
        <v>330.0</v>
      </c>
      <c r="B331" s="5" t="s">
        <v>695</v>
      </c>
      <c r="C331" s="5" t="s">
        <v>21</v>
      </c>
    </row>
    <row r="332">
      <c r="A332" s="5">
        <v>331.0</v>
      </c>
      <c r="B332" s="5" t="s">
        <v>697</v>
      </c>
      <c r="C332" s="5" t="s">
        <v>21</v>
      </c>
    </row>
    <row r="333">
      <c r="A333" s="5">
        <v>332.0</v>
      </c>
      <c r="B333" s="5" t="s">
        <v>699</v>
      </c>
      <c r="C333" s="5" t="s">
        <v>21</v>
      </c>
    </row>
    <row r="334">
      <c r="A334" s="5">
        <v>333.0</v>
      </c>
      <c r="B334" s="5" t="s">
        <v>701</v>
      </c>
      <c r="C334" s="5" t="s">
        <v>21</v>
      </c>
    </row>
    <row r="335">
      <c r="A335" s="5">
        <v>334.0</v>
      </c>
      <c r="B335" s="5" t="s">
        <v>702</v>
      </c>
      <c r="C335" s="5" t="s">
        <v>21</v>
      </c>
    </row>
    <row r="336">
      <c r="A336" s="5">
        <v>335.0</v>
      </c>
      <c r="B336" s="5" t="s">
        <v>704</v>
      </c>
      <c r="C336" s="5" t="s">
        <v>21</v>
      </c>
    </row>
    <row r="337">
      <c r="A337" s="5">
        <v>336.0</v>
      </c>
      <c r="B337" s="5" t="s">
        <v>705</v>
      </c>
      <c r="C337" s="5" t="s">
        <v>21</v>
      </c>
    </row>
    <row r="338">
      <c r="A338" s="5">
        <v>337.0</v>
      </c>
      <c r="B338" s="5" t="s">
        <v>707</v>
      </c>
      <c r="C338" s="5" t="s">
        <v>21</v>
      </c>
    </row>
    <row r="339">
      <c r="A339" s="5">
        <v>338.0</v>
      </c>
      <c r="B339" s="5" t="s">
        <v>708</v>
      </c>
      <c r="C339" s="5" t="s">
        <v>21</v>
      </c>
    </row>
    <row r="340">
      <c r="A340" s="5">
        <v>339.0</v>
      </c>
      <c r="B340" s="5" t="s">
        <v>709</v>
      </c>
      <c r="C340" s="5" t="s">
        <v>21</v>
      </c>
    </row>
    <row r="341">
      <c r="A341" s="5">
        <v>340.0</v>
      </c>
      <c r="B341" s="5" t="s">
        <v>711</v>
      </c>
      <c r="C341" s="5" t="s">
        <v>21</v>
      </c>
    </row>
    <row r="342">
      <c r="A342" s="5">
        <v>341.0</v>
      </c>
      <c r="B342" s="5" t="s">
        <v>713</v>
      </c>
      <c r="C342" s="5" t="s">
        <v>21</v>
      </c>
    </row>
    <row r="343">
      <c r="A343" s="5">
        <v>342.0</v>
      </c>
      <c r="B343" s="5" t="s">
        <v>715</v>
      </c>
      <c r="C343" s="5" t="s">
        <v>21</v>
      </c>
    </row>
    <row r="344">
      <c r="A344" s="5">
        <v>343.0</v>
      </c>
      <c r="B344" s="5" t="s">
        <v>716</v>
      </c>
      <c r="C344" s="5" t="s">
        <v>21</v>
      </c>
    </row>
    <row r="345">
      <c r="A345" s="5">
        <v>344.0</v>
      </c>
      <c r="B345" s="5" t="s">
        <v>718</v>
      </c>
      <c r="C345" s="5" t="s">
        <v>21</v>
      </c>
    </row>
    <row r="346">
      <c r="A346" s="5">
        <v>345.0</v>
      </c>
      <c r="B346" s="5" t="s">
        <v>720</v>
      </c>
      <c r="C346" s="5" t="s">
        <v>21</v>
      </c>
    </row>
    <row r="347">
      <c r="A347" s="5">
        <v>346.0</v>
      </c>
      <c r="B347" s="5" t="s">
        <v>721</v>
      </c>
      <c r="C347" s="5" t="s">
        <v>21</v>
      </c>
    </row>
    <row r="348">
      <c r="A348" s="5">
        <v>347.0</v>
      </c>
      <c r="B348" s="5" t="s">
        <v>723</v>
      </c>
      <c r="C348" s="5" t="s">
        <v>21</v>
      </c>
    </row>
    <row r="349">
      <c r="A349" s="5">
        <v>348.0</v>
      </c>
      <c r="B349" s="5" t="s">
        <v>725</v>
      </c>
      <c r="C349" s="5" t="s">
        <v>21</v>
      </c>
    </row>
    <row r="350">
      <c r="A350" s="5">
        <v>349.0</v>
      </c>
      <c r="B350" s="5" t="s">
        <v>727</v>
      </c>
      <c r="C350" s="5" t="s">
        <v>21</v>
      </c>
    </row>
    <row r="351">
      <c r="A351" s="5">
        <v>350.0</v>
      </c>
      <c r="B351" s="5" t="s">
        <v>728</v>
      </c>
      <c r="C351" s="5" t="s">
        <v>21</v>
      </c>
    </row>
    <row r="352">
      <c r="A352" s="5">
        <v>351.0</v>
      </c>
      <c r="B352" s="5" t="s">
        <v>729</v>
      </c>
      <c r="C352" s="5" t="s">
        <v>21</v>
      </c>
    </row>
    <row r="353">
      <c r="A353" s="5">
        <v>352.0</v>
      </c>
      <c r="B353" s="5" t="s">
        <v>731</v>
      </c>
      <c r="C353" s="5" t="s">
        <v>21</v>
      </c>
    </row>
    <row r="354">
      <c r="A354" s="5">
        <v>353.0</v>
      </c>
      <c r="B354" s="5" t="s">
        <v>733</v>
      </c>
      <c r="C354" s="5" t="s">
        <v>21</v>
      </c>
    </row>
    <row r="355">
      <c r="A355" s="5">
        <v>354.0</v>
      </c>
      <c r="B355" s="5" t="s">
        <v>734</v>
      </c>
      <c r="C355" s="5" t="s">
        <v>21</v>
      </c>
    </row>
    <row r="356">
      <c r="A356" s="5">
        <v>355.0</v>
      </c>
      <c r="B356" s="5" t="s">
        <v>736</v>
      </c>
      <c r="C356" s="5" t="s">
        <v>21</v>
      </c>
    </row>
    <row r="357">
      <c r="A357" s="5">
        <v>356.0</v>
      </c>
      <c r="B357" s="5" t="s">
        <v>738</v>
      </c>
      <c r="C357" s="5" t="s">
        <v>21</v>
      </c>
    </row>
    <row r="358">
      <c r="A358" s="5">
        <v>357.0</v>
      </c>
      <c r="B358" s="5" t="s">
        <v>740</v>
      </c>
      <c r="C358" s="5" t="s">
        <v>21</v>
      </c>
    </row>
    <row r="359">
      <c r="A359" s="5">
        <v>358.0</v>
      </c>
      <c r="B359" s="5" t="s">
        <v>741</v>
      </c>
      <c r="C359" s="5" t="s">
        <v>21</v>
      </c>
    </row>
    <row r="360">
      <c r="A360" s="5">
        <v>359.0</v>
      </c>
      <c r="B360" s="5" t="s">
        <v>743</v>
      </c>
      <c r="C360" s="5" t="s">
        <v>21</v>
      </c>
    </row>
    <row r="361">
      <c r="A361" s="5">
        <v>360.0</v>
      </c>
      <c r="B361" s="5" t="s">
        <v>745</v>
      </c>
      <c r="C361" s="5" t="s">
        <v>21</v>
      </c>
    </row>
    <row r="362">
      <c r="A362" s="5">
        <v>361.0</v>
      </c>
      <c r="B362" s="5" t="s">
        <v>746</v>
      </c>
      <c r="C362" s="5" t="s">
        <v>21</v>
      </c>
    </row>
    <row r="363">
      <c r="A363" s="5">
        <v>362.0</v>
      </c>
      <c r="B363" s="5" t="s">
        <v>748</v>
      </c>
      <c r="C363" s="5" t="s">
        <v>21</v>
      </c>
    </row>
    <row r="364">
      <c r="A364" s="5">
        <v>363.0</v>
      </c>
      <c r="B364" s="5" t="s">
        <v>750</v>
      </c>
      <c r="C364" s="5" t="s">
        <v>21</v>
      </c>
    </row>
    <row r="365">
      <c r="A365" s="5">
        <v>364.0</v>
      </c>
      <c r="B365" s="5" t="s">
        <v>751</v>
      </c>
      <c r="C365" s="5" t="s">
        <v>21</v>
      </c>
    </row>
    <row r="366">
      <c r="A366" s="5">
        <v>365.0</v>
      </c>
      <c r="B366" s="5" t="s">
        <v>753</v>
      </c>
      <c r="C366" s="5" t="s">
        <v>21</v>
      </c>
    </row>
    <row r="367">
      <c r="A367" s="5">
        <v>366.0</v>
      </c>
      <c r="B367" s="5" t="s">
        <v>755</v>
      </c>
      <c r="C367" s="5" t="s">
        <v>21</v>
      </c>
    </row>
    <row r="368">
      <c r="A368" s="5">
        <v>367.0</v>
      </c>
      <c r="B368" s="5" t="s">
        <v>757</v>
      </c>
      <c r="C368" s="5" t="s">
        <v>21</v>
      </c>
    </row>
    <row r="369">
      <c r="A369" s="5">
        <v>368.0</v>
      </c>
      <c r="B369" s="5" t="s">
        <v>759</v>
      </c>
      <c r="C369" s="5" t="s">
        <v>21</v>
      </c>
    </row>
    <row r="370">
      <c r="A370" s="5">
        <v>369.0</v>
      </c>
      <c r="B370" s="5" t="s">
        <v>761</v>
      </c>
      <c r="C370" s="5" t="s">
        <v>21</v>
      </c>
    </row>
    <row r="371">
      <c r="A371" s="5">
        <v>370.0</v>
      </c>
      <c r="B371" s="5" t="s">
        <v>764</v>
      </c>
      <c r="C371" s="5" t="s">
        <v>21</v>
      </c>
    </row>
    <row r="372">
      <c r="A372" s="5">
        <v>371.0</v>
      </c>
      <c r="B372" s="5" t="s">
        <v>766</v>
      </c>
      <c r="C372" s="5" t="s">
        <v>21</v>
      </c>
    </row>
    <row r="373">
      <c r="A373" s="5">
        <v>372.0</v>
      </c>
      <c r="B373" s="5" t="s">
        <v>767</v>
      </c>
      <c r="C373" s="5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2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20</v>
      </c>
      <c r="C2" s="5" t="s">
        <v>21</v>
      </c>
      <c r="D2" s="5">
        <v>89.0</v>
      </c>
      <c r="E2" s="5">
        <v>1100.0</v>
      </c>
      <c r="F2" s="5">
        <v>0.6</v>
      </c>
      <c r="H2" s="5" t="s">
        <v>22</v>
      </c>
      <c r="I2" s="7">
        <v>45896.83646990741</v>
      </c>
      <c r="J2" s="5" t="s">
        <v>23</v>
      </c>
      <c r="K2" s="5">
        <v>3900.0</v>
      </c>
      <c r="L2" s="5">
        <v>5400.0</v>
      </c>
      <c r="M2" s="5">
        <v>6500.0</v>
      </c>
      <c r="N2" s="8">
        <v>43188.0</v>
      </c>
      <c r="O2" s="5" t="s">
        <v>24</v>
      </c>
      <c r="P2" s="5" t="s">
        <v>25</v>
      </c>
      <c r="Q2" s="5" t="s">
        <v>27</v>
      </c>
      <c r="R2" s="5" t="s">
        <v>28</v>
      </c>
      <c r="S2" s="5" t="s">
        <v>29</v>
      </c>
    </row>
    <row r="3">
      <c r="A3" s="5">
        <v>2.0</v>
      </c>
      <c r="B3" s="5" t="s">
        <v>32</v>
      </c>
      <c r="C3" s="5" t="s">
        <v>21</v>
      </c>
      <c r="D3" s="5">
        <v>88.0</v>
      </c>
      <c r="E3" s="5">
        <v>400.0</v>
      </c>
      <c r="F3" s="5">
        <v>0.6</v>
      </c>
      <c r="H3" s="5" t="s">
        <v>22</v>
      </c>
      <c r="I3" s="7">
        <v>45891.39775462963</v>
      </c>
      <c r="J3" s="5" t="s">
        <v>35</v>
      </c>
      <c r="K3" s="5">
        <v>2000.0</v>
      </c>
      <c r="L3" s="5">
        <v>5300.0</v>
      </c>
      <c r="M3" s="5">
        <v>6500.0</v>
      </c>
      <c r="N3" s="8">
        <v>42248.0</v>
      </c>
      <c r="O3" s="5" t="s">
        <v>24</v>
      </c>
      <c r="P3" s="5" t="s">
        <v>25</v>
      </c>
      <c r="Q3" s="5" t="s">
        <v>37</v>
      </c>
      <c r="R3" s="5" t="s">
        <v>38</v>
      </c>
      <c r="S3" s="5" t="s">
        <v>29</v>
      </c>
    </row>
    <row r="4">
      <c r="A4" s="5">
        <v>3.0</v>
      </c>
      <c r="B4" s="5" t="s">
        <v>40</v>
      </c>
      <c r="C4" s="5" t="s">
        <v>21</v>
      </c>
      <c r="D4" s="5">
        <v>86.0</v>
      </c>
      <c r="E4" s="5">
        <v>100.0</v>
      </c>
      <c r="H4" s="5" t="s">
        <v>43</v>
      </c>
      <c r="I4" s="7">
        <v>46160.84069444444</v>
      </c>
      <c r="J4" s="5" t="s">
        <v>44</v>
      </c>
      <c r="K4" s="5">
        <v>600.0</v>
      </c>
      <c r="L4" s="5">
        <v>1000.0</v>
      </c>
      <c r="M4" s="5">
        <v>1100.0</v>
      </c>
      <c r="N4" s="8">
        <v>43182.0</v>
      </c>
      <c r="O4" s="5" t="s">
        <v>47</v>
      </c>
      <c r="P4" s="5" t="s">
        <v>25</v>
      </c>
      <c r="S4" s="5" t="s">
        <v>29</v>
      </c>
    </row>
    <row r="5">
      <c r="A5" s="5">
        <v>4.0</v>
      </c>
      <c r="B5" s="5" t="s">
        <v>30</v>
      </c>
      <c r="C5" s="5" t="s">
        <v>21</v>
      </c>
      <c r="E5" s="5">
        <v>70.0</v>
      </c>
      <c r="I5" s="7"/>
      <c r="K5" s="5">
        <v>450.0</v>
      </c>
      <c r="N5" s="8">
        <v>42721.0</v>
      </c>
    </row>
    <row r="6">
      <c r="A6" s="5">
        <v>5.0</v>
      </c>
      <c r="B6" s="5" t="s">
        <v>52</v>
      </c>
      <c r="C6" s="5" t="s">
        <v>21</v>
      </c>
      <c r="D6" s="5">
        <v>86.0</v>
      </c>
      <c r="E6" s="5">
        <v>50.0</v>
      </c>
      <c r="F6" s="5">
        <v>0.4</v>
      </c>
      <c r="H6" s="5" t="s">
        <v>22</v>
      </c>
      <c r="I6" s="7">
        <v>46123.144791666666</v>
      </c>
      <c r="J6" s="5" t="s">
        <v>55</v>
      </c>
      <c r="K6" s="5">
        <v>700.0</v>
      </c>
      <c r="L6" s="5">
        <v>1700.0</v>
      </c>
      <c r="M6" s="5">
        <v>2300.0</v>
      </c>
      <c r="N6" s="8">
        <v>42363.0</v>
      </c>
      <c r="O6" s="5" t="s">
        <v>47</v>
      </c>
      <c r="P6" s="5" t="s">
        <v>25</v>
      </c>
      <c r="S6" s="5" t="s">
        <v>29</v>
      </c>
    </row>
    <row r="7">
      <c r="A7" s="5">
        <v>6.0</v>
      </c>
      <c r="B7" s="5" t="s">
        <v>58</v>
      </c>
      <c r="C7" s="5" t="s">
        <v>21</v>
      </c>
      <c r="E7" s="5">
        <v>40.0</v>
      </c>
      <c r="I7" s="7"/>
      <c r="K7" s="5">
        <v>40.0</v>
      </c>
      <c r="N7" s="8">
        <v>45653.0</v>
      </c>
    </row>
    <row r="8">
      <c r="A8" s="5">
        <v>7.0</v>
      </c>
      <c r="B8" s="5" t="s">
        <v>63</v>
      </c>
      <c r="C8" s="5" t="s">
        <v>21</v>
      </c>
      <c r="E8" s="5">
        <v>40.0</v>
      </c>
      <c r="I8" s="7"/>
      <c r="K8" s="5">
        <v>200.0</v>
      </c>
      <c r="N8" s="8">
        <v>45309.0</v>
      </c>
    </row>
    <row r="9">
      <c r="A9" s="5">
        <v>8.0</v>
      </c>
      <c r="B9" s="5" t="s">
        <v>33</v>
      </c>
      <c r="C9" s="5" t="s">
        <v>21</v>
      </c>
      <c r="D9" s="5">
        <v>83.0</v>
      </c>
      <c r="E9" s="5">
        <v>30.0</v>
      </c>
      <c r="H9" s="5" t="s">
        <v>33</v>
      </c>
      <c r="I9" s="7">
        <v>46131.83086805556</v>
      </c>
      <c r="K9" s="5">
        <v>112000.0</v>
      </c>
      <c r="L9" s="5">
        <v>20.0</v>
      </c>
      <c r="M9" s="5">
        <v>213000.0</v>
      </c>
      <c r="N9" s="8">
        <v>43358.0</v>
      </c>
      <c r="O9" s="5" t="s">
        <v>39</v>
      </c>
      <c r="P9" s="5" t="s">
        <v>25</v>
      </c>
      <c r="S9" s="5" t="s">
        <v>29</v>
      </c>
    </row>
    <row r="10">
      <c r="A10" s="5">
        <v>9.0</v>
      </c>
      <c r="B10" s="5" t="s">
        <v>73</v>
      </c>
      <c r="C10" s="5" t="s">
        <v>21</v>
      </c>
      <c r="D10" s="5">
        <v>86.0</v>
      </c>
      <c r="E10" s="5">
        <v>30.0</v>
      </c>
      <c r="H10" s="5" t="s">
        <v>43</v>
      </c>
      <c r="I10" s="7">
        <v>46156.33568287037</v>
      </c>
      <c r="J10" s="5" t="s">
        <v>44</v>
      </c>
      <c r="K10" s="5">
        <v>100.0</v>
      </c>
      <c r="L10" s="5">
        <v>1000.0</v>
      </c>
      <c r="M10" s="5">
        <v>1100.0</v>
      </c>
      <c r="N10" s="8">
        <v>43908.0</v>
      </c>
      <c r="O10" s="5" t="s">
        <v>47</v>
      </c>
      <c r="P10" s="5" t="s">
        <v>25</v>
      </c>
      <c r="S10" s="5" t="s">
        <v>29</v>
      </c>
    </row>
    <row r="11">
      <c r="A11" s="5">
        <v>10.0</v>
      </c>
      <c r="B11" s="5" t="s">
        <v>79</v>
      </c>
      <c r="C11" s="5" t="s">
        <v>21</v>
      </c>
      <c r="E11" s="5">
        <v>30.0</v>
      </c>
      <c r="I11" s="7"/>
      <c r="K11" s="5">
        <v>40.0</v>
      </c>
      <c r="N11" s="8">
        <v>42261.0</v>
      </c>
      <c r="O11" s="5" t="s">
        <v>47</v>
      </c>
      <c r="P11" s="5" t="s">
        <v>25</v>
      </c>
      <c r="S11" s="5" t="s">
        <v>29</v>
      </c>
    </row>
    <row r="12">
      <c r="A12" s="5">
        <v>11.0</v>
      </c>
      <c r="B12" s="5" t="s">
        <v>84</v>
      </c>
      <c r="C12" s="5" t="s">
        <v>21</v>
      </c>
      <c r="D12" s="5">
        <v>75.0</v>
      </c>
      <c r="E12" s="5">
        <v>20.0</v>
      </c>
      <c r="H12" s="5" t="s">
        <v>22</v>
      </c>
      <c r="I12" s="7">
        <v>46124.595</v>
      </c>
      <c r="K12" s="5">
        <v>30.0</v>
      </c>
      <c r="L12" s="5">
        <v>1500.0</v>
      </c>
      <c r="M12" s="5">
        <v>57000.0</v>
      </c>
      <c r="N12" s="8">
        <v>44858.0</v>
      </c>
      <c r="O12" s="5" t="s">
        <v>47</v>
      </c>
      <c r="P12" s="5" t="s">
        <v>25</v>
      </c>
      <c r="S12" s="5" t="s">
        <v>29</v>
      </c>
    </row>
    <row r="13">
      <c r="A13" s="5">
        <v>12.0</v>
      </c>
      <c r="B13" s="5" t="s">
        <v>42</v>
      </c>
      <c r="C13" s="5" t="s">
        <v>21</v>
      </c>
      <c r="E13" s="5">
        <v>20.0</v>
      </c>
      <c r="K13" s="5">
        <v>54000.0</v>
      </c>
      <c r="N13" s="8">
        <v>42628.0</v>
      </c>
    </row>
    <row r="14">
      <c r="A14" s="5">
        <v>13.0</v>
      </c>
      <c r="B14" s="5" t="s">
        <v>93</v>
      </c>
      <c r="C14" s="5" t="s">
        <v>21</v>
      </c>
      <c r="D14" s="5">
        <v>90.0</v>
      </c>
      <c r="E14" s="5">
        <v>20.0</v>
      </c>
      <c r="F14" s="5">
        <v>0.25</v>
      </c>
      <c r="H14" s="5" t="s">
        <v>22</v>
      </c>
      <c r="I14" s="7">
        <v>46082.246724537035</v>
      </c>
      <c r="J14" s="5" t="s">
        <v>23</v>
      </c>
      <c r="K14" s="5">
        <v>2900.0</v>
      </c>
      <c r="L14" s="5">
        <v>1900.0</v>
      </c>
      <c r="M14" s="5">
        <v>2100.0</v>
      </c>
      <c r="N14" s="8">
        <v>42347.0</v>
      </c>
      <c r="O14" s="5" t="s">
        <v>24</v>
      </c>
      <c r="P14" s="5" t="s">
        <v>25</v>
      </c>
      <c r="S14" s="5" t="s">
        <v>29</v>
      </c>
    </row>
    <row r="15">
      <c r="A15" s="5">
        <v>14.0</v>
      </c>
      <c r="B15" s="5" t="s">
        <v>100</v>
      </c>
      <c r="C15" s="5" t="s">
        <v>21</v>
      </c>
      <c r="D15" s="5">
        <v>66.0</v>
      </c>
      <c r="E15" s="5">
        <v>20.0</v>
      </c>
      <c r="H15" s="5" t="s">
        <v>102</v>
      </c>
      <c r="I15" s="7">
        <v>46083.55385416667</v>
      </c>
      <c r="J15" s="5" t="s">
        <v>104</v>
      </c>
      <c r="K15" s="5">
        <v>30.0</v>
      </c>
      <c r="L15" s="5">
        <v>10.0</v>
      </c>
      <c r="M15" s="5">
        <v>10.0</v>
      </c>
      <c r="N15" s="8">
        <v>44109.0</v>
      </c>
      <c r="O15" s="5" t="s">
        <v>106</v>
      </c>
      <c r="P15" s="5" t="s">
        <v>25</v>
      </c>
      <c r="S15" s="5" t="s">
        <v>29</v>
      </c>
    </row>
    <row r="16">
      <c r="A16" s="5">
        <v>15.0</v>
      </c>
      <c r="B16" s="5" t="s">
        <v>46</v>
      </c>
      <c r="C16" s="5" t="s">
        <v>21</v>
      </c>
      <c r="D16" s="5">
        <v>84.0</v>
      </c>
      <c r="E16" s="5">
        <v>20.0</v>
      </c>
      <c r="H16" s="5" t="s">
        <v>33</v>
      </c>
      <c r="I16" s="7">
        <v>46146.61423611111</v>
      </c>
      <c r="J16" s="5" t="s">
        <v>49</v>
      </c>
      <c r="K16" s="5">
        <v>108000.0</v>
      </c>
      <c r="L16" s="5">
        <v>30.0</v>
      </c>
      <c r="M16" s="5">
        <v>198000.0</v>
      </c>
      <c r="N16" s="8">
        <v>43867.0</v>
      </c>
      <c r="O16" s="5" t="s">
        <v>51</v>
      </c>
      <c r="P16" s="5" t="s">
        <v>25</v>
      </c>
      <c r="S16" s="5" t="s">
        <v>29</v>
      </c>
    </row>
    <row r="17">
      <c r="A17" s="5">
        <v>16.0</v>
      </c>
      <c r="B17" s="5" t="s">
        <v>53</v>
      </c>
      <c r="C17" s="5" t="s">
        <v>21</v>
      </c>
      <c r="E17" s="5">
        <v>10.0</v>
      </c>
      <c r="K17" s="5">
        <v>25000.0</v>
      </c>
      <c r="N17" s="8">
        <v>43431.0</v>
      </c>
    </row>
    <row r="18">
      <c r="A18" s="5">
        <v>17.0</v>
      </c>
      <c r="B18" s="5" t="s">
        <v>60</v>
      </c>
      <c r="C18" s="5" t="s">
        <v>21</v>
      </c>
      <c r="D18" s="5">
        <v>83.0</v>
      </c>
      <c r="E18" s="5">
        <v>10.0</v>
      </c>
      <c r="H18" s="5" t="s">
        <v>61</v>
      </c>
      <c r="I18" s="7">
        <v>46124.713912037034</v>
      </c>
      <c r="J18" s="5" t="s">
        <v>49</v>
      </c>
      <c r="K18" s="5">
        <v>44000.0</v>
      </c>
      <c r="L18" s="5">
        <v>10.0</v>
      </c>
      <c r="M18" s="5">
        <v>108000.0</v>
      </c>
      <c r="N18" s="8">
        <v>43860.0</v>
      </c>
      <c r="O18" s="5" t="s">
        <v>64</v>
      </c>
      <c r="P18" s="5" t="s">
        <v>25</v>
      </c>
      <c r="S18" s="5" t="s">
        <v>66</v>
      </c>
    </row>
    <row r="19">
      <c r="A19" s="5">
        <v>18.0</v>
      </c>
      <c r="B19" s="5" t="s">
        <v>120</v>
      </c>
      <c r="C19" s="5" t="s">
        <v>21</v>
      </c>
      <c r="E19" s="5">
        <v>10.0</v>
      </c>
      <c r="K19" s="5">
        <v>200.0</v>
      </c>
      <c r="N19" s="8">
        <v>44858.0</v>
      </c>
    </row>
    <row r="20">
      <c r="A20" s="5">
        <v>19.0</v>
      </c>
      <c r="B20" s="5" t="s">
        <v>124</v>
      </c>
      <c r="C20" s="5" t="s">
        <v>21</v>
      </c>
      <c r="E20" s="5">
        <v>10.0</v>
      </c>
      <c r="K20" s="5">
        <v>17000.0</v>
      </c>
      <c r="N20" s="8">
        <v>42751.0</v>
      </c>
    </row>
    <row r="21">
      <c r="A21" s="5">
        <v>20.0</v>
      </c>
      <c r="B21" s="5" t="s">
        <v>67</v>
      </c>
      <c r="C21" s="5" t="s">
        <v>21</v>
      </c>
      <c r="E21" s="5">
        <v>10.0</v>
      </c>
      <c r="K21" s="5">
        <v>14000.0</v>
      </c>
      <c r="N21" s="8">
        <v>44698.0</v>
      </c>
    </row>
    <row r="22">
      <c r="A22" s="5">
        <v>21.0</v>
      </c>
      <c r="B22" s="5" t="s">
        <v>129</v>
      </c>
      <c r="C22" s="5" t="s">
        <v>21</v>
      </c>
      <c r="E22" s="5">
        <v>10.0</v>
      </c>
      <c r="K22" s="5">
        <v>250.0</v>
      </c>
      <c r="N22" s="8">
        <v>42261.0</v>
      </c>
      <c r="O22" s="5" t="s">
        <v>24</v>
      </c>
      <c r="P22" s="5" t="s">
        <v>25</v>
      </c>
      <c r="S22" s="5" t="s">
        <v>29</v>
      </c>
    </row>
    <row r="23">
      <c r="A23" s="5">
        <v>22.0</v>
      </c>
      <c r="B23" s="5" t="s">
        <v>135</v>
      </c>
      <c r="C23" s="5" t="s">
        <v>21</v>
      </c>
      <c r="E23" s="5">
        <v>10.0</v>
      </c>
      <c r="K23" s="5">
        <v>10000.0</v>
      </c>
      <c r="N23" s="8">
        <v>44760.0</v>
      </c>
    </row>
    <row r="24">
      <c r="A24" s="5">
        <v>23.0</v>
      </c>
      <c r="B24" s="5" t="s">
        <v>139</v>
      </c>
      <c r="C24" s="5" t="s">
        <v>21</v>
      </c>
      <c r="E24" s="5">
        <v>10.0</v>
      </c>
      <c r="K24" s="5">
        <v>10.0</v>
      </c>
      <c r="N24" s="8">
        <v>42253.0</v>
      </c>
    </row>
    <row r="25">
      <c r="A25" s="5">
        <v>24.0</v>
      </c>
      <c r="B25" s="5" t="s">
        <v>144</v>
      </c>
      <c r="C25" s="5" t="s">
        <v>21</v>
      </c>
      <c r="E25" s="5">
        <v>10.0</v>
      </c>
      <c r="K25" s="5">
        <v>44000.0</v>
      </c>
      <c r="N25" s="8">
        <v>43845.0</v>
      </c>
    </row>
    <row r="26">
      <c r="A26" s="5">
        <v>25.0</v>
      </c>
      <c r="B26" s="5" t="s">
        <v>69</v>
      </c>
      <c r="C26" s="5" t="s">
        <v>21</v>
      </c>
      <c r="E26" s="5">
        <v>10.0</v>
      </c>
      <c r="K26" s="5">
        <v>45000.0</v>
      </c>
      <c r="N26" s="8">
        <v>43845.0</v>
      </c>
      <c r="O26" s="5" t="s">
        <v>39</v>
      </c>
      <c r="P26" s="5" t="s">
        <v>25</v>
      </c>
      <c r="S26" s="5" t="s">
        <v>29</v>
      </c>
    </row>
    <row r="27">
      <c r="A27" s="5">
        <v>26.0</v>
      </c>
      <c r="B27" s="5" t="s">
        <v>149</v>
      </c>
      <c r="C27" s="5" t="s">
        <v>21</v>
      </c>
      <c r="E27" s="5">
        <v>10.0</v>
      </c>
      <c r="K27" s="5">
        <v>600.0</v>
      </c>
      <c r="N27" s="8">
        <v>42345.0</v>
      </c>
    </row>
    <row r="28">
      <c r="A28" s="5">
        <v>27.0</v>
      </c>
      <c r="B28" s="5" t="s">
        <v>152</v>
      </c>
      <c r="C28" s="5" t="s">
        <v>21</v>
      </c>
      <c r="E28" s="5">
        <v>10.0</v>
      </c>
      <c r="K28" s="5">
        <v>265000.0</v>
      </c>
      <c r="N28" s="8">
        <v>44525.0</v>
      </c>
    </row>
    <row r="29">
      <c r="A29" s="5">
        <v>28.0</v>
      </c>
      <c r="B29" s="5" t="s">
        <v>72</v>
      </c>
      <c r="C29" s="5" t="s">
        <v>21</v>
      </c>
      <c r="D29" s="5">
        <v>87.0</v>
      </c>
      <c r="E29" s="5">
        <v>10.0</v>
      </c>
      <c r="H29" s="5" t="s">
        <v>72</v>
      </c>
      <c r="I29" s="7">
        <v>46145.85576388889</v>
      </c>
      <c r="K29" s="5">
        <v>120000.0</v>
      </c>
      <c r="L29" s="5">
        <v>0.0</v>
      </c>
      <c r="M29" s="5">
        <v>42000.0</v>
      </c>
      <c r="N29" s="8">
        <v>42385.0</v>
      </c>
      <c r="O29" s="5" t="s">
        <v>64</v>
      </c>
      <c r="P29" s="5" t="s">
        <v>25</v>
      </c>
      <c r="S29" s="5" t="s">
        <v>66</v>
      </c>
    </row>
    <row r="30">
      <c r="A30" s="5">
        <v>29.0</v>
      </c>
      <c r="B30" s="5" t="s">
        <v>159</v>
      </c>
      <c r="C30" s="5" t="s">
        <v>21</v>
      </c>
      <c r="D30" s="5">
        <v>89.0</v>
      </c>
      <c r="E30" s="5">
        <v>10.0</v>
      </c>
      <c r="H30" s="5" t="s">
        <v>22</v>
      </c>
      <c r="I30" s="7">
        <v>46082.13018518518</v>
      </c>
      <c r="K30" s="5">
        <v>500.0</v>
      </c>
      <c r="L30" s="5">
        <v>1900.0</v>
      </c>
      <c r="M30" s="5">
        <v>2100.0</v>
      </c>
      <c r="N30" s="8">
        <v>43864.0</v>
      </c>
      <c r="O30" s="5" t="s">
        <v>47</v>
      </c>
      <c r="P30" s="5" t="s">
        <v>25</v>
      </c>
      <c r="S30" s="5" t="s">
        <v>29</v>
      </c>
    </row>
    <row r="31">
      <c r="A31" s="5">
        <v>30.0</v>
      </c>
      <c r="B31" s="5" t="s">
        <v>76</v>
      </c>
      <c r="C31" s="5" t="s">
        <v>21</v>
      </c>
      <c r="E31" s="5">
        <v>10.0</v>
      </c>
      <c r="K31" s="5">
        <v>347000.0</v>
      </c>
      <c r="N31" s="8">
        <v>44118.0</v>
      </c>
    </row>
    <row r="32">
      <c r="A32" s="5">
        <v>31.0</v>
      </c>
      <c r="B32" s="5" t="s">
        <v>166</v>
      </c>
      <c r="C32" s="5" t="s">
        <v>21</v>
      </c>
      <c r="K32" s="5">
        <v>400.0</v>
      </c>
      <c r="N32" s="8">
        <v>44648.0</v>
      </c>
    </row>
    <row r="33">
      <c r="A33" s="5">
        <v>32.0</v>
      </c>
      <c r="B33" s="5" t="s">
        <v>169</v>
      </c>
      <c r="C33" s="5" t="s">
        <v>21</v>
      </c>
      <c r="K33" s="5">
        <v>20.0</v>
      </c>
      <c r="N33" s="8">
        <v>44570.0</v>
      </c>
    </row>
    <row r="34">
      <c r="A34" s="5">
        <v>33.0</v>
      </c>
      <c r="B34" s="5" t="s">
        <v>171</v>
      </c>
      <c r="C34" s="5" t="s">
        <v>21</v>
      </c>
      <c r="K34" s="5">
        <v>150.0</v>
      </c>
      <c r="N34" s="8">
        <v>44913.0</v>
      </c>
    </row>
    <row r="35">
      <c r="A35" s="5">
        <v>34.0</v>
      </c>
      <c r="B35" s="5" t="s">
        <v>174</v>
      </c>
      <c r="C35" s="5" t="s">
        <v>21</v>
      </c>
      <c r="K35" s="5">
        <v>1500.0</v>
      </c>
      <c r="N35" s="8">
        <v>43885.0</v>
      </c>
    </row>
    <row r="36">
      <c r="A36" s="5">
        <v>35.0</v>
      </c>
      <c r="B36" s="5" t="s">
        <v>178</v>
      </c>
      <c r="C36" s="5" t="s">
        <v>21</v>
      </c>
      <c r="K36" s="5">
        <v>250.0</v>
      </c>
      <c r="N36" s="8">
        <v>45073.0</v>
      </c>
    </row>
    <row r="37">
      <c r="A37" s="5">
        <v>36.0</v>
      </c>
      <c r="B37" s="5" t="s">
        <v>181</v>
      </c>
      <c r="C37" s="5" t="s">
        <v>21</v>
      </c>
      <c r="K37" s="5">
        <v>20.0</v>
      </c>
      <c r="N37" s="8">
        <v>44577.0</v>
      </c>
    </row>
    <row r="38">
      <c r="A38" s="5">
        <v>37.0</v>
      </c>
      <c r="B38" s="5" t="s">
        <v>183</v>
      </c>
      <c r="C38" s="5" t="s">
        <v>21</v>
      </c>
      <c r="K38" s="5">
        <v>250.0</v>
      </c>
      <c r="N38" s="8">
        <v>44752.0</v>
      </c>
    </row>
    <row r="39">
      <c r="A39" s="5">
        <v>38.0</v>
      </c>
      <c r="B39" s="5" t="s">
        <v>78</v>
      </c>
      <c r="C39" s="5" t="s">
        <v>21</v>
      </c>
      <c r="K39" s="5">
        <v>2400.0</v>
      </c>
      <c r="N39" s="8">
        <v>44335.0</v>
      </c>
    </row>
    <row r="40">
      <c r="A40" s="5">
        <v>39.0</v>
      </c>
      <c r="B40" s="5" t="s">
        <v>188</v>
      </c>
      <c r="C40" s="5" t="s">
        <v>21</v>
      </c>
      <c r="K40" s="5">
        <v>250.0</v>
      </c>
      <c r="N40" s="8">
        <v>44187.0</v>
      </c>
    </row>
    <row r="41">
      <c r="A41" s="5">
        <v>40.0</v>
      </c>
      <c r="B41" s="5" t="s">
        <v>191</v>
      </c>
      <c r="C41" s="5" t="s">
        <v>21</v>
      </c>
      <c r="K41" s="5">
        <v>60.0</v>
      </c>
      <c r="N41" s="8">
        <v>44744.0</v>
      </c>
    </row>
    <row r="42">
      <c r="A42" s="5">
        <v>41.0</v>
      </c>
      <c r="B42" s="5" t="s">
        <v>195</v>
      </c>
      <c r="C42" s="5" t="s">
        <v>21</v>
      </c>
      <c r="K42" s="5">
        <v>70.0</v>
      </c>
      <c r="N42" s="8">
        <v>44672.0</v>
      </c>
    </row>
    <row r="43">
      <c r="A43" s="5">
        <v>42.0</v>
      </c>
      <c r="B43" s="5" t="s">
        <v>197</v>
      </c>
      <c r="C43" s="5" t="s">
        <v>21</v>
      </c>
      <c r="K43" s="5">
        <v>400.0</v>
      </c>
      <c r="N43" s="8">
        <v>44515.0</v>
      </c>
    </row>
    <row r="44">
      <c r="A44" s="5">
        <v>43.0</v>
      </c>
      <c r="B44" s="5" t="s">
        <v>201</v>
      </c>
      <c r="C44" s="5" t="s">
        <v>21</v>
      </c>
      <c r="K44" s="5">
        <v>200.0</v>
      </c>
      <c r="N44" s="8">
        <v>44561.0</v>
      </c>
    </row>
    <row r="45">
      <c r="A45" s="5">
        <v>44.0</v>
      </c>
      <c r="B45" s="5" t="s">
        <v>205</v>
      </c>
      <c r="C45" s="5" t="s">
        <v>21</v>
      </c>
      <c r="K45" s="5">
        <v>1200.0</v>
      </c>
      <c r="N45" s="8">
        <v>44199.0</v>
      </c>
    </row>
    <row r="46">
      <c r="A46" s="5">
        <v>45.0</v>
      </c>
      <c r="B46" s="5" t="s">
        <v>208</v>
      </c>
      <c r="C46" s="5" t="s">
        <v>21</v>
      </c>
      <c r="K46" s="5">
        <v>200.0</v>
      </c>
      <c r="N46" s="8">
        <v>44570.0</v>
      </c>
    </row>
    <row r="47">
      <c r="A47" s="5">
        <v>46.0</v>
      </c>
      <c r="B47" s="5" t="s">
        <v>81</v>
      </c>
      <c r="C47" s="5" t="s">
        <v>21</v>
      </c>
      <c r="K47" s="5">
        <v>20.0</v>
      </c>
      <c r="N47" s="8">
        <v>43878.0</v>
      </c>
    </row>
    <row r="48">
      <c r="A48" s="5">
        <v>47.0</v>
      </c>
      <c r="B48" s="5" t="s">
        <v>212</v>
      </c>
      <c r="C48" s="5" t="s">
        <v>21</v>
      </c>
      <c r="K48" s="5">
        <v>600.0</v>
      </c>
      <c r="N48" s="8">
        <v>44467.0</v>
      </c>
    </row>
    <row r="49">
      <c r="A49" s="5">
        <v>48.0</v>
      </c>
      <c r="B49" s="5" t="s">
        <v>214</v>
      </c>
      <c r="C49" s="5" t="s">
        <v>21</v>
      </c>
      <c r="K49" s="5">
        <v>1500.0</v>
      </c>
      <c r="N49" s="8">
        <v>43926.0</v>
      </c>
    </row>
    <row r="50">
      <c r="A50" s="5">
        <v>49.0</v>
      </c>
      <c r="B50" s="5" t="s">
        <v>217</v>
      </c>
      <c r="C50" s="5" t="s">
        <v>21</v>
      </c>
      <c r="K50" s="5">
        <v>10.0</v>
      </c>
      <c r="N50" s="8">
        <v>45220.0</v>
      </c>
    </row>
    <row r="51">
      <c r="A51" s="5">
        <v>50.0</v>
      </c>
      <c r="B51" s="5" t="s">
        <v>220</v>
      </c>
      <c r="C51" s="5" t="s">
        <v>21</v>
      </c>
      <c r="K51" s="5">
        <v>300.0</v>
      </c>
      <c r="N51" s="8">
        <v>44636.0</v>
      </c>
    </row>
    <row r="52">
      <c r="A52" s="5">
        <v>51.0</v>
      </c>
      <c r="B52" s="5" t="s">
        <v>223</v>
      </c>
      <c r="C52" s="5" t="s">
        <v>21</v>
      </c>
      <c r="K52" s="5">
        <v>250.0</v>
      </c>
      <c r="N52" s="8">
        <v>43907.0</v>
      </c>
    </row>
    <row r="53">
      <c r="A53" s="5">
        <v>52.0</v>
      </c>
      <c r="B53" s="5" t="s">
        <v>226</v>
      </c>
      <c r="C53" s="5" t="s">
        <v>21</v>
      </c>
      <c r="K53" s="5">
        <v>1200.0</v>
      </c>
      <c r="N53" s="8">
        <v>44282.0</v>
      </c>
    </row>
    <row r="54">
      <c r="A54" s="5">
        <v>53.0</v>
      </c>
      <c r="B54" s="5" t="s">
        <v>229</v>
      </c>
      <c r="C54" s="5" t="s">
        <v>21</v>
      </c>
      <c r="K54" s="5">
        <v>200.0</v>
      </c>
      <c r="N54" s="8">
        <v>44581.0</v>
      </c>
    </row>
    <row r="55">
      <c r="A55" s="5">
        <v>54.0</v>
      </c>
      <c r="B55" s="5" t="s">
        <v>231</v>
      </c>
      <c r="C55" s="5" t="s">
        <v>21</v>
      </c>
      <c r="K55" s="5">
        <v>600.0</v>
      </c>
      <c r="N55" s="8">
        <v>44040.0</v>
      </c>
    </row>
    <row r="56">
      <c r="A56" s="5">
        <v>55.0</v>
      </c>
      <c r="B56" s="5" t="s">
        <v>234</v>
      </c>
      <c r="C56" s="5" t="s">
        <v>21</v>
      </c>
      <c r="K56" s="5">
        <v>2700.0</v>
      </c>
      <c r="N56" s="8">
        <v>43854.0</v>
      </c>
    </row>
    <row r="57">
      <c r="A57" s="5">
        <v>56.0</v>
      </c>
      <c r="B57" s="5" t="s">
        <v>236</v>
      </c>
      <c r="C57" s="5" t="s">
        <v>21</v>
      </c>
      <c r="K57" s="5">
        <v>200.0</v>
      </c>
      <c r="N57" s="8">
        <v>44531.0</v>
      </c>
    </row>
    <row r="58">
      <c r="A58" s="5">
        <v>57.0</v>
      </c>
      <c r="B58" s="5" t="s">
        <v>238</v>
      </c>
      <c r="C58" s="5" t="s">
        <v>21</v>
      </c>
      <c r="K58" s="5">
        <v>350.0</v>
      </c>
      <c r="N58" s="8">
        <v>44855.0</v>
      </c>
    </row>
    <row r="59">
      <c r="A59" s="5">
        <v>58.0</v>
      </c>
      <c r="B59" s="5" t="s">
        <v>242</v>
      </c>
      <c r="C59" s="5" t="s">
        <v>21</v>
      </c>
      <c r="K59" s="5">
        <v>800.0</v>
      </c>
      <c r="N59" s="8">
        <v>44590.0</v>
      </c>
    </row>
    <row r="60">
      <c r="A60" s="5">
        <v>59.0</v>
      </c>
      <c r="B60" s="5" t="s">
        <v>19</v>
      </c>
      <c r="C60" s="5" t="s">
        <v>21</v>
      </c>
      <c r="K60" s="5">
        <v>150.0</v>
      </c>
      <c r="N60" s="8">
        <v>44634.0</v>
      </c>
    </row>
    <row r="61">
      <c r="A61" s="5">
        <v>60.0</v>
      </c>
      <c r="B61" s="5" t="s">
        <v>247</v>
      </c>
      <c r="C61" s="5" t="s">
        <v>21</v>
      </c>
      <c r="K61" s="5">
        <v>450.0</v>
      </c>
      <c r="N61" s="8">
        <v>44581.0</v>
      </c>
    </row>
    <row r="62">
      <c r="A62" s="5">
        <v>61.0</v>
      </c>
      <c r="B62" s="5" t="s">
        <v>250</v>
      </c>
      <c r="C62" s="5" t="s">
        <v>21</v>
      </c>
      <c r="K62" s="5">
        <v>100.0</v>
      </c>
      <c r="N62" s="8">
        <v>45089.0</v>
      </c>
    </row>
    <row r="63">
      <c r="A63" s="5">
        <v>62.0</v>
      </c>
      <c r="B63" s="5" t="s">
        <v>252</v>
      </c>
      <c r="C63" s="5" t="s">
        <v>21</v>
      </c>
      <c r="K63" s="5">
        <v>80.0</v>
      </c>
      <c r="N63" s="8">
        <v>44593.0</v>
      </c>
    </row>
    <row r="64">
      <c r="A64" s="5">
        <v>63.0</v>
      </c>
      <c r="B64" s="5" t="s">
        <v>254</v>
      </c>
      <c r="C64" s="5" t="s">
        <v>21</v>
      </c>
      <c r="K64" s="5">
        <v>450.0</v>
      </c>
      <c r="N64" s="8">
        <v>43962.0</v>
      </c>
    </row>
    <row r="65">
      <c r="A65" s="5">
        <v>64.0</v>
      </c>
      <c r="B65" s="5" t="s">
        <v>257</v>
      </c>
      <c r="C65" s="5" t="s">
        <v>21</v>
      </c>
      <c r="K65" s="5">
        <v>600.0</v>
      </c>
      <c r="N65" s="8">
        <v>44172.0</v>
      </c>
    </row>
    <row r="66">
      <c r="A66" s="5">
        <v>65.0</v>
      </c>
      <c r="B66" s="5" t="s">
        <v>259</v>
      </c>
      <c r="C66" s="5" t="s">
        <v>21</v>
      </c>
      <c r="K66" s="5">
        <v>100.0</v>
      </c>
      <c r="N66" s="8">
        <v>44577.0</v>
      </c>
    </row>
    <row r="67">
      <c r="A67" s="5">
        <v>66.0</v>
      </c>
      <c r="B67" s="5" t="s">
        <v>262</v>
      </c>
      <c r="C67" s="5" t="s">
        <v>21</v>
      </c>
      <c r="K67" s="5">
        <v>90.0</v>
      </c>
      <c r="N67" s="8">
        <v>44427.0</v>
      </c>
    </row>
    <row r="68">
      <c r="A68" s="5">
        <v>67.0</v>
      </c>
      <c r="B68" s="5" t="s">
        <v>265</v>
      </c>
      <c r="C68" s="5" t="s">
        <v>21</v>
      </c>
      <c r="K68" s="5">
        <v>150.0</v>
      </c>
      <c r="N68" s="8">
        <v>44657.0</v>
      </c>
    </row>
    <row r="69">
      <c r="A69" s="5">
        <v>68.0</v>
      </c>
      <c r="B69" s="5" t="s">
        <v>268</v>
      </c>
      <c r="C69" s="5" t="s">
        <v>21</v>
      </c>
      <c r="K69" s="5">
        <v>450.0</v>
      </c>
      <c r="N69" s="8">
        <v>44601.0</v>
      </c>
    </row>
    <row r="70">
      <c r="A70" s="5">
        <v>69.0</v>
      </c>
      <c r="B70" s="5" t="s">
        <v>83</v>
      </c>
      <c r="C70" s="5" t="s">
        <v>21</v>
      </c>
      <c r="K70" s="5">
        <v>800.0</v>
      </c>
      <c r="N70" s="8">
        <v>42362.0</v>
      </c>
    </row>
    <row r="71">
      <c r="A71" s="5">
        <v>70.0</v>
      </c>
      <c r="B71" s="5" t="s">
        <v>273</v>
      </c>
      <c r="C71" s="5" t="s">
        <v>21</v>
      </c>
      <c r="N71" s="8">
        <v>44528.0</v>
      </c>
    </row>
    <row r="72">
      <c r="A72" s="5">
        <v>71.0</v>
      </c>
      <c r="B72" s="5" t="s">
        <v>275</v>
      </c>
      <c r="C72" s="5" t="s">
        <v>21</v>
      </c>
      <c r="K72" s="5">
        <v>150.0</v>
      </c>
      <c r="N72" s="8">
        <v>44547.0</v>
      </c>
    </row>
    <row r="73">
      <c r="A73" s="5">
        <v>72.0</v>
      </c>
      <c r="B73" s="5" t="s">
        <v>278</v>
      </c>
      <c r="C73" s="5" t="s">
        <v>21</v>
      </c>
      <c r="K73" s="5">
        <v>900.0</v>
      </c>
      <c r="N73" s="8">
        <v>44004.0</v>
      </c>
    </row>
    <row r="74">
      <c r="A74" s="5">
        <v>73.0</v>
      </c>
      <c r="B74" s="5" t="s">
        <v>281</v>
      </c>
      <c r="C74" s="5" t="s">
        <v>21</v>
      </c>
      <c r="K74" s="5">
        <v>150.0</v>
      </c>
      <c r="N74" s="8">
        <v>44771.0</v>
      </c>
    </row>
    <row r="75">
      <c r="A75" s="5">
        <v>74.0</v>
      </c>
      <c r="B75" s="5" t="s">
        <v>284</v>
      </c>
      <c r="C75" s="5" t="s">
        <v>21</v>
      </c>
      <c r="K75" s="5">
        <v>100.0</v>
      </c>
      <c r="N75" s="8">
        <v>45138.0</v>
      </c>
    </row>
    <row r="76">
      <c r="A76" s="5">
        <v>75.0</v>
      </c>
      <c r="B76" s="5" t="s">
        <v>288</v>
      </c>
      <c r="C76" s="5" t="s">
        <v>21</v>
      </c>
      <c r="K76" s="5">
        <v>150.0</v>
      </c>
      <c r="N76" s="8">
        <v>44771.0</v>
      </c>
    </row>
    <row r="77">
      <c r="A77" s="5">
        <v>76.0</v>
      </c>
      <c r="B77" s="5" t="s">
        <v>291</v>
      </c>
      <c r="C77" s="5" t="s">
        <v>21</v>
      </c>
      <c r="K77" s="5">
        <v>3000.0</v>
      </c>
      <c r="N77" s="8">
        <v>44352.0</v>
      </c>
    </row>
    <row r="78">
      <c r="A78" s="5">
        <v>77.0</v>
      </c>
      <c r="B78" s="5" t="s">
        <v>26</v>
      </c>
      <c r="C78" s="5" t="s">
        <v>21</v>
      </c>
      <c r="K78" s="5">
        <v>250.0</v>
      </c>
      <c r="N78" s="8">
        <v>44541.0</v>
      </c>
    </row>
    <row r="79">
      <c r="A79" s="5">
        <v>78.0</v>
      </c>
      <c r="B79" s="5" t="s">
        <v>296</v>
      </c>
      <c r="C79" s="5" t="s">
        <v>21</v>
      </c>
      <c r="K79" s="5">
        <v>300.0</v>
      </c>
      <c r="N79" s="8">
        <v>44586.0</v>
      </c>
    </row>
    <row r="80">
      <c r="A80" s="5">
        <v>79.0</v>
      </c>
      <c r="B80" s="5" t="s">
        <v>300</v>
      </c>
      <c r="C80" s="5" t="s">
        <v>21</v>
      </c>
      <c r="K80" s="5">
        <v>800.0</v>
      </c>
      <c r="N80" s="8">
        <v>44681.0</v>
      </c>
    </row>
    <row r="81">
      <c r="A81" s="5">
        <v>80.0</v>
      </c>
      <c r="B81" s="5" t="s">
        <v>302</v>
      </c>
      <c r="C81" s="5" t="s">
        <v>21</v>
      </c>
      <c r="K81" s="5">
        <v>200.0</v>
      </c>
      <c r="N81" s="8">
        <v>44318.0</v>
      </c>
    </row>
    <row r="82">
      <c r="A82" s="5">
        <v>81.0</v>
      </c>
      <c r="B82" s="5" t="s">
        <v>304</v>
      </c>
      <c r="C82" s="5" t="s">
        <v>21</v>
      </c>
      <c r="K82" s="5">
        <v>1700.0</v>
      </c>
      <c r="N82" s="8">
        <v>43968.0</v>
      </c>
    </row>
    <row r="83">
      <c r="A83" s="5">
        <v>82.0</v>
      </c>
      <c r="B83" s="5" t="s">
        <v>307</v>
      </c>
      <c r="C83" s="5" t="s">
        <v>21</v>
      </c>
      <c r="K83" s="5">
        <v>300.0</v>
      </c>
      <c r="N83" s="8">
        <v>44528.0</v>
      </c>
    </row>
    <row r="84">
      <c r="A84" s="5">
        <v>83.0</v>
      </c>
      <c r="B84" s="5" t="s">
        <v>309</v>
      </c>
      <c r="C84" s="5" t="s">
        <v>21</v>
      </c>
      <c r="K84" s="5">
        <v>600.0</v>
      </c>
      <c r="N84" s="8">
        <v>45541.0</v>
      </c>
    </row>
    <row r="85">
      <c r="A85" s="5">
        <v>84.0</v>
      </c>
      <c r="B85" s="5" t="s">
        <v>312</v>
      </c>
      <c r="C85" s="5" t="s">
        <v>21</v>
      </c>
      <c r="K85" s="5">
        <v>80.0</v>
      </c>
      <c r="N85" s="8">
        <v>43855.0</v>
      </c>
    </row>
    <row r="86">
      <c r="A86" s="5">
        <v>85.0</v>
      </c>
      <c r="B86" s="5" t="s">
        <v>314</v>
      </c>
      <c r="C86" s="5" t="s">
        <v>21</v>
      </c>
      <c r="K86" s="5">
        <v>20.0</v>
      </c>
      <c r="N86" s="8">
        <v>44047.0</v>
      </c>
    </row>
    <row r="87">
      <c r="A87" s="5">
        <v>86.0</v>
      </c>
      <c r="B87" s="5" t="s">
        <v>317</v>
      </c>
      <c r="C87" s="5" t="s">
        <v>21</v>
      </c>
      <c r="K87" s="5">
        <v>1900.0</v>
      </c>
      <c r="N87" s="8">
        <v>44048.0</v>
      </c>
    </row>
    <row r="88">
      <c r="A88" s="5">
        <v>87.0</v>
      </c>
      <c r="B88" s="5" t="s">
        <v>319</v>
      </c>
      <c r="C88" s="5" t="s">
        <v>21</v>
      </c>
      <c r="K88" s="5">
        <v>100.0</v>
      </c>
      <c r="N88" s="8">
        <v>44624.0</v>
      </c>
    </row>
    <row r="89">
      <c r="A89" s="5">
        <v>88.0</v>
      </c>
      <c r="B89" s="5" t="s">
        <v>322</v>
      </c>
      <c r="C89" s="5" t="s">
        <v>21</v>
      </c>
      <c r="K89" s="5">
        <v>200.0</v>
      </c>
      <c r="N89" s="8">
        <v>44716.0</v>
      </c>
    </row>
    <row r="90">
      <c r="A90" s="5">
        <v>89.0</v>
      </c>
      <c r="B90" s="5" t="s">
        <v>324</v>
      </c>
      <c r="C90" s="5" t="s">
        <v>21</v>
      </c>
      <c r="K90" s="5">
        <v>2000.0</v>
      </c>
      <c r="N90" s="8">
        <v>43933.0</v>
      </c>
    </row>
    <row r="91">
      <c r="A91" s="5">
        <v>90.0</v>
      </c>
      <c r="B91" s="5" t="s">
        <v>327</v>
      </c>
      <c r="C91" s="5" t="s">
        <v>21</v>
      </c>
      <c r="K91" s="5">
        <v>80.0</v>
      </c>
      <c r="N91" s="8">
        <v>44618.0</v>
      </c>
    </row>
    <row r="92">
      <c r="A92" s="5">
        <v>91.0</v>
      </c>
      <c r="B92" s="5" t="s">
        <v>329</v>
      </c>
      <c r="C92" s="5" t="s">
        <v>21</v>
      </c>
      <c r="K92" s="5">
        <v>50.0</v>
      </c>
      <c r="N92" s="8">
        <v>44836.0</v>
      </c>
    </row>
    <row r="93">
      <c r="A93" s="5">
        <v>92.0</v>
      </c>
      <c r="B93" s="5" t="s">
        <v>332</v>
      </c>
      <c r="C93" s="5" t="s">
        <v>21</v>
      </c>
      <c r="K93" s="5">
        <v>900.0</v>
      </c>
      <c r="N93" s="8">
        <v>43903.0</v>
      </c>
    </row>
    <row r="94">
      <c r="A94" s="5">
        <v>93.0</v>
      </c>
      <c r="B94" s="5" t="s">
        <v>334</v>
      </c>
      <c r="C94" s="5" t="s">
        <v>21</v>
      </c>
      <c r="K94" s="5">
        <v>700.0</v>
      </c>
      <c r="N94" s="8">
        <v>43886.0</v>
      </c>
    </row>
    <row r="95">
      <c r="A95" s="5">
        <v>94.0</v>
      </c>
      <c r="B95" s="5" t="s">
        <v>337</v>
      </c>
      <c r="C95" s="5" t="s">
        <v>21</v>
      </c>
      <c r="K95" s="5">
        <v>350.0</v>
      </c>
      <c r="N95" s="8">
        <v>44728.0</v>
      </c>
    </row>
    <row r="96">
      <c r="A96" s="5">
        <v>95.0</v>
      </c>
      <c r="B96" s="5" t="s">
        <v>339</v>
      </c>
      <c r="C96" s="5" t="s">
        <v>21</v>
      </c>
      <c r="K96" s="5">
        <v>900.0</v>
      </c>
      <c r="N96" s="8">
        <v>44708.0</v>
      </c>
    </row>
    <row r="97">
      <c r="A97" s="5">
        <v>96.0</v>
      </c>
      <c r="B97" s="5" t="s">
        <v>342</v>
      </c>
      <c r="C97" s="5" t="s">
        <v>21</v>
      </c>
      <c r="K97" s="5">
        <v>2000.0</v>
      </c>
      <c r="N97" s="8">
        <v>44048.0</v>
      </c>
    </row>
    <row r="98">
      <c r="A98" s="5">
        <v>97.0</v>
      </c>
      <c r="B98" s="5" t="s">
        <v>345</v>
      </c>
      <c r="C98" s="5" t="s">
        <v>21</v>
      </c>
      <c r="K98" s="5">
        <v>400.0</v>
      </c>
      <c r="N98" s="8">
        <v>44401.0</v>
      </c>
    </row>
    <row r="99">
      <c r="A99" s="5">
        <v>98.0</v>
      </c>
      <c r="B99" s="5" t="s">
        <v>348</v>
      </c>
      <c r="C99" s="5" t="s">
        <v>21</v>
      </c>
      <c r="K99" s="5">
        <v>250.0</v>
      </c>
      <c r="N99" s="8">
        <v>45254.0</v>
      </c>
    </row>
    <row r="100">
      <c r="A100" s="5">
        <v>99.0</v>
      </c>
      <c r="B100" s="5" t="s">
        <v>350</v>
      </c>
      <c r="C100" s="5" t="s">
        <v>21</v>
      </c>
      <c r="K100" s="5">
        <v>1300.0</v>
      </c>
      <c r="N100" s="8">
        <v>45174.0</v>
      </c>
    </row>
    <row r="101">
      <c r="A101" s="5">
        <v>100.0</v>
      </c>
      <c r="B101" s="5" t="s">
        <v>353</v>
      </c>
      <c r="C101" s="5" t="s">
        <v>21</v>
      </c>
      <c r="K101" s="5">
        <v>20.0</v>
      </c>
      <c r="N101" s="8">
        <v>45496.0</v>
      </c>
    </row>
    <row r="102">
      <c r="A102" s="5">
        <v>101.0</v>
      </c>
      <c r="B102" s="5" t="s">
        <v>355</v>
      </c>
      <c r="C102" s="5" t="s">
        <v>21</v>
      </c>
      <c r="K102" s="5">
        <v>400.0</v>
      </c>
      <c r="N102" s="8">
        <v>44603.0</v>
      </c>
    </row>
    <row r="103">
      <c r="A103" s="5">
        <v>102.0</v>
      </c>
      <c r="B103" s="5" t="s">
        <v>358</v>
      </c>
      <c r="C103" s="5" t="s">
        <v>21</v>
      </c>
      <c r="K103" s="5">
        <v>16000.0</v>
      </c>
      <c r="N103" s="8">
        <v>42358.0</v>
      </c>
    </row>
    <row r="104">
      <c r="A104" s="5">
        <v>103.0</v>
      </c>
      <c r="B104" s="5" t="s">
        <v>360</v>
      </c>
      <c r="C104" s="5" t="s">
        <v>21</v>
      </c>
      <c r="K104" s="5">
        <v>1100.0</v>
      </c>
      <c r="N104" s="8">
        <v>43884.0</v>
      </c>
    </row>
    <row r="105">
      <c r="A105" s="5">
        <v>104.0</v>
      </c>
      <c r="B105" s="5" t="s">
        <v>31</v>
      </c>
      <c r="C105" s="5" t="s">
        <v>21</v>
      </c>
      <c r="K105" s="5">
        <v>400.0</v>
      </c>
      <c r="N105" s="8">
        <v>45164.0</v>
      </c>
    </row>
    <row r="106">
      <c r="A106" s="5">
        <v>105.0</v>
      </c>
      <c r="B106" s="5" t="s">
        <v>363</v>
      </c>
      <c r="C106" s="5" t="s">
        <v>21</v>
      </c>
      <c r="K106" s="5">
        <v>90.0</v>
      </c>
      <c r="N106" s="8">
        <v>45341.0</v>
      </c>
    </row>
    <row r="107">
      <c r="A107" s="5">
        <v>106.0</v>
      </c>
      <c r="B107" s="5" t="s">
        <v>365</v>
      </c>
      <c r="C107" s="5" t="s">
        <v>21</v>
      </c>
      <c r="N107" s="8">
        <v>44972.0</v>
      </c>
    </row>
    <row r="108">
      <c r="A108" s="5">
        <v>107.0</v>
      </c>
      <c r="B108" s="5" t="s">
        <v>85</v>
      </c>
      <c r="C108" s="5" t="s">
        <v>21</v>
      </c>
      <c r="K108" s="5">
        <v>200.0</v>
      </c>
      <c r="N108" s="8">
        <v>44813.0</v>
      </c>
    </row>
    <row r="109">
      <c r="A109" s="5">
        <v>108.0</v>
      </c>
      <c r="B109" s="5" t="s">
        <v>368</v>
      </c>
      <c r="C109" s="5" t="s">
        <v>21</v>
      </c>
      <c r="K109" s="5">
        <v>500.0</v>
      </c>
      <c r="N109" s="8">
        <v>44582.0</v>
      </c>
    </row>
    <row r="110">
      <c r="A110" s="5">
        <v>109.0</v>
      </c>
      <c r="B110" s="5" t="s">
        <v>370</v>
      </c>
      <c r="C110" s="5" t="s">
        <v>21</v>
      </c>
      <c r="K110" s="5">
        <v>500.0</v>
      </c>
      <c r="N110" s="8">
        <v>45445.0</v>
      </c>
    </row>
    <row r="111">
      <c r="A111" s="5">
        <v>110.0</v>
      </c>
      <c r="B111" s="5" t="s">
        <v>372</v>
      </c>
      <c r="C111" s="5" t="s">
        <v>21</v>
      </c>
      <c r="K111" s="5">
        <v>70.0</v>
      </c>
      <c r="N111" s="8">
        <v>44645.0</v>
      </c>
    </row>
    <row r="112">
      <c r="A112" s="5">
        <v>111.0</v>
      </c>
      <c r="B112" s="5" t="s">
        <v>34</v>
      </c>
      <c r="C112" s="5" t="s">
        <v>21</v>
      </c>
      <c r="K112" s="5">
        <v>250.0</v>
      </c>
      <c r="N112" s="8">
        <v>43841.0</v>
      </c>
    </row>
    <row r="113">
      <c r="A113" s="5">
        <v>112.0</v>
      </c>
      <c r="B113" s="5" t="s">
        <v>375</v>
      </c>
      <c r="C113" s="5" t="s">
        <v>21</v>
      </c>
      <c r="K113" s="5">
        <v>150.0</v>
      </c>
      <c r="N113" s="8">
        <v>44328.0</v>
      </c>
    </row>
    <row r="114">
      <c r="A114" s="5">
        <v>113.0</v>
      </c>
      <c r="B114" s="5" t="s">
        <v>378</v>
      </c>
      <c r="C114" s="5" t="s">
        <v>21</v>
      </c>
      <c r="K114" s="5">
        <v>800.0</v>
      </c>
      <c r="N114" s="8">
        <v>43850.0</v>
      </c>
    </row>
    <row r="115">
      <c r="A115" s="5">
        <v>114.0</v>
      </c>
      <c r="B115" s="5" t="s">
        <v>381</v>
      </c>
      <c r="C115" s="5" t="s">
        <v>21</v>
      </c>
      <c r="K115" s="5">
        <v>100.0</v>
      </c>
      <c r="N115" s="8">
        <v>45183.0</v>
      </c>
    </row>
    <row r="116">
      <c r="A116" s="5">
        <v>115.0</v>
      </c>
      <c r="B116" s="5" t="s">
        <v>383</v>
      </c>
      <c r="C116" s="5" t="s">
        <v>21</v>
      </c>
      <c r="K116" s="5">
        <v>80.0</v>
      </c>
      <c r="N116" s="8">
        <v>45059.0</v>
      </c>
    </row>
    <row r="117">
      <c r="A117" s="5">
        <v>116.0</v>
      </c>
      <c r="B117" s="5" t="s">
        <v>386</v>
      </c>
      <c r="C117" s="5" t="s">
        <v>21</v>
      </c>
      <c r="K117" s="5">
        <v>500.0</v>
      </c>
      <c r="N117" s="8">
        <v>44673.0</v>
      </c>
    </row>
    <row r="118">
      <c r="A118" s="5">
        <v>117.0</v>
      </c>
      <c r="B118" s="5" t="s">
        <v>388</v>
      </c>
      <c r="C118" s="5" t="s">
        <v>21</v>
      </c>
      <c r="K118" s="5">
        <v>4800.0</v>
      </c>
      <c r="N118" s="8">
        <v>43929.0</v>
      </c>
    </row>
    <row r="119">
      <c r="A119" s="5">
        <v>118.0</v>
      </c>
      <c r="B119" s="5" t="s">
        <v>389</v>
      </c>
      <c r="C119" s="5" t="s">
        <v>21</v>
      </c>
      <c r="K119" s="5">
        <v>100.0</v>
      </c>
      <c r="N119" s="8">
        <v>45321.0</v>
      </c>
    </row>
    <row r="120">
      <c r="A120" s="5">
        <v>119.0</v>
      </c>
      <c r="B120" s="5" t="s">
        <v>392</v>
      </c>
      <c r="C120" s="5" t="s">
        <v>21</v>
      </c>
      <c r="K120" s="5">
        <v>700.0</v>
      </c>
      <c r="N120" s="8">
        <v>44484.0</v>
      </c>
    </row>
    <row r="121">
      <c r="A121" s="5">
        <v>120.0</v>
      </c>
      <c r="B121" s="5" t="s">
        <v>394</v>
      </c>
      <c r="C121" s="5" t="s">
        <v>21</v>
      </c>
      <c r="K121" s="5">
        <v>100.0</v>
      </c>
      <c r="N121" s="8">
        <v>44925.0</v>
      </c>
    </row>
    <row r="122">
      <c r="A122" s="5">
        <v>121.0</v>
      </c>
      <c r="B122" s="5" t="s">
        <v>397</v>
      </c>
      <c r="C122" s="5" t="s">
        <v>21</v>
      </c>
      <c r="K122" s="5">
        <v>150.0</v>
      </c>
      <c r="N122" s="8">
        <v>45046.0</v>
      </c>
    </row>
    <row r="123">
      <c r="A123" s="5">
        <v>122.0</v>
      </c>
      <c r="B123" s="5" t="s">
        <v>399</v>
      </c>
      <c r="C123" s="5" t="s">
        <v>21</v>
      </c>
      <c r="K123" s="5">
        <v>300.0</v>
      </c>
      <c r="N123" s="8">
        <v>44683.0</v>
      </c>
    </row>
    <row r="124">
      <c r="A124" s="5">
        <v>123.0</v>
      </c>
      <c r="B124" s="5" t="s">
        <v>402</v>
      </c>
      <c r="C124" s="5" t="s">
        <v>21</v>
      </c>
      <c r="K124" s="5">
        <v>150.0</v>
      </c>
      <c r="N124" s="8">
        <v>45555.0</v>
      </c>
    </row>
    <row r="125">
      <c r="A125" s="5">
        <v>124.0</v>
      </c>
      <c r="B125" s="5" t="s">
        <v>404</v>
      </c>
      <c r="C125" s="5" t="s">
        <v>21</v>
      </c>
      <c r="K125" s="5">
        <v>1100.0</v>
      </c>
      <c r="N125" s="8">
        <v>45114.0</v>
      </c>
    </row>
    <row r="126">
      <c r="A126" s="5">
        <v>125.0</v>
      </c>
      <c r="B126" s="5" t="s">
        <v>407</v>
      </c>
      <c r="C126" s="5" t="s">
        <v>21</v>
      </c>
      <c r="K126" s="5">
        <v>20.0</v>
      </c>
      <c r="N126" s="8">
        <v>45560.0</v>
      </c>
    </row>
    <row r="127">
      <c r="A127" s="5">
        <v>126.0</v>
      </c>
      <c r="B127" s="5" t="s">
        <v>409</v>
      </c>
      <c r="C127" s="5" t="s">
        <v>21</v>
      </c>
      <c r="K127" s="5">
        <v>700.0</v>
      </c>
      <c r="N127" s="8">
        <v>44650.0</v>
      </c>
    </row>
    <row r="128">
      <c r="A128" s="5">
        <v>127.0</v>
      </c>
      <c r="B128" s="5" t="s">
        <v>411</v>
      </c>
      <c r="C128" s="5" t="s">
        <v>21</v>
      </c>
      <c r="K128" s="5">
        <v>400.0</v>
      </c>
      <c r="N128" s="8">
        <v>44656.0</v>
      </c>
    </row>
    <row r="129">
      <c r="A129" s="5">
        <v>128.0</v>
      </c>
      <c r="B129" s="5" t="s">
        <v>87</v>
      </c>
      <c r="C129" s="5" t="s">
        <v>21</v>
      </c>
      <c r="K129" s="5">
        <v>7900.0</v>
      </c>
      <c r="N129" s="8">
        <v>43218.0</v>
      </c>
    </row>
    <row r="130">
      <c r="A130" s="5">
        <v>129.0</v>
      </c>
      <c r="B130" s="5" t="s">
        <v>415</v>
      </c>
      <c r="C130" s="5" t="s">
        <v>21</v>
      </c>
      <c r="K130" s="5">
        <v>600.0</v>
      </c>
      <c r="N130" s="8">
        <v>44342.0</v>
      </c>
    </row>
    <row r="131">
      <c r="A131" s="5">
        <v>130.0</v>
      </c>
      <c r="B131" s="5" t="s">
        <v>417</v>
      </c>
      <c r="C131" s="5" t="s">
        <v>21</v>
      </c>
      <c r="K131" s="5">
        <v>10.0</v>
      </c>
      <c r="N131" s="8">
        <v>44612.0</v>
      </c>
    </row>
    <row r="132">
      <c r="A132" s="5">
        <v>131.0</v>
      </c>
      <c r="B132" s="5" t="s">
        <v>420</v>
      </c>
      <c r="C132" s="5" t="s">
        <v>21</v>
      </c>
      <c r="K132" s="5">
        <v>10.0</v>
      </c>
      <c r="N132" s="8">
        <v>44543.0</v>
      </c>
    </row>
    <row r="133">
      <c r="A133" s="5">
        <v>132.0</v>
      </c>
      <c r="B133" s="5" t="s">
        <v>422</v>
      </c>
      <c r="C133" s="5" t="s">
        <v>21</v>
      </c>
      <c r="K133" s="5">
        <v>10.0</v>
      </c>
      <c r="N133" s="8">
        <v>44540.0</v>
      </c>
    </row>
    <row r="134">
      <c r="A134" s="5">
        <v>133.0</v>
      </c>
      <c r="B134" s="5" t="s">
        <v>424</v>
      </c>
      <c r="C134" s="5" t="s">
        <v>21</v>
      </c>
      <c r="K134" s="5">
        <v>700.0</v>
      </c>
      <c r="N134" s="8">
        <v>44778.0</v>
      </c>
    </row>
    <row r="135">
      <c r="A135" s="5">
        <v>134.0</v>
      </c>
      <c r="B135" s="5" t="s">
        <v>426</v>
      </c>
      <c r="C135" s="5" t="s">
        <v>21</v>
      </c>
      <c r="K135" s="5">
        <v>300.0</v>
      </c>
      <c r="N135" s="8">
        <v>44650.0</v>
      </c>
    </row>
    <row r="136">
      <c r="A136" s="5">
        <v>135.0</v>
      </c>
      <c r="B136" s="5" t="s">
        <v>428</v>
      </c>
      <c r="C136" s="5" t="s">
        <v>21</v>
      </c>
      <c r="K136" s="5">
        <v>100.0</v>
      </c>
      <c r="N136" s="8">
        <v>44287.0</v>
      </c>
    </row>
    <row r="137">
      <c r="A137" s="5">
        <v>136.0</v>
      </c>
      <c r="B137" s="5" t="s">
        <v>430</v>
      </c>
      <c r="C137" s="5" t="s">
        <v>21</v>
      </c>
      <c r="K137" s="5">
        <v>1500.0</v>
      </c>
      <c r="N137" s="8">
        <v>44064.0</v>
      </c>
    </row>
    <row r="138">
      <c r="A138" s="5">
        <v>137.0</v>
      </c>
      <c r="B138" s="5" t="s">
        <v>432</v>
      </c>
      <c r="C138" s="5" t="s">
        <v>21</v>
      </c>
      <c r="K138" s="5">
        <v>200.0</v>
      </c>
      <c r="N138" s="8">
        <v>44779.0</v>
      </c>
    </row>
    <row r="139">
      <c r="A139" s="5">
        <v>138.0</v>
      </c>
      <c r="B139" s="5" t="s">
        <v>434</v>
      </c>
      <c r="C139" s="5" t="s">
        <v>21</v>
      </c>
      <c r="K139" s="5">
        <v>90.0</v>
      </c>
      <c r="N139" s="8">
        <v>44573.0</v>
      </c>
    </row>
    <row r="140">
      <c r="A140" s="5">
        <v>139.0</v>
      </c>
      <c r="B140" s="5" t="s">
        <v>436</v>
      </c>
      <c r="C140" s="5" t="s">
        <v>21</v>
      </c>
      <c r="K140" s="5">
        <v>350.0</v>
      </c>
      <c r="N140" s="8">
        <v>45400.0</v>
      </c>
    </row>
    <row r="141">
      <c r="A141" s="5">
        <v>140.0</v>
      </c>
      <c r="B141" s="5" t="s">
        <v>439</v>
      </c>
      <c r="C141" s="5" t="s">
        <v>21</v>
      </c>
      <c r="K141" s="5">
        <v>3500.0</v>
      </c>
      <c r="N141" s="8">
        <v>43958.0</v>
      </c>
    </row>
    <row r="142">
      <c r="A142" s="5">
        <v>141.0</v>
      </c>
      <c r="B142" s="5" t="s">
        <v>441</v>
      </c>
      <c r="C142" s="5" t="s">
        <v>21</v>
      </c>
      <c r="K142" s="5">
        <v>100.0</v>
      </c>
      <c r="N142" s="8">
        <v>45421.0</v>
      </c>
    </row>
    <row r="143">
      <c r="A143" s="5">
        <v>142.0</v>
      </c>
      <c r="B143" s="5" t="s">
        <v>444</v>
      </c>
      <c r="C143" s="5" t="s">
        <v>21</v>
      </c>
      <c r="K143" s="5">
        <v>500.0</v>
      </c>
      <c r="N143" s="8">
        <v>44743.0</v>
      </c>
    </row>
    <row r="144">
      <c r="A144" s="5">
        <v>143.0</v>
      </c>
      <c r="B144" s="5" t="s">
        <v>446</v>
      </c>
      <c r="C144" s="5" t="s">
        <v>21</v>
      </c>
      <c r="K144" s="5">
        <v>30.0</v>
      </c>
      <c r="N144" s="8">
        <v>44735.0</v>
      </c>
    </row>
    <row r="145">
      <c r="A145" s="5">
        <v>144.0</v>
      </c>
      <c r="B145" s="5" t="s">
        <v>449</v>
      </c>
      <c r="C145" s="5" t="s">
        <v>21</v>
      </c>
      <c r="K145" s="5">
        <v>150.0</v>
      </c>
      <c r="N145" s="8">
        <v>44667.0</v>
      </c>
    </row>
    <row r="146">
      <c r="A146" s="5">
        <v>145.0</v>
      </c>
      <c r="B146" s="5" t="s">
        <v>451</v>
      </c>
      <c r="C146" s="5" t="s">
        <v>21</v>
      </c>
      <c r="K146" s="5">
        <v>9800.0</v>
      </c>
      <c r="N146" s="8">
        <v>44008.0</v>
      </c>
    </row>
    <row r="147">
      <c r="A147" s="5">
        <v>146.0</v>
      </c>
      <c r="B147" s="5" t="s">
        <v>454</v>
      </c>
      <c r="C147" s="5" t="s">
        <v>21</v>
      </c>
      <c r="K147" s="5">
        <v>1000.0</v>
      </c>
      <c r="N147" s="8">
        <v>44599.0</v>
      </c>
    </row>
    <row r="148">
      <c r="A148" s="5">
        <v>147.0</v>
      </c>
      <c r="B148" s="5" t="s">
        <v>457</v>
      </c>
      <c r="C148" s="5" t="s">
        <v>21</v>
      </c>
      <c r="K148" s="5">
        <v>100.0</v>
      </c>
      <c r="N148" s="8">
        <v>44646.0</v>
      </c>
    </row>
    <row r="149">
      <c r="A149" s="5">
        <v>148.0</v>
      </c>
      <c r="B149" s="5" t="s">
        <v>459</v>
      </c>
      <c r="C149" s="5" t="s">
        <v>21</v>
      </c>
      <c r="K149" s="5">
        <v>1200.0</v>
      </c>
      <c r="N149" s="8">
        <v>44517.0</v>
      </c>
    </row>
    <row r="150">
      <c r="A150" s="5">
        <v>149.0</v>
      </c>
      <c r="B150" s="5" t="s">
        <v>461</v>
      </c>
      <c r="C150" s="5" t="s">
        <v>21</v>
      </c>
      <c r="K150" s="5">
        <v>100.0</v>
      </c>
      <c r="N150" s="8">
        <v>44167.0</v>
      </c>
    </row>
    <row r="151">
      <c r="A151" s="5">
        <v>150.0</v>
      </c>
      <c r="B151" s="5" t="s">
        <v>464</v>
      </c>
      <c r="C151" s="5" t="s">
        <v>21</v>
      </c>
      <c r="K151" s="5">
        <v>10.0</v>
      </c>
      <c r="N151" s="8">
        <v>44890.0</v>
      </c>
    </row>
    <row r="152">
      <c r="A152" s="5">
        <v>151.0</v>
      </c>
      <c r="B152" s="5" t="s">
        <v>466</v>
      </c>
      <c r="C152" s="5" t="s">
        <v>21</v>
      </c>
      <c r="K152" s="5">
        <v>800.0</v>
      </c>
      <c r="N152" s="8">
        <v>44518.0</v>
      </c>
    </row>
    <row r="153">
      <c r="A153" s="5">
        <v>152.0</v>
      </c>
      <c r="B153" s="5" t="s">
        <v>469</v>
      </c>
      <c r="C153" s="5" t="s">
        <v>21</v>
      </c>
      <c r="K153" s="5">
        <v>1000.0</v>
      </c>
      <c r="N153" s="8">
        <v>44520.0</v>
      </c>
    </row>
    <row r="154">
      <c r="A154" s="5">
        <v>153.0</v>
      </c>
      <c r="B154" s="5" t="s">
        <v>471</v>
      </c>
      <c r="C154" s="5" t="s">
        <v>21</v>
      </c>
      <c r="K154" s="5">
        <v>250.0</v>
      </c>
      <c r="N154" s="8">
        <v>45064.0</v>
      </c>
    </row>
    <row r="155">
      <c r="A155" s="5">
        <v>154.0</v>
      </c>
      <c r="B155" s="5" t="s">
        <v>474</v>
      </c>
      <c r="C155" s="5" t="s">
        <v>21</v>
      </c>
      <c r="K155" s="5">
        <v>90.0</v>
      </c>
      <c r="N155" s="8">
        <v>45426.0</v>
      </c>
    </row>
    <row r="156">
      <c r="A156" s="5">
        <v>155.0</v>
      </c>
      <c r="B156" s="5" t="s">
        <v>89</v>
      </c>
      <c r="C156" s="5" t="s">
        <v>21</v>
      </c>
      <c r="K156" s="5">
        <v>10000.0</v>
      </c>
      <c r="N156" s="8">
        <v>43850.0</v>
      </c>
    </row>
    <row r="157">
      <c r="A157" s="5">
        <v>156.0</v>
      </c>
      <c r="B157" s="5" t="s">
        <v>478</v>
      </c>
      <c r="C157" s="5" t="s">
        <v>21</v>
      </c>
      <c r="K157" s="5">
        <v>350.0</v>
      </c>
      <c r="N157" s="8">
        <v>44682.0</v>
      </c>
    </row>
    <row r="158">
      <c r="A158" s="5">
        <v>157.0</v>
      </c>
      <c r="B158" s="5" t="s">
        <v>480</v>
      </c>
      <c r="C158" s="5" t="s">
        <v>21</v>
      </c>
      <c r="K158" s="5">
        <v>900.0</v>
      </c>
      <c r="N158" s="8">
        <v>44394.0</v>
      </c>
    </row>
    <row r="159">
      <c r="A159" s="5">
        <v>158.0</v>
      </c>
      <c r="B159" s="5" t="s">
        <v>483</v>
      </c>
      <c r="C159" s="5" t="s">
        <v>21</v>
      </c>
      <c r="K159" s="5">
        <v>600.0</v>
      </c>
      <c r="N159" s="8">
        <v>43879.0</v>
      </c>
    </row>
    <row r="160">
      <c r="A160" s="5">
        <v>159.0</v>
      </c>
      <c r="B160" s="5" t="s">
        <v>486</v>
      </c>
      <c r="C160" s="5" t="s">
        <v>21</v>
      </c>
      <c r="K160" s="5">
        <v>150.0</v>
      </c>
      <c r="N160" s="8">
        <v>44712.0</v>
      </c>
    </row>
    <row r="161">
      <c r="A161" s="5">
        <v>160.0</v>
      </c>
      <c r="B161" s="5" t="s">
        <v>488</v>
      </c>
      <c r="C161" s="5" t="s">
        <v>21</v>
      </c>
      <c r="K161" s="5">
        <v>900.0</v>
      </c>
      <c r="N161" s="8">
        <v>44293.0</v>
      </c>
    </row>
    <row r="162">
      <c r="A162" s="5">
        <v>161.0</v>
      </c>
      <c r="B162" s="5" t="s">
        <v>490</v>
      </c>
      <c r="C162" s="5" t="s">
        <v>21</v>
      </c>
      <c r="K162" s="5">
        <v>30.0</v>
      </c>
      <c r="N162" s="8">
        <v>45116.0</v>
      </c>
    </row>
    <row r="163">
      <c r="A163" s="5">
        <v>162.0</v>
      </c>
      <c r="B163" s="5" t="s">
        <v>493</v>
      </c>
      <c r="C163" s="5" t="s">
        <v>21</v>
      </c>
      <c r="K163" s="5">
        <v>400.0</v>
      </c>
      <c r="N163" s="8">
        <v>44560.0</v>
      </c>
    </row>
    <row r="164">
      <c r="A164" s="5">
        <v>163.0</v>
      </c>
      <c r="B164" s="5" t="s">
        <v>495</v>
      </c>
      <c r="C164" s="5" t="s">
        <v>21</v>
      </c>
      <c r="N164" s="8">
        <v>44320.0</v>
      </c>
    </row>
    <row r="165">
      <c r="A165" s="5">
        <v>164.0</v>
      </c>
      <c r="B165" s="5" t="s">
        <v>496</v>
      </c>
      <c r="C165" s="5" t="s">
        <v>21</v>
      </c>
      <c r="K165" s="5">
        <v>150.0</v>
      </c>
      <c r="N165" s="8">
        <v>44655.0</v>
      </c>
    </row>
    <row r="166">
      <c r="A166" s="5">
        <v>165.0</v>
      </c>
      <c r="B166" s="5" t="s">
        <v>499</v>
      </c>
      <c r="C166" s="5" t="s">
        <v>21</v>
      </c>
      <c r="K166" s="5">
        <v>60.0</v>
      </c>
      <c r="N166" s="8">
        <v>44016.0</v>
      </c>
    </row>
    <row r="167">
      <c r="A167" s="5">
        <v>166.0</v>
      </c>
      <c r="B167" s="5" t="s">
        <v>91</v>
      </c>
      <c r="C167" s="5" t="s">
        <v>21</v>
      </c>
      <c r="K167" s="5">
        <v>3400.0</v>
      </c>
      <c r="N167" s="8">
        <v>43868.0</v>
      </c>
    </row>
    <row r="168">
      <c r="A168" s="5">
        <v>167.0</v>
      </c>
      <c r="B168" s="5" t="s">
        <v>502</v>
      </c>
      <c r="C168" s="5" t="s">
        <v>21</v>
      </c>
      <c r="K168" s="5">
        <v>250.0</v>
      </c>
      <c r="N168" s="8">
        <v>45562.0</v>
      </c>
    </row>
    <row r="169">
      <c r="A169" s="5">
        <v>168.0</v>
      </c>
      <c r="B169" s="5" t="s">
        <v>504</v>
      </c>
      <c r="C169" s="5" t="s">
        <v>21</v>
      </c>
      <c r="K169" s="5">
        <v>200.0</v>
      </c>
      <c r="N169" s="8">
        <v>44744.0</v>
      </c>
    </row>
    <row r="170">
      <c r="A170" s="5">
        <v>169.0</v>
      </c>
      <c r="B170" s="5" t="s">
        <v>506</v>
      </c>
      <c r="C170" s="5" t="s">
        <v>21</v>
      </c>
      <c r="K170" s="5">
        <v>70.0</v>
      </c>
      <c r="N170" s="8">
        <v>44156.0</v>
      </c>
    </row>
    <row r="171">
      <c r="A171" s="5">
        <v>170.0</v>
      </c>
      <c r="B171" s="5" t="s">
        <v>508</v>
      </c>
      <c r="C171" s="5" t="s">
        <v>21</v>
      </c>
      <c r="K171" s="5">
        <v>500.0</v>
      </c>
      <c r="N171" s="8">
        <v>44683.0</v>
      </c>
    </row>
    <row r="172">
      <c r="A172" s="5">
        <v>171.0</v>
      </c>
      <c r="B172" s="5" t="s">
        <v>510</v>
      </c>
      <c r="C172" s="5" t="s">
        <v>21</v>
      </c>
      <c r="K172" s="5">
        <v>200.0</v>
      </c>
      <c r="N172" s="8">
        <v>44794.0</v>
      </c>
    </row>
    <row r="173">
      <c r="A173" s="5">
        <v>172.0</v>
      </c>
      <c r="B173" s="5" t="s">
        <v>512</v>
      </c>
      <c r="C173" s="5" t="s">
        <v>21</v>
      </c>
      <c r="K173" s="5">
        <v>150.0</v>
      </c>
      <c r="N173" s="8">
        <v>44581.0</v>
      </c>
    </row>
    <row r="174">
      <c r="A174" s="5">
        <v>173.0</v>
      </c>
      <c r="B174" s="5" t="s">
        <v>514</v>
      </c>
      <c r="C174" s="5" t="s">
        <v>21</v>
      </c>
      <c r="K174" s="5">
        <v>150.0</v>
      </c>
      <c r="N174" s="8">
        <v>44788.0</v>
      </c>
    </row>
    <row r="175">
      <c r="A175" s="5">
        <v>174.0</v>
      </c>
      <c r="B175" s="5" t="s">
        <v>517</v>
      </c>
      <c r="C175" s="5" t="s">
        <v>21</v>
      </c>
      <c r="K175" s="5">
        <v>200.0</v>
      </c>
      <c r="N175" s="8">
        <v>44751.0</v>
      </c>
    </row>
    <row r="176">
      <c r="A176" s="5">
        <v>175.0</v>
      </c>
      <c r="B176" s="5" t="s">
        <v>519</v>
      </c>
      <c r="C176" s="5" t="s">
        <v>21</v>
      </c>
      <c r="K176" s="5">
        <v>10.0</v>
      </c>
      <c r="N176" s="8">
        <v>44586.0</v>
      </c>
    </row>
    <row r="177">
      <c r="A177" s="5">
        <v>176.0</v>
      </c>
      <c r="B177" s="5" t="s">
        <v>522</v>
      </c>
      <c r="C177" s="5" t="s">
        <v>21</v>
      </c>
      <c r="K177" s="5">
        <v>10.0</v>
      </c>
      <c r="N177" s="8">
        <v>44582.0</v>
      </c>
    </row>
    <row r="178">
      <c r="A178" s="5">
        <v>177.0</v>
      </c>
      <c r="B178" s="5" t="s">
        <v>36</v>
      </c>
      <c r="C178" s="5" t="s">
        <v>21</v>
      </c>
      <c r="K178" s="5">
        <v>10.0</v>
      </c>
      <c r="N178" s="8">
        <v>44541.0</v>
      </c>
    </row>
    <row r="179">
      <c r="A179" s="5">
        <v>178.0</v>
      </c>
      <c r="B179" s="5" t="s">
        <v>526</v>
      </c>
      <c r="C179" s="5" t="s">
        <v>21</v>
      </c>
      <c r="K179" s="5">
        <v>1000.0</v>
      </c>
      <c r="N179" s="8">
        <v>44407.0</v>
      </c>
    </row>
    <row r="180">
      <c r="A180" s="5">
        <v>179.0</v>
      </c>
      <c r="B180" s="5" t="s">
        <v>528</v>
      </c>
      <c r="C180" s="5" t="s">
        <v>21</v>
      </c>
      <c r="K180" s="5">
        <v>800.0</v>
      </c>
      <c r="N180" s="8">
        <v>45646.0</v>
      </c>
    </row>
    <row r="181">
      <c r="A181" s="5">
        <v>180.0</v>
      </c>
      <c r="B181" s="5" t="s">
        <v>530</v>
      </c>
      <c r="C181" s="5" t="s">
        <v>21</v>
      </c>
      <c r="K181" s="5">
        <v>50.0</v>
      </c>
      <c r="N181" s="8">
        <v>44796.0</v>
      </c>
    </row>
    <row r="182">
      <c r="A182" s="5">
        <v>181.0</v>
      </c>
      <c r="B182" s="5" t="s">
        <v>532</v>
      </c>
      <c r="C182" s="5" t="s">
        <v>21</v>
      </c>
      <c r="K182" s="5">
        <v>300.0</v>
      </c>
      <c r="N182" s="8">
        <v>43914.0</v>
      </c>
    </row>
    <row r="183">
      <c r="A183" s="5">
        <v>182.0</v>
      </c>
      <c r="B183" s="5" t="s">
        <v>534</v>
      </c>
      <c r="C183" s="5" t="s">
        <v>21</v>
      </c>
      <c r="K183" s="5">
        <v>1300.0</v>
      </c>
      <c r="N183" s="8">
        <v>44012.0</v>
      </c>
    </row>
    <row r="184">
      <c r="A184" s="5">
        <v>183.0</v>
      </c>
      <c r="B184" s="5" t="s">
        <v>536</v>
      </c>
      <c r="C184" s="5" t="s">
        <v>21</v>
      </c>
      <c r="K184" s="5">
        <v>1000.0</v>
      </c>
      <c r="N184" s="8">
        <v>44518.0</v>
      </c>
    </row>
    <row r="185">
      <c r="A185" s="5">
        <v>184.0</v>
      </c>
      <c r="B185" s="5" t="s">
        <v>538</v>
      </c>
      <c r="C185" s="5" t="s">
        <v>21</v>
      </c>
      <c r="K185" s="5">
        <v>450.0</v>
      </c>
      <c r="N185" s="8">
        <v>44964.0</v>
      </c>
    </row>
    <row r="186">
      <c r="A186" s="5">
        <v>185.0</v>
      </c>
      <c r="B186" s="5" t="s">
        <v>540</v>
      </c>
      <c r="C186" s="5" t="s">
        <v>21</v>
      </c>
      <c r="K186" s="5">
        <v>100.0</v>
      </c>
      <c r="N186" s="8">
        <v>45371.0</v>
      </c>
    </row>
    <row r="187">
      <c r="A187" s="5">
        <v>186.0</v>
      </c>
      <c r="B187" s="5" t="s">
        <v>542</v>
      </c>
      <c r="C187" s="5" t="s">
        <v>21</v>
      </c>
      <c r="K187" s="5">
        <v>1400.0</v>
      </c>
      <c r="N187" s="8">
        <v>44307.0</v>
      </c>
    </row>
    <row r="188">
      <c r="A188" s="5">
        <v>187.0</v>
      </c>
      <c r="B188" s="5" t="s">
        <v>544</v>
      </c>
      <c r="C188" s="5" t="s">
        <v>21</v>
      </c>
      <c r="K188" s="5">
        <v>1100.0</v>
      </c>
      <c r="N188" s="8">
        <v>44478.0</v>
      </c>
    </row>
    <row r="189">
      <c r="A189" s="5">
        <v>188.0</v>
      </c>
      <c r="B189" s="5" t="s">
        <v>546</v>
      </c>
      <c r="C189" s="5" t="s">
        <v>21</v>
      </c>
      <c r="K189" s="5">
        <v>100.0</v>
      </c>
      <c r="N189" s="8">
        <v>44581.0</v>
      </c>
    </row>
    <row r="190">
      <c r="A190" s="5">
        <v>189.0</v>
      </c>
      <c r="B190" s="5" t="s">
        <v>41</v>
      </c>
      <c r="C190" s="5" t="s">
        <v>21</v>
      </c>
      <c r="K190" s="5">
        <v>600.0</v>
      </c>
      <c r="N190" s="8">
        <v>44424.0</v>
      </c>
    </row>
    <row r="191">
      <c r="A191" s="5">
        <v>190.0</v>
      </c>
      <c r="B191" s="5" t="s">
        <v>549</v>
      </c>
      <c r="C191" s="5" t="s">
        <v>21</v>
      </c>
      <c r="K191" s="5">
        <v>50.0</v>
      </c>
      <c r="N191" s="8">
        <v>44535.0</v>
      </c>
    </row>
    <row r="192">
      <c r="A192" s="5">
        <v>191.0</v>
      </c>
      <c r="B192" s="5" t="s">
        <v>551</v>
      </c>
      <c r="C192" s="5" t="s">
        <v>21</v>
      </c>
      <c r="K192" s="5">
        <v>450.0</v>
      </c>
      <c r="N192" s="8">
        <v>44625.0</v>
      </c>
    </row>
    <row r="193">
      <c r="A193" s="5">
        <v>192.0</v>
      </c>
      <c r="B193" s="5" t="s">
        <v>554</v>
      </c>
      <c r="C193" s="5" t="s">
        <v>21</v>
      </c>
      <c r="K193" s="5">
        <v>600.0</v>
      </c>
      <c r="N193" s="8">
        <v>44818.0</v>
      </c>
    </row>
    <row r="194">
      <c r="A194" s="5">
        <v>193.0</v>
      </c>
      <c r="B194" s="5" t="s">
        <v>556</v>
      </c>
      <c r="C194" s="5" t="s">
        <v>21</v>
      </c>
      <c r="K194" s="5">
        <v>700.0</v>
      </c>
      <c r="N194" s="8">
        <v>45079.0</v>
      </c>
    </row>
    <row r="195">
      <c r="A195" s="5">
        <v>194.0</v>
      </c>
      <c r="B195" s="5" t="s">
        <v>94</v>
      </c>
      <c r="C195" s="5" t="s">
        <v>21</v>
      </c>
      <c r="K195" s="5">
        <v>8200.0</v>
      </c>
      <c r="N195" s="8">
        <v>44580.0</v>
      </c>
    </row>
    <row r="196">
      <c r="A196" s="5">
        <v>195.0</v>
      </c>
      <c r="B196" s="5" t="s">
        <v>559</v>
      </c>
      <c r="C196" s="5" t="s">
        <v>21</v>
      </c>
      <c r="K196" s="5">
        <v>2000.0</v>
      </c>
      <c r="N196" s="8">
        <v>44191.0</v>
      </c>
    </row>
    <row r="197">
      <c r="A197" s="5">
        <v>196.0</v>
      </c>
      <c r="B197" s="5" t="s">
        <v>561</v>
      </c>
      <c r="C197" s="5" t="s">
        <v>21</v>
      </c>
      <c r="K197" s="5">
        <v>350.0</v>
      </c>
      <c r="N197" s="8">
        <v>44628.0</v>
      </c>
    </row>
    <row r="198">
      <c r="A198" s="5">
        <v>197.0</v>
      </c>
      <c r="B198" s="5" t="s">
        <v>564</v>
      </c>
      <c r="C198" s="5" t="s">
        <v>21</v>
      </c>
      <c r="K198" s="5">
        <v>400.0</v>
      </c>
      <c r="N198" s="8">
        <v>44271.0</v>
      </c>
    </row>
    <row r="199">
      <c r="A199" s="5">
        <v>198.0</v>
      </c>
      <c r="B199" s="5" t="s">
        <v>566</v>
      </c>
      <c r="C199" s="5" t="s">
        <v>21</v>
      </c>
      <c r="K199" s="5">
        <v>80.0</v>
      </c>
      <c r="N199" s="8">
        <v>44751.0</v>
      </c>
    </row>
    <row r="200">
      <c r="A200" s="5">
        <v>199.0</v>
      </c>
      <c r="B200" s="5" t="s">
        <v>569</v>
      </c>
      <c r="C200" s="5" t="s">
        <v>21</v>
      </c>
      <c r="K200" s="5">
        <v>70.0</v>
      </c>
      <c r="N200" s="8">
        <v>44832.0</v>
      </c>
    </row>
    <row r="201">
      <c r="A201" s="5">
        <v>200.0</v>
      </c>
      <c r="B201" s="5" t="s">
        <v>571</v>
      </c>
      <c r="C201" s="5" t="s">
        <v>21</v>
      </c>
      <c r="K201" s="5">
        <v>50.0</v>
      </c>
      <c r="N201" s="8">
        <v>44564.0</v>
      </c>
    </row>
    <row r="202">
      <c r="A202" s="5">
        <v>201.0</v>
      </c>
      <c r="B202" s="5" t="s">
        <v>573</v>
      </c>
      <c r="C202" s="5" t="s">
        <v>21</v>
      </c>
      <c r="K202" s="5">
        <v>50.0</v>
      </c>
      <c r="N202" s="8">
        <v>44562.0</v>
      </c>
    </row>
    <row r="203">
      <c r="A203" s="5">
        <v>202.0</v>
      </c>
      <c r="B203" s="5" t="s">
        <v>576</v>
      </c>
      <c r="C203" s="5" t="s">
        <v>21</v>
      </c>
      <c r="K203" s="5">
        <v>100.0</v>
      </c>
      <c r="N203" s="8">
        <v>45106.0</v>
      </c>
    </row>
    <row r="204">
      <c r="A204" s="5">
        <v>203.0</v>
      </c>
      <c r="B204" s="5" t="s">
        <v>578</v>
      </c>
      <c r="C204" s="5" t="s">
        <v>21</v>
      </c>
      <c r="K204" s="5">
        <v>200.0</v>
      </c>
      <c r="N204" s="8">
        <v>43893.0</v>
      </c>
    </row>
    <row r="205">
      <c r="A205" s="5">
        <v>204.0</v>
      </c>
      <c r="B205" s="5" t="s">
        <v>96</v>
      </c>
      <c r="C205" s="5" t="s">
        <v>21</v>
      </c>
      <c r="K205" s="5">
        <v>800.0</v>
      </c>
      <c r="N205" s="8">
        <v>44555.0</v>
      </c>
    </row>
    <row r="206">
      <c r="A206" s="5">
        <v>205.0</v>
      </c>
      <c r="B206" s="5" t="s">
        <v>582</v>
      </c>
      <c r="C206" s="5" t="s">
        <v>21</v>
      </c>
      <c r="K206" s="5">
        <v>150.0</v>
      </c>
      <c r="N206" s="8">
        <v>44542.0</v>
      </c>
    </row>
    <row r="207">
      <c r="A207" s="5">
        <v>206.0</v>
      </c>
      <c r="B207" s="5" t="s">
        <v>585</v>
      </c>
      <c r="C207" s="5" t="s">
        <v>21</v>
      </c>
      <c r="K207" s="5">
        <v>800.0</v>
      </c>
      <c r="N207" s="8">
        <v>44104.0</v>
      </c>
    </row>
    <row r="208">
      <c r="A208" s="5">
        <v>207.0</v>
      </c>
      <c r="B208" s="5" t="s">
        <v>587</v>
      </c>
      <c r="C208" s="5" t="s">
        <v>21</v>
      </c>
      <c r="K208" s="5">
        <v>400.0</v>
      </c>
      <c r="N208" s="8">
        <v>44520.0</v>
      </c>
    </row>
    <row r="209">
      <c r="A209" s="5">
        <v>208.0</v>
      </c>
      <c r="B209" s="5" t="s">
        <v>590</v>
      </c>
      <c r="C209" s="5" t="s">
        <v>21</v>
      </c>
      <c r="K209" s="5">
        <v>250.0</v>
      </c>
      <c r="N209" s="8">
        <v>43892.0</v>
      </c>
    </row>
    <row r="210">
      <c r="A210" s="5">
        <v>209.0</v>
      </c>
      <c r="B210" s="5" t="s">
        <v>592</v>
      </c>
      <c r="C210" s="5" t="s">
        <v>21</v>
      </c>
      <c r="K210" s="5">
        <v>1000.0</v>
      </c>
      <c r="N210" s="8">
        <v>44233.0</v>
      </c>
    </row>
    <row r="211">
      <c r="A211" s="5">
        <v>210.0</v>
      </c>
      <c r="B211" s="5" t="s">
        <v>595</v>
      </c>
      <c r="C211" s="5" t="s">
        <v>21</v>
      </c>
      <c r="K211" s="5">
        <v>50.0</v>
      </c>
      <c r="N211" s="8">
        <v>44732.0</v>
      </c>
    </row>
    <row r="212">
      <c r="A212" s="5">
        <v>211.0</v>
      </c>
      <c r="B212" s="5" t="s">
        <v>598</v>
      </c>
      <c r="C212" s="5" t="s">
        <v>21</v>
      </c>
      <c r="K212" s="5">
        <v>200.0</v>
      </c>
      <c r="N212" s="8">
        <v>44711.0</v>
      </c>
    </row>
    <row r="213">
      <c r="A213" s="5">
        <v>212.0</v>
      </c>
      <c r="B213" s="5" t="s">
        <v>601</v>
      </c>
      <c r="C213" s="5" t="s">
        <v>21</v>
      </c>
      <c r="K213" s="5">
        <v>150.0</v>
      </c>
      <c r="N213" s="8">
        <v>44606.0</v>
      </c>
    </row>
    <row r="214">
      <c r="A214" s="5">
        <v>213.0</v>
      </c>
      <c r="B214" s="5" t="s">
        <v>604</v>
      </c>
      <c r="C214" s="5" t="s">
        <v>21</v>
      </c>
      <c r="K214" s="5">
        <v>700.0</v>
      </c>
      <c r="N214" s="8">
        <v>44409.0</v>
      </c>
    </row>
    <row r="215">
      <c r="A215" s="5">
        <v>214.0</v>
      </c>
      <c r="B215" s="5" t="s">
        <v>606</v>
      </c>
      <c r="C215" s="5" t="s">
        <v>21</v>
      </c>
      <c r="K215" s="5">
        <v>150.0</v>
      </c>
      <c r="N215" s="8">
        <v>44176.0</v>
      </c>
    </row>
    <row r="216">
      <c r="A216" s="5">
        <v>215.0</v>
      </c>
      <c r="B216" s="5" t="s">
        <v>607</v>
      </c>
      <c r="C216" s="5" t="s">
        <v>21</v>
      </c>
      <c r="K216" s="5">
        <v>10.0</v>
      </c>
      <c r="N216" s="8">
        <v>44522.0</v>
      </c>
    </row>
    <row r="217">
      <c r="A217" s="5">
        <v>216.0</v>
      </c>
      <c r="B217" s="5" t="s">
        <v>609</v>
      </c>
      <c r="C217" s="5" t="s">
        <v>21</v>
      </c>
      <c r="K217" s="5">
        <v>30.0</v>
      </c>
      <c r="N217" s="8">
        <v>44180.0</v>
      </c>
    </row>
    <row r="218">
      <c r="A218" s="5">
        <v>217.0</v>
      </c>
      <c r="B218" s="5" t="s">
        <v>611</v>
      </c>
      <c r="C218" s="5" t="s">
        <v>21</v>
      </c>
      <c r="K218" s="5">
        <v>1500.0</v>
      </c>
      <c r="N218" s="8">
        <v>43910.0</v>
      </c>
    </row>
    <row r="219">
      <c r="A219" s="5">
        <v>218.0</v>
      </c>
      <c r="B219" s="5" t="s">
        <v>613</v>
      </c>
      <c r="C219" s="5" t="s">
        <v>21</v>
      </c>
      <c r="K219" s="5">
        <v>350.0</v>
      </c>
      <c r="N219" s="8">
        <v>44592.0</v>
      </c>
    </row>
    <row r="220">
      <c r="A220" s="5">
        <v>219.0</v>
      </c>
      <c r="B220" s="5" t="s">
        <v>616</v>
      </c>
      <c r="C220" s="5" t="s">
        <v>21</v>
      </c>
      <c r="K220" s="5">
        <v>10.0</v>
      </c>
      <c r="N220" s="8">
        <v>44583.0</v>
      </c>
    </row>
    <row r="221">
      <c r="A221" s="5">
        <v>220.0</v>
      </c>
      <c r="B221" s="5" t="s">
        <v>618</v>
      </c>
      <c r="C221" s="5" t="s">
        <v>21</v>
      </c>
      <c r="K221" s="5">
        <v>1800.0</v>
      </c>
      <c r="N221" s="8">
        <v>44354.0</v>
      </c>
    </row>
    <row r="222">
      <c r="A222" s="5">
        <v>221.0</v>
      </c>
      <c r="B222" s="5" t="s">
        <v>621</v>
      </c>
      <c r="C222" s="5" t="s">
        <v>21</v>
      </c>
      <c r="K222" s="5">
        <v>200.0</v>
      </c>
      <c r="N222" s="8">
        <v>44342.0</v>
      </c>
    </row>
    <row r="223">
      <c r="A223" s="5">
        <v>222.0</v>
      </c>
      <c r="B223" s="5" t="s">
        <v>624</v>
      </c>
      <c r="C223" s="5" t="s">
        <v>21</v>
      </c>
      <c r="K223" s="5">
        <v>12000.0</v>
      </c>
      <c r="N223" s="8">
        <v>45584.0</v>
      </c>
    </row>
    <row r="224">
      <c r="A224" s="5">
        <v>223.0</v>
      </c>
      <c r="B224" s="5" t="s">
        <v>626</v>
      </c>
      <c r="C224" s="5" t="s">
        <v>21</v>
      </c>
      <c r="K224" s="5">
        <v>200.0</v>
      </c>
      <c r="N224" s="8">
        <v>44699.0</v>
      </c>
    </row>
    <row r="225">
      <c r="A225" s="5">
        <v>224.0</v>
      </c>
      <c r="B225" s="5" t="s">
        <v>629</v>
      </c>
      <c r="C225" s="5" t="s">
        <v>21</v>
      </c>
      <c r="K225" s="5">
        <v>200.0</v>
      </c>
      <c r="N225" s="8">
        <v>44028.0</v>
      </c>
    </row>
    <row r="226">
      <c r="A226" s="5">
        <v>225.0</v>
      </c>
      <c r="B226" s="5" t="s">
        <v>631</v>
      </c>
      <c r="C226" s="5" t="s">
        <v>21</v>
      </c>
      <c r="K226" s="5">
        <v>20.0</v>
      </c>
      <c r="N226" s="8">
        <v>44385.0</v>
      </c>
    </row>
    <row r="227">
      <c r="A227" s="5">
        <v>226.0</v>
      </c>
      <c r="B227" s="5" t="s">
        <v>633</v>
      </c>
      <c r="C227" s="5" t="s">
        <v>21</v>
      </c>
      <c r="K227" s="5">
        <v>150.0</v>
      </c>
      <c r="N227" s="8">
        <v>44634.0</v>
      </c>
    </row>
    <row r="228">
      <c r="A228" s="5">
        <v>227.0</v>
      </c>
      <c r="B228" s="5" t="s">
        <v>636</v>
      </c>
      <c r="C228" s="5" t="s">
        <v>21</v>
      </c>
      <c r="K228" s="5">
        <v>150.0</v>
      </c>
      <c r="N228" s="8">
        <v>44518.0</v>
      </c>
    </row>
    <row r="229">
      <c r="A229" s="5">
        <v>228.0</v>
      </c>
      <c r="B229" s="5" t="s">
        <v>638</v>
      </c>
      <c r="C229" s="5" t="s">
        <v>21</v>
      </c>
      <c r="K229" s="5">
        <v>500.0</v>
      </c>
      <c r="N229" s="8">
        <v>44224.0</v>
      </c>
    </row>
    <row r="230">
      <c r="A230" s="5">
        <v>229.0</v>
      </c>
      <c r="B230" s="5" t="s">
        <v>641</v>
      </c>
      <c r="C230" s="5" t="s">
        <v>21</v>
      </c>
      <c r="K230" s="5">
        <v>3800.0</v>
      </c>
      <c r="N230" s="8">
        <v>44119.0</v>
      </c>
    </row>
    <row r="231">
      <c r="A231" s="5">
        <v>230.0</v>
      </c>
      <c r="B231" s="5" t="s">
        <v>643</v>
      </c>
      <c r="C231" s="5" t="s">
        <v>21</v>
      </c>
      <c r="K231" s="5">
        <v>150.0</v>
      </c>
      <c r="N231" s="8">
        <v>43975.0</v>
      </c>
    </row>
    <row r="232">
      <c r="A232" s="5">
        <v>231.0</v>
      </c>
      <c r="B232" s="5" t="s">
        <v>646</v>
      </c>
      <c r="C232" s="5" t="s">
        <v>21</v>
      </c>
      <c r="K232" s="5">
        <v>450.0</v>
      </c>
      <c r="N232" s="8">
        <v>44582.0</v>
      </c>
    </row>
    <row r="233">
      <c r="A233" s="5">
        <v>232.0</v>
      </c>
      <c r="B233" s="5" t="s">
        <v>648</v>
      </c>
      <c r="C233" s="5" t="s">
        <v>21</v>
      </c>
      <c r="K233" s="5">
        <v>20.0</v>
      </c>
      <c r="N233" s="8">
        <v>44463.0</v>
      </c>
    </row>
    <row r="234">
      <c r="A234" s="5">
        <v>233.0</v>
      </c>
      <c r="B234" s="5" t="s">
        <v>651</v>
      </c>
      <c r="C234" s="5" t="s">
        <v>21</v>
      </c>
      <c r="K234" s="5">
        <v>350.0</v>
      </c>
      <c r="N234" s="8">
        <v>43981.0</v>
      </c>
    </row>
    <row r="235">
      <c r="A235" s="5">
        <v>234.0</v>
      </c>
      <c r="B235" s="5" t="s">
        <v>653</v>
      </c>
      <c r="C235" s="5" t="s">
        <v>21</v>
      </c>
      <c r="K235" s="5">
        <v>600.0</v>
      </c>
      <c r="N235" s="8">
        <v>44534.0</v>
      </c>
    </row>
    <row r="236">
      <c r="A236" s="5">
        <v>235.0</v>
      </c>
      <c r="B236" s="5" t="s">
        <v>656</v>
      </c>
      <c r="C236" s="5" t="s">
        <v>21</v>
      </c>
      <c r="K236" s="5">
        <v>300.0</v>
      </c>
      <c r="N236" s="8">
        <v>44614.0</v>
      </c>
    </row>
    <row r="237">
      <c r="A237" s="5">
        <v>236.0</v>
      </c>
      <c r="B237" s="5" t="s">
        <v>658</v>
      </c>
      <c r="C237" s="5" t="s">
        <v>21</v>
      </c>
      <c r="K237" s="5">
        <v>150.0</v>
      </c>
      <c r="N237" s="8">
        <v>44602.0</v>
      </c>
    </row>
    <row r="238">
      <c r="A238" s="5">
        <v>237.0</v>
      </c>
      <c r="B238" s="5" t="s">
        <v>660</v>
      </c>
      <c r="C238" s="5" t="s">
        <v>21</v>
      </c>
      <c r="K238" s="5">
        <v>900.0</v>
      </c>
      <c r="N238" s="8">
        <v>45777.0</v>
      </c>
    </row>
    <row r="239">
      <c r="A239" s="5">
        <v>238.0</v>
      </c>
      <c r="B239" s="5" t="s">
        <v>662</v>
      </c>
      <c r="C239" s="5" t="s">
        <v>21</v>
      </c>
      <c r="K239" s="5">
        <v>600.0</v>
      </c>
      <c r="N239" s="8">
        <v>44994.0</v>
      </c>
    </row>
    <row r="240">
      <c r="A240" s="5">
        <v>239.0</v>
      </c>
      <c r="B240" s="5" t="s">
        <v>664</v>
      </c>
      <c r="C240" s="5" t="s">
        <v>21</v>
      </c>
      <c r="K240" s="5">
        <v>300.0</v>
      </c>
      <c r="N240" s="8">
        <v>44756.0</v>
      </c>
    </row>
    <row r="241">
      <c r="A241" s="5">
        <v>240.0</v>
      </c>
      <c r="B241" s="5" t="s">
        <v>667</v>
      </c>
      <c r="C241" s="5" t="s">
        <v>21</v>
      </c>
      <c r="K241" s="5">
        <v>250.0</v>
      </c>
      <c r="N241" s="8">
        <v>44597.0</v>
      </c>
    </row>
    <row r="242">
      <c r="A242" s="5">
        <v>241.0</v>
      </c>
      <c r="B242" s="5" t="s">
        <v>669</v>
      </c>
      <c r="C242" s="5" t="s">
        <v>21</v>
      </c>
      <c r="K242" s="5">
        <v>100.0</v>
      </c>
      <c r="N242" s="8">
        <v>44277.0</v>
      </c>
    </row>
    <row r="243">
      <c r="A243" s="5">
        <v>242.0</v>
      </c>
      <c r="B243" s="5" t="s">
        <v>671</v>
      </c>
      <c r="C243" s="5" t="s">
        <v>21</v>
      </c>
      <c r="K243" s="5">
        <v>400.0</v>
      </c>
      <c r="N243" s="8">
        <v>44584.0</v>
      </c>
    </row>
    <row r="244">
      <c r="A244" s="5">
        <v>243.0</v>
      </c>
      <c r="B244" s="5" t="s">
        <v>673</v>
      </c>
      <c r="C244" s="5" t="s">
        <v>21</v>
      </c>
      <c r="K244" s="5">
        <v>300.0</v>
      </c>
      <c r="N244" s="8">
        <v>44651.0</v>
      </c>
    </row>
    <row r="245">
      <c r="A245" s="5">
        <v>244.0</v>
      </c>
      <c r="B245" s="5" t="s">
        <v>675</v>
      </c>
      <c r="C245" s="5" t="s">
        <v>21</v>
      </c>
      <c r="K245" s="5">
        <v>300.0</v>
      </c>
      <c r="N245" s="8">
        <v>44017.0</v>
      </c>
    </row>
    <row r="246">
      <c r="A246" s="5">
        <v>245.0</v>
      </c>
      <c r="B246" s="5" t="s">
        <v>677</v>
      </c>
      <c r="C246" s="5" t="s">
        <v>21</v>
      </c>
      <c r="K246" s="5">
        <v>150.0</v>
      </c>
      <c r="N246" s="8">
        <v>45520.0</v>
      </c>
    </row>
    <row r="247">
      <c r="A247" s="5">
        <v>246.0</v>
      </c>
      <c r="B247" s="5" t="s">
        <v>679</v>
      </c>
      <c r="C247" s="5" t="s">
        <v>21</v>
      </c>
      <c r="K247" s="5">
        <v>600.0</v>
      </c>
      <c r="N247" s="8">
        <v>44401.0</v>
      </c>
    </row>
    <row r="248">
      <c r="A248" s="5">
        <v>247.0</v>
      </c>
      <c r="B248" s="5" t="s">
        <v>681</v>
      </c>
      <c r="C248" s="5" t="s">
        <v>21</v>
      </c>
      <c r="K248" s="5">
        <v>800.0</v>
      </c>
      <c r="N248" s="8">
        <v>44482.0</v>
      </c>
    </row>
    <row r="249">
      <c r="A249" s="5">
        <v>248.0</v>
      </c>
      <c r="B249" s="5" t="s">
        <v>683</v>
      </c>
      <c r="C249" s="5" t="s">
        <v>21</v>
      </c>
      <c r="K249" s="5">
        <v>100.0</v>
      </c>
      <c r="N249" s="8">
        <v>45054.0</v>
      </c>
    </row>
    <row r="250">
      <c r="A250" s="5">
        <v>249.0</v>
      </c>
      <c r="B250" s="5" t="s">
        <v>685</v>
      </c>
      <c r="C250" s="5" t="s">
        <v>21</v>
      </c>
      <c r="K250" s="5">
        <v>300.0</v>
      </c>
      <c r="N250" s="8">
        <v>45099.0</v>
      </c>
    </row>
    <row r="251">
      <c r="A251" s="5">
        <v>250.0</v>
      </c>
      <c r="B251" s="5" t="s">
        <v>688</v>
      </c>
      <c r="C251" s="5" t="s">
        <v>21</v>
      </c>
      <c r="K251" s="5">
        <v>1900.0</v>
      </c>
      <c r="N251" s="8">
        <v>44516.0</v>
      </c>
    </row>
    <row r="252">
      <c r="A252" s="5">
        <v>251.0</v>
      </c>
      <c r="B252" s="5" t="s">
        <v>690</v>
      </c>
      <c r="C252" s="5" t="s">
        <v>21</v>
      </c>
      <c r="K252" s="5">
        <v>200.0</v>
      </c>
      <c r="N252" s="8">
        <v>44597.0</v>
      </c>
    </row>
    <row r="253">
      <c r="A253" s="5">
        <v>252.0</v>
      </c>
      <c r="B253" s="5" t="s">
        <v>692</v>
      </c>
      <c r="C253" s="5" t="s">
        <v>21</v>
      </c>
      <c r="K253" s="5">
        <v>1100.0</v>
      </c>
      <c r="N253" s="8">
        <v>44382.0</v>
      </c>
    </row>
    <row r="254">
      <c r="A254" s="5">
        <v>253.0</v>
      </c>
      <c r="B254" s="5" t="s">
        <v>694</v>
      </c>
      <c r="C254" s="5" t="s">
        <v>21</v>
      </c>
      <c r="K254" s="5">
        <v>70.0</v>
      </c>
      <c r="N254" s="8">
        <v>45276.0</v>
      </c>
    </row>
    <row r="255">
      <c r="A255" s="5">
        <v>254.0</v>
      </c>
      <c r="B255" s="5" t="s">
        <v>696</v>
      </c>
      <c r="C255" s="5" t="s">
        <v>21</v>
      </c>
      <c r="K255" s="5">
        <v>150.0</v>
      </c>
      <c r="N255" s="8">
        <v>45296.0</v>
      </c>
    </row>
    <row r="256">
      <c r="A256" s="5">
        <v>255.0</v>
      </c>
      <c r="B256" s="5" t="s">
        <v>698</v>
      </c>
      <c r="C256" s="5" t="s">
        <v>21</v>
      </c>
      <c r="K256" s="5">
        <v>50.0</v>
      </c>
      <c r="N256" s="8">
        <v>44632.0</v>
      </c>
    </row>
    <row r="257">
      <c r="A257" s="5">
        <v>256.0</v>
      </c>
      <c r="B257" s="5" t="s">
        <v>700</v>
      </c>
      <c r="C257" s="5" t="s">
        <v>21</v>
      </c>
      <c r="K257" s="5">
        <v>40.0</v>
      </c>
      <c r="N257" s="8">
        <v>44986.0</v>
      </c>
    </row>
    <row r="258">
      <c r="A258" s="5">
        <v>257.0</v>
      </c>
      <c r="B258" s="5" t="s">
        <v>703</v>
      </c>
      <c r="C258" s="5" t="s">
        <v>21</v>
      </c>
      <c r="K258" s="5">
        <v>5400.0</v>
      </c>
      <c r="N258" s="8">
        <v>44055.0</v>
      </c>
    </row>
    <row r="259">
      <c r="A259" s="5">
        <v>258.0</v>
      </c>
      <c r="B259" s="5" t="s">
        <v>706</v>
      </c>
      <c r="C259" s="5" t="s">
        <v>21</v>
      </c>
      <c r="K259" s="5">
        <v>30.0</v>
      </c>
      <c r="N259" s="8">
        <v>44572.0</v>
      </c>
    </row>
    <row r="260">
      <c r="A260" s="5">
        <v>259.0</v>
      </c>
      <c r="B260" s="5" t="s">
        <v>45</v>
      </c>
      <c r="C260" s="5" t="s">
        <v>21</v>
      </c>
      <c r="K260" s="5">
        <v>20.0</v>
      </c>
      <c r="N260" s="8">
        <v>44530.0</v>
      </c>
    </row>
    <row r="261">
      <c r="A261" s="5">
        <v>260.0</v>
      </c>
      <c r="B261" s="5" t="s">
        <v>710</v>
      </c>
      <c r="C261" s="5" t="s">
        <v>21</v>
      </c>
      <c r="K261" s="5">
        <v>900.0</v>
      </c>
      <c r="N261" s="8">
        <v>45628.0</v>
      </c>
    </row>
    <row r="262">
      <c r="A262" s="5">
        <v>261.0</v>
      </c>
      <c r="B262" s="5" t="s">
        <v>712</v>
      </c>
      <c r="C262" s="5" t="s">
        <v>21</v>
      </c>
      <c r="K262" s="5">
        <v>30.0</v>
      </c>
      <c r="N262" s="8">
        <v>44254.0</v>
      </c>
    </row>
    <row r="263">
      <c r="A263" s="5">
        <v>262.0</v>
      </c>
      <c r="B263" s="5" t="s">
        <v>714</v>
      </c>
      <c r="C263" s="5" t="s">
        <v>21</v>
      </c>
      <c r="K263" s="5">
        <v>300.0</v>
      </c>
      <c r="N263" s="8">
        <v>44662.0</v>
      </c>
    </row>
    <row r="264">
      <c r="A264" s="5">
        <v>263.0</v>
      </c>
      <c r="B264" s="5" t="s">
        <v>717</v>
      </c>
      <c r="C264" s="5" t="s">
        <v>21</v>
      </c>
      <c r="K264" s="5">
        <v>450.0</v>
      </c>
      <c r="N264" s="8">
        <v>44627.0</v>
      </c>
    </row>
    <row r="265">
      <c r="A265" s="5">
        <v>264.0</v>
      </c>
      <c r="B265" s="5" t="s">
        <v>719</v>
      </c>
      <c r="C265" s="5" t="s">
        <v>21</v>
      </c>
      <c r="K265" s="5">
        <v>250.0</v>
      </c>
      <c r="N265" s="8">
        <v>44079.0</v>
      </c>
    </row>
    <row r="266">
      <c r="A266" s="5">
        <v>265.0</v>
      </c>
      <c r="B266" s="5" t="s">
        <v>722</v>
      </c>
      <c r="C266" s="5" t="s">
        <v>21</v>
      </c>
      <c r="K266" s="5">
        <v>1600.0</v>
      </c>
      <c r="N266" s="8">
        <v>45565.0</v>
      </c>
    </row>
    <row r="267">
      <c r="A267" s="5">
        <v>266.0</v>
      </c>
      <c r="B267" s="5" t="s">
        <v>724</v>
      </c>
      <c r="C267" s="5" t="s">
        <v>21</v>
      </c>
      <c r="K267" s="5">
        <v>700.0</v>
      </c>
      <c r="N267" s="8">
        <v>44390.0</v>
      </c>
    </row>
    <row r="268">
      <c r="A268" s="5">
        <v>267.0</v>
      </c>
      <c r="B268" s="5" t="s">
        <v>726</v>
      </c>
      <c r="C268" s="5" t="s">
        <v>21</v>
      </c>
      <c r="K268" s="5">
        <v>700.0</v>
      </c>
      <c r="N268" s="8">
        <v>44475.0</v>
      </c>
    </row>
    <row r="269">
      <c r="A269" s="5">
        <v>268.0</v>
      </c>
      <c r="B269" s="5" t="s">
        <v>730</v>
      </c>
      <c r="C269" s="5" t="s">
        <v>21</v>
      </c>
      <c r="K269" s="5">
        <v>200.0</v>
      </c>
      <c r="N269" s="8">
        <v>44236.0</v>
      </c>
    </row>
    <row r="270">
      <c r="A270" s="5">
        <v>269.0</v>
      </c>
      <c r="B270" s="5" t="s">
        <v>732</v>
      </c>
      <c r="C270" s="5" t="s">
        <v>21</v>
      </c>
      <c r="K270" s="5">
        <v>500.0</v>
      </c>
      <c r="N270" s="8">
        <v>44807.0</v>
      </c>
    </row>
    <row r="271">
      <c r="A271" s="5">
        <v>270.0</v>
      </c>
      <c r="B271" s="5" t="s">
        <v>735</v>
      </c>
      <c r="C271" s="5" t="s">
        <v>21</v>
      </c>
      <c r="K271" s="5">
        <v>600.0</v>
      </c>
      <c r="N271" s="8">
        <v>44553.0</v>
      </c>
    </row>
    <row r="272">
      <c r="A272" s="5">
        <v>271.0</v>
      </c>
      <c r="B272" s="5" t="s">
        <v>737</v>
      </c>
      <c r="C272" s="5" t="s">
        <v>21</v>
      </c>
      <c r="K272" s="5">
        <v>30.0</v>
      </c>
      <c r="N272" s="8">
        <v>44593.0</v>
      </c>
    </row>
    <row r="273">
      <c r="A273" s="5">
        <v>272.0</v>
      </c>
      <c r="B273" s="5" t="s">
        <v>739</v>
      </c>
      <c r="C273" s="5" t="s">
        <v>21</v>
      </c>
      <c r="K273" s="5">
        <v>1200.0</v>
      </c>
      <c r="N273" s="8">
        <v>44054.0</v>
      </c>
    </row>
    <row r="274">
      <c r="A274" s="5">
        <v>273.0</v>
      </c>
      <c r="B274" s="5" t="s">
        <v>742</v>
      </c>
      <c r="C274" s="5" t="s">
        <v>21</v>
      </c>
      <c r="K274" s="5">
        <v>350.0</v>
      </c>
      <c r="N274" s="8">
        <v>45228.0</v>
      </c>
    </row>
    <row r="275">
      <c r="A275" s="5">
        <v>274.0</v>
      </c>
      <c r="B275" s="5" t="s">
        <v>744</v>
      </c>
      <c r="C275" s="5" t="s">
        <v>21</v>
      </c>
      <c r="K275" s="5">
        <v>250.0</v>
      </c>
      <c r="N275" s="8">
        <v>44829.0</v>
      </c>
    </row>
    <row r="276">
      <c r="A276" s="5">
        <v>275.0</v>
      </c>
      <c r="B276" s="5" t="s">
        <v>747</v>
      </c>
      <c r="C276" s="5" t="s">
        <v>21</v>
      </c>
      <c r="K276" s="5">
        <v>50.0</v>
      </c>
      <c r="N276" s="8">
        <v>44443.0</v>
      </c>
    </row>
    <row r="277">
      <c r="A277" s="5">
        <v>276.0</v>
      </c>
      <c r="B277" s="5" t="s">
        <v>749</v>
      </c>
      <c r="C277" s="5" t="s">
        <v>21</v>
      </c>
      <c r="K277" s="5">
        <v>28000.0</v>
      </c>
      <c r="N277" s="8">
        <v>45536.0</v>
      </c>
    </row>
    <row r="278">
      <c r="A278" s="5">
        <v>277.0</v>
      </c>
      <c r="B278" s="5" t="s">
        <v>752</v>
      </c>
      <c r="C278" s="5" t="s">
        <v>21</v>
      </c>
      <c r="K278" s="5">
        <v>80.0</v>
      </c>
      <c r="N278" s="8">
        <v>44524.0</v>
      </c>
    </row>
    <row r="279">
      <c r="A279" s="5">
        <v>278.0</v>
      </c>
      <c r="B279" s="5" t="s">
        <v>754</v>
      </c>
      <c r="C279" s="5" t="s">
        <v>21</v>
      </c>
      <c r="K279" s="5">
        <v>90.0</v>
      </c>
      <c r="N279" s="8">
        <v>43957.0</v>
      </c>
    </row>
    <row r="280">
      <c r="A280" s="5">
        <v>279.0</v>
      </c>
      <c r="B280" s="5" t="s">
        <v>756</v>
      </c>
      <c r="C280" s="5" t="s">
        <v>21</v>
      </c>
      <c r="K280" s="5">
        <v>100.0</v>
      </c>
      <c r="N280" s="8">
        <v>44499.0</v>
      </c>
    </row>
    <row r="281">
      <c r="A281" s="5">
        <v>280.0</v>
      </c>
      <c r="B281" s="5" t="s">
        <v>758</v>
      </c>
      <c r="C281" s="5" t="s">
        <v>21</v>
      </c>
      <c r="K281" s="5">
        <v>150.0</v>
      </c>
      <c r="N281" s="8">
        <v>44387.0</v>
      </c>
    </row>
    <row r="282">
      <c r="A282" s="5">
        <v>281.0</v>
      </c>
      <c r="B282" s="5" t="s">
        <v>760</v>
      </c>
      <c r="C282" s="5" t="s">
        <v>21</v>
      </c>
      <c r="K282" s="5">
        <v>60.0</v>
      </c>
      <c r="N282" s="8">
        <v>44529.0</v>
      </c>
    </row>
    <row r="283">
      <c r="A283" s="5">
        <v>282.0</v>
      </c>
      <c r="B283" s="5" t="s">
        <v>763</v>
      </c>
      <c r="C283" s="5" t="s">
        <v>21</v>
      </c>
      <c r="K283" s="5">
        <v>150.0</v>
      </c>
      <c r="N283" s="8">
        <v>44603.0</v>
      </c>
    </row>
    <row r="284">
      <c r="A284" s="5">
        <v>283.0</v>
      </c>
      <c r="B284" s="5" t="s">
        <v>765</v>
      </c>
      <c r="C284" s="5" t="s">
        <v>21</v>
      </c>
      <c r="K284" s="5">
        <v>150.0</v>
      </c>
      <c r="N284" s="8">
        <v>44700.0</v>
      </c>
    </row>
    <row r="285">
      <c r="A285" s="5">
        <v>284.0</v>
      </c>
      <c r="B285" s="5" t="s">
        <v>768</v>
      </c>
      <c r="C285" s="5" t="s">
        <v>21</v>
      </c>
      <c r="K285" s="5">
        <v>90.0</v>
      </c>
      <c r="N285" s="8">
        <v>44359.0</v>
      </c>
    </row>
    <row r="286">
      <c r="A286" s="5">
        <v>285.0</v>
      </c>
      <c r="B286" s="5" t="s">
        <v>771</v>
      </c>
      <c r="C286" s="5" t="s">
        <v>21</v>
      </c>
      <c r="K286" s="5">
        <v>400.0</v>
      </c>
      <c r="N286" s="8">
        <v>44577.0</v>
      </c>
    </row>
    <row r="287">
      <c r="A287" s="5">
        <v>286.0</v>
      </c>
      <c r="B287" s="5" t="s">
        <v>772</v>
      </c>
      <c r="C287" s="5" t="s">
        <v>21</v>
      </c>
      <c r="K287" s="5">
        <v>400.0</v>
      </c>
      <c r="N287" s="8">
        <v>44530.0</v>
      </c>
    </row>
    <row r="288">
      <c r="A288" s="5">
        <v>287.0</v>
      </c>
      <c r="B288" s="5" t="s">
        <v>774</v>
      </c>
      <c r="C288" s="5" t="s">
        <v>21</v>
      </c>
      <c r="K288" s="5">
        <v>250.0</v>
      </c>
      <c r="N288" s="8">
        <v>44208.0</v>
      </c>
    </row>
    <row r="289">
      <c r="A289" s="5">
        <v>288.0</v>
      </c>
      <c r="B289" s="5" t="s">
        <v>777</v>
      </c>
      <c r="C289" s="5" t="s">
        <v>21</v>
      </c>
      <c r="K289" s="5">
        <v>350.0</v>
      </c>
      <c r="N289" s="8">
        <v>44658.0</v>
      </c>
    </row>
    <row r="290">
      <c r="A290" s="5">
        <v>289.0</v>
      </c>
      <c r="B290" s="5" t="s">
        <v>778</v>
      </c>
      <c r="C290" s="5" t="s">
        <v>21</v>
      </c>
      <c r="K290" s="5">
        <v>4600.0</v>
      </c>
      <c r="N290" s="8">
        <v>43920.0</v>
      </c>
    </row>
    <row r="291">
      <c r="A291" s="5">
        <v>290.0</v>
      </c>
      <c r="B291" s="5" t="s">
        <v>48</v>
      </c>
      <c r="C291" s="5" t="s">
        <v>21</v>
      </c>
      <c r="K291" s="5">
        <v>100.0</v>
      </c>
      <c r="N291" s="8">
        <v>44923.0</v>
      </c>
    </row>
    <row r="292">
      <c r="A292" s="5">
        <v>291.0</v>
      </c>
      <c r="B292" s="5" t="s">
        <v>779</v>
      </c>
      <c r="C292" s="5" t="s">
        <v>21</v>
      </c>
      <c r="K292" s="5">
        <v>30.0</v>
      </c>
      <c r="N292" s="8">
        <v>45050.0</v>
      </c>
    </row>
    <row r="293">
      <c r="A293" s="5">
        <v>292.0</v>
      </c>
      <c r="B293" s="5" t="s">
        <v>781</v>
      </c>
      <c r="C293" s="5" t="s">
        <v>21</v>
      </c>
      <c r="K293" s="5">
        <v>350.0</v>
      </c>
      <c r="N293" s="8">
        <v>44518.0</v>
      </c>
    </row>
    <row r="294">
      <c r="A294" s="5">
        <v>293.0</v>
      </c>
      <c r="B294" s="5" t="s">
        <v>782</v>
      </c>
      <c r="C294" s="5" t="s">
        <v>21</v>
      </c>
      <c r="K294" s="5">
        <v>2400.0</v>
      </c>
      <c r="N294" s="8">
        <v>44003.0</v>
      </c>
    </row>
    <row r="295">
      <c r="A295" s="5">
        <v>294.0</v>
      </c>
      <c r="B295" s="5" t="s">
        <v>784</v>
      </c>
      <c r="C295" s="5" t="s">
        <v>21</v>
      </c>
      <c r="K295" s="5">
        <v>1100.0</v>
      </c>
      <c r="N295" s="8">
        <v>43926.0</v>
      </c>
    </row>
    <row r="296">
      <c r="A296" s="5">
        <v>295.0</v>
      </c>
      <c r="B296" s="5" t="s">
        <v>785</v>
      </c>
      <c r="C296" s="5" t="s">
        <v>21</v>
      </c>
      <c r="K296" s="5">
        <v>11000.0</v>
      </c>
      <c r="N296" s="8">
        <v>44955.0</v>
      </c>
    </row>
    <row r="297">
      <c r="A297" s="5">
        <v>296.0</v>
      </c>
      <c r="B297" s="5" t="s">
        <v>788</v>
      </c>
      <c r="C297" s="5" t="s">
        <v>21</v>
      </c>
      <c r="K297" s="5">
        <v>250.0</v>
      </c>
      <c r="N297" s="8">
        <v>44276.0</v>
      </c>
    </row>
    <row r="298">
      <c r="A298" s="5">
        <v>297.0</v>
      </c>
      <c r="B298" s="5" t="s">
        <v>790</v>
      </c>
      <c r="C298" s="5" t="s">
        <v>21</v>
      </c>
      <c r="K298" s="5">
        <v>2000.0</v>
      </c>
      <c r="N298" s="8">
        <v>45732.0</v>
      </c>
    </row>
    <row r="299">
      <c r="A299" s="5">
        <v>298.0</v>
      </c>
      <c r="B299" s="5" t="s">
        <v>791</v>
      </c>
      <c r="C299" s="5" t="s">
        <v>21</v>
      </c>
      <c r="K299" s="5">
        <v>300.0</v>
      </c>
      <c r="N299" s="8">
        <v>44582.0</v>
      </c>
    </row>
    <row r="300">
      <c r="A300" s="5">
        <v>299.0</v>
      </c>
      <c r="B300" s="5" t="s">
        <v>793</v>
      </c>
      <c r="C300" s="5" t="s">
        <v>21</v>
      </c>
      <c r="K300" s="5">
        <v>200.0</v>
      </c>
      <c r="N300" s="8">
        <v>44544.0</v>
      </c>
    </row>
    <row r="301">
      <c r="A301" s="5">
        <v>300.0</v>
      </c>
      <c r="B301" s="5" t="s">
        <v>795</v>
      </c>
      <c r="C301" s="5" t="s">
        <v>21</v>
      </c>
      <c r="K301" s="5">
        <v>50.0</v>
      </c>
      <c r="N301" s="8">
        <v>43908.0</v>
      </c>
    </row>
    <row r="302">
      <c r="A302" s="5">
        <v>301.0</v>
      </c>
      <c r="B302" s="5" t="s">
        <v>797</v>
      </c>
      <c r="C302" s="5" t="s">
        <v>21</v>
      </c>
      <c r="K302" s="5">
        <v>30.0</v>
      </c>
      <c r="N302" s="8">
        <v>44493.0</v>
      </c>
    </row>
    <row r="303">
      <c r="A303" s="5">
        <v>302.0</v>
      </c>
      <c r="B303" s="5" t="s">
        <v>799</v>
      </c>
      <c r="C303" s="5" t="s">
        <v>21</v>
      </c>
      <c r="K303" s="5">
        <v>200.0</v>
      </c>
      <c r="N303" s="8">
        <v>45039.0</v>
      </c>
    </row>
    <row r="304">
      <c r="A304" s="5">
        <v>303.0</v>
      </c>
      <c r="B304" s="5" t="s">
        <v>800</v>
      </c>
      <c r="C304" s="5" t="s">
        <v>21</v>
      </c>
      <c r="K304" s="5">
        <v>300.0</v>
      </c>
      <c r="N304" s="8">
        <v>44779.0</v>
      </c>
    </row>
    <row r="305">
      <c r="A305" s="5">
        <v>304.0</v>
      </c>
      <c r="B305" s="5" t="s">
        <v>801</v>
      </c>
      <c r="C305" s="5" t="s">
        <v>21</v>
      </c>
      <c r="K305" s="5">
        <v>10.0</v>
      </c>
      <c r="N305" s="8">
        <v>44890.0</v>
      </c>
    </row>
    <row r="306">
      <c r="A306" s="5">
        <v>305.0</v>
      </c>
      <c r="B306" s="5" t="s">
        <v>804</v>
      </c>
      <c r="C306" s="5" t="s">
        <v>21</v>
      </c>
      <c r="K306" s="5">
        <v>800.0</v>
      </c>
      <c r="N306" s="8">
        <v>44184.0</v>
      </c>
    </row>
    <row r="307">
      <c r="A307" s="5">
        <v>306.0</v>
      </c>
      <c r="B307" s="5" t="s">
        <v>806</v>
      </c>
      <c r="C307" s="5" t="s">
        <v>21</v>
      </c>
      <c r="K307" s="5">
        <v>80.0</v>
      </c>
      <c r="N307" s="8">
        <v>43967.0</v>
      </c>
    </row>
    <row r="308">
      <c r="A308" s="5">
        <v>307.0</v>
      </c>
      <c r="B308" s="5" t="s">
        <v>808</v>
      </c>
      <c r="C308" s="5" t="s">
        <v>21</v>
      </c>
      <c r="K308" s="5">
        <v>200.0</v>
      </c>
      <c r="N308" s="8">
        <v>44809.0</v>
      </c>
    </row>
    <row r="309">
      <c r="A309" s="5">
        <v>308.0</v>
      </c>
      <c r="B309" s="5" t="s">
        <v>811</v>
      </c>
      <c r="C309" s="5" t="s">
        <v>21</v>
      </c>
      <c r="K309" s="5">
        <v>1000.0</v>
      </c>
      <c r="N309" s="8">
        <v>45523.0</v>
      </c>
    </row>
    <row r="310">
      <c r="A310" s="5">
        <v>309.0</v>
      </c>
      <c r="B310" s="5" t="s">
        <v>813</v>
      </c>
      <c r="C310" s="5" t="s">
        <v>21</v>
      </c>
      <c r="K310" s="5">
        <v>300.0</v>
      </c>
      <c r="N310" s="8">
        <v>45493.0</v>
      </c>
    </row>
    <row r="311">
      <c r="A311" s="5">
        <v>310.0</v>
      </c>
      <c r="B311" s="5" t="s">
        <v>814</v>
      </c>
      <c r="C311" s="5" t="s">
        <v>21</v>
      </c>
      <c r="K311" s="5">
        <v>300.0</v>
      </c>
      <c r="N311" s="8">
        <v>44449.0</v>
      </c>
    </row>
    <row r="312">
      <c r="A312" s="5">
        <v>311.0</v>
      </c>
      <c r="B312" s="5" t="s">
        <v>815</v>
      </c>
      <c r="C312" s="5" t="s">
        <v>21</v>
      </c>
      <c r="K312" s="5">
        <v>150.0</v>
      </c>
      <c r="N312" s="8">
        <v>44637.0</v>
      </c>
    </row>
    <row r="313">
      <c r="A313" s="5">
        <v>312.0</v>
      </c>
      <c r="B313" s="5" t="s">
        <v>818</v>
      </c>
      <c r="C313" s="5" t="s">
        <v>21</v>
      </c>
      <c r="K313" s="5">
        <v>200.0</v>
      </c>
      <c r="N313" s="8">
        <v>44660.0</v>
      </c>
    </row>
    <row r="314">
      <c r="A314" s="5">
        <v>313.0</v>
      </c>
      <c r="B314" s="5" t="s">
        <v>819</v>
      </c>
      <c r="C314" s="5" t="s">
        <v>21</v>
      </c>
      <c r="K314" s="5">
        <v>150.0</v>
      </c>
      <c r="N314" s="8">
        <v>44392.0</v>
      </c>
    </row>
    <row r="315">
      <c r="A315" s="5">
        <v>314.0</v>
      </c>
      <c r="B315" s="5" t="s">
        <v>821</v>
      </c>
      <c r="C315" s="5" t="s">
        <v>21</v>
      </c>
      <c r="K315" s="5">
        <v>100.0</v>
      </c>
      <c r="N315" s="8">
        <v>44764.0</v>
      </c>
    </row>
    <row r="316">
      <c r="A316" s="5">
        <v>315.0</v>
      </c>
      <c r="B316" s="5" t="s">
        <v>822</v>
      </c>
      <c r="C316" s="5" t="s">
        <v>21</v>
      </c>
      <c r="K316" s="5">
        <v>200.0</v>
      </c>
      <c r="N316" s="8">
        <v>44618.0</v>
      </c>
    </row>
    <row r="317">
      <c r="A317" s="5">
        <v>316.0</v>
      </c>
      <c r="B317" s="5" t="s">
        <v>825</v>
      </c>
      <c r="C317" s="5" t="s">
        <v>21</v>
      </c>
      <c r="K317" s="5">
        <v>350.0</v>
      </c>
      <c r="N317" s="8">
        <v>44440.0</v>
      </c>
    </row>
    <row r="318">
      <c r="A318" s="5">
        <v>317.0</v>
      </c>
      <c r="B318" s="5" t="s">
        <v>827</v>
      </c>
      <c r="C318" s="5" t="s">
        <v>21</v>
      </c>
      <c r="K318" s="5">
        <v>100.0</v>
      </c>
      <c r="N318" s="8">
        <v>44140.0</v>
      </c>
    </row>
    <row r="319">
      <c r="A319" s="5">
        <v>318.0</v>
      </c>
      <c r="B319" s="5" t="s">
        <v>50</v>
      </c>
      <c r="C319" s="5" t="s">
        <v>21</v>
      </c>
      <c r="K319" s="5">
        <v>200.0</v>
      </c>
      <c r="N319" s="8">
        <v>44145.0</v>
      </c>
    </row>
    <row r="320">
      <c r="A320" s="5">
        <v>319.0</v>
      </c>
      <c r="B320" s="5" t="s">
        <v>828</v>
      </c>
      <c r="C320" s="5" t="s">
        <v>21</v>
      </c>
      <c r="K320" s="5">
        <v>800.0</v>
      </c>
      <c r="N320" s="8">
        <v>44422.0</v>
      </c>
    </row>
    <row r="321">
      <c r="A321" s="5">
        <v>320.0</v>
      </c>
      <c r="B321" s="5" t="s">
        <v>830</v>
      </c>
      <c r="C321" s="5" t="s">
        <v>21</v>
      </c>
      <c r="K321" s="5">
        <v>700.0</v>
      </c>
      <c r="N321" s="8">
        <v>44576.0</v>
      </c>
    </row>
    <row r="322">
      <c r="A322" s="5">
        <v>321.0</v>
      </c>
      <c r="B322" s="5" t="s">
        <v>833</v>
      </c>
      <c r="C322" s="5" t="s">
        <v>21</v>
      </c>
      <c r="K322" s="5">
        <v>700.0</v>
      </c>
      <c r="N322" s="8">
        <v>44568.0</v>
      </c>
    </row>
    <row r="323">
      <c r="A323" s="5">
        <v>322.0</v>
      </c>
      <c r="B323" s="5" t="s">
        <v>834</v>
      </c>
      <c r="C323" s="5" t="s">
        <v>21</v>
      </c>
      <c r="K323" s="5">
        <v>1500.0</v>
      </c>
      <c r="N323" s="8">
        <v>44020.0</v>
      </c>
    </row>
    <row r="324">
      <c r="A324" s="5">
        <v>323.0</v>
      </c>
      <c r="B324" s="5" t="s">
        <v>835</v>
      </c>
      <c r="C324" s="5" t="s">
        <v>21</v>
      </c>
      <c r="K324" s="5">
        <v>200.0</v>
      </c>
      <c r="N324" s="8">
        <v>44696.0</v>
      </c>
    </row>
    <row r="325">
      <c r="A325" s="5">
        <v>324.0</v>
      </c>
      <c r="B325" s="5" t="s">
        <v>836</v>
      </c>
      <c r="C325" s="5" t="s">
        <v>21</v>
      </c>
      <c r="K325" s="5">
        <v>20.0</v>
      </c>
      <c r="N325" s="8">
        <v>45363.0</v>
      </c>
    </row>
    <row r="326">
      <c r="A326" s="5">
        <v>325.0</v>
      </c>
      <c r="B326" s="5" t="s">
        <v>839</v>
      </c>
      <c r="C326" s="5" t="s">
        <v>21</v>
      </c>
      <c r="K326" s="5">
        <v>3200.0</v>
      </c>
      <c r="N326" s="8">
        <v>43881.0</v>
      </c>
    </row>
    <row r="327">
      <c r="A327" s="5">
        <v>326.0</v>
      </c>
      <c r="B327" s="5" t="s">
        <v>840</v>
      </c>
      <c r="C327" s="5" t="s">
        <v>21</v>
      </c>
      <c r="K327" s="5">
        <v>250.0</v>
      </c>
      <c r="N327" s="8">
        <v>44551.0</v>
      </c>
    </row>
    <row r="328">
      <c r="A328" s="5">
        <v>327.0</v>
      </c>
      <c r="B328" s="5" t="s">
        <v>841</v>
      </c>
      <c r="C328" s="5" t="s">
        <v>21</v>
      </c>
      <c r="K328" s="5">
        <v>30.0</v>
      </c>
      <c r="N328" s="8">
        <v>44515.0</v>
      </c>
    </row>
    <row r="329">
      <c r="A329" s="5">
        <v>328.0</v>
      </c>
      <c r="B329" s="5" t="s">
        <v>842</v>
      </c>
      <c r="C329" s="5" t="s">
        <v>21</v>
      </c>
      <c r="K329" s="5">
        <v>5600.0</v>
      </c>
      <c r="N329" s="8">
        <v>43940.0</v>
      </c>
    </row>
    <row r="330">
      <c r="A330" s="5">
        <v>329.0</v>
      </c>
      <c r="B330" s="5" t="s">
        <v>843</v>
      </c>
      <c r="C330" s="5" t="s">
        <v>21</v>
      </c>
      <c r="K330" s="5">
        <v>100.0</v>
      </c>
      <c r="N330" s="8">
        <v>43976.0</v>
      </c>
    </row>
    <row r="331">
      <c r="A331" s="5">
        <v>330.0</v>
      </c>
      <c r="B331" s="5" t="s">
        <v>844</v>
      </c>
      <c r="C331" s="5" t="s">
        <v>21</v>
      </c>
      <c r="K331" s="5">
        <v>10.0</v>
      </c>
      <c r="N331" s="8">
        <v>44428.0</v>
      </c>
    </row>
    <row r="332">
      <c r="A332" s="5">
        <v>331.0</v>
      </c>
      <c r="B332" s="5" t="s">
        <v>846</v>
      </c>
      <c r="C332" s="5" t="s">
        <v>21</v>
      </c>
      <c r="K332" s="5">
        <v>30.0</v>
      </c>
      <c r="N332" s="8">
        <v>44992.0</v>
      </c>
    </row>
    <row r="333">
      <c r="A333" s="5">
        <v>332.0</v>
      </c>
      <c r="B333" s="5" t="s">
        <v>54</v>
      </c>
      <c r="C333" s="5" t="s">
        <v>21</v>
      </c>
      <c r="K333" s="5">
        <v>80.0</v>
      </c>
      <c r="N333" s="8">
        <v>44212.0</v>
      </c>
    </row>
    <row r="334">
      <c r="A334" s="5">
        <v>333.0</v>
      </c>
      <c r="B334" s="5" t="s">
        <v>849</v>
      </c>
      <c r="C334" s="5" t="s">
        <v>21</v>
      </c>
      <c r="K334" s="5">
        <v>200.0</v>
      </c>
      <c r="N334" s="8">
        <v>44580.0</v>
      </c>
    </row>
    <row r="335">
      <c r="A335" s="5">
        <v>334.0</v>
      </c>
      <c r="B335" s="5" t="s">
        <v>851</v>
      </c>
      <c r="C335" s="5" t="s">
        <v>21</v>
      </c>
      <c r="K335" s="5">
        <v>400.0</v>
      </c>
      <c r="N335" s="8">
        <v>45777.0</v>
      </c>
    </row>
    <row r="336">
      <c r="A336" s="5">
        <v>335.0</v>
      </c>
      <c r="B336" s="5" t="s">
        <v>852</v>
      </c>
      <c r="C336" s="5" t="s">
        <v>21</v>
      </c>
      <c r="K336" s="5">
        <v>350.0</v>
      </c>
      <c r="N336" s="8">
        <v>45078.0</v>
      </c>
    </row>
    <row r="337">
      <c r="A337" s="5">
        <v>336.0</v>
      </c>
      <c r="B337" s="5" t="s">
        <v>853</v>
      </c>
      <c r="C337" s="5" t="s">
        <v>21</v>
      </c>
      <c r="K337" s="5">
        <v>700.0</v>
      </c>
      <c r="N337" s="8">
        <v>44574.0</v>
      </c>
    </row>
    <row r="338">
      <c r="A338" s="5">
        <v>337.0</v>
      </c>
      <c r="B338" s="5" t="s">
        <v>856</v>
      </c>
      <c r="C338" s="5" t="s">
        <v>21</v>
      </c>
      <c r="K338" s="5">
        <v>150.0</v>
      </c>
      <c r="N338" s="8">
        <v>44528.0</v>
      </c>
    </row>
    <row r="339">
      <c r="A339" s="5">
        <v>338.0</v>
      </c>
      <c r="B339" s="5" t="s">
        <v>858</v>
      </c>
      <c r="C339" s="5" t="s">
        <v>21</v>
      </c>
      <c r="N339" s="8">
        <v>44533.0</v>
      </c>
    </row>
    <row r="340">
      <c r="A340" s="5">
        <v>339.0</v>
      </c>
      <c r="B340" s="5" t="s">
        <v>859</v>
      </c>
      <c r="C340" s="5" t="s">
        <v>21</v>
      </c>
      <c r="K340" s="5">
        <v>250.0</v>
      </c>
      <c r="N340" s="8">
        <v>44986.0</v>
      </c>
    </row>
    <row r="341">
      <c r="A341" s="5">
        <v>340.0</v>
      </c>
      <c r="B341" s="5" t="s">
        <v>861</v>
      </c>
      <c r="C341" s="5" t="s">
        <v>21</v>
      </c>
      <c r="K341" s="5">
        <v>200.0</v>
      </c>
      <c r="N341" s="8">
        <v>45164.0</v>
      </c>
    </row>
    <row r="342">
      <c r="A342" s="5">
        <v>341.0</v>
      </c>
      <c r="B342" s="5" t="s">
        <v>864</v>
      </c>
      <c r="C342" s="5" t="s">
        <v>21</v>
      </c>
      <c r="K342" s="5">
        <v>600.0</v>
      </c>
      <c r="N342" s="8">
        <v>44321.0</v>
      </c>
    </row>
    <row r="343">
      <c r="A343" s="5">
        <v>342.0</v>
      </c>
      <c r="B343" s="5" t="s">
        <v>866</v>
      </c>
      <c r="C343" s="5" t="s">
        <v>21</v>
      </c>
      <c r="K343" s="5">
        <v>50.0</v>
      </c>
      <c r="N343" s="8">
        <v>45587.0</v>
      </c>
    </row>
    <row r="344">
      <c r="A344" s="5">
        <v>343.0</v>
      </c>
      <c r="B344" s="5" t="s">
        <v>867</v>
      </c>
      <c r="C344" s="5" t="s">
        <v>21</v>
      </c>
      <c r="K344" s="5">
        <v>900.0</v>
      </c>
      <c r="N344" s="8">
        <v>44339.0</v>
      </c>
    </row>
    <row r="345">
      <c r="A345" s="5">
        <v>344.0</v>
      </c>
      <c r="B345" s="5" t="s">
        <v>869</v>
      </c>
      <c r="C345" s="5" t="s">
        <v>21</v>
      </c>
      <c r="K345" s="5">
        <v>200.0</v>
      </c>
      <c r="N345" s="8">
        <v>44604.0</v>
      </c>
    </row>
    <row r="346">
      <c r="A346" s="5">
        <v>345.0</v>
      </c>
      <c r="B346" s="5" t="s">
        <v>871</v>
      </c>
      <c r="C346" s="5" t="s">
        <v>21</v>
      </c>
      <c r="K346" s="5">
        <v>350.0</v>
      </c>
      <c r="N346" s="8">
        <v>44828.0</v>
      </c>
    </row>
    <row r="347">
      <c r="A347" s="5">
        <v>346.0</v>
      </c>
      <c r="B347" s="5" t="s">
        <v>873</v>
      </c>
      <c r="C347" s="5" t="s">
        <v>21</v>
      </c>
      <c r="K347" s="5">
        <v>2800.0</v>
      </c>
      <c r="N347" s="8">
        <v>44140.0</v>
      </c>
    </row>
    <row r="348">
      <c r="A348" s="5">
        <v>347.0</v>
      </c>
      <c r="B348" s="5" t="s">
        <v>874</v>
      </c>
      <c r="C348" s="5" t="s">
        <v>21</v>
      </c>
      <c r="K348" s="5">
        <v>100.0</v>
      </c>
      <c r="N348" s="8">
        <v>44604.0</v>
      </c>
    </row>
    <row r="349">
      <c r="A349" s="5">
        <v>348.0</v>
      </c>
      <c r="B349" s="5" t="s">
        <v>875</v>
      </c>
      <c r="C349" s="5" t="s">
        <v>21</v>
      </c>
      <c r="K349" s="5">
        <v>250.0</v>
      </c>
      <c r="N349" s="8">
        <v>45089.0</v>
      </c>
    </row>
    <row r="350">
      <c r="A350" s="5">
        <v>349.0</v>
      </c>
      <c r="B350" s="5" t="s">
        <v>877</v>
      </c>
      <c r="C350" s="5" t="s">
        <v>21</v>
      </c>
      <c r="K350" s="5">
        <v>2700.0</v>
      </c>
      <c r="N350" s="8">
        <v>44356.0</v>
      </c>
    </row>
    <row r="351">
      <c r="A351" s="5">
        <v>350.0</v>
      </c>
      <c r="B351" s="5" t="s">
        <v>878</v>
      </c>
      <c r="C351" s="5" t="s">
        <v>21</v>
      </c>
      <c r="K351" s="5">
        <v>1700.0</v>
      </c>
      <c r="N351" s="8">
        <v>44081.0</v>
      </c>
    </row>
    <row r="352">
      <c r="A352" s="5">
        <v>351.0</v>
      </c>
      <c r="B352" s="5" t="s">
        <v>879</v>
      </c>
      <c r="C352" s="5" t="s">
        <v>21</v>
      </c>
      <c r="K352" s="5">
        <v>350.0</v>
      </c>
      <c r="N352" s="8">
        <v>45419.0</v>
      </c>
    </row>
    <row r="353">
      <c r="A353" s="5">
        <v>352.0</v>
      </c>
      <c r="B353" s="5" t="s">
        <v>881</v>
      </c>
      <c r="C353" s="5" t="s">
        <v>21</v>
      </c>
      <c r="K353" s="5">
        <v>50.0</v>
      </c>
      <c r="N353" s="8">
        <v>45110.0</v>
      </c>
    </row>
    <row r="354">
      <c r="A354" s="5">
        <v>353.0</v>
      </c>
      <c r="B354" s="5" t="s">
        <v>884</v>
      </c>
      <c r="C354" s="5" t="s">
        <v>21</v>
      </c>
      <c r="K354" s="5">
        <v>500.0</v>
      </c>
      <c r="N354" s="8">
        <v>44588.0</v>
      </c>
    </row>
    <row r="355">
      <c r="A355" s="5">
        <v>354.0</v>
      </c>
      <c r="B355" s="5" t="s">
        <v>885</v>
      </c>
      <c r="C355" s="5" t="s">
        <v>21</v>
      </c>
      <c r="K355" s="5">
        <v>40.0</v>
      </c>
      <c r="N355" s="8">
        <v>44878.0</v>
      </c>
    </row>
    <row r="356">
      <c r="A356" s="5">
        <v>355.0</v>
      </c>
      <c r="B356" s="5" t="s">
        <v>886</v>
      </c>
      <c r="C356" s="5" t="s">
        <v>21</v>
      </c>
      <c r="K356" s="5">
        <v>100.0</v>
      </c>
      <c r="N356" s="8">
        <v>45074.0</v>
      </c>
    </row>
    <row r="357">
      <c r="A357" s="5">
        <v>356.0</v>
      </c>
      <c r="B357" s="5" t="s">
        <v>889</v>
      </c>
      <c r="C357" s="5" t="s">
        <v>21</v>
      </c>
      <c r="K357" s="5">
        <v>150.0</v>
      </c>
      <c r="N357" s="8">
        <v>44836.0</v>
      </c>
    </row>
    <row r="358">
      <c r="A358" s="5">
        <v>357.0</v>
      </c>
      <c r="B358" s="5" t="s">
        <v>891</v>
      </c>
      <c r="C358" s="5" t="s">
        <v>21</v>
      </c>
      <c r="K358" s="5">
        <v>150.0</v>
      </c>
      <c r="N358" s="8">
        <v>44543.0</v>
      </c>
    </row>
    <row r="359">
      <c r="A359" s="5">
        <v>358.0</v>
      </c>
      <c r="B359" s="5" t="s">
        <v>892</v>
      </c>
      <c r="C359" s="5" t="s">
        <v>21</v>
      </c>
      <c r="K359" s="5">
        <v>150.0</v>
      </c>
      <c r="N359" s="8">
        <v>45006.0</v>
      </c>
    </row>
    <row r="360">
      <c r="A360" s="5">
        <v>359.0</v>
      </c>
      <c r="B360" s="5" t="s">
        <v>893</v>
      </c>
      <c r="C360" s="5" t="s">
        <v>21</v>
      </c>
      <c r="K360" s="5">
        <v>250.0</v>
      </c>
      <c r="N360" s="8">
        <v>44720.0</v>
      </c>
    </row>
    <row r="361">
      <c r="A361" s="5">
        <v>360.0</v>
      </c>
      <c r="B361" s="5" t="s">
        <v>894</v>
      </c>
      <c r="C361" s="5" t="s">
        <v>21</v>
      </c>
      <c r="K361" s="5">
        <v>1100.0</v>
      </c>
      <c r="N361" s="8">
        <v>44572.0</v>
      </c>
    </row>
    <row r="362">
      <c r="A362" s="5">
        <v>361.0</v>
      </c>
      <c r="B362" s="5" t="s">
        <v>896</v>
      </c>
      <c r="C362" s="5" t="s">
        <v>21</v>
      </c>
      <c r="K362" s="5">
        <v>350.0</v>
      </c>
      <c r="N362" s="8">
        <v>43980.0</v>
      </c>
    </row>
    <row r="363">
      <c r="A363" s="5">
        <v>362.0</v>
      </c>
      <c r="B363" s="5" t="s">
        <v>897</v>
      </c>
      <c r="C363" s="5" t="s">
        <v>21</v>
      </c>
      <c r="K363" s="5">
        <v>200.0</v>
      </c>
      <c r="N363" s="8">
        <v>44558.0</v>
      </c>
    </row>
    <row r="364">
      <c r="A364" s="5">
        <v>363.0</v>
      </c>
      <c r="B364" s="5" t="s">
        <v>899</v>
      </c>
      <c r="C364" s="5" t="s">
        <v>21</v>
      </c>
      <c r="K364" s="5">
        <v>450.0</v>
      </c>
      <c r="N364" s="8">
        <v>44203.0</v>
      </c>
    </row>
    <row r="365">
      <c r="A365" s="5">
        <v>364.0</v>
      </c>
      <c r="B365" s="5" t="s">
        <v>902</v>
      </c>
      <c r="C365" s="5" t="s">
        <v>21</v>
      </c>
      <c r="K365" s="5">
        <v>200.0</v>
      </c>
      <c r="N365" s="8">
        <v>44541.0</v>
      </c>
    </row>
    <row r="366">
      <c r="A366" s="5">
        <v>365.0</v>
      </c>
      <c r="B366" s="5" t="s">
        <v>904</v>
      </c>
      <c r="C366" s="5" t="s">
        <v>21</v>
      </c>
      <c r="K366" s="5">
        <v>250.0</v>
      </c>
      <c r="N366" s="8">
        <v>44431.0</v>
      </c>
    </row>
    <row r="367">
      <c r="A367" s="5">
        <v>366.0</v>
      </c>
      <c r="B367" s="5" t="s">
        <v>906</v>
      </c>
      <c r="C367" s="5" t="s">
        <v>21</v>
      </c>
      <c r="N367" s="8">
        <v>44518.0</v>
      </c>
    </row>
    <row r="368">
      <c r="A368" s="5">
        <v>367.0</v>
      </c>
      <c r="B368" s="5" t="s">
        <v>907</v>
      </c>
      <c r="C368" s="5" t="s">
        <v>21</v>
      </c>
      <c r="K368" s="5">
        <v>150.0</v>
      </c>
      <c r="N368" s="8">
        <v>44353.0</v>
      </c>
    </row>
    <row r="369">
      <c r="A369" s="5">
        <v>368.0</v>
      </c>
      <c r="B369" s="5" t="s">
        <v>101</v>
      </c>
      <c r="C369" s="5" t="s">
        <v>21</v>
      </c>
      <c r="K369" s="5">
        <v>450.0</v>
      </c>
      <c r="N369" s="8">
        <v>43929.0</v>
      </c>
    </row>
    <row r="370">
      <c r="A370" s="5">
        <v>369.0</v>
      </c>
      <c r="B370" s="5" t="s">
        <v>909</v>
      </c>
      <c r="C370" s="5" t="s">
        <v>21</v>
      </c>
      <c r="K370" s="5">
        <v>40.0</v>
      </c>
      <c r="N370" s="8">
        <v>45470.0</v>
      </c>
    </row>
    <row r="371">
      <c r="A371" s="5">
        <v>370.0</v>
      </c>
      <c r="B371" s="5" t="s">
        <v>910</v>
      </c>
      <c r="C371" s="5" t="s">
        <v>21</v>
      </c>
      <c r="K371" s="5">
        <v>10.0</v>
      </c>
      <c r="N371" s="8">
        <v>44565.0</v>
      </c>
    </row>
    <row r="372">
      <c r="A372" s="5">
        <v>371.0</v>
      </c>
      <c r="B372" s="5" t="s">
        <v>911</v>
      </c>
      <c r="C372" s="5" t="s">
        <v>21</v>
      </c>
      <c r="K372" s="5">
        <v>350.0</v>
      </c>
      <c r="N372" s="8">
        <v>45037.0</v>
      </c>
    </row>
    <row r="373">
      <c r="A373" s="5">
        <v>372.0</v>
      </c>
      <c r="B373" s="5" t="s">
        <v>913</v>
      </c>
      <c r="C373" s="5" t="s">
        <v>21</v>
      </c>
      <c r="K373" s="5">
        <v>100.0</v>
      </c>
      <c r="N373" s="8">
        <v>43303.0</v>
      </c>
    </row>
    <row r="374">
      <c r="A374" s="5">
        <v>373.0</v>
      </c>
      <c r="B374" s="5" t="s">
        <v>914</v>
      </c>
      <c r="C374" s="5" t="s">
        <v>21</v>
      </c>
      <c r="K374" s="5">
        <v>8500.0</v>
      </c>
      <c r="N374" s="8">
        <v>46090.0</v>
      </c>
    </row>
    <row r="375">
      <c r="A375" s="5">
        <v>374.0</v>
      </c>
      <c r="B375" s="5" t="s">
        <v>915</v>
      </c>
      <c r="C375" s="5" t="s">
        <v>21</v>
      </c>
      <c r="K375" s="5">
        <v>100.0</v>
      </c>
      <c r="N375" s="8">
        <v>45117.0</v>
      </c>
    </row>
    <row r="376">
      <c r="A376" s="5">
        <v>375.0</v>
      </c>
      <c r="B376" s="5" t="s">
        <v>917</v>
      </c>
      <c r="C376" s="5" t="s">
        <v>21</v>
      </c>
      <c r="K376" s="5">
        <v>200.0</v>
      </c>
      <c r="N376" s="8">
        <v>45281.0</v>
      </c>
    </row>
    <row r="377">
      <c r="A377" s="5">
        <v>376.0</v>
      </c>
      <c r="B377" s="5" t="s">
        <v>919</v>
      </c>
      <c r="C377" s="5" t="s">
        <v>21</v>
      </c>
      <c r="K377" s="5">
        <v>90.0</v>
      </c>
      <c r="N377" s="8">
        <v>44771.0</v>
      </c>
    </row>
    <row r="378">
      <c r="A378" s="5">
        <v>377.0</v>
      </c>
      <c r="B378" s="5" t="s">
        <v>920</v>
      </c>
      <c r="C378" s="5" t="s">
        <v>21</v>
      </c>
      <c r="K378" s="5">
        <v>1100.0</v>
      </c>
      <c r="N378" s="8">
        <v>43898.0</v>
      </c>
    </row>
    <row r="379">
      <c r="A379" s="5">
        <v>378.0</v>
      </c>
      <c r="B379" s="5" t="s">
        <v>921</v>
      </c>
      <c r="C379" s="5" t="s">
        <v>21</v>
      </c>
      <c r="K379" s="5">
        <v>10.0</v>
      </c>
      <c r="N379" s="8">
        <v>44602.0</v>
      </c>
    </row>
    <row r="380">
      <c r="A380" s="5">
        <v>379.0</v>
      </c>
      <c r="B380" s="5" t="s">
        <v>923</v>
      </c>
      <c r="C380" s="5" t="s">
        <v>21</v>
      </c>
      <c r="K380" s="5">
        <v>400.0</v>
      </c>
      <c r="N380" s="8">
        <v>44748.0</v>
      </c>
    </row>
    <row r="381">
      <c r="A381" s="5">
        <v>380.0</v>
      </c>
      <c r="B381" s="5" t="s">
        <v>926</v>
      </c>
      <c r="C381" s="5" t="s">
        <v>21</v>
      </c>
      <c r="K381" s="5">
        <v>100.0</v>
      </c>
      <c r="N381" s="8">
        <v>44976.0</v>
      </c>
    </row>
    <row r="382">
      <c r="A382" s="5">
        <v>381.0</v>
      </c>
      <c r="B382" s="5" t="s">
        <v>927</v>
      </c>
      <c r="C382" s="5" t="s">
        <v>21</v>
      </c>
      <c r="K382" s="5">
        <v>10.0</v>
      </c>
      <c r="N382" s="8">
        <v>45187.0</v>
      </c>
    </row>
    <row r="383">
      <c r="A383" s="5">
        <v>382.0</v>
      </c>
      <c r="B383" s="5" t="s">
        <v>928</v>
      </c>
      <c r="C383" s="5" t="s">
        <v>21</v>
      </c>
      <c r="K383" s="5">
        <v>1600.0</v>
      </c>
      <c r="N383" s="8">
        <v>44676.0</v>
      </c>
    </row>
    <row r="384">
      <c r="A384" s="5">
        <v>383.0</v>
      </c>
      <c r="B384" s="5" t="s">
        <v>929</v>
      </c>
      <c r="C384" s="5" t="s">
        <v>21</v>
      </c>
      <c r="K384" s="5">
        <v>50.0</v>
      </c>
      <c r="N384" s="8">
        <v>43886.0</v>
      </c>
    </row>
    <row r="385">
      <c r="A385" s="5">
        <v>384.0</v>
      </c>
      <c r="B385" s="5" t="s">
        <v>931</v>
      </c>
      <c r="C385" s="5" t="s">
        <v>21</v>
      </c>
      <c r="K385" s="5">
        <v>1300.0</v>
      </c>
      <c r="N385" s="8">
        <v>44517.0</v>
      </c>
    </row>
    <row r="386">
      <c r="A386" s="5">
        <v>385.0</v>
      </c>
      <c r="B386" s="5" t="s">
        <v>932</v>
      </c>
      <c r="C386" s="5" t="s">
        <v>21</v>
      </c>
      <c r="K386" s="5">
        <v>1200.0</v>
      </c>
      <c r="N386" s="8">
        <v>44157.0</v>
      </c>
    </row>
    <row r="387">
      <c r="A387" s="5">
        <v>386.0</v>
      </c>
      <c r="B387" s="5" t="s">
        <v>933</v>
      </c>
      <c r="C387" s="5" t="s">
        <v>21</v>
      </c>
      <c r="K387" s="5">
        <v>200.0</v>
      </c>
      <c r="N387" s="8">
        <v>44491.0</v>
      </c>
    </row>
    <row r="388">
      <c r="A388" s="5">
        <v>387.0</v>
      </c>
      <c r="B388" s="5" t="s">
        <v>934</v>
      </c>
      <c r="C388" s="5" t="s">
        <v>21</v>
      </c>
      <c r="K388" s="5">
        <v>350.0</v>
      </c>
      <c r="N388" s="8">
        <v>44025.0</v>
      </c>
    </row>
    <row r="389">
      <c r="A389" s="5">
        <v>388.0</v>
      </c>
      <c r="B389" s="5" t="s">
        <v>936</v>
      </c>
      <c r="C389" s="5" t="s">
        <v>21</v>
      </c>
      <c r="K389" s="5">
        <v>600.0</v>
      </c>
      <c r="N389" s="8">
        <v>44477.0</v>
      </c>
    </row>
    <row r="390">
      <c r="A390" s="5">
        <v>389.0</v>
      </c>
      <c r="B390" s="5" t="s">
        <v>938</v>
      </c>
      <c r="C390" s="5" t="s">
        <v>21</v>
      </c>
      <c r="K390" s="5">
        <v>50.0</v>
      </c>
      <c r="N390" s="8">
        <v>44975.0</v>
      </c>
    </row>
    <row r="391">
      <c r="A391" s="5">
        <v>390.0</v>
      </c>
      <c r="B391" s="5" t="s">
        <v>105</v>
      </c>
      <c r="C391" s="5" t="s">
        <v>21</v>
      </c>
      <c r="K391" s="5">
        <v>11000.0</v>
      </c>
      <c r="N391" s="8">
        <v>44107.0</v>
      </c>
    </row>
    <row r="392">
      <c r="A392" s="5">
        <v>391.0</v>
      </c>
      <c r="B392" s="5" t="s">
        <v>940</v>
      </c>
      <c r="C392" s="5" t="s">
        <v>21</v>
      </c>
      <c r="F392" s="5">
        <v>0.25</v>
      </c>
      <c r="K392" s="5">
        <v>11000.0</v>
      </c>
      <c r="N392" s="8">
        <v>43190.0</v>
      </c>
    </row>
    <row r="393">
      <c r="A393" s="5">
        <v>392.0</v>
      </c>
      <c r="B393" s="5" t="s">
        <v>941</v>
      </c>
      <c r="C393" s="5" t="s">
        <v>21</v>
      </c>
      <c r="K393" s="5">
        <v>1200.0</v>
      </c>
      <c r="N393" s="8">
        <v>43906.0</v>
      </c>
    </row>
    <row r="394">
      <c r="A394" s="5">
        <v>393.0</v>
      </c>
      <c r="B394" s="5" t="s">
        <v>942</v>
      </c>
      <c r="C394" s="5" t="s">
        <v>21</v>
      </c>
      <c r="K394" s="5">
        <v>50.0</v>
      </c>
      <c r="N394" s="8">
        <v>44550.0</v>
      </c>
    </row>
    <row r="395">
      <c r="A395" s="5">
        <v>394.0</v>
      </c>
      <c r="B395" s="5" t="s">
        <v>943</v>
      </c>
      <c r="C395" s="5" t="s">
        <v>21</v>
      </c>
      <c r="K395" s="5">
        <v>450.0</v>
      </c>
      <c r="N395" s="8">
        <v>44519.0</v>
      </c>
    </row>
    <row r="396">
      <c r="A396" s="5">
        <v>395.0</v>
      </c>
      <c r="B396" s="5" t="s">
        <v>945</v>
      </c>
      <c r="C396" s="5" t="s">
        <v>21</v>
      </c>
      <c r="K396" s="5">
        <v>250.0</v>
      </c>
      <c r="N396" s="8">
        <v>44523.0</v>
      </c>
    </row>
    <row r="397">
      <c r="A397" s="5">
        <v>396.0</v>
      </c>
      <c r="B397" s="5" t="s">
        <v>946</v>
      </c>
      <c r="C397" s="5" t="s">
        <v>21</v>
      </c>
      <c r="K397" s="5">
        <v>200.0</v>
      </c>
      <c r="N397" s="8">
        <v>44582.0</v>
      </c>
    </row>
    <row r="398">
      <c r="A398" s="5">
        <v>397.0</v>
      </c>
      <c r="B398" s="5" t="s">
        <v>947</v>
      </c>
      <c r="C398" s="5" t="s">
        <v>21</v>
      </c>
      <c r="K398" s="5">
        <v>100.0</v>
      </c>
      <c r="N398" s="8">
        <v>45608.0</v>
      </c>
    </row>
    <row r="399">
      <c r="A399" s="5">
        <v>398.0</v>
      </c>
      <c r="B399" s="5" t="s">
        <v>948</v>
      </c>
      <c r="C399" s="5" t="s">
        <v>21</v>
      </c>
      <c r="K399" s="5">
        <v>250.0</v>
      </c>
      <c r="N399" s="8">
        <v>44582.0</v>
      </c>
    </row>
    <row r="400">
      <c r="A400" s="5">
        <v>399.0</v>
      </c>
      <c r="B400" s="5" t="s">
        <v>951</v>
      </c>
      <c r="C400" s="5" t="s">
        <v>21</v>
      </c>
      <c r="K400" s="5">
        <v>300.0</v>
      </c>
      <c r="N400" s="8">
        <v>45418.0</v>
      </c>
    </row>
    <row r="401">
      <c r="A401" s="5">
        <v>400.0</v>
      </c>
      <c r="B401" s="5" t="s">
        <v>953</v>
      </c>
      <c r="C401" s="5" t="s">
        <v>21</v>
      </c>
      <c r="K401" s="5">
        <v>30.0</v>
      </c>
      <c r="N401" s="8">
        <v>44627.0</v>
      </c>
    </row>
    <row r="402">
      <c r="A402" s="5">
        <v>401.0</v>
      </c>
      <c r="B402" s="5" t="s">
        <v>954</v>
      </c>
      <c r="C402" s="5" t="s">
        <v>21</v>
      </c>
      <c r="K402" s="5">
        <v>300.0</v>
      </c>
      <c r="N402" s="8">
        <v>45161.0</v>
      </c>
    </row>
    <row r="403">
      <c r="A403" s="5">
        <v>402.0</v>
      </c>
      <c r="B403" s="5" t="s">
        <v>955</v>
      </c>
      <c r="C403" s="5" t="s">
        <v>21</v>
      </c>
      <c r="K403" s="5">
        <v>500.0</v>
      </c>
      <c r="N403" s="8">
        <v>44790.0</v>
      </c>
    </row>
    <row r="404">
      <c r="A404" s="5">
        <v>403.0</v>
      </c>
      <c r="B404" s="5" t="s">
        <v>956</v>
      </c>
      <c r="C404" s="5" t="s">
        <v>21</v>
      </c>
      <c r="K404" s="5">
        <v>500.0</v>
      </c>
      <c r="N404" s="8">
        <v>44551.0</v>
      </c>
    </row>
    <row r="405">
      <c r="A405" s="5">
        <v>404.0</v>
      </c>
      <c r="B405" s="5" t="s">
        <v>958</v>
      </c>
      <c r="C405" s="5" t="s">
        <v>21</v>
      </c>
      <c r="K405" s="5">
        <v>700.0</v>
      </c>
      <c r="N405" s="8">
        <v>45021.0</v>
      </c>
    </row>
    <row r="406">
      <c r="A406" s="5">
        <v>405.0</v>
      </c>
      <c r="B406" s="5" t="s">
        <v>959</v>
      </c>
      <c r="C406" s="5" t="s">
        <v>21</v>
      </c>
      <c r="K406" s="5">
        <v>350.0</v>
      </c>
      <c r="N406" s="8">
        <v>44952.0</v>
      </c>
    </row>
    <row r="407">
      <c r="A407" s="5">
        <v>406.0</v>
      </c>
      <c r="B407" s="5" t="s">
        <v>960</v>
      </c>
      <c r="C407" s="5" t="s">
        <v>21</v>
      </c>
      <c r="K407" s="5">
        <v>38000.0</v>
      </c>
      <c r="N407" s="8">
        <v>44374.0</v>
      </c>
    </row>
    <row r="408">
      <c r="A408" s="5">
        <v>407.0</v>
      </c>
      <c r="B408" s="5" t="s">
        <v>961</v>
      </c>
      <c r="C408" s="5" t="s">
        <v>21</v>
      </c>
      <c r="K408" s="5">
        <v>150.0</v>
      </c>
      <c r="N408" s="8">
        <v>44584.0</v>
      </c>
    </row>
    <row r="409">
      <c r="A409" s="5">
        <v>408.0</v>
      </c>
      <c r="B409" s="5" t="s">
        <v>962</v>
      </c>
      <c r="C409" s="5" t="s">
        <v>21</v>
      </c>
      <c r="K409" s="5">
        <v>600.0</v>
      </c>
      <c r="N409" s="8">
        <v>44598.0</v>
      </c>
    </row>
    <row r="410">
      <c r="A410" s="5">
        <v>409.0</v>
      </c>
      <c r="B410" s="5" t="s">
        <v>964</v>
      </c>
      <c r="C410" s="5" t="s">
        <v>21</v>
      </c>
      <c r="K410" s="5">
        <v>150.0</v>
      </c>
      <c r="N410" s="8">
        <v>45273.0</v>
      </c>
    </row>
    <row r="411">
      <c r="A411" s="5">
        <v>410.0</v>
      </c>
      <c r="B411" s="5" t="s">
        <v>966</v>
      </c>
      <c r="C411" s="5" t="s">
        <v>21</v>
      </c>
      <c r="K411" s="5">
        <v>10.0</v>
      </c>
      <c r="N411" s="8">
        <v>44703.0</v>
      </c>
    </row>
    <row r="412">
      <c r="A412" s="5">
        <v>411.0</v>
      </c>
      <c r="B412" s="5" t="s">
        <v>970</v>
      </c>
      <c r="C412" s="5" t="s">
        <v>21</v>
      </c>
      <c r="K412" s="5">
        <v>90.0</v>
      </c>
      <c r="N412" s="8">
        <v>43915.0</v>
      </c>
    </row>
    <row r="413">
      <c r="A413" s="5">
        <v>412.0</v>
      </c>
      <c r="B413" s="5" t="s">
        <v>972</v>
      </c>
      <c r="C413" s="5" t="s">
        <v>21</v>
      </c>
      <c r="K413" s="5">
        <v>8700.0</v>
      </c>
      <c r="N413" s="8">
        <v>43939.0</v>
      </c>
    </row>
    <row r="414">
      <c r="A414" s="5">
        <v>413.0</v>
      </c>
      <c r="B414" s="5" t="s">
        <v>974</v>
      </c>
      <c r="C414" s="5" t="s">
        <v>21</v>
      </c>
      <c r="K414" s="5">
        <v>200.0</v>
      </c>
      <c r="N414" s="8">
        <v>44727.0</v>
      </c>
    </row>
    <row r="415">
      <c r="A415" s="5">
        <v>414.0</v>
      </c>
      <c r="B415" s="5" t="s">
        <v>108</v>
      </c>
      <c r="C415" s="5" t="s">
        <v>21</v>
      </c>
      <c r="K415" s="5">
        <v>800.0</v>
      </c>
      <c r="N415" s="8">
        <v>44633.0</v>
      </c>
    </row>
    <row r="416">
      <c r="A416" s="5">
        <v>415.0</v>
      </c>
      <c r="B416" s="5" t="s">
        <v>976</v>
      </c>
      <c r="C416" s="5" t="s">
        <v>21</v>
      </c>
      <c r="K416" s="5">
        <v>450.0</v>
      </c>
      <c r="N416" s="8">
        <v>45464.0</v>
      </c>
    </row>
    <row r="417">
      <c r="A417" s="5">
        <v>416.0</v>
      </c>
      <c r="B417" s="5" t="s">
        <v>977</v>
      </c>
      <c r="C417" s="5" t="s">
        <v>21</v>
      </c>
      <c r="K417" s="5">
        <v>90.0</v>
      </c>
      <c r="N417" s="8">
        <v>44580.0</v>
      </c>
    </row>
    <row r="418">
      <c r="A418" s="5">
        <v>417.0</v>
      </c>
      <c r="B418" s="5" t="s">
        <v>978</v>
      </c>
      <c r="C418" s="5" t="s">
        <v>21</v>
      </c>
      <c r="K418" s="5">
        <v>250.0</v>
      </c>
      <c r="N418" s="8">
        <v>44624.0</v>
      </c>
    </row>
    <row r="419">
      <c r="A419" s="5">
        <v>418.0</v>
      </c>
      <c r="B419" s="5" t="s">
        <v>979</v>
      </c>
      <c r="C419" s="5" t="s">
        <v>21</v>
      </c>
      <c r="K419" s="5">
        <v>70.0</v>
      </c>
      <c r="N419" s="8">
        <v>44636.0</v>
      </c>
    </row>
    <row r="420">
      <c r="A420" s="5">
        <v>419.0</v>
      </c>
      <c r="B420" s="5" t="s">
        <v>980</v>
      </c>
      <c r="C420" s="5" t="s">
        <v>21</v>
      </c>
      <c r="K420" s="5">
        <v>1300.0</v>
      </c>
      <c r="N420" s="8">
        <v>44111.0</v>
      </c>
    </row>
    <row r="421">
      <c r="A421" s="5">
        <v>420.0</v>
      </c>
      <c r="B421" s="5" t="s">
        <v>982</v>
      </c>
      <c r="C421" s="5" t="s">
        <v>21</v>
      </c>
      <c r="K421" s="5">
        <v>2500.0</v>
      </c>
      <c r="N421" s="8">
        <v>44206.0</v>
      </c>
    </row>
    <row r="422">
      <c r="A422" s="5">
        <v>421.0</v>
      </c>
      <c r="B422" s="5" t="s">
        <v>983</v>
      </c>
      <c r="C422" s="5" t="s">
        <v>21</v>
      </c>
      <c r="K422" s="5">
        <v>50.0</v>
      </c>
      <c r="N422" s="8">
        <v>45231.0</v>
      </c>
    </row>
    <row r="423">
      <c r="A423" s="5">
        <v>422.0</v>
      </c>
      <c r="B423" s="5" t="s">
        <v>984</v>
      </c>
      <c r="C423" s="5" t="s">
        <v>21</v>
      </c>
      <c r="K423" s="5">
        <v>50.0</v>
      </c>
      <c r="N423" s="8">
        <v>44640.0</v>
      </c>
    </row>
    <row r="424">
      <c r="A424" s="5">
        <v>423.0</v>
      </c>
      <c r="B424" s="5" t="s">
        <v>985</v>
      </c>
      <c r="C424" s="5" t="s">
        <v>21</v>
      </c>
      <c r="K424" s="5">
        <v>600.0</v>
      </c>
      <c r="N424" s="8">
        <v>44529.0</v>
      </c>
    </row>
    <row r="425">
      <c r="A425" s="5">
        <v>424.0</v>
      </c>
      <c r="B425" s="5" t="s">
        <v>987</v>
      </c>
      <c r="C425" s="5" t="s">
        <v>21</v>
      </c>
      <c r="K425" s="5">
        <v>40.0</v>
      </c>
      <c r="N425" s="8">
        <v>45978.0</v>
      </c>
    </row>
    <row r="426">
      <c r="A426" s="5">
        <v>425.0</v>
      </c>
      <c r="B426" s="5" t="s">
        <v>988</v>
      </c>
      <c r="C426" s="5" t="s">
        <v>21</v>
      </c>
      <c r="K426" s="5">
        <v>350.0</v>
      </c>
      <c r="N426" s="8">
        <v>44697.0</v>
      </c>
    </row>
    <row r="427">
      <c r="A427" s="5">
        <v>426.0</v>
      </c>
      <c r="B427" s="5" t="s">
        <v>989</v>
      </c>
      <c r="C427" s="5" t="s">
        <v>21</v>
      </c>
      <c r="K427" s="5">
        <v>3200.0</v>
      </c>
      <c r="N427" s="8">
        <v>45390.0</v>
      </c>
    </row>
    <row r="428">
      <c r="A428" s="5">
        <v>427.0</v>
      </c>
      <c r="B428" s="5" t="s">
        <v>991</v>
      </c>
      <c r="C428" s="5" t="s">
        <v>21</v>
      </c>
      <c r="K428" s="5">
        <v>250.0</v>
      </c>
      <c r="N428" s="8">
        <v>44601.0</v>
      </c>
    </row>
    <row r="429">
      <c r="A429" s="5">
        <v>428.0</v>
      </c>
      <c r="B429" s="5" t="s">
        <v>993</v>
      </c>
      <c r="C429" s="5" t="s">
        <v>21</v>
      </c>
      <c r="K429" s="5">
        <v>200.0</v>
      </c>
      <c r="N429" s="8">
        <v>45110.0</v>
      </c>
    </row>
    <row r="430">
      <c r="A430" s="5">
        <v>429.0</v>
      </c>
      <c r="B430" s="5" t="s">
        <v>997</v>
      </c>
      <c r="C430" s="5" t="s">
        <v>21</v>
      </c>
      <c r="K430" s="5">
        <v>1100.0</v>
      </c>
      <c r="N430" s="8">
        <v>43888.0</v>
      </c>
    </row>
    <row r="431">
      <c r="A431" s="5">
        <v>430.0</v>
      </c>
      <c r="B431" s="5" t="s">
        <v>999</v>
      </c>
      <c r="C431" s="5" t="s">
        <v>21</v>
      </c>
      <c r="K431" s="5">
        <v>60.0</v>
      </c>
      <c r="N431" s="8">
        <v>44602.0</v>
      </c>
    </row>
    <row r="432">
      <c r="A432" s="5">
        <v>431.0</v>
      </c>
      <c r="B432" s="5" t="s">
        <v>1001</v>
      </c>
      <c r="C432" s="5" t="s">
        <v>21</v>
      </c>
      <c r="K432" s="5">
        <v>2300.0</v>
      </c>
      <c r="N432" s="8">
        <v>44523.0</v>
      </c>
    </row>
    <row r="433">
      <c r="A433" s="5">
        <v>432.0</v>
      </c>
      <c r="B433" s="5" t="s">
        <v>1003</v>
      </c>
      <c r="C433" s="5" t="s">
        <v>21</v>
      </c>
      <c r="K433" s="5">
        <v>30.0</v>
      </c>
      <c r="N433" s="8">
        <v>44219.0</v>
      </c>
    </row>
    <row r="434">
      <c r="A434" s="5">
        <v>433.0</v>
      </c>
      <c r="B434" s="5" t="s">
        <v>56</v>
      </c>
      <c r="C434" s="5" t="s">
        <v>21</v>
      </c>
      <c r="K434" s="5">
        <v>250.0</v>
      </c>
      <c r="N434" s="8">
        <v>44545.0</v>
      </c>
    </row>
    <row r="435">
      <c r="A435" s="5">
        <v>434.0</v>
      </c>
      <c r="B435" s="5" t="s">
        <v>1004</v>
      </c>
      <c r="C435" s="5" t="s">
        <v>21</v>
      </c>
      <c r="K435" s="5">
        <v>1000.0</v>
      </c>
      <c r="N435" s="8">
        <v>44575.0</v>
      </c>
    </row>
    <row r="436">
      <c r="A436" s="5">
        <v>435.0</v>
      </c>
      <c r="B436" s="5" t="s">
        <v>1005</v>
      </c>
      <c r="C436" s="5" t="s">
        <v>21</v>
      </c>
      <c r="K436" s="5">
        <v>50.0</v>
      </c>
      <c r="N436" s="8">
        <v>45095.0</v>
      </c>
    </row>
    <row r="437">
      <c r="A437" s="5">
        <v>436.0</v>
      </c>
      <c r="B437" s="5" t="s">
        <v>1006</v>
      </c>
      <c r="C437" s="5" t="s">
        <v>21</v>
      </c>
      <c r="K437" s="5">
        <v>80.0</v>
      </c>
      <c r="N437" s="8">
        <v>45118.0</v>
      </c>
    </row>
    <row r="438">
      <c r="A438" s="5">
        <v>437.0</v>
      </c>
      <c r="B438" s="5" t="s">
        <v>1008</v>
      </c>
      <c r="C438" s="5" t="s">
        <v>21</v>
      </c>
      <c r="K438" s="5">
        <v>300.0</v>
      </c>
      <c r="N438" s="8">
        <v>44869.0</v>
      </c>
    </row>
    <row r="439">
      <c r="A439" s="5">
        <v>438.0</v>
      </c>
      <c r="B439" s="5" t="s">
        <v>1010</v>
      </c>
      <c r="C439" s="5" t="s">
        <v>21</v>
      </c>
      <c r="K439" s="5">
        <v>600.0</v>
      </c>
      <c r="N439" s="8">
        <v>44069.0</v>
      </c>
    </row>
    <row r="440">
      <c r="A440" s="5">
        <v>439.0</v>
      </c>
      <c r="B440" s="5" t="s">
        <v>1011</v>
      </c>
      <c r="C440" s="5" t="s">
        <v>21</v>
      </c>
      <c r="K440" s="5">
        <v>200.0</v>
      </c>
      <c r="N440" s="8">
        <v>45452.0</v>
      </c>
    </row>
    <row r="441">
      <c r="A441" s="5">
        <v>440.0</v>
      </c>
      <c r="B441" s="5" t="s">
        <v>1013</v>
      </c>
      <c r="C441" s="5" t="s">
        <v>21</v>
      </c>
      <c r="K441" s="5">
        <v>10.0</v>
      </c>
      <c r="N441" s="8">
        <v>45335.0</v>
      </c>
    </row>
    <row r="442">
      <c r="A442" s="5">
        <v>441.0</v>
      </c>
      <c r="B442" s="5" t="s">
        <v>1015</v>
      </c>
      <c r="C442" s="5" t="s">
        <v>21</v>
      </c>
      <c r="K442" s="5">
        <v>50.0</v>
      </c>
      <c r="N442" s="8">
        <v>45253.0</v>
      </c>
    </row>
    <row r="443">
      <c r="A443" s="5">
        <v>442.0</v>
      </c>
      <c r="B443" s="5" t="s">
        <v>59</v>
      </c>
      <c r="C443" s="5" t="s">
        <v>21</v>
      </c>
      <c r="K443" s="5">
        <v>700.0</v>
      </c>
      <c r="N443" s="8">
        <v>44109.0</v>
      </c>
    </row>
    <row r="444">
      <c r="A444" s="5">
        <v>443.0</v>
      </c>
      <c r="B444" s="5" t="s">
        <v>1017</v>
      </c>
      <c r="C444" s="5" t="s">
        <v>21</v>
      </c>
      <c r="K444" s="5">
        <v>600.0</v>
      </c>
      <c r="N444" s="8">
        <v>44524.0</v>
      </c>
    </row>
    <row r="445">
      <c r="A445" s="5">
        <v>444.0</v>
      </c>
      <c r="B445" s="5" t="s">
        <v>1018</v>
      </c>
      <c r="C445" s="5" t="s">
        <v>21</v>
      </c>
      <c r="K445" s="5">
        <v>200.0</v>
      </c>
      <c r="N445" s="8">
        <v>45147.0</v>
      </c>
    </row>
    <row r="446">
      <c r="A446" s="5">
        <v>445.0</v>
      </c>
      <c r="B446" s="5" t="s">
        <v>1020</v>
      </c>
      <c r="C446" s="5" t="s">
        <v>21</v>
      </c>
      <c r="K446" s="5">
        <v>3200.0</v>
      </c>
      <c r="N446" s="8">
        <v>44132.0</v>
      </c>
    </row>
    <row r="447">
      <c r="A447" s="5">
        <v>446.0</v>
      </c>
      <c r="B447" s="5" t="s">
        <v>1022</v>
      </c>
      <c r="C447" s="5" t="s">
        <v>21</v>
      </c>
      <c r="K447" s="5">
        <v>250.0</v>
      </c>
      <c r="N447" s="8">
        <v>44523.0</v>
      </c>
    </row>
    <row r="448">
      <c r="A448" s="5">
        <v>447.0</v>
      </c>
      <c r="B448" s="5" t="s">
        <v>1023</v>
      </c>
      <c r="C448" s="5" t="s">
        <v>21</v>
      </c>
      <c r="K448" s="5">
        <v>20.0</v>
      </c>
      <c r="N448" s="8">
        <v>44564.0</v>
      </c>
    </row>
    <row r="449">
      <c r="A449" s="5">
        <v>448.0</v>
      </c>
      <c r="B449" s="5" t="s">
        <v>1025</v>
      </c>
      <c r="C449" s="5" t="s">
        <v>21</v>
      </c>
      <c r="K449" s="5">
        <v>40.0</v>
      </c>
      <c r="N449" s="8">
        <v>44989.0</v>
      </c>
    </row>
    <row r="450">
      <c r="A450" s="5">
        <v>449.0</v>
      </c>
      <c r="B450" s="5" t="s">
        <v>1026</v>
      </c>
      <c r="C450" s="5" t="s">
        <v>21</v>
      </c>
      <c r="K450" s="5">
        <v>7300.0</v>
      </c>
      <c r="N450" s="8">
        <v>43876.0</v>
      </c>
    </row>
    <row r="451">
      <c r="A451" s="5">
        <v>450.0</v>
      </c>
      <c r="B451" s="5" t="s">
        <v>1027</v>
      </c>
      <c r="C451" s="5" t="s">
        <v>21</v>
      </c>
      <c r="K451" s="5">
        <v>100.0</v>
      </c>
      <c r="N451" s="8">
        <v>44540.0</v>
      </c>
    </row>
    <row r="452">
      <c r="A452" s="5">
        <v>451.0</v>
      </c>
      <c r="B452" s="5" t="s">
        <v>109</v>
      </c>
      <c r="C452" s="5" t="s">
        <v>21</v>
      </c>
      <c r="K452" s="5">
        <v>5300.0</v>
      </c>
      <c r="N452" s="8">
        <v>43888.0</v>
      </c>
    </row>
    <row r="453">
      <c r="A453" s="5">
        <v>452.0</v>
      </c>
      <c r="B453" s="5" t="s">
        <v>1029</v>
      </c>
      <c r="C453" s="5" t="s">
        <v>21</v>
      </c>
      <c r="K453" s="5">
        <v>400.0</v>
      </c>
      <c r="N453" s="8">
        <v>43856.0</v>
      </c>
    </row>
    <row r="454">
      <c r="A454" s="5">
        <v>453.0</v>
      </c>
      <c r="B454" s="5" t="s">
        <v>1030</v>
      </c>
      <c r="C454" s="5" t="s">
        <v>21</v>
      </c>
      <c r="K454" s="5">
        <v>150.0</v>
      </c>
      <c r="N454" s="8">
        <v>44990.0</v>
      </c>
    </row>
    <row r="455">
      <c r="A455" s="5">
        <v>454.0</v>
      </c>
      <c r="B455" s="5" t="s">
        <v>1032</v>
      </c>
      <c r="C455" s="5" t="s">
        <v>21</v>
      </c>
      <c r="K455" s="5">
        <v>150.0</v>
      </c>
      <c r="N455" s="8">
        <v>44778.0</v>
      </c>
    </row>
    <row r="456">
      <c r="A456" s="5">
        <v>455.0</v>
      </c>
      <c r="B456" s="5" t="s">
        <v>1036</v>
      </c>
      <c r="C456" s="5" t="s">
        <v>21</v>
      </c>
      <c r="K456" s="5">
        <v>150.0</v>
      </c>
      <c r="N456" s="8">
        <v>44639.0</v>
      </c>
    </row>
    <row r="457">
      <c r="A457" s="5">
        <v>456.0</v>
      </c>
      <c r="B457" s="5" t="s">
        <v>1037</v>
      </c>
      <c r="C457" s="5" t="s">
        <v>21</v>
      </c>
      <c r="K457" s="5">
        <v>200.0</v>
      </c>
      <c r="N457" s="8">
        <v>44664.0</v>
      </c>
    </row>
    <row r="458">
      <c r="A458" s="5">
        <v>457.0</v>
      </c>
      <c r="B458" s="5" t="s">
        <v>1038</v>
      </c>
      <c r="C458" s="5" t="s">
        <v>21</v>
      </c>
      <c r="K458" s="5">
        <v>150.0</v>
      </c>
      <c r="N458" s="8">
        <v>44614.0</v>
      </c>
    </row>
    <row r="459">
      <c r="A459" s="5">
        <v>458.0</v>
      </c>
      <c r="B459" s="5" t="s">
        <v>1040</v>
      </c>
      <c r="C459" s="5" t="s">
        <v>21</v>
      </c>
      <c r="K459" s="5">
        <v>150.0</v>
      </c>
      <c r="N459" s="8">
        <v>44495.0</v>
      </c>
    </row>
    <row r="460">
      <c r="A460" s="5">
        <v>459.0</v>
      </c>
      <c r="B460" s="5" t="s">
        <v>1042</v>
      </c>
      <c r="C460" s="5" t="s">
        <v>21</v>
      </c>
      <c r="K460" s="5">
        <v>300.0</v>
      </c>
      <c r="N460" s="8">
        <v>44273.0</v>
      </c>
    </row>
    <row r="461">
      <c r="A461" s="5">
        <v>460.0</v>
      </c>
      <c r="B461" s="5" t="s">
        <v>1043</v>
      </c>
      <c r="C461" s="5" t="s">
        <v>21</v>
      </c>
      <c r="K461" s="5">
        <v>20.0</v>
      </c>
      <c r="N461" s="8">
        <v>45588.0</v>
      </c>
    </row>
    <row r="462">
      <c r="A462" s="5">
        <v>461.0</v>
      </c>
      <c r="B462" s="5" t="s">
        <v>1044</v>
      </c>
      <c r="C462" s="5" t="s">
        <v>21</v>
      </c>
      <c r="K462" s="5">
        <v>34000.0</v>
      </c>
      <c r="N462" s="8">
        <v>45451.0</v>
      </c>
    </row>
    <row r="463">
      <c r="A463" s="5">
        <v>462.0</v>
      </c>
      <c r="B463" s="5" t="s">
        <v>1047</v>
      </c>
      <c r="C463" s="5" t="s">
        <v>21</v>
      </c>
      <c r="K463" s="5">
        <v>1000.0</v>
      </c>
      <c r="N463" s="8">
        <v>44520.0</v>
      </c>
    </row>
    <row r="464">
      <c r="A464" s="5">
        <v>463.0</v>
      </c>
      <c r="B464" s="5" t="s">
        <v>1049</v>
      </c>
      <c r="C464" s="5" t="s">
        <v>21</v>
      </c>
      <c r="K464" s="5">
        <v>40.0</v>
      </c>
      <c r="N464" s="8">
        <v>44570.0</v>
      </c>
    </row>
    <row r="465">
      <c r="A465" s="5">
        <v>464.0</v>
      </c>
      <c r="B465" s="5" t="s">
        <v>1050</v>
      </c>
      <c r="C465" s="5" t="s">
        <v>21</v>
      </c>
      <c r="K465" s="5">
        <v>40.0</v>
      </c>
      <c r="N465" s="8">
        <v>44800.0</v>
      </c>
    </row>
    <row r="466">
      <c r="A466" s="5">
        <v>465.0</v>
      </c>
      <c r="B466" s="5" t="s">
        <v>1051</v>
      </c>
      <c r="C466" s="5" t="s">
        <v>21</v>
      </c>
      <c r="K466" s="5">
        <v>350.0</v>
      </c>
      <c r="N466" s="8">
        <v>44639.0</v>
      </c>
    </row>
    <row r="467">
      <c r="A467" s="5">
        <v>466.0</v>
      </c>
      <c r="B467" s="5" t="s">
        <v>1052</v>
      </c>
      <c r="C467" s="5" t="s">
        <v>21</v>
      </c>
      <c r="K467" s="5">
        <v>6200.0</v>
      </c>
      <c r="N467" s="8">
        <v>43943.0</v>
      </c>
    </row>
    <row r="468">
      <c r="A468" s="5">
        <v>467.0</v>
      </c>
      <c r="B468" s="5" t="s">
        <v>1054</v>
      </c>
      <c r="C468" s="5" t="s">
        <v>21</v>
      </c>
      <c r="K468" s="5">
        <v>50.0</v>
      </c>
      <c r="N468" s="8">
        <v>44590.0</v>
      </c>
    </row>
    <row r="469">
      <c r="A469" s="5">
        <v>468.0</v>
      </c>
      <c r="B469" s="5" t="s">
        <v>1056</v>
      </c>
      <c r="C469" s="5" t="s">
        <v>21</v>
      </c>
      <c r="K469" s="5">
        <v>200.0</v>
      </c>
      <c r="N469" s="8">
        <v>45326.0</v>
      </c>
    </row>
    <row r="470">
      <c r="A470" s="5">
        <v>469.0</v>
      </c>
      <c r="B470" s="5" t="s">
        <v>1057</v>
      </c>
      <c r="C470" s="5" t="s">
        <v>21</v>
      </c>
      <c r="K470" s="5">
        <v>300.0</v>
      </c>
      <c r="N470" s="8">
        <v>44190.0</v>
      </c>
    </row>
    <row r="471">
      <c r="A471" s="5">
        <v>470.0</v>
      </c>
      <c r="B471" s="5" t="s">
        <v>1059</v>
      </c>
      <c r="C471" s="5" t="s">
        <v>21</v>
      </c>
      <c r="K471" s="5">
        <v>200.0</v>
      </c>
      <c r="N471" s="8">
        <v>44182.0</v>
      </c>
    </row>
    <row r="472">
      <c r="A472" s="5">
        <v>471.0</v>
      </c>
      <c r="B472" s="5" t="s">
        <v>1061</v>
      </c>
      <c r="C472" s="5" t="s">
        <v>21</v>
      </c>
      <c r="K472" s="5">
        <v>200.0</v>
      </c>
      <c r="N472" s="8">
        <v>44715.0</v>
      </c>
    </row>
    <row r="473">
      <c r="A473" s="5">
        <v>472.0</v>
      </c>
      <c r="B473" s="5" t="s">
        <v>1062</v>
      </c>
      <c r="C473" s="5" t="s">
        <v>21</v>
      </c>
      <c r="K473" s="5">
        <v>60.0</v>
      </c>
      <c r="N473" s="8">
        <v>44870.0</v>
      </c>
    </row>
    <row r="474">
      <c r="A474" s="5">
        <v>473.0</v>
      </c>
      <c r="B474" s="5" t="s">
        <v>1063</v>
      </c>
      <c r="C474" s="5" t="s">
        <v>21</v>
      </c>
      <c r="K474" s="5">
        <v>600.0</v>
      </c>
      <c r="N474" s="8">
        <v>44573.0</v>
      </c>
    </row>
    <row r="475">
      <c r="A475" s="5">
        <v>474.0</v>
      </c>
      <c r="B475" s="5" t="s">
        <v>1065</v>
      </c>
      <c r="C475" s="5" t="s">
        <v>21</v>
      </c>
      <c r="K475" s="5">
        <v>100.0</v>
      </c>
      <c r="N475" s="8">
        <v>44652.0</v>
      </c>
    </row>
    <row r="476">
      <c r="A476" s="5">
        <v>475.0</v>
      </c>
      <c r="B476" s="5" t="s">
        <v>1066</v>
      </c>
      <c r="C476" s="5" t="s">
        <v>21</v>
      </c>
      <c r="K476" s="5">
        <v>30.0</v>
      </c>
      <c r="N476" s="8">
        <v>44571.0</v>
      </c>
    </row>
    <row r="477">
      <c r="A477" s="5">
        <v>476.0</v>
      </c>
      <c r="B477" s="5" t="s">
        <v>1067</v>
      </c>
      <c r="C477" s="5" t="s">
        <v>21</v>
      </c>
      <c r="K477" s="5">
        <v>500.0</v>
      </c>
      <c r="N477" s="8">
        <v>44401.0</v>
      </c>
    </row>
    <row r="478">
      <c r="A478" s="5">
        <v>477.0</v>
      </c>
      <c r="B478" s="5" t="s">
        <v>1069</v>
      </c>
      <c r="C478" s="5" t="s">
        <v>21</v>
      </c>
      <c r="K478" s="5">
        <v>450.0</v>
      </c>
      <c r="N478" s="8">
        <v>44692.0</v>
      </c>
    </row>
    <row r="479">
      <c r="A479" s="5">
        <v>478.0</v>
      </c>
      <c r="B479" s="5" t="s">
        <v>1070</v>
      </c>
      <c r="C479" s="5" t="s">
        <v>21</v>
      </c>
      <c r="K479" s="5">
        <v>4100.0</v>
      </c>
      <c r="N479" s="8">
        <v>44766.0</v>
      </c>
    </row>
    <row r="480">
      <c r="A480" s="5">
        <v>479.0</v>
      </c>
      <c r="B480" s="5" t="s">
        <v>1071</v>
      </c>
      <c r="C480" s="5" t="s">
        <v>21</v>
      </c>
      <c r="K480" s="5">
        <v>300.0</v>
      </c>
      <c r="N480" s="8">
        <v>44255.0</v>
      </c>
    </row>
    <row r="481">
      <c r="A481" s="5">
        <v>480.0</v>
      </c>
      <c r="B481" s="5" t="s">
        <v>1073</v>
      </c>
      <c r="C481" s="5" t="s">
        <v>21</v>
      </c>
      <c r="K481" s="5">
        <v>600.0</v>
      </c>
      <c r="N481" s="8">
        <v>43990.0</v>
      </c>
    </row>
    <row r="482">
      <c r="A482" s="5">
        <v>481.0</v>
      </c>
      <c r="B482" s="5" t="s">
        <v>1074</v>
      </c>
      <c r="C482" s="5" t="s">
        <v>21</v>
      </c>
      <c r="K482" s="5">
        <v>350.0</v>
      </c>
      <c r="N482" s="8">
        <v>44657.0</v>
      </c>
    </row>
    <row r="483">
      <c r="A483" s="5">
        <v>482.0</v>
      </c>
      <c r="B483" s="5" t="s">
        <v>1076</v>
      </c>
      <c r="C483" s="5" t="s">
        <v>21</v>
      </c>
      <c r="K483" s="5">
        <v>90.0</v>
      </c>
      <c r="N483" s="8">
        <v>44738.0</v>
      </c>
    </row>
    <row r="484">
      <c r="A484" s="5">
        <v>483.0</v>
      </c>
      <c r="B484" s="5" t="s">
        <v>1078</v>
      </c>
      <c r="C484" s="5" t="s">
        <v>21</v>
      </c>
      <c r="K484" s="5">
        <v>600.0</v>
      </c>
      <c r="N484" s="8">
        <v>44127.0</v>
      </c>
    </row>
    <row r="485">
      <c r="A485" s="5">
        <v>484.0</v>
      </c>
      <c r="B485" s="5" t="s">
        <v>1079</v>
      </c>
      <c r="C485" s="5" t="s">
        <v>21</v>
      </c>
      <c r="K485" s="5">
        <v>800.0</v>
      </c>
      <c r="N485" s="8">
        <v>44605.0</v>
      </c>
    </row>
    <row r="486">
      <c r="A486" s="5">
        <v>485.0</v>
      </c>
      <c r="B486" s="5" t="s">
        <v>1081</v>
      </c>
      <c r="C486" s="5" t="s">
        <v>21</v>
      </c>
      <c r="K486" s="5">
        <v>150.0</v>
      </c>
      <c r="N486" s="8">
        <v>44584.0</v>
      </c>
    </row>
    <row r="487">
      <c r="A487" s="5">
        <v>486.0</v>
      </c>
      <c r="B487" s="5" t="s">
        <v>1082</v>
      </c>
      <c r="C487" s="5" t="s">
        <v>21</v>
      </c>
      <c r="K487" s="5">
        <v>400.0</v>
      </c>
      <c r="N487" s="8">
        <v>44230.0</v>
      </c>
    </row>
    <row r="488">
      <c r="A488" s="5">
        <v>487.0</v>
      </c>
      <c r="B488" s="5" t="s">
        <v>1085</v>
      </c>
      <c r="C488" s="5" t="s">
        <v>21</v>
      </c>
      <c r="K488" s="5">
        <v>250.0</v>
      </c>
      <c r="N488" s="8">
        <v>44491.0</v>
      </c>
    </row>
    <row r="489">
      <c r="A489" s="5">
        <v>488.0</v>
      </c>
      <c r="B489" s="5" t="s">
        <v>1087</v>
      </c>
      <c r="C489" s="5" t="s">
        <v>21</v>
      </c>
      <c r="K489" s="5">
        <v>2800.0</v>
      </c>
      <c r="N489" s="8">
        <v>43873.0</v>
      </c>
    </row>
    <row r="490">
      <c r="A490" s="5">
        <v>489.0</v>
      </c>
      <c r="B490" s="5" t="s">
        <v>1088</v>
      </c>
      <c r="C490" s="5" t="s">
        <v>21</v>
      </c>
      <c r="K490" s="5">
        <v>150.0</v>
      </c>
      <c r="N490" s="8">
        <v>44263.0</v>
      </c>
    </row>
    <row r="491">
      <c r="A491" s="5">
        <v>490.0</v>
      </c>
      <c r="B491" s="5" t="s">
        <v>1090</v>
      </c>
      <c r="C491" s="5" t="s">
        <v>21</v>
      </c>
      <c r="K491" s="5">
        <v>80.0</v>
      </c>
      <c r="N491" s="8">
        <v>45454.0</v>
      </c>
    </row>
    <row r="492">
      <c r="A492" s="5">
        <v>491.0</v>
      </c>
      <c r="B492" s="5" t="s">
        <v>1092</v>
      </c>
      <c r="C492" s="5" t="s">
        <v>21</v>
      </c>
      <c r="K492" s="5">
        <v>700.0</v>
      </c>
      <c r="N492" s="8">
        <v>45184.0</v>
      </c>
    </row>
    <row r="493">
      <c r="A493" s="5">
        <v>492.0</v>
      </c>
      <c r="B493" s="5" t="s">
        <v>1097</v>
      </c>
      <c r="C493" s="5" t="s">
        <v>21</v>
      </c>
      <c r="K493" s="5">
        <v>2600.0</v>
      </c>
      <c r="N493" s="8">
        <v>44463.0</v>
      </c>
    </row>
    <row r="494">
      <c r="A494" s="5">
        <v>493.0</v>
      </c>
      <c r="B494" s="5" t="s">
        <v>1098</v>
      </c>
      <c r="C494" s="5" t="s">
        <v>21</v>
      </c>
      <c r="K494" s="5">
        <v>300.0</v>
      </c>
      <c r="N494" s="8">
        <v>44595.0</v>
      </c>
    </row>
    <row r="495">
      <c r="A495" s="5">
        <v>494.0</v>
      </c>
      <c r="B495" s="5" t="s">
        <v>1100</v>
      </c>
      <c r="C495" s="5" t="s">
        <v>21</v>
      </c>
      <c r="K495" s="5">
        <v>100.0</v>
      </c>
      <c r="N495" s="8">
        <v>44563.0</v>
      </c>
    </row>
    <row r="496">
      <c r="A496" s="5">
        <v>495.0</v>
      </c>
      <c r="B496" s="5" t="s">
        <v>1102</v>
      </c>
      <c r="C496" s="5" t="s">
        <v>21</v>
      </c>
      <c r="K496" s="5">
        <v>150.0</v>
      </c>
      <c r="N496" s="8">
        <v>44223.0</v>
      </c>
    </row>
    <row r="497">
      <c r="A497" s="5">
        <v>496.0</v>
      </c>
      <c r="B497" s="5" t="s">
        <v>1104</v>
      </c>
      <c r="C497" s="5" t="s">
        <v>21</v>
      </c>
      <c r="K497" s="5">
        <v>250.0</v>
      </c>
      <c r="N497" s="8">
        <v>44325.0</v>
      </c>
    </row>
    <row r="498">
      <c r="A498" s="5">
        <v>497.0</v>
      </c>
      <c r="B498" s="5" t="s">
        <v>1105</v>
      </c>
      <c r="C498" s="5" t="s">
        <v>21</v>
      </c>
      <c r="K498" s="5">
        <v>100.0</v>
      </c>
      <c r="N498" s="8">
        <v>44518.0</v>
      </c>
    </row>
    <row r="499">
      <c r="A499" s="5">
        <v>498.0</v>
      </c>
      <c r="B499" s="5" t="s">
        <v>1107</v>
      </c>
      <c r="C499" s="5" t="s">
        <v>21</v>
      </c>
      <c r="K499" s="5">
        <v>600.0</v>
      </c>
      <c r="N499" s="8">
        <v>44397.0</v>
      </c>
    </row>
    <row r="500">
      <c r="A500" s="5">
        <v>499.0</v>
      </c>
      <c r="B500" s="5" t="s">
        <v>1108</v>
      </c>
      <c r="C500" s="5" t="s">
        <v>21</v>
      </c>
      <c r="K500" s="5">
        <v>300.0</v>
      </c>
      <c r="N500" s="8">
        <v>44677.0</v>
      </c>
    </row>
    <row r="501">
      <c r="A501" s="5">
        <v>500.0</v>
      </c>
      <c r="B501" s="5" t="s">
        <v>1109</v>
      </c>
      <c r="C501" s="5" t="s">
        <v>21</v>
      </c>
      <c r="K501" s="5">
        <v>250.0</v>
      </c>
      <c r="N501" s="8">
        <v>45100.0</v>
      </c>
    </row>
    <row r="502">
      <c r="A502" s="5">
        <v>501.0</v>
      </c>
      <c r="B502" s="5" t="s">
        <v>1110</v>
      </c>
      <c r="C502" s="5" t="s">
        <v>21</v>
      </c>
      <c r="K502" s="5">
        <v>200.0</v>
      </c>
      <c r="N502" s="8">
        <v>43849.0</v>
      </c>
    </row>
    <row r="503">
      <c r="A503" s="5">
        <v>502.0</v>
      </c>
      <c r="B503" s="5" t="s">
        <v>1111</v>
      </c>
      <c r="C503" s="5" t="s">
        <v>21</v>
      </c>
      <c r="K503" s="5">
        <v>80.0</v>
      </c>
      <c r="N503" s="8">
        <v>44670.0</v>
      </c>
    </row>
    <row r="504">
      <c r="A504" s="5">
        <v>503.0</v>
      </c>
      <c r="B504" s="5" t="s">
        <v>1113</v>
      </c>
      <c r="C504" s="5" t="s">
        <v>21</v>
      </c>
      <c r="K504" s="5">
        <v>1600.0</v>
      </c>
      <c r="N504" s="8">
        <v>44534.0</v>
      </c>
    </row>
    <row r="505">
      <c r="A505" s="5">
        <v>504.0</v>
      </c>
      <c r="B505" s="5" t="s">
        <v>1114</v>
      </c>
      <c r="C505" s="5" t="s">
        <v>21</v>
      </c>
      <c r="K505" s="5">
        <v>250.0</v>
      </c>
      <c r="N505" s="8">
        <v>43887.0</v>
      </c>
    </row>
    <row r="506">
      <c r="A506" s="5">
        <v>505.0</v>
      </c>
      <c r="B506" s="5" t="s">
        <v>1116</v>
      </c>
      <c r="C506" s="5" t="s">
        <v>21</v>
      </c>
      <c r="K506" s="5">
        <v>150.0</v>
      </c>
      <c r="N506" s="8">
        <v>44128.0</v>
      </c>
    </row>
    <row r="507">
      <c r="A507" s="5">
        <v>506.0</v>
      </c>
      <c r="B507" s="5" t="s">
        <v>1117</v>
      </c>
      <c r="C507" s="5" t="s">
        <v>21</v>
      </c>
      <c r="K507" s="5">
        <v>80.0</v>
      </c>
      <c r="N507" s="8">
        <v>45078.0</v>
      </c>
    </row>
    <row r="508">
      <c r="A508" s="5">
        <v>507.0</v>
      </c>
      <c r="B508" s="5" t="s">
        <v>1119</v>
      </c>
      <c r="C508" s="5" t="s">
        <v>21</v>
      </c>
      <c r="K508" s="5">
        <v>450.0</v>
      </c>
      <c r="N508" s="8">
        <v>45042.0</v>
      </c>
    </row>
    <row r="509">
      <c r="A509" s="5">
        <v>508.0</v>
      </c>
      <c r="B509" s="5" t="s">
        <v>1120</v>
      </c>
      <c r="C509" s="5" t="s">
        <v>21</v>
      </c>
      <c r="K509" s="5">
        <v>40.0</v>
      </c>
      <c r="N509" s="8">
        <v>45280.0</v>
      </c>
    </row>
    <row r="510">
      <c r="A510" s="5">
        <v>509.0</v>
      </c>
      <c r="B510" s="5" t="s">
        <v>1122</v>
      </c>
      <c r="C510" s="5" t="s">
        <v>21</v>
      </c>
      <c r="K510" s="5">
        <v>100.0</v>
      </c>
      <c r="N510" s="8">
        <v>44941.0</v>
      </c>
    </row>
    <row r="511">
      <c r="A511" s="5">
        <v>510.0</v>
      </c>
      <c r="B511" s="5" t="s">
        <v>1123</v>
      </c>
      <c r="C511" s="5" t="s">
        <v>21</v>
      </c>
      <c r="K511" s="5">
        <v>40.0</v>
      </c>
      <c r="N511" s="8">
        <v>45111.0</v>
      </c>
    </row>
    <row r="512">
      <c r="A512" s="5">
        <v>511.0</v>
      </c>
      <c r="B512" s="5" t="s">
        <v>1124</v>
      </c>
      <c r="C512" s="5" t="s">
        <v>21</v>
      </c>
      <c r="K512" s="5">
        <v>100.0</v>
      </c>
      <c r="N512" s="8">
        <v>45419.0</v>
      </c>
    </row>
    <row r="513">
      <c r="A513" s="5">
        <v>512.0</v>
      </c>
      <c r="B513" s="5" t="s">
        <v>1126</v>
      </c>
      <c r="C513" s="5" t="s">
        <v>21</v>
      </c>
      <c r="K513" s="5">
        <v>2200.0</v>
      </c>
      <c r="N513" s="8">
        <v>44392.0</v>
      </c>
    </row>
    <row r="514">
      <c r="A514" s="5">
        <v>513.0</v>
      </c>
      <c r="B514" s="5" t="s">
        <v>1127</v>
      </c>
      <c r="C514" s="5" t="s">
        <v>21</v>
      </c>
      <c r="K514" s="5">
        <v>80.0</v>
      </c>
      <c r="N514" s="8">
        <v>44075.0</v>
      </c>
    </row>
    <row r="515">
      <c r="A515" s="5">
        <v>514.0</v>
      </c>
      <c r="B515" s="5" t="s">
        <v>1128</v>
      </c>
      <c r="C515" s="5" t="s">
        <v>21</v>
      </c>
      <c r="K515" s="5">
        <v>300.0</v>
      </c>
      <c r="N515" s="8">
        <v>43869.0</v>
      </c>
    </row>
    <row r="516">
      <c r="A516" s="5">
        <v>515.0</v>
      </c>
      <c r="B516" s="5" t="s">
        <v>1130</v>
      </c>
      <c r="C516" s="5" t="s">
        <v>21</v>
      </c>
      <c r="N516" s="8">
        <v>44575.0</v>
      </c>
    </row>
    <row r="517">
      <c r="A517" s="5">
        <v>516.0</v>
      </c>
      <c r="B517" s="5" t="s">
        <v>112</v>
      </c>
      <c r="C517" s="5" t="s">
        <v>21</v>
      </c>
      <c r="K517" s="5">
        <v>150.0</v>
      </c>
      <c r="N517" s="8">
        <v>44779.0</v>
      </c>
    </row>
    <row r="518">
      <c r="A518" s="5">
        <v>517.0</v>
      </c>
      <c r="B518" s="5" t="s">
        <v>1132</v>
      </c>
      <c r="C518" s="5" t="s">
        <v>21</v>
      </c>
      <c r="K518" s="5">
        <v>50.0</v>
      </c>
      <c r="N518" s="8">
        <v>44515.0</v>
      </c>
    </row>
    <row r="519">
      <c r="A519" s="5">
        <v>518.0</v>
      </c>
      <c r="B519" s="5" t="s">
        <v>1133</v>
      </c>
      <c r="C519" s="5" t="s">
        <v>21</v>
      </c>
      <c r="K519" s="5">
        <v>70.0</v>
      </c>
      <c r="N519" s="8">
        <v>45637.0</v>
      </c>
    </row>
    <row r="520">
      <c r="A520" s="5">
        <v>519.0</v>
      </c>
      <c r="B520" s="5" t="s">
        <v>1135</v>
      </c>
      <c r="C520" s="5" t="s">
        <v>21</v>
      </c>
      <c r="K520" s="5">
        <v>200.0</v>
      </c>
      <c r="N520" s="8">
        <v>45559.0</v>
      </c>
    </row>
    <row r="521">
      <c r="A521" s="5">
        <v>520.0</v>
      </c>
      <c r="B521" s="5" t="s">
        <v>1136</v>
      </c>
      <c r="C521" s="5" t="s">
        <v>21</v>
      </c>
      <c r="K521" s="5">
        <v>2200.0</v>
      </c>
      <c r="N521" s="8">
        <v>43974.0</v>
      </c>
    </row>
    <row r="522">
      <c r="A522" s="5">
        <v>521.0</v>
      </c>
      <c r="B522" s="5" t="s">
        <v>1137</v>
      </c>
      <c r="C522" s="5" t="s">
        <v>21</v>
      </c>
      <c r="K522" s="5">
        <v>300.0</v>
      </c>
      <c r="N522" s="8">
        <v>44521.0</v>
      </c>
    </row>
    <row r="523">
      <c r="A523" s="5">
        <v>522.0</v>
      </c>
      <c r="B523" s="5" t="s">
        <v>1138</v>
      </c>
      <c r="C523" s="5" t="s">
        <v>21</v>
      </c>
      <c r="K523" s="5">
        <v>350.0</v>
      </c>
      <c r="N523" s="8">
        <v>45021.0</v>
      </c>
    </row>
    <row r="524">
      <c r="A524" s="5">
        <v>523.0</v>
      </c>
      <c r="B524" s="5" t="s">
        <v>1139</v>
      </c>
      <c r="C524" s="5" t="s">
        <v>21</v>
      </c>
      <c r="K524" s="5">
        <v>60.0</v>
      </c>
      <c r="N524" s="8">
        <v>45341.0</v>
      </c>
    </row>
    <row r="525">
      <c r="A525" s="5">
        <v>524.0</v>
      </c>
      <c r="B525" s="5" t="s">
        <v>1141</v>
      </c>
      <c r="C525" s="5" t="s">
        <v>21</v>
      </c>
      <c r="K525" s="5">
        <v>200.0</v>
      </c>
      <c r="N525" s="8">
        <v>45055.0</v>
      </c>
    </row>
    <row r="526">
      <c r="A526" s="5">
        <v>525.0</v>
      </c>
      <c r="B526" s="5" t="s">
        <v>1142</v>
      </c>
      <c r="C526" s="5" t="s">
        <v>21</v>
      </c>
      <c r="K526" s="5">
        <v>250.0</v>
      </c>
      <c r="N526" s="8">
        <v>44689.0</v>
      </c>
    </row>
    <row r="527">
      <c r="A527" s="5">
        <v>526.0</v>
      </c>
      <c r="B527" s="5" t="s">
        <v>1144</v>
      </c>
      <c r="C527" s="5" t="s">
        <v>21</v>
      </c>
      <c r="K527" s="5">
        <v>90.0</v>
      </c>
      <c r="N527" s="8">
        <v>44208.0</v>
      </c>
    </row>
    <row r="528">
      <c r="A528" s="5">
        <v>527.0</v>
      </c>
      <c r="B528" s="5" t="s">
        <v>1145</v>
      </c>
      <c r="C528" s="5" t="s">
        <v>21</v>
      </c>
      <c r="K528" s="5">
        <v>800.0</v>
      </c>
      <c r="N528" s="8">
        <v>45173.0</v>
      </c>
    </row>
    <row r="529">
      <c r="A529" s="5">
        <v>528.0</v>
      </c>
      <c r="B529" s="5" t="s">
        <v>1146</v>
      </c>
      <c r="C529" s="5" t="s">
        <v>21</v>
      </c>
      <c r="K529" s="5">
        <v>1700.0</v>
      </c>
      <c r="N529" s="8">
        <v>44236.0</v>
      </c>
    </row>
    <row r="530">
      <c r="A530" s="5">
        <v>529.0</v>
      </c>
      <c r="B530" s="5" t="s">
        <v>1148</v>
      </c>
      <c r="C530" s="5" t="s">
        <v>21</v>
      </c>
      <c r="K530" s="5">
        <v>250.0</v>
      </c>
      <c r="N530" s="8">
        <v>44959.0</v>
      </c>
    </row>
    <row r="531">
      <c r="A531" s="5">
        <v>530.0</v>
      </c>
      <c r="B531" s="5" t="s">
        <v>1149</v>
      </c>
      <c r="C531" s="5" t="s">
        <v>21</v>
      </c>
      <c r="K531" s="5">
        <v>13000.0</v>
      </c>
      <c r="N531" s="8">
        <v>44281.0</v>
      </c>
    </row>
    <row r="532">
      <c r="A532" s="5">
        <v>531.0</v>
      </c>
      <c r="B532" s="5" t="s">
        <v>1151</v>
      </c>
      <c r="C532" s="5" t="s">
        <v>21</v>
      </c>
      <c r="K532" s="5">
        <v>20.0</v>
      </c>
      <c r="N532" s="8">
        <v>45553.0</v>
      </c>
    </row>
    <row r="533">
      <c r="A533" s="5">
        <v>532.0</v>
      </c>
      <c r="B533" s="5" t="s">
        <v>1152</v>
      </c>
      <c r="C533" s="5" t="s">
        <v>21</v>
      </c>
      <c r="K533" s="5">
        <v>150.0</v>
      </c>
      <c r="N533" s="8">
        <v>44530.0</v>
      </c>
    </row>
    <row r="534">
      <c r="A534" s="5">
        <v>533.0</v>
      </c>
      <c r="B534" s="5" t="s">
        <v>62</v>
      </c>
      <c r="C534" s="5" t="s">
        <v>21</v>
      </c>
      <c r="N534" s="8">
        <v>44480.0</v>
      </c>
    </row>
    <row r="535">
      <c r="A535" s="5">
        <v>534.0</v>
      </c>
      <c r="B535" s="5" t="s">
        <v>1153</v>
      </c>
      <c r="C535" s="5" t="s">
        <v>21</v>
      </c>
      <c r="N535" s="8">
        <v>44714.0</v>
      </c>
    </row>
    <row r="536">
      <c r="A536" s="5">
        <v>535.0</v>
      </c>
      <c r="B536" s="5" t="s">
        <v>1155</v>
      </c>
      <c r="C536" s="5" t="s">
        <v>21</v>
      </c>
      <c r="K536" s="5">
        <v>2100.0</v>
      </c>
      <c r="N536" s="8">
        <v>44596.0</v>
      </c>
    </row>
    <row r="537">
      <c r="A537" s="5">
        <v>536.0</v>
      </c>
      <c r="B537" s="5" t="s">
        <v>1156</v>
      </c>
      <c r="C537" s="5" t="s">
        <v>21</v>
      </c>
      <c r="K537" s="5">
        <v>200.0</v>
      </c>
      <c r="N537" s="8">
        <v>43903.0</v>
      </c>
    </row>
    <row r="538">
      <c r="A538" s="5">
        <v>537.0</v>
      </c>
      <c r="B538" s="5" t="s">
        <v>1158</v>
      </c>
      <c r="C538" s="5" t="s">
        <v>21</v>
      </c>
      <c r="K538" s="5">
        <v>900.0</v>
      </c>
      <c r="N538" s="8">
        <v>45025.0</v>
      </c>
    </row>
    <row r="539">
      <c r="A539" s="5">
        <v>538.0</v>
      </c>
      <c r="B539" s="5" t="s">
        <v>1159</v>
      </c>
      <c r="C539" s="5" t="s">
        <v>21</v>
      </c>
      <c r="K539" s="5">
        <v>20.0</v>
      </c>
      <c r="N539" s="8">
        <v>44097.0</v>
      </c>
    </row>
    <row r="540">
      <c r="A540" s="5">
        <v>539.0</v>
      </c>
      <c r="B540" s="5" t="s">
        <v>1160</v>
      </c>
      <c r="C540" s="5" t="s">
        <v>21</v>
      </c>
      <c r="K540" s="5">
        <v>250.0</v>
      </c>
      <c r="N540" s="8">
        <v>44868.0</v>
      </c>
    </row>
    <row r="541">
      <c r="A541" s="5">
        <v>540.0</v>
      </c>
      <c r="B541" s="5" t="s">
        <v>1162</v>
      </c>
      <c r="C541" s="5" t="s">
        <v>21</v>
      </c>
      <c r="K541" s="5">
        <v>450.0</v>
      </c>
      <c r="N541" s="8">
        <v>44576.0</v>
      </c>
    </row>
    <row r="542">
      <c r="A542" s="5">
        <v>541.0</v>
      </c>
      <c r="B542" s="5" t="s">
        <v>1163</v>
      </c>
      <c r="C542" s="5" t="s">
        <v>21</v>
      </c>
      <c r="K542" s="5">
        <v>90.0</v>
      </c>
      <c r="N542" s="8">
        <v>43112.0</v>
      </c>
    </row>
    <row r="543">
      <c r="A543" s="5">
        <v>542.0</v>
      </c>
      <c r="B543" s="5" t="s">
        <v>1165</v>
      </c>
      <c r="C543" s="5" t="s">
        <v>21</v>
      </c>
      <c r="K543" s="5">
        <v>800.0</v>
      </c>
      <c r="N543" s="8">
        <v>43921.0</v>
      </c>
    </row>
    <row r="544">
      <c r="A544" s="5">
        <v>543.0</v>
      </c>
      <c r="B544" s="5" t="s">
        <v>1166</v>
      </c>
      <c r="C544" s="5" t="s">
        <v>21</v>
      </c>
      <c r="K544" s="5">
        <v>10.0</v>
      </c>
      <c r="N544" s="8">
        <v>44034.0</v>
      </c>
    </row>
    <row r="545">
      <c r="A545" s="5">
        <v>544.0</v>
      </c>
      <c r="B545" s="5" t="s">
        <v>1168</v>
      </c>
      <c r="C545" s="5" t="s">
        <v>21</v>
      </c>
      <c r="K545" s="5">
        <v>150.0</v>
      </c>
      <c r="N545" s="8">
        <v>44512.0</v>
      </c>
    </row>
    <row r="546">
      <c r="A546" s="5">
        <v>545.0</v>
      </c>
      <c r="B546" s="5" t="s">
        <v>1169</v>
      </c>
      <c r="C546" s="5" t="s">
        <v>21</v>
      </c>
      <c r="K546" s="5">
        <v>150.0</v>
      </c>
      <c r="N546" s="8">
        <v>45211.0</v>
      </c>
    </row>
    <row r="547">
      <c r="A547" s="5">
        <v>546.0</v>
      </c>
      <c r="B547" s="5" t="s">
        <v>1170</v>
      </c>
      <c r="C547" s="5" t="s">
        <v>21</v>
      </c>
      <c r="K547" s="5">
        <v>700.0</v>
      </c>
      <c r="N547" s="8">
        <v>44543.0</v>
      </c>
    </row>
    <row r="548">
      <c r="A548" s="5">
        <v>547.0</v>
      </c>
      <c r="B548" s="5" t="s">
        <v>1171</v>
      </c>
      <c r="C548" s="5" t="s">
        <v>21</v>
      </c>
      <c r="K548" s="5">
        <v>800.0</v>
      </c>
      <c r="N548" s="8">
        <v>44071.0</v>
      </c>
    </row>
    <row r="549">
      <c r="A549" s="5">
        <v>548.0</v>
      </c>
      <c r="B549" s="5" t="s">
        <v>1173</v>
      </c>
      <c r="C549" s="5" t="s">
        <v>21</v>
      </c>
      <c r="K549" s="5">
        <v>300.0</v>
      </c>
      <c r="N549" s="8">
        <v>44836.0</v>
      </c>
    </row>
    <row r="550">
      <c r="A550" s="5">
        <v>549.0</v>
      </c>
      <c r="B550" s="5" t="s">
        <v>1174</v>
      </c>
      <c r="C550" s="5" t="s">
        <v>21</v>
      </c>
      <c r="K550" s="5">
        <v>150.0</v>
      </c>
      <c r="N550" s="8">
        <v>44922.0</v>
      </c>
    </row>
    <row r="551">
      <c r="A551" s="5">
        <v>550.0</v>
      </c>
      <c r="B551" s="5" t="s">
        <v>1175</v>
      </c>
      <c r="C551" s="5" t="s">
        <v>21</v>
      </c>
      <c r="K551" s="5">
        <v>80.0</v>
      </c>
      <c r="N551" s="8">
        <v>44689.0</v>
      </c>
    </row>
    <row r="552">
      <c r="A552" s="5">
        <v>551.0</v>
      </c>
      <c r="B552" s="5" t="s">
        <v>1178</v>
      </c>
      <c r="C552" s="5" t="s">
        <v>21</v>
      </c>
      <c r="K552" s="5">
        <v>300.0</v>
      </c>
      <c r="N552" s="8">
        <v>44654.0</v>
      </c>
    </row>
    <row r="553">
      <c r="A553" s="5">
        <v>552.0</v>
      </c>
      <c r="B553" s="5" t="s">
        <v>1179</v>
      </c>
      <c r="C553" s="5" t="s">
        <v>21</v>
      </c>
      <c r="K553" s="5">
        <v>400.0</v>
      </c>
      <c r="N553" s="8">
        <v>44537.0</v>
      </c>
    </row>
    <row r="554">
      <c r="A554" s="5">
        <v>553.0</v>
      </c>
      <c r="B554" s="5" t="s">
        <v>1182</v>
      </c>
      <c r="C554" s="5" t="s">
        <v>21</v>
      </c>
      <c r="K554" s="5">
        <v>900.0</v>
      </c>
      <c r="N554" s="8">
        <v>44652.0</v>
      </c>
    </row>
    <row r="555">
      <c r="A555" s="5">
        <v>554.0</v>
      </c>
      <c r="B555" s="5" t="s">
        <v>1183</v>
      </c>
      <c r="C555" s="5" t="s">
        <v>21</v>
      </c>
      <c r="K555" s="5">
        <v>350.0</v>
      </c>
      <c r="N555" s="8">
        <v>43981.0</v>
      </c>
    </row>
    <row r="556">
      <c r="A556" s="5">
        <v>555.0</v>
      </c>
      <c r="B556" s="5" t="s">
        <v>1185</v>
      </c>
      <c r="C556" s="5" t="s">
        <v>21</v>
      </c>
      <c r="K556" s="5">
        <v>200.0</v>
      </c>
      <c r="N556" s="8">
        <v>44535.0</v>
      </c>
    </row>
    <row r="557">
      <c r="A557" s="5">
        <v>556.0</v>
      </c>
      <c r="B557" s="5" t="s">
        <v>1186</v>
      </c>
      <c r="C557" s="5" t="s">
        <v>21</v>
      </c>
      <c r="K557" s="5">
        <v>13000.0</v>
      </c>
      <c r="N557" s="8">
        <v>46087.0</v>
      </c>
    </row>
    <row r="558">
      <c r="A558" s="5">
        <v>557.0</v>
      </c>
      <c r="B558" s="5" t="s">
        <v>1187</v>
      </c>
      <c r="C558" s="5" t="s">
        <v>21</v>
      </c>
      <c r="K558" s="5">
        <v>1900.0</v>
      </c>
      <c r="N558" s="8">
        <v>44250.0</v>
      </c>
    </row>
    <row r="559">
      <c r="A559" s="5">
        <v>558.0</v>
      </c>
      <c r="B559" s="5" t="s">
        <v>65</v>
      </c>
      <c r="C559" s="5" t="s">
        <v>21</v>
      </c>
      <c r="K559" s="5">
        <v>300.0</v>
      </c>
      <c r="N559" s="8">
        <v>44138.0</v>
      </c>
    </row>
    <row r="560">
      <c r="A560" s="5">
        <v>559.0</v>
      </c>
      <c r="B560" s="5" t="s">
        <v>1189</v>
      </c>
      <c r="C560" s="5" t="s">
        <v>21</v>
      </c>
      <c r="K560" s="5">
        <v>1400.0</v>
      </c>
      <c r="N560" s="8">
        <v>45967.0</v>
      </c>
    </row>
    <row r="561">
      <c r="A561" s="5">
        <v>560.0</v>
      </c>
      <c r="B561" s="5" t="s">
        <v>1190</v>
      </c>
      <c r="C561" s="5" t="s">
        <v>21</v>
      </c>
      <c r="K561" s="5">
        <v>700.0</v>
      </c>
      <c r="N561" s="8">
        <v>45620.0</v>
      </c>
    </row>
    <row r="562">
      <c r="A562" s="5">
        <v>561.0</v>
      </c>
      <c r="B562" s="5" t="s">
        <v>1191</v>
      </c>
      <c r="C562" s="5" t="s">
        <v>21</v>
      </c>
      <c r="K562" s="5">
        <v>50.0</v>
      </c>
      <c r="N562" s="8">
        <v>44551.0</v>
      </c>
    </row>
    <row r="563">
      <c r="A563" s="5">
        <v>562.0</v>
      </c>
      <c r="B563" s="5" t="s">
        <v>1193</v>
      </c>
      <c r="C563" s="5" t="s">
        <v>21</v>
      </c>
      <c r="K563" s="5">
        <v>150.0</v>
      </c>
      <c r="N563" s="8">
        <v>43949.0</v>
      </c>
    </row>
    <row r="564">
      <c r="A564" s="5">
        <v>563.0</v>
      </c>
      <c r="B564" s="5" t="s">
        <v>1194</v>
      </c>
      <c r="C564" s="5" t="s">
        <v>21</v>
      </c>
      <c r="K564" s="5">
        <v>150.0</v>
      </c>
      <c r="N564" s="8">
        <v>44744.0</v>
      </c>
    </row>
    <row r="565">
      <c r="A565" s="5">
        <v>564.0</v>
      </c>
      <c r="B565" s="5" t="s">
        <v>1195</v>
      </c>
      <c r="C565" s="5" t="s">
        <v>21</v>
      </c>
      <c r="K565" s="5">
        <v>200.0</v>
      </c>
      <c r="N565" s="8">
        <v>44190.0</v>
      </c>
    </row>
    <row r="566">
      <c r="A566" s="5">
        <v>565.0</v>
      </c>
      <c r="B566" s="5" t="s">
        <v>1196</v>
      </c>
      <c r="C566" s="5" t="s">
        <v>21</v>
      </c>
      <c r="K566" s="5">
        <v>200.0</v>
      </c>
      <c r="N566" s="8">
        <v>44413.0</v>
      </c>
    </row>
    <row r="567">
      <c r="A567" s="5">
        <v>566.0</v>
      </c>
      <c r="B567" s="5" t="s">
        <v>1198</v>
      </c>
      <c r="C567" s="5" t="s">
        <v>21</v>
      </c>
      <c r="K567" s="5">
        <v>100.0</v>
      </c>
      <c r="N567" s="8">
        <v>45075.0</v>
      </c>
    </row>
    <row r="568">
      <c r="A568" s="5">
        <v>567.0</v>
      </c>
      <c r="B568" s="5" t="s">
        <v>1199</v>
      </c>
      <c r="C568" s="5" t="s">
        <v>21</v>
      </c>
      <c r="K568" s="5">
        <v>6800.0</v>
      </c>
      <c r="N568" s="8">
        <v>43862.0</v>
      </c>
    </row>
    <row r="569">
      <c r="A569" s="5">
        <v>568.0</v>
      </c>
      <c r="B569" s="5" t="s">
        <v>1200</v>
      </c>
      <c r="C569" s="5" t="s">
        <v>21</v>
      </c>
      <c r="K569" s="5">
        <v>450.0</v>
      </c>
      <c r="N569" s="8">
        <v>44543.0</v>
      </c>
    </row>
    <row r="570">
      <c r="A570" s="5">
        <v>569.0</v>
      </c>
      <c r="B570" s="5" t="s">
        <v>1201</v>
      </c>
      <c r="C570" s="5" t="s">
        <v>21</v>
      </c>
      <c r="K570" s="5">
        <v>900.0</v>
      </c>
      <c r="N570" s="8">
        <v>43505.0</v>
      </c>
    </row>
    <row r="571">
      <c r="A571" s="5">
        <v>570.0</v>
      </c>
      <c r="B571" s="5" t="s">
        <v>1202</v>
      </c>
      <c r="C571" s="5" t="s">
        <v>21</v>
      </c>
      <c r="K571" s="5">
        <v>1200.0</v>
      </c>
      <c r="N571" s="8">
        <v>44576.0</v>
      </c>
    </row>
    <row r="572">
      <c r="A572" s="5">
        <v>571.0</v>
      </c>
      <c r="B572" s="5" t="s">
        <v>1203</v>
      </c>
      <c r="C572" s="5" t="s">
        <v>21</v>
      </c>
      <c r="K572" s="5">
        <v>100.0</v>
      </c>
      <c r="N572" s="8">
        <v>44578.0</v>
      </c>
    </row>
    <row r="573">
      <c r="A573" s="5">
        <v>572.0</v>
      </c>
      <c r="B573" s="5" t="s">
        <v>1204</v>
      </c>
      <c r="C573" s="5" t="s">
        <v>21</v>
      </c>
      <c r="K573" s="5">
        <v>350.0</v>
      </c>
      <c r="N573" s="8">
        <v>43870.0</v>
      </c>
    </row>
    <row r="574">
      <c r="A574" s="5">
        <v>573.0</v>
      </c>
      <c r="B574" s="5" t="s">
        <v>1205</v>
      </c>
      <c r="C574" s="5" t="s">
        <v>21</v>
      </c>
      <c r="K574" s="5">
        <v>500.0</v>
      </c>
      <c r="N574" s="8">
        <v>45042.0</v>
      </c>
    </row>
    <row r="575">
      <c r="A575" s="5">
        <v>574.0</v>
      </c>
      <c r="B575" s="5" t="s">
        <v>1207</v>
      </c>
      <c r="C575" s="5" t="s">
        <v>21</v>
      </c>
      <c r="K575" s="5">
        <v>60.0</v>
      </c>
      <c r="N575" s="8">
        <v>44571.0</v>
      </c>
    </row>
    <row r="576">
      <c r="A576" s="5">
        <v>575.0</v>
      </c>
      <c r="B576" s="5" t="s">
        <v>1208</v>
      </c>
      <c r="C576" s="5" t="s">
        <v>21</v>
      </c>
      <c r="K576" s="5">
        <v>10.0</v>
      </c>
      <c r="N576" s="8">
        <v>45022.0</v>
      </c>
    </row>
    <row r="577">
      <c r="A577" s="5">
        <v>576.0</v>
      </c>
      <c r="B577" s="5" t="s">
        <v>1209</v>
      </c>
      <c r="C577" s="5" t="s">
        <v>21</v>
      </c>
      <c r="K577" s="5">
        <v>450.0</v>
      </c>
      <c r="N577" s="8">
        <v>44835.0</v>
      </c>
    </row>
    <row r="578">
      <c r="A578" s="5">
        <v>577.0</v>
      </c>
      <c r="B578" s="5" t="s">
        <v>1211</v>
      </c>
      <c r="C578" s="5" t="s">
        <v>21</v>
      </c>
      <c r="K578" s="5">
        <v>3700.0</v>
      </c>
      <c r="N578" s="8">
        <v>44211.0</v>
      </c>
    </row>
    <row r="579">
      <c r="A579" s="5">
        <v>578.0</v>
      </c>
      <c r="B579" s="5" t="s">
        <v>1212</v>
      </c>
      <c r="C579" s="5" t="s">
        <v>21</v>
      </c>
      <c r="K579" s="5">
        <v>250.0</v>
      </c>
      <c r="N579" s="8">
        <v>44985.0</v>
      </c>
    </row>
    <row r="580">
      <c r="A580" s="5">
        <v>579.0</v>
      </c>
      <c r="B580" s="5" t="s">
        <v>1214</v>
      </c>
      <c r="C580" s="5" t="s">
        <v>21</v>
      </c>
      <c r="K580" s="5">
        <v>700.0</v>
      </c>
      <c r="N580" s="8">
        <v>44613.0</v>
      </c>
    </row>
    <row r="581">
      <c r="A581" s="5">
        <v>580.0</v>
      </c>
      <c r="B581" s="5" t="s">
        <v>1215</v>
      </c>
      <c r="C581" s="5" t="s">
        <v>21</v>
      </c>
      <c r="K581" s="5">
        <v>100.0</v>
      </c>
      <c r="N581" s="8">
        <v>44572.0</v>
      </c>
    </row>
    <row r="582">
      <c r="A582" s="5">
        <v>581.0</v>
      </c>
      <c r="B582" s="5" t="s">
        <v>1216</v>
      </c>
      <c r="C582" s="5" t="s">
        <v>21</v>
      </c>
      <c r="K582" s="5">
        <v>450.0</v>
      </c>
      <c r="N582" s="8">
        <v>45094.0</v>
      </c>
    </row>
    <row r="583">
      <c r="A583" s="5">
        <v>582.0</v>
      </c>
      <c r="B583" s="5" t="s">
        <v>1217</v>
      </c>
      <c r="C583" s="5" t="s">
        <v>21</v>
      </c>
      <c r="K583" s="5">
        <v>200.0</v>
      </c>
      <c r="N583" s="8">
        <v>44619.0</v>
      </c>
    </row>
    <row r="584">
      <c r="A584" s="5">
        <v>583.0</v>
      </c>
      <c r="B584" s="5" t="s">
        <v>1218</v>
      </c>
      <c r="C584" s="5" t="s">
        <v>21</v>
      </c>
      <c r="K584" s="5">
        <v>700.0</v>
      </c>
      <c r="N584" s="8">
        <v>45646.0</v>
      </c>
    </row>
    <row r="585">
      <c r="A585" s="5">
        <v>584.0</v>
      </c>
      <c r="B585" s="5" t="s">
        <v>1219</v>
      </c>
      <c r="C585" s="5" t="s">
        <v>21</v>
      </c>
      <c r="K585" s="5">
        <v>400.0</v>
      </c>
      <c r="N585" s="8">
        <v>44541.0</v>
      </c>
    </row>
    <row r="586">
      <c r="A586" s="5">
        <v>585.0</v>
      </c>
      <c r="B586" s="5" t="s">
        <v>1220</v>
      </c>
      <c r="C586" s="5" t="s">
        <v>21</v>
      </c>
      <c r="K586" s="5">
        <v>400.0</v>
      </c>
      <c r="N586" s="8">
        <v>44561.0</v>
      </c>
    </row>
    <row r="587">
      <c r="A587" s="5">
        <v>586.0</v>
      </c>
      <c r="B587" s="5" t="s">
        <v>1222</v>
      </c>
      <c r="C587" s="5" t="s">
        <v>21</v>
      </c>
      <c r="K587" s="5">
        <v>30.0</v>
      </c>
      <c r="N587" s="8">
        <v>43947.0</v>
      </c>
    </row>
    <row r="588">
      <c r="A588" s="5">
        <v>587.0</v>
      </c>
      <c r="B588" s="5" t="s">
        <v>1223</v>
      </c>
      <c r="C588" s="5" t="s">
        <v>21</v>
      </c>
      <c r="K588" s="5">
        <v>250.0</v>
      </c>
      <c r="N588" s="8">
        <v>44096.0</v>
      </c>
    </row>
    <row r="589">
      <c r="A589" s="5">
        <v>588.0</v>
      </c>
      <c r="B589" s="5" t="s">
        <v>1225</v>
      </c>
      <c r="C589" s="5" t="s">
        <v>21</v>
      </c>
      <c r="K589" s="5">
        <v>500.0</v>
      </c>
      <c r="N589" s="8">
        <v>44985.0</v>
      </c>
    </row>
    <row r="590">
      <c r="A590" s="5">
        <v>589.0</v>
      </c>
      <c r="B590" s="5" t="s">
        <v>1226</v>
      </c>
      <c r="C590" s="5" t="s">
        <v>21</v>
      </c>
      <c r="K590" s="5">
        <v>40.0</v>
      </c>
      <c r="N590" s="8">
        <v>44938.0</v>
      </c>
    </row>
    <row r="591">
      <c r="A591" s="5">
        <v>590.0</v>
      </c>
      <c r="B591" s="5" t="s">
        <v>1227</v>
      </c>
      <c r="C591" s="5" t="s">
        <v>21</v>
      </c>
      <c r="K591" s="5">
        <v>2100.0</v>
      </c>
      <c r="N591" s="8">
        <v>43989.0</v>
      </c>
    </row>
    <row r="592">
      <c r="A592" s="5">
        <v>591.0</v>
      </c>
      <c r="B592" s="5" t="s">
        <v>1228</v>
      </c>
      <c r="C592" s="5" t="s">
        <v>21</v>
      </c>
      <c r="N592" s="8">
        <v>44833.0</v>
      </c>
    </row>
    <row r="593">
      <c r="A593" s="5">
        <v>592.0</v>
      </c>
      <c r="B593" s="5" t="s">
        <v>1230</v>
      </c>
      <c r="C593" s="5" t="s">
        <v>21</v>
      </c>
      <c r="K593" s="5">
        <v>2900.0</v>
      </c>
      <c r="N593" s="8">
        <v>44571.0</v>
      </c>
    </row>
    <row r="594">
      <c r="A594" s="5">
        <v>593.0</v>
      </c>
      <c r="B594" s="5" t="s">
        <v>1232</v>
      </c>
      <c r="C594" s="5" t="s">
        <v>21</v>
      </c>
      <c r="K594" s="5">
        <v>200.0</v>
      </c>
      <c r="N594" s="8">
        <v>44706.0</v>
      </c>
    </row>
    <row r="595">
      <c r="A595" s="5">
        <v>594.0</v>
      </c>
      <c r="B595" s="5" t="s">
        <v>1234</v>
      </c>
      <c r="C595" s="5" t="s">
        <v>21</v>
      </c>
      <c r="K595" s="5">
        <v>20.0</v>
      </c>
      <c r="N595" s="8">
        <v>44535.0</v>
      </c>
    </row>
    <row r="596">
      <c r="A596" s="5">
        <v>595.0</v>
      </c>
      <c r="B596" s="5" t="s">
        <v>1235</v>
      </c>
      <c r="C596" s="5" t="s">
        <v>21</v>
      </c>
      <c r="K596" s="5">
        <v>400.0</v>
      </c>
      <c r="N596" s="8">
        <v>45301.0</v>
      </c>
    </row>
    <row r="597">
      <c r="A597" s="5">
        <v>596.0</v>
      </c>
      <c r="B597" s="5" t="s">
        <v>1236</v>
      </c>
      <c r="C597" s="5" t="s">
        <v>21</v>
      </c>
      <c r="K597" s="5">
        <v>10.0</v>
      </c>
      <c r="N597" s="8">
        <v>45160.0</v>
      </c>
    </row>
    <row r="598">
      <c r="A598" s="5">
        <v>597.0</v>
      </c>
      <c r="B598" s="5" t="s">
        <v>1237</v>
      </c>
      <c r="C598" s="5" t="s">
        <v>21</v>
      </c>
      <c r="K598" s="5">
        <v>200.0</v>
      </c>
      <c r="N598" s="8">
        <v>45063.0</v>
      </c>
    </row>
    <row r="599">
      <c r="A599" s="5">
        <v>598.0</v>
      </c>
      <c r="B599" s="5" t="s">
        <v>1238</v>
      </c>
      <c r="C599" s="5" t="s">
        <v>21</v>
      </c>
      <c r="K599" s="5">
        <v>3700.0</v>
      </c>
      <c r="N599" s="8">
        <v>43888.0</v>
      </c>
    </row>
    <row r="600">
      <c r="A600" s="5">
        <v>599.0</v>
      </c>
      <c r="B600" s="5" t="s">
        <v>1240</v>
      </c>
      <c r="C600" s="5" t="s">
        <v>21</v>
      </c>
      <c r="K600" s="5">
        <v>250.0</v>
      </c>
      <c r="N600" s="8">
        <v>44639.0</v>
      </c>
    </row>
    <row r="601">
      <c r="A601" s="5">
        <v>600.0</v>
      </c>
      <c r="B601" s="5" t="s">
        <v>1241</v>
      </c>
      <c r="C601" s="5" t="s">
        <v>21</v>
      </c>
      <c r="K601" s="5">
        <v>1000.0</v>
      </c>
      <c r="N601" s="8">
        <v>45548.0</v>
      </c>
    </row>
    <row r="602">
      <c r="A602" s="5">
        <v>601.0</v>
      </c>
      <c r="B602" s="5" t="s">
        <v>1242</v>
      </c>
      <c r="C602" s="5" t="s">
        <v>21</v>
      </c>
      <c r="K602" s="5">
        <v>250.0</v>
      </c>
      <c r="N602" s="8">
        <v>44257.0</v>
      </c>
    </row>
    <row r="603">
      <c r="A603" s="5">
        <v>602.0</v>
      </c>
      <c r="B603" s="5" t="s">
        <v>1244</v>
      </c>
      <c r="C603" s="5" t="s">
        <v>21</v>
      </c>
      <c r="K603" s="5">
        <v>200.0</v>
      </c>
      <c r="N603" s="8">
        <v>44756.0</v>
      </c>
    </row>
    <row r="604">
      <c r="A604" s="5">
        <v>603.0</v>
      </c>
      <c r="B604" s="5" t="s">
        <v>1245</v>
      </c>
      <c r="C604" s="5" t="s">
        <v>21</v>
      </c>
      <c r="K604" s="5">
        <v>400.0</v>
      </c>
      <c r="N604" s="8">
        <v>44940.0</v>
      </c>
    </row>
    <row r="605">
      <c r="A605" s="5">
        <v>604.0</v>
      </c>
      <c r="B605" s="5" t="s">
        <v>1247</v>
      </c>
      <c r="C605" s="5" t="s">
        <v>21</v>
      </c>
      <c r="K605" s="5">
        <v>200.0</v>
      </c>
      <c r="N605" s="8">
        <v>44690.0</v>
      </c>
    </row>
    <row r="606">
      <c r="A606" s="5">
        <v>605.0</v>
      </c>
      <c r="B606" s="5" t="s">
        <v>1248</v>
      </c>
      <c r="C606" s="5" t="s">
        <v>21</v>
      </c>
      <c r="K606" s="5">
        <v>250.0</v>
      </c>
      <c r="N606" s="8">
        <v>44897.0</v>
      </c>
    </row>
    <row r="607">
      <c r="A607" s="5">
        <v>606.0</v>
      </c>
      <c r="B607" s="5" t="s">
        <v>1250</v>
      </c>
      <c r="C607" s="5" t="s">
        <v>21</v>
      </c>
      <c r="K607" s="5">
        <v>30.0</v>
      </c>
      <c r="N607" s="8">
        <v>44169.0</v>
      </c>
    </row>
    <row r="608">
      <c r="A608" s="5">
        <v>607.0</v>
      </c>
      <c r="B608" s="5" t="s">
        <v>1251</v>
      </c>
      <c r="C608" s="5" t="s">
        <v>21</v>
      </c>
      <c r="K608" s="5">
        <v>1300.0</v>
      </c>
      <c r="N608" s="8">
        <v>45281.0</v>
      </c>
    </row>
    <row r="609">
      <c r="A609" s="5">
        <v>608.0</v>
      </c>
      <c r="B609" s="5" t="s">
        <v>1252</v>
      </c>
      <c r="C609" s="5" t="s">
        <v>21</v>
      </c>
      <c r="K609" s="5">
        <v>400.0</v>
      </c>
      <c r="N609" s="8">
        <v>44267.0</v>
      </c>
    </row>
    <row r="610">
      <c r="A610" s="5">
        <v>609.0</v>
      </c>
      <c r="B610" s="5" t="s">
        <v>1254</v>
      </c>
      <c r="C610" s="5" t="s">
        <v>21</v>
      </c>
      <c r="K610" s="5">
        <v>1500.0</v>
      </c>
      <c r="N610" s="8">
        <v>44657.0</v>
      </c>
    </row>
    <row r="611">
      <c r="A611" s="5">
        <v>610.0</v>
      </c>
      <c r="B611" s="5" t="s">
        <v>1255</v>
      </c>
      <c r="C611" s="5" t="s">
        <v>21</v>
      </c>
      <c r="K611" s="5">
        <v>50.0</v>
      </c>
      <c r="N611" s="8">
        <v>44762.0</v>
      </c>
    </row>
    <row r="612">
      <c r="A612" s="5">
        <v>611.0</v>
      </c>
      <c r="B612" s="5" t="s">
        <v>1257</v>
      </c>
      <c r="C612" s="5" t="s">
        <v>21</v>
      </c>
      <c r="K612" s="5">
        <v>500.0</v>
      </c>
      <c r="N612" s="8">
        <v>44319.0</v>
      </c>
    </row>
    <row r="613">
      <c r="A613" s="5">
        <v>612.0</v>
      </c>
      <c r="B613" s="5" t="s">
        <v>1258</v>
      </c>
      <c r="C613" s="5" t="s">
        <v>21</v>
      </c>
      <c r="K613" s="5">
        <v>600.0</v>
      </c>
      <c r="N613" s="8">
        <v>44242.0</v>
      </c>
    </row>
    <row r="614">
      <c r="A614" s="5">
        <v>613.0</v>
      </c>
      <c r="B614" s="5" t="s">
        <v>1259</v>
      </c>
      <c r="C614" s="5" t="s">
        <v>21</v>
      </c>
      <c r="K614" s="5">
        <v>900.0</v>
      </c>
      <c r="N614" s="8">
        <v>43945.0</v>
      </c>
    </row>
    <row r="615">
      <c r="A615" s="5">
        <v>614.0</v>
      </c>
      <c r="B615" s="5" t="s">
        <v>1260</v>
      </c>
      <c r="C615" s="5" t="s">
        <v>21</v>
      </c>
      <c r="K615" s="5">
        <v>8300.0</v>
      </c>
      <c r="N615" s="8">
        <v>43973.0</v>
      </c>
    </row>
    <row r="616">
      <c r="A616" s="5">
        <v>615.0</v>
      </c>
      <c r="B616" s="5" t="s">
        <v>1262</v>
      </c>
      <c r="C616" s="5" t="s">
        <v>21</v>
      </c>
      <c r="K616" s="5">
        <v>150.0</v>
      </c>
      <c r="N616" s="8">
        <v>44697.0</v>
      </c>
    </row>
    <row r="617">
      <c r="A617" s="5">
        <v>616.0</v>
      </c>
      <c r="B617" s="5" t="s">
        <v>1263</v>
      </c>
      <c r="C617" s="5" t="s">
        <v>21</v>
      </c>
      <c r="K617" s="5">
        <v>60.0</v>
      </c>
      <c r="N617" s="8">
        <v>44592.0</v>
      </c>
    </row>
    <row r="618">
      <c r="A618" s="5">
        <v>617.0</v>
      </c>
      <c r="B618" s="5" t="s">
        <v>1264</v>
      </c>
      <c r="C618" s="5" t="s">
        <v>21</v>
      </c>
      <c r="K618" s="5">
        <v>30.0</v>
      </c>
      <c r="N618" s="8">
        <v>45065.0</v>
      </c>
    </row>
    <row r="619">
      <c r="A619" s="5">
        <v>618.0</v>
      </c>
      <c r="B619" s="5" t="s">
        <v>1265</v>
      </c>
      <c r="C619" s="5" t="s">
        <v>21</v>
      </c>
      <c r="K619" s="5">
        <v>300.0</v>
      </c>
      <c r="N619" s="8">
        <v>43917.0</v>
      </c>
    </row>
    <row r="620">
      <c r="A620" s="5">
        <v>619.0</v>
      </c>
      <c r="B620" s="5" t="s">
        <v>1266</v>
      </c>
      <c r="C620" s="5" t="s">
        <v>21</v>
      </c>
      <c r="K620" s="5">
        <v>250.0</v>
      </c>
      <c r="N620" s="8">
        <v>44541.0</v>
      </c>
    </row>
    <row r="621">
      <c r="A621" s="5">
        <v>620.0</v>
      </c>
      <c r="B621" s="5" t="s">
        <v>1267</v>
      </c>
      <c r="C621" s="5" t="s">
        <v>21</v>
      </c>
      <c r="K621" s="5">
        <v>3200.0</v>
      </c>
      <c r="N621" s="8">
        <v>44018.0</v>
      </c>
    </row>
    <row r="622">
      <c r="A622" s="5">
        <v>621.0</v>
      </c>
      <c r="B622" s="5" t="s">
        <v>1268</v>
      </c>
      <c r="C622" s="5" t="s">
        <v>21</v>
      </c>
      <c r="K622" s="5">
        <v>350.0</v>
      </c>
      <c r="N622" s="8">
        <v>44963.0</v>
      </c>
    </row>
    <row r="623">
      <c r="A623" s="5">
        <v>622.0</v>
      </c>
      <c r="B623" s="5" t="s">
        <v>1269</v>
      </c>
      <c r="C623" s="5" t="s">
        <v>21</v>
      </c>
      <c r="K623" s="5">
        <v>500.0</v>
      </c>
      <c r="N623" s="8">
        <v>44047.0</v>
      </c>
    </row>
    <row r="624">
      <c r="A624" s="5">
        <v>623.0</v>
      </c>
      <c r="B624" s="5" t="s">
        <v>1271</v>
      </c>
      <c r="C624" s="5" t="s">
        <v>21</v>
      </c>
      <c r="K624" s="5">
        <v>70.0</v>
      </c>
      <c r="N624" s="8">
        <v>43846.0</v>
      </c>
    </row>
    <row r="625">
      <c r="A625" s="5">
        <v>624.0</v>
      </c>
      <c r="B625" s="5" t="s">
        <v>1272</v>
      </c>
      <c r="C625" s="5" t="s">
        <v>21</v>
      </c>
      <c r="K625" s="5">
        <v>100.0</v>
      </c>
      <c r="N625" s="8">
        <v>45181.0</v>
      </c>
    </row>
    <row r="626">
      <c r="A626" s="5">
        <v>625.0</v>
      </c>
      <c r="B626" s="5" t="s">
        <v>1273</v>
      </c>
      <c r="C626" s="5" t="s">
        <v>21</v>
      </c>
      <c r="K626" s="5">
        <v>2400.0</v>
      </c>
      <c r="N626" s="8">
        <v>43946.0</v>
      </c>
    </row>
    <row r="627">
      <c r="A627" s="5">
        <v>626.0</v>
      </c>
      <c r="B627" s="5" t="s">
        <v>1275</v>
      </c>
      <c r="C627" s="5" t="s">
        <v>21</v>
      </c>
      <c r="K627" s="5">
        <v>500.0</v>
      </c>
      <c r="N627" s="8">
        <v>44616.0</v>
      </c>
    </row>
    <row r="628">
      <c r="A628" s="5">
        <v>627.0</v>
      </c>
      <c r="B628" s="5" t="s">
        <v>1276</v>
      </c>
      <c r="C628" s="5" t="s">
        <v>21</v>
      </c>
      <c r="K628" s="5">
        <v>400.0</v>
      </c>
      <c r="N628" s="8">
        <v>44579.0</v>
      </c>
    </row>
    <row r="629">
      <c r="A629" s="5">
        <v>628.0</v>
      </c>
      <c r="B629" s="5" t="s">
        <v>1277</v>
      </c>
      <c r="C629" s="5" t="s">
        <v>21</v>
      </c>
      <c r="K629" s="5">
        <v>70.0</v>
      </c>
      <c r="N629" s="8">
        <v>42709.0</v>
      </c>
    </row>
    <row r="630">
      <c r="A630" s="5">
        <v>629.0</v>
      </c>
      <c r="B630" s="5" t="s">
        <v>1279</v>
      </c>
      <c r="C630" s="5" t="s">
        <v>21</v>
      </c>
      <c r="K630" s="5">
        <v>10.0</v>
      </c>
      <c r="N630" s="8">
        <v>44430.0</v>
      </c>
    </row>
    <row r="631">
      <c r="A631" s="5">
        <v>630.0</v>
      </c>
      <c r="B631" s="5" t="s">
        <v>1280</v>
      </c>
      <c r="C631" s="5" t="s">
        <v>21</v>
      </c>
      <c r="K631" s="5">
        <v>50.0</v>
      </c>
      <c r="N631" s="8">
        <v>44542.0</v>
      </c>
    </row>
    <row r="632">
      <c r="A632" s="5">
        <v>631.0</v>
      </c>
      <c r="B632" s="5" t="s">
        <v>1282</v>
      </c>
      <c r="C632" s="5" t="s">
        <v>21</v>
      </c>
      <c r="K632" s="5">
        <v>100.0</v>
      </c>
      <c r="N632" s="8">
        <v>44604.0</v>
      </c>
    </row>
    <row r="633">
      <c r="A633" s="5">
        <v>632.0</v>
      </c>
      <c r="B633" s="5" t="s">
        <v>1283</v>
      </c>
      <c r="C633" s="5" t="s">
        <v>21</v>
      </c>
      <c r="K633" s="5">
        <v>900.0</v>
      </c>
      <c r="N633" s="8">
        <v>44638.0</v>
      </c>
    </row>
    <row r="634">
      <c r="A634" s="5">
        <v>633.0</v>
      </c>
      <c r="B634" s="5" t="s">
        <v>1285</v>
      </c>
      <c r="C634" s="5" t="s">
        <v>21</v>
      </c>
      <c r="K634" s="5">
        <v>200.0</v>
      </c>
      <c r="N634" s="8">
        <v>45047.0</v>
      </c>
    </row>
    <row r="635">
      <c r="A635" s="5">
        <v>634.0</v>
      </c>
      <c r="B635" s="5" t="s">
        <v>1286</v>
      </c>
      <c r="C635" s="5" t="s">
        <v>21</v>
      </c>
      <c r="K635" s="5">
        <v>900.0</v>
      </c>
      <c r="N635" s="8">
        <v>43849.0</v>
      </c>
    </row>
    <row r="636">
      <c r="A636" s="5">
        <v>635.0</v>
      </c>
      <c r="B636" s="5" t="s">
        <v>1288</v>
      </c>
      <c r="C636" s="5" t="s">
        <v>21</v>
      </c>
      <c r="K636" s="5">
        <v>30.0</v>
      </c>
      <c r="N636" s="8">
        <v>44552.0</v>
      </c>
    </row>
    <row r="637">
      <c r="A637" s="5">
        <v>636.0</v>
      </c>
      <c r="B637" s="5" t="s">
        <v>1290</v>
      </c>
      <c r="C637" s="5" t="s">
        <v>21</v>
      </c>
      <c r="K637" s="5">
        <v>150.0</v>
      </c>
      <c r="N637" s="8">
        <v>44316.0</v>
      </c>
    </row>
    <row r="638">
      <c r="A638" s="5">
        <v>637.0</v>
      </c>
      <c r="B638" s="5" t="s">
        <v>1291</v>
      </c>
      <c r="C638" s="5" t="s">
        <v>21</v>
      </c>
      <c r="K638" s="5">
        <v>100.0</v>
      </c>
      <c r="N638" s="8">
        <v>44829.0</v>
      </c>
    </row>
    <row r="639">
      <c r="A639" s="5">
        <v>638.0</v>
      </c>
      <c r="B639" s="5" t="s">
        <v>1292</v>
      </c>
      <c r="C639" s="5" t="s">
        <v>21</v>
      </c>
      <c r="K639" s="5">
        <v>150.0</v>
      </c>
      <c r="N639" s="8">
        <v>44635.0</v>
      </c>
    </row>
    <row r="640">
      <c r="A640" s="5">
        <v>639.0</v>
      </c>
      <c r="B640" s="5" t="s">
        <v>1294</v>
      </c>
      <c r="C640" s="5" t="s">
        <v>21</v>
      </c>
      <c r="K640" s="5">
        <v>1000.0</v>
      </c>
      <c r="N640" s="8">
        <v>44819.0</v>
      </c>
    </row>
    <row r="641">
      <c r="A641" s="5">
        <v>640.0</v>
      </c>
      <c r="B641" s="5" t="s">
        <v>1295</v>
      </c>
      <c r="C641" s="5" t="s">
        <v>21</v>
      </c>
      <c r="K641" s="5">
        <v>150.0</v>
      </c>
      <c r="N641" s="8">
        <v>43880.0</v>
      </c>
    </row>
    <row r="642">
      <c r="A642" s="5">
        <v>641.0</v>
      </c>
      <c r="B642" s="5" t="s">
        <v>1296</v>
      </c>
      <c r="C642" s="5" t="s">
        <v>21</v>
      </c>
      <c r="K642" s="5">
        <v>3100.0</v>
      </c>
      <c r="N642" s="8">
        <v>44331.0</v>
      </c>
    </row>
    <row r="643">
      <c r="A643" s="5">
        <v>642.0</v>
      </c>
      <c r="B643" s="5" t="s">
        <v>1297</v>
      </c>
      <c r="C643" s="5" t="s">
        <v>21</v>
      </c>
      <c r="K643" s="5">
        <v>900.0</v>
      </c>
      <c r="N643" s="8">
        <v>44561.0</v>
      </c>
    </row>
    <row r="644">
      <c r="A644" s="5">
        <v>643.0</v>
      </c>
      <c r="B644" s="5" t="s">
        <v>1298</v>
      </c>
      <c r="C644" s="5" t="s">
        <v>21</v>
      </c>
      <c r="N644" s="8">
        <v>44907.0</v>
      </c>
    </row>
    <row r="645">
      <c r="A645" s="5">
        <v>644.0</v>
      </c>
      <c r="B645" s="5" t="s">
        <v>1299</v>
      </c>
      <c r="C645" s="5" t="s">
        <v>21</v>
      </c>
      <c r="K645" s="5">
        <v>600.0</v>
      </c>
      <c r="N645" s="8">
        <v>44530.0</v>
      </c>
    </row>
    <row r="646">
      <c r="A646" s="5">
        <v>645.0</v>
      </c>
      <c r="B646" s="5" t="s">
        <v>1300</v>
      </c>
      <c r="C646" s="5" t="s">
        <v>21</v>
      </c>
      <c r="K646" s="5">
        <v>400.0</v>
      </c>
      <c r="N646" s="8">
        <v>44793.0</v>
      </c>
    </row>
    <row r="647">
      <c r="A647" s="5">
        <v>646.0</v>
      </c>
      <c r="B647" s="5" t="s">
        <v>1301</v>
      </c>
      <c r="C647" s="5" t="s">
        <v>21</v>
      </c>
      <c r="K647" s="5">
        <v>80.0</v>
      </c>
      <c r="N647" s="8">
        <v>45197.0</v>
      </c>
    </row>
    <row r="648">
      <c r="A648" s="5">
        <v>647.0</v>
      </c>
      <c r="B648" s="5" t="s">
        <v>1302</v>
      </c>
      <c r="C648" s="5" t="s">
        <v>21</v>
      </c>
      <c r="K648" s="5">
        <v>20.0</v>
      </c>
      <c r="N648" s="8">
        <v>45198.0</v>
      </c>
    </row>
    <row r="649">
      <c r="A649" s="5">
        <v>648.0</v>
      </c>
      <c r="B649" s="5" t="s">
        <v>1304</v>
      </c>
      <c r="C649" s="5" t="s">
        <v>21</v>
      </c>
      <c r="K649" s="5">
        <v>200.0</v>
      </c>
      <c r="N649" s="8">
        <v>44591.0</v>
      </c>
    </row>
    <row r="650">
      <c r="A650" s="5">
        <v>649.0</v>
      </c>
      <c r="B650" s="5" t="s">
        <v>1306</v>
      </c>
      <c r="C650" s="5" t="s">
        <v>21</v>
      </c>
      <c r="K650" s="5">
        <v>1000.0</v>
      </c>
      <c r="N650" s="8">
        <v>44593.0</v>
      </c>
    </row>
    <row r="651">
      <c r="A651" s="5">
        <v>650.0</v>
      </c>
      <c r="B651" s="5" t="s">
        <v>1307</v>
      </c>
      <c r="C651" s="5" t="s">
        <v>21</v>
      </c>
      <c r="K651" s="5">
        <v>800.0</v>
      </c>
      <c r="N651" s="8">
        <v>44359.0</v>
      </c>
    </row>
    <row r="652">
      <c r="A652" s="5">
        <v>651.0</v>
      </c>
      <c r="B652" s="5" t="s">
        <v>1308</v>
      </c>
      <c r="C652" s="5" t="s">
        <v>21</v>
      </c>
      <c r="K652" s="5">
        <v>250.0</v>
      </c>
      <c r="N652" s="8">
        <v>44289.0</v>
      </c>
    </row>
    <row r="653">
      <c r="A653" s="5">
        <v>652.0</v>
      </c>
      <c r="B653" s="5" t="s">
        <v>1310</v>
      </c>
      <c r="C653" s="5" t="s">
        <v>21</v>
      </c>
      <c r="K653" s="5">
        <v>250.0</v>
      </c>
      <c r="N653" s="8">
        <v>44737.0</v>
      </c>
    </row>
    <row r="654">
      <c r="A654" s="5">
        <v>653.0</v>
      </c>
      <c r="B654" s="5" t="s">
        <v>1311</v>
      </c>
      <c r="C654" s="5" t="s">
        <v>21</v>
      </c>
      <c r="K654" s="5">
        <v>350.0</v>
      </c>
      <c r="N654" s="8">
        <v>44340.0</v>
      </c>
    </row>
    <row r="655">
      <c r="A655" s="5">
        <v>654.0</v>
      </c>
      <c r="B655" s="5" t="s">
        <v>1312</v>
      </c>
      <c r="C655" s="5" t="s">
        <v>21</v>
      </c>
      <c r="K655" s="5">
        <v>150.0</v>
      </c>
      <c r="N655" s="8">
        <v>44584.0</v>
      </c>
    </row>
    <row r="656">
      <c r="A656" s="5">
        <v>655.0</v>
      </c>
      <c r="B656" s="5" t="s">
        <v>1314</v>
      </c>
      <c r="C656" s="5" t="s">
        <v>21</v>
      </c>
      <c r="K656" s="5">
        <v>10.0</v>
      </c>
      <c r="N656" s="8">
        <v>44122.0</v>
      </c>
    </row>
    <row r="657">
      <c r="A657" s="5">
        <v>656.0</v>
      </c>
      <c r="B657" s="5" t="s">
        <v>1315</v>
      </c>
      <c r="C657" s="5" t="s">
        <v>21</v>
      </c>
      <c r="K657" s="5">
        <v>60.0</v>
      </c>
      <c r="N657" s="8">
        <v>44613.0</v>
      </c>
    </row>
    <row r="658">
      <c r="A658" s="5">
        <v>657.0</v>
      </c>
      <c r="B658" s="5" t="s">
        <v>1316</v>
      </c>
      <c r="C658" s="5" t="s">
        <v>21</v>
      </c>
      <c r="K658" s="5">
        <v>300.0</v>
      </c>
      <c r="N658" s="8">
        <v>44532.0</v>
      </c>
    </row>
    <row r="659">
      <c r="A659" s="5">
        <v>658.0</v>
      </c>
      <c r="B659" s="5" t="s">
        <v>1318</v>
      </c>
      <c r="C659" s="5" t="s">
        <v>21</v>
      </c>
      <c r="K659" s="5">
        <v>1300.0</v>
      </c>
      <c r="N659" s="8">
        <v>44250.0</v>
      </c>
    </row>
    <row r="660">
      <c r="A660" s="5">
        <v>659.0</v>
      </c>
      <c r="B660" s="5" t="s">
        <v>1319</v>
      </c>
      <c r="C660" s="5" t="s">
        <v>21</v>
      </c>
      <c r="K660" s="5">
        <v>100.0</v>
      </c>
      <c r="N660" s="8">
        <v>44417.0</v>
      </c>
    </row>
    <row r="661">
      <c r="A661" s="5">
        <v>660.0</v>
      </c>
      <c r="B661" s="5" t="s">
        <v>68</v>
      </c>
      <c r="C661" s="5" t="s">
        <v>21</v>
      </c>
      <c r="K661" s="5">
        <v>30.0</v>
      </c>
      <c r="N661" s="8">
        <v>44124.0</v>
      </c>
    </row>
    <row r="662">
      <c r="A662" s="5">
        <v>661.0</v>
      </c>
      <c r="B662" s="5" t="s">
        <v>70</v>
      </c>
      <c r="C662" s="5" t="s">
        <v>21</v>
      </c>
      <c r="N662" s="8">
        <v>43142.0</v>
      </c>
    </row>
    <row r="663">
      <c r="A663" s="5">
        <v>662.0</v>
      </c>
      <c r="B663" s="5" t="s">
        <v>1322</v>
      </c>
      <c r="C663" s="5" t="s">
        <v>21</v>
      </c>
      <c r="K663" s="5">
        <v>300.0</v>
      </c>
      <c r="N663" s="8">
        <v>44527.0</v>
      </c>
    </row>
    <row r="664">
      <c r="A664" s="5">
        <v>663.0</v>
      </c>
      <c r="B664" s="5" t="s">
        <v>1323</v>
      </c>
      <c r="C664" s="5" t="s">
        <v>21</v>
      </c>
      <c r="K664" s="5">
        <v>4200.0</v>
      </c>
      <c r="N664" s="8">
        <v>44354.0</v>
      </c>
    </row>
    <row r="665">
      <c r="A665" s="5">
        <v>664.0</v>
      </c>
      <c r="B665" s="5" t="s">
        <v>71</v>
      </c>
      <c r="C665" s="5" t="s">
        <v>21</v>
      </c>
      <c r="K665" s="5">
        <v>400.0</v>
      </c>
      <c r="N665" s="8">
        <v>43921.0</v>
      </c>
    </row>
    <row r="666">
      <c r="A666" s="5">
        <v>665.0</v>
      </c>
      <c r="B666" s="5" t="s">
        <v>1326</v>
      </c>
      <c r="C666" s="5" t="s">
        <v>21</v>
      </c>
      <c r="K666" s="5">
        <v>350.0</v>
      </c>
      <c r="N666" s="8">
        <v>44520.0</v>
      </c>
    </row>
    <row r="667">
      <c r="A667" s="5">
        <v>666.0</v>
      </c>
      <c r="B667" s="5" t="s">
        <v>1327</v>
      </c>
      <c r="C667" s="5" t="s">
        <v>21</v>
      </c>
      <c r="K667" s="5">
        <v>150.0</v>
      </c>
      <c r="N667" s="8">
        <v>44622.0</v>
      </c>
    </row>
    <row r="668">
      <c r="A668" s="5">
        <v>667.0</v>
      </c>
      <c r="B668" s="5" t="s">
        <v>115</v>
      </c>
      <c r="C668" s="5" t="s">
        <v>21</v>
      </c>
      <c r="K668" s="5">
        <v>11000.0</v>
      </c>
      <c r="N668" s="8">
        <v>43891.0</v>
      </c>
    </row>
    <row r="669">
      <c r="A669" s="5">
        <v>668.0</v>
      </c>
      <c r="B669" s="5" t="s">
        <v>74</v>
      </c>
      <c r="C669" s="5" t="s">
        <v>21</v>
      </c>
      <c r="K669" s="5">
        <v>250.0</v>
      </c>
      <c r="N669" s="8">
        <v>44168.0</v>
      </c>
    </row>
    <row r="670">
      <c r="A670" s="5">
        <v>669.0</v>
      </c>
      <c r="B670" s="5" t="s">
        <v>1329</v>
      </c>
      <c r="C670" s="5" t="s">
        <v>21</v>
      </c>
      <c r="K670" s="5">
        <v>800.0</v>
      </c>
      <c r="N670" s="8">
        <v>45078.0</v>
      </c>
    </row>
    <row r="671">
      <c r="A671" s="5">
        <v>670.0</v>
      </c>
      <c r="B671" s="5" t="s">
        <v>1331</v>
      </c>
      <c r="C671" s="5" t="s">
        <v>21</v>
      </c>
      <c r="K671" s="5">
        <v>150.0</v>
      </c>
      <c r="N671" s="8">
        <v>44521.0</v>
      </c>
    </row>
    <row r="672">
      <c r="A672" s="5">
        <v>671.0</v>
      </c>
      <c r="B672" s="5" t="s">
        <v>1334</v>
      </c>
      <c r="C672" s="5" t="s">
        <v>21</v>
      </c>
      <c r="K672" s="5">
        <v>60.0</v>
      </c>
      <c r="N672" s="8">
        <v>44564.0</v>
      </c>
    </row>
    <row r="673">
      <c r="A673" s="5">
        <v>672.0</v>
      </c>
      <c r="B673" s="5" t="s">
        <v>1335</v>
      </c>
      <c r="C673" s="5" t="s">
        <v>21</v>
      </c>
      <c r="K673" s="5">
        <v>80.0</v>
      </c>
      <c r="N673" s="8">
        <v>44518.0</v>
      </c>
    </row>
    <row r="674">
      <c r="A674" s="5">
        <v>673.0</v>
      </c>
      <c r="B674" s="5" t="s">
        <v>1337</v>
      </c>
      <c r="C674" s="5" t="s">
        <v>21</v>
      </c>
      <c r="K674" s="5">
        <v>500.0</v>
      </c>
      <c r="N674" s="8">
        <v>43901.0</v>
      </c>
    </row>
    <row r="675">
      <c r="A675" s="5">
        <v>674.0</v>
      </c>
      <c r="B675" s="5" t="s">
        <v>1338</v>
      </c>
      <c r="C675" s="5" t="s">
        <v>21</v>
      </c>
      <c r="K675" s="5">
        <v>200.0</v>
      </c>
      <c r="N675" s="8">
        <v>44817.0</v>
      </c>
    </row>
    <row r="676">
      <c r="A676" s="5">
        <v>675.0</v>
      </c>
      <c r="B676" s="5" t="s">
        <v>1339</v>
      </c>
      <c r="C676" s="5" t="s">
        <v>21</v>
      </c>
      <c r="K676" s="5">
        <v>250.0</v>
      </c>
      <c r="N676" s="8">
        <v>45526.0</v>
      </c>
    </row>
    <row r="677">
      <c r="A677" s="5">
        <v>676.0</v>
      </c>
      <c r="B677" s="5" t="s">
        <v>1340</v>
      </c>
      <c r="C677" s="5" t="s">
        <v>21</v>
      </c>
      <c r="K677" s="5">
        <v>2700.0</v>
      </c>
      <c r="N677" s="8">
        <v>43896.0</v>
      </c>
    </row>
    <row r="678">
      <c r="A678" s="5">
        <v>677.0</v>
      </c>
      <c r="B678" s="5" t="s">
        <v>1341</v>
      </c>
      <c r="C678" s="5" t="s">
        <v>21</v>
      </c>
      <c r="N678" s="8">
        <v>44550.0</v>
      </c>
    </row>
    <row r="679">
      <c r="A679" s="5">
        <v>678.0</v>
      </c>
      <c r="B679" s="5" t="s">
        <v>1342</v>
      </c>
      <c r="C679" s="5" t="s">
        <v>21</v>
      </c>
      <c r="K679" s="5">
        <v>300.0</v>
      </c>
      <c r="N679" s="8">
        <v>44616.0</v>
      </c>
    </row>
    <row r="680">
      <c r="A680" s="5">
        <v>679.0</v>
      </c>
      <c r="B680" s="5" t="s">
        <v>1343</v>
      </c>
      <c r="C680" s="5" t="s">
        <v>21</v>
      </c>
      <c r="K680" s="5">
        <v>150.0</v>
      </c>
      <c r="N680" s="8">
        <v>44765.0</v>
      </c>
    </row>
    <row r="681">
      <c r="A681" s="5">
        <v>680.0</v>
      </c>
      <c r="B681" s="5" t="s">
        <v>1344</v>
      </c>
      <c r="C681" s="5" t="s">
        <v>21</v>
      </c>
      <c r="K681" s="5">
        <v>200.0</v>
      </c>
      <c r="N681" s="8">
        <v>45483.0</v>
      </c>
    </row>
    <row r="682">
      <c r="A682" s="5">
        <v>681.0</v>
      </c>
      <c r="B682" s="5" t="s">
        <v>1345</v>
      </c>
      <c r="C682" s="5" t="s">
        <v>21</v>
      </c>
      <c r="K682" s="5">
        <v>1400.0</v>
      </c>
      <c r="N682" s="8">
        <v>43839.0</v>
      </c>
    </row>
    <row r="683">
      <c r="A683" s="5">
        <v>682.0</v>
      </c>
      <c r="B683" s="5" t="s">
        <v>1346</v>
      </c>
      <c r="C683" s="5" t="s">
        <v>21</v>
      </c>
      <c r="K683" s="5">
        <v>350.0</v>
      </c>
      <c r="N683" s="8">
        <v>44663.0</v>
      </c>
    </row>
    <row r="684">
      <c r="A684" s="5">
        <v>683.0</v>
      </c>
      <c r="B684" s="5" t="s">
        <v>1347</v>
      </c>
      <c r="C684" s="5" t="s">
        <v>21</v>
      </c>
      <c r="N684" s="8">
        <v>44635.0</v>
      </c>
    </row>
    <row r="685">
      <c r="A685" s="5">
        <v>684.0</v>
      </c>
      <c r="B685" s="5" t="s">
        <v>1348</v>
      </c>
      <c r="C685" s="5" t="s">
        <v>21</v>
      </c>
      <c r="K685" s="5">
        <v>250.0</v>
      </c>
      <c r="N685" s="8">
        <v>44518.0</v>
      </c>
    </row>
    <row r="686">
      <c r="A686" s="5">
        <v>685.0</v>
      </c>
      <c r="B686" s="5" t="s">
        <v>1349</v>
      </c>
      <c r="C686" s="5" t="s">
        <v>21</v>
      </c>
      <c r="K686" s="5">
        <v>400.0</v>
      </c>
      <c r="N686" s="8">
        <v>44550.0</v>
      </c>
    </row>
    <row r="687">
      <c r="A687" s="5">
        <v>686.0</v>
      </c>
      <c r="B687" s="5" t="s">
        <v>1350</v>
      </c>
      <c r="C687" s="5" t="s">
        <v>21</v>
      </c>
      <c r="K687" s="5">
        <v>70.0</v>
      </c>
      <c r="N687" s="8">
        <v>45009.0</v>
      </c>
    </row>
    <row r="688">
      <c r="A688" s="5">
        <v>687.0</v>
      </c>
      <c r="B688" s="5" t="s">
        <v>1351</v>
      </c>
      <c r="C688" s="5" t="s">
        <v>21</v>
      </c>
      <c r="K688" s="5">
        <v>40.0</v>
      </c>
      <c r="N688" s="8">
        <v>44391.0</v>
      </c>
    </row>
    <row r="689">
      <c r="A689" s="5">
        <v>688.0</v>
      </c>
      <c r="B689" s="5" t="s">
        <v>1352</v>
      </c>
      <c r="C689" s="5" t="s">
        <v>21</v>
      </c>
      <c r="K689" s="5">
        <v>150.0</v>
      </c>
      <c r="N689" s="8">
        <v>44901.0</v>
      </c>
    </row>
    <row r="690">
      <c r="A690" s="5">
        <v>689.0</v>
      </c>
      <c r="B690" s="5" t="s">
        <v>1353</v>
      </c>
      <c r="C690" s="5" t="s">
        <v>21</v>
      </c>
      <c r="K690" s="5">
        <v>100.0</v>
      </c>
      <c r="N690" s="8">
        <v>44712.0</v>
      </c>
    </row>
    <row r="691">
      <c r="A691" s="5">
        <v>690.0</v>
      </c>
      <c r="B691" s="5" t="s">
        <v>1354</v>
      </c>
      <c r="C691" s="5" t="s">
        <v>21</v>
      </c>
      <c r="K691" s="5">
        <v>10.0</v>
      </c>
      <c r="N691" s="8">
        <v>44450.0</v>
      </c>
    </row>
    <row r="692">
      <c r="A692" s="5">
        <v>691.0</v>
      </c>
      <c r="B692" s="5" t="s">
        <v>1355</v>
      </c>
      <c r="C692" s="5" t="s">
        <v>21</v>
      </c>
      <c r="K692" s="5">
        <v>500.0</v>
      </c>
      <c r="N692" s="8">
        <v>44528.0</v>
      </c>
    </row>
    <row r="693">
      <c r="A693" s="5">
        <v>692.0</v>
      </c>
      <c r="B693" s="5" t="s">
        <v>1356</v>
      </c>
      <c r="C693" s="5" t="s">
        <v>21</v>
      </c>
      <c r="K693" s="5">
        <v>100.0</v>
      </c>
      <c r="N693" s="8">
        <v>44838.0</v>
      </c>
    </row>
    <row r="694">
      <c r="A694" s="5">
        <v>693.0</v>
      </c>
      <c r="B694" s="5" t="s">
        <v>75</v>
      </c>
      <c r="C694" s="5" t="s">
        <v>21</v>
      </c>
      <c r="K694" s="5">
        <v>20.0</v>
      </c>
      <c r="N694" s="8">
        <v>44877.0</v>
      </c>
    </row>
    <row r="695">
      <c r="A695" s="5">
        <v>694.0</v>
      </c>
      <c r="B695" s="5" t="s">
        <v>1357</v>
      </c>
      <c r="C695" s="5" t="s">
        <v>21</v>
      </c>
      <c r="K695" s="5">
        <v>500.0</v>
      </c>
      <c r="N695" s="8">
        <v>44481.0</v>
      </c>
    </row>
    <row r="696">
      <c r="A696" s="5">
        <v>695.0</v>
      </c>
      <c r="B696" s="5" t="s">
        <v>1358</v>
      </c>
      <c r="C696" s="5" t="s">
        <v>21</v>
      </c>
      <c r="K696" s="5">
        <v>350.0</v>
      </c>
      <c r="N696" s="8">
        <v>44381.0</v>
      </c>
    </row>
    <row r="697">
      <c r="A697" s="5">
        <v>696.0</v>
      </c>
      <c r="B697" s="5" t="s">
        <v>1359</v>
      </c>
      <c r="C697" s="5" t="s">
        <v>21</v>
      </c>
      <c r="K697" s="5">
        <v>150.0</v>
      </c>
      <c r="N697" s="8">
        <v>44620.0</v>
      </c>
    </row>
    <row r="698">
      <c r="A698" s="5">
        <v>697.0</v>
      </c>
      <c r="B698" s="5" t="s">
        <v>1360</v>
      </c>
      <c r="C698" s="5" t="s">
        <v>21</v>
      </c>
      <c r="K698" s="5">
        <v>200.0</v>
      </c>
      <c r="N698" s="8">
        <v>44620.0</v>
      </c>
    </row>
    <row r="699">
      <c r="A699" s="5">
        <v>698.0</v>
      </c>
      <c r="B699" s="5" t="s">
        <v>1361</v>
      </c>
      <c r="C699" s="5" t="s">
        <v>21</v>
      </c>
      <c r="K699" s="5">
        <v>150.0</v>
      </c>
      <c r="N699" s="8">
        <v>44521.0</v>
      </c>
    </row>
    <row r="700">
      <c r="A700" s="5">
        <v>699.0</v>
      </c>
      <c r="B700" s="5" t="s">
        <v>1362</v>
      </c>
      <c r="C700" s="5" t="s">
        <v>21</v>
      </c>
      <c r="K700" s="5">
        <v>600.0</v>
      </c>
      <c r="N700" s="8">
        <v>44785.0</v>
      </c>
    </row>
    <row r="701">
      <c r="A701" s="5">
        <v>700.0</v>
      </c>
      <c r="B701" s="5" t="s">
        <v>1363</v>
      </c>
      <c r="C701" s="5" t="s">
        <v>21</v>
      </c>
      <c r="K701" s="5">
        <v>600.0</v>
      </c>
      <c r="N701" s="8">
        <v>45061.0</v>
      </c>
    </row>
    <row r="702">
      <c r="A702" s="5">
        <v>701.0</v>
      </c>
      <c r="B702" s="5" t="s">
        <v>1364</v>
      </c>
      <c r="C702" s="5" t="s">
        <v>21</v>
      </c>
      <c r="K702" s="5">
        <v>200.0</v>
      </c>
      <c r="N702" s="8">
        <v>44706.0</v>
      </c>
    </row>
    <row r="703">
      <c r="A703" s="5">
        <v>702.0</v>
      </c>
      <c r="B703" s="5" t="s">
        <v>1365</v>
      </c>
      <c r="C703" s="5" t="s">
        <v>21</v>
      </c>
      <c r="K703" s="5">
        <v>200.0</v>
      </c>
      <c r="N703" s="8">
        <v>44454.0</v>
      </c>
    </row>
    <row r="704">
      <c r="A704" s="5">
        <v>703.0</v>
      </c>
      <c r="B704" s="5" t="s">
        <v>1366</v>
      </c>
      <c r="C704" s="5" t="s">
        <v>21</v>
      </c>
      <c r="K704" s="5">
        <v>150.0</v>
      </c>
      <c r="N704" s="8">
        <v>45356.0</v>
      </c>
    </row>
    <row r="705">
      <c r="A705" s="5">
        <v>704.0</v>
      </c>
      <c r="B705" s="5" t="s">
        <v>1367</v>
      </c>
      <c r="C705" s="5" t="s">
        <v>21</v>
      </c>
      <c r="K705" s="5">
        <v>5200.0</v>
      </c>
      <c r="N705" s="8">
        <v>42933.0</v>
      </c>
    </row>
    <row r="706">
      <c r="A706" s="5">
        <v>705.0</v>
      </c>
      <c r="B706" s="5" t="s">
        <v>77</v>
      </c>
      <c r="C706" s="5" t="s">
        <v>21</v>
      </c>
      <c r="K706" s="5">
        <v>200.0</v>
      </c>
      <c r="N706" s="8">
        <v>44450.0</v>
      </c>
    </row>
    <row r="707">
      <c r="A707" s="5">
        <v>706.0</v>
      </c>
      <c r="B707" s="5" t="s">
        <v>1368</v>
      </c>
      <c r="C707" s="5" t="s">
        <v>21</v>
      </c>
      <c r="K707" s="5">
        <v>1000.0</v>
      </c>
      <c r="N707" s="8">
        <v>45546.0</v>
      </c>
    </row>
    <row r="708">
      <c r="A708" s="5">
        <v>707.0</v>
      </c>
      <c r="B708" s="5" t="s">
        <v>1369</v>
      </c>
      <c r="C708" s="5" t="s">
        <v>21</v>
      </c>
      <c r="K708" s="5">
        <v>2000.0</v>
      </c>
      <c r="N708" s="8">
        <v>44017.0</v>
      </c>
    </row>
    <row r="709">
      <c r="A709" s="5">
        <v>708.0</v>
      </c>
      <c r="B709" s="5" t="s">
        <v>1370</v>
      </c>
      <c r="C709" s="5" t="s">
        <v>21</v>
      </c>
      <c r="K709" s="5">
        <v>200.0</v>
      </c>
      <c r="N709" s="8">
        <v>44568.0</v>
      </c>
    </row>
    <row r="710">
      <c r="A710" s="5">
        <v>709.0</v>
      </c>
      <c r="B710" s="5" t="s">
        <v>1371</v>
      </c>
      <c r="C710" s="5" t="s">
        <v>21</v>
      </c>
      <c r="K710" s="5">
        <v>40.0</v>
      </c>
      <c r="N710" s="8">
        <v>44718.0</v>
      </c>
    </row>
    <row r="711">
      <c r="A711" s="5">
        <v>710.0</v>
      </c>
      <c r="B711" s="5" t="s">
        <v>1372</v>
      </c>
      <c r="C711" s="5" t="s">
        <v>21</v>
      </c>
      <c r="K711" s="5">
        <v>100.0</v>
      </c>
      <c r="N711" s="8">
        <v>45566.0</v>
      </c>
    </row>
    <row r="712">
      <c r="A712" s="5">
        <v>711.0</v>
      </c>
      <c r="B712" s="5" t="s">
        <v>1373</v>
      </c>
      <c r="C712" s="5" t="s">
        <v>21</v>
      </c>
      <c r="K712" s="5">
        <v>70.0</v>
      </c>
      <c r="N712" s="8">
        <v>44683.0</v>
      </c>
    </row>
    <row r="713">
      <c r="A713" s="5">
        <v>712.0</v>
      </c>
      <c r="B713" s="5" t="s">
        <v>1374</v>
      </c>
      <c r="C713" s="5" t="s">
        <v>21</v>
      </c>
      <c r="K713" s="5">
        <v>200.0</v>
      </c>
      <c r="N713" s="8">
        <v>44456.0</v>
      </c>
    </row>
    <row r="714">
      <c r="A714" s="5">
        <v>713.0</v>
      </c>
      <c r="B714" s="5" t="s">
        <v>117</v>
      </c>
      <c r="C714" s="5" t="s">
        <v>21</v>
      </c>
      <c r="K714" s="5">
        <v>1900.0</v>
      </c>
      <c r="N714" s="8">
        <v>43759.0</v>
      </c>
    </row>
    <row r="715">
      <c r="A715" s="5">
        <v>714.0</v>
      </c>
      <c r="B715" s="5" t="s">
        <v>1375</v>
      </c>
      <c r="C715" s="5" t="s">
        <v>21</v>
      </c>
      <c r="K715" s="5">
        <v>2600.0</v>
      </c>
      <c r="N715" s="8">
        <v>44069.0</v>
      </c>
    </row>
    <row r="716">
      <c r="A716" s="5">
        <v>715.0</v>
      </c>
      <c r="B716" s="5" t="s">
        <v>118</v>
      </c>
      <c r="C716" s="5" t="s">
        <v>21</v>
      </c>
      <c r="K716" s="5">
        <v>300.0</v>
      </c>
      <c r="N716" s="8">
        <v>45634.0</v>
      </c>
    </row>
    <row r="717">
      <c r="A717" s="5">
        <v>716.0</v>
      </c>
      <c r="B717" s="5" t="s">
        <v>1376</v>
      </c>
      <c r="C717" s="5" t="s">
        <v>21</v>
      </c>
      <c r="K717" s="5">
        <v>100.0</v>
      </c>
      <c r="N717" s="8">
        <v>44560.0</v>
      </c>
    </row>
    <row r="718">
      <c r="A718" s="5">
        <v>717.0</v>
      </c>
      <c r="B718" s="5" t="s">
        <v>1377</v>
      </c>
      <c r="C718" s="5" t="s">
        <v>21</v>
      </c>
      <c r="K718" s="5">
        <v>600.0</v>
      </c>
      <c r="N718" s="8">
        <v>43975.0</v>
      </c>
    </row>
    <row r="719">
      <c r="A719" s="5">
        <v>718.0</v>
      </c>
      <c r="B719" s="5" t="s">
        <v>1378</v>
      </c>
      <c r="C719" s="5" t="s">
        <v>21</v>
      </c>
      <c r="K719" s="5">
        <v>30.0</v>
      </c>
      <c r="N719" s="8">
        <v>44889.0</v>
      </c>
    </row>
    <row r="720">
      <c r="A720" s="5">
        <v>719.0</v>
      </c>
      <c r="B720" s="5" t="s">
        <v>1379</v>
      </c>
      <c r="C720" s="5" t="s">
        <v>21</v>
      </c>
      <c r="K720" s="5">
        <v>100.0</v>
      </c>
      <c r="N720" s="8">
        <v>44651.0</v>
      </c>
    </row>
    <row r="721">
      <c r="A721" s="5">
        <v>720.0</v>
      </c>
      <c r="B721" s="5" t="s">
        <v>1380</v>
      </c>
      <c r="C721" s="5" t="s">
        <v>21</v>
      </c>
      <c r="K721" s="5">
        <v>150.0</v>
      </c>
      <c r="N721" s="8">
        <v>44538.0</v>
      </c>
    </row>
    <row r="722">
      <c r="A722" s="5">
        <v>721.0</v>
      </c>
      <c r="B722" s="5" t="s">
        <v>80</v>
      </c>
      <c r="C722" s="5" t="s">
        <v>21</v>
      </c>
      <c r="K722" s="5">
        <v>20.0</v>
      </c>
      <c r="N722" s="8">
        <v>44280.0</v>
      </c>
    </row>
    <row r="723">
      <c r="A723" s="5">
        <v>722.0</v>
      </c>
      <c r="B723" s="5" t="s">
        <v>1381</v>
      </c>
      <c r="C723" s="5" t="s">
        <v>21</v>
      </c>
      <c r="K723" s="5">
        <v>1400.0</v>
      </c>
      <c r="N723" s="8">
        <v>44470.0</v>
      </c>
    </row>
    <row r="724">
      <c r="A724" s="5">
        <v>723.0</v>
      </c>
      <c r="B724" s="5" t="s">
        <v>1382</v>
      </c>
      <c r="C724" s="5" t="s">
        <v>21</v>
      </c>
      <c r="K724" s="5">
        <v>1000.0</v>
      </c>
      <c r="N724" s="8">
        <v>43915.0</v>
      </c>
    </row>
    <row r="725">
      <c r="A725" s="5">
        <v>724.0</v>
      </c>
      <c r="B725" s="5" t="s">
        <v>1383</v>
      </c>
      <c r="C725" s="5" t="s">
        <v>21</v>
      </c>
      <c r="K725" s="5">
        <v>300.0</v>
      </c>
      <c r="N725" s="8">
        <v>44578.0</v>
      </c>
    </row>
    <row r="726">
      <c r="A726" s="5">
        <v>725.0</v>
      </c>
      <c r="B726" s="5" t="s">
        <v>1384</v>
      </c>
      <c r="C726" s="5" t="s">
        <v>21</v>
      </c>
      <c r="N726" s="8">
        <v>44701.0</v>
      </c>
    </row>
    <row r="727">
      <c r="A727" s="5">
        <v>726.0</v>
      </c>
      <c r="B727" s="5" t="s">
        <v>1385</v>
      </c>
      <c r="C727" s="5" t="s">
        <v>21</v>
      </c>
      <c r="K727" s="5">
        <v>150.0</v>
      </c>
      <c r="N727" s="8">
        <v>45579.0</v>
      </c>
    </row>
    <row r="728">
      <c r="A728" s="5">
        <v>727.0</v>
      </c>
      <c r="B728" s="5" t="s">
        <v>1386</v>
      </c>
      <c r="C728" s="5" t="s">
        <v>21</v>
      </c>
      <c r="K728" s="5">
        <v>2600.0</v>
      </c>
      <c r="N728" s="8">
        <v>45623.0</v>
      </c>
    </row>
    <row r="729">
      <c r="A729" s="5">
        <v>728.0</v>
      </c>
      <c r="B729" s="5" t="s">
        <v>1387</v>
      </c>
      <c r="C729" s="5" t="s">
        <v>21</v>
      </c>
      <c r="K729" s="5">
        <v>100.0</v>
      </c>
      <c r="N729" s="8">
        <v>43875.0</v>
      </c>
    </row>
    <row r="730">
      <c r="A730" s="5">
        <v>729.0</v>
      </c>
      <c r="B730" s="5" t="s">
        <v>1388</v>
      </c>
      <c r="C730" s="5" t="s">
        <v>21</v>
      </c>
      <c r="K730" s="5">
        <v>150.0</v>
      </c>
      <c r="N730" s="8">
        <v>44901.0</v>
      </c>
    </row>
    <row r="731">
      <c r="A731" s="5">
        <v>730.0</v>
      </c>
      <c r="B731" s="5" t="s">
        <v>121</v>
      </c>
      <c r="C731" s="5" t="s">
        <v>21</v>
      </c>
      <c r="K731" s="5">
        <v>1800.0</v>
      </c>
      <c r="N731" s="8">
        <v>44565.0</v>
      </c>
    </row>
    <row r="732">
      <c r="A732" s="5">
        <v>731.0</v>
      </c>
      <c r="B732" s="5" t="s">
        <v>1389</v>
      </c>
      <c r="C732" s="5" t="s">
        <v>21</v>
      </c>
      <c r="N732" s="8">
        <v>44218.0</v>
      </c>
    </row>
    <row r="733">
      <c r="A733" s="5">
        <v>732.0</v>
      </c>
      <c r="B733" s="5" t="s">
        <v>1390</v>
      </c>
      <c r="C733" s="5" t="s">
        <v>21</v>
      </c>
      <c r="K733" s="5">
        <v>40.0</v>
      </c>
      <c r="N733" s="8">
        <v>45586.0</v>
      </c>
    </row>
    <row r="734">
      <c r="A734" s="5">
        <v>733.0</v>
      </c>
      <c r="B734" s="5" t="s">
        <v>1391</v>
      </c>
      <c r="C734" s="5" t="s">
        <v>21</v>
      </c>
      <c r="K734" s="5">
        <v>500.0</v>
      </c>
      <c r="N734" s="8">
        <v>44491.0</v>
      </c>
    </row>
    <row r="735">
      <c r="A735" s="5">
        <v>734.0</v>
      </c>
      <c r="B735" s="5" t="s">
        <v>1392</v>
      </c>
      <c r="C735" s="5" t="s">
        <v>21</v>
      </c>
      <c r="K735" s="5">
        <v>400.0</v>
      </c>
      <c r="N735" s="8">
        <v>44352.0</v>
      </c>
    </row>
    <row r="736">
      <c r="A736" s="5">
        <v>735.0</v>
      </c>
      <c r="B736" s="5" t="s">
        <v>1393</v>
      </c>
      <c r="C736" s="5" t="s">
        <v>21</v>
      </c>
      <c r="K736" s="5">
        <v>350.0</v>
      </c>
      <c r="N736" s="8">
        <v>43915.0</v>
      </c>
    </row>
    <row r="737">
      <c r="A737" s="5">
        <v>736.0</v>
      </c>
      <c r="B737" s="5" t="s">
        <v>1394</v>
      </c>
      <c r="C737" s="5" t="s">
        <v>21</v>
      </c>
      <c r="K737" s="5">
        <v>30.0</v>
      </c>
      <c r="N737" s="8">
        <v>44544.0</v>
      </c>
    </row>
    <row r="738">
      <c r="A738" s="5">
        <v>737.0</v>
      </c>
      <c r="B738" s="5" t="s">
        <v>1395</v>
      </c>
      <c r="C738" s="5" t="s">
        <v>21</v>
      </c>
      <c r="K738" s="5">
        <v>250.0</v>
      </c>
      <c r="N738" s="8">
        <v>43841.0</v>
      </c>
    </row>
    <row r="739">
      <c r="A739" s="5">
        <v>738.0</v>
      </c>
      <c r="B739" s="5" t="s">
        <v>1396</v>
      </c>
      <c r="C739" s="5" t="s">
        <v>21</v>
      </c>
      <c r="K739" s="5">
        <v>200.0</v>
      </c>
      <c r="N739" s="8">
        <v>44903.0</v>
      </c>
    </row>
    <row r="740">
      <c r="A740" s="5">
        <v>739.0</v>
      </c>
      <c r="B740" s="5" t="s">
        <v>1397</v>
      </c>
      <c r="C740" s="5" t="s">
        <v>21</v>
      </c>
      <c r="K740" s="5">
        <v>800.0</v>
      </c>
      <c r="N740" s="8">
        <v>44213.0</v>
      </c>
    </row>
    <row r="741">
      <c r="A741" s="5">
        <v>740.0</v>
      </c>
      <c r="B741" s="5" t="s">
        <v>1398</v>
      </c>
      <c r="C741" s="5" t="s">
        <v>21</v>
      </c>
      <c r="K741" s="5">
        <v>300.0</v>
      </c>
      <c r="N741" s="8">
        <v>44569.0</v>
      </c>
    </row>
    <row r="742">
      <c r="A742" s="5">
        <v>741.0</v>
      </c>
      <c r="B742" s="5" t="s">
        <v>1399</v>
      </c>
      <c r="C742" s="5" t="s">
        <v>21</v>
      </c>
      <c r="K742" s="5">
        <v>300.0</v>
      </c>
      <c r="N742" s="8">
        <v>44200.0</v>
      </c>
    </row>
    <row r="743">
      <c r="A743" s="5">
        <v>742.0</v>
      </c>
      <c r="B743" s="5" t="s">
        <v>1400</v>
      </c>
      <c r="C743" s="5" t="s">
        <v>21</v>
      </c>
      <c r="K743" s="5">
        <v>300.0</v>
      </c>
      <c r="N743" s="8">
        <v>45252.0</v>
      </c>
    </row>
    <row r="744">
      <c r="A744" s="5">
        <v>743.0</v>
      </c>
      <c r="B744" s="5" t="s">
        <v>1401</v>
      </c>
      <c r="C744" s="5" t="s">
        <v>21</v>
      </c>
      <c r="K744" s="5">
        <v>1800.0</v>
      </c>
      <c r="N744" s="8">
        <v>43880.0</v>
      </c>
    </row>
    <row r="745">
      <c r="A745" s="5">
        <v>744.0</v>
      </c>
      <c r="B745" s="5" t="s">
        <v>1402</v>
      </c>
      <c r="C745" s="5" t="s">
        <v>21</v>
      </c>
      <c r="K745" s="5">
        <v>200.0</v>
      </c>
      <c r="N745" s="8">
        <v>45434.0</v>
      </c>
    </row>
    <row r="746">
      <c r="A746" s="5">
        <v>745.0</v>
      </c>
      <c r="B746" s="5" t="s">
        <v>1403</v>
      </c>
      <c r="C746" s="5" t="s">
        <v>21</v>
      </c>
      <c r="K746" s="5">
        <v>60.0</v>
      </c>
      <c r="N746" s="8">
        <v>44622.0</v>
      </c>
    </row>
    <row r="747">
      <c r="A747" s="5">
        <v>746.0</v>
      </c>
      <c r="B747" s="5" t="s">
        <v>1404</v>
      </c>
      <c r="C747" s="5" t="s">
        <v>21</v>
      </c>
      <c r="K747" s="5">
        <v>300.0</v>
      </c>
      <c r="N747" s="8">
        <v>44342.0</v>
      </c>
    </row>
    <row r="748">
      <c r="A748" s="5">
        <v>747.0</v>
      </c>
      <c r="B748" s="5" t="s">
        <v>1405</v>
      </c>
      <c r="C748" s="5" t="s">
        <v>21</v>
      </c>
      <c r="K748" s="5">
        <v>1100.0</v>
      </c>
      <c r="N748" s="8">
        <v>44516.0</v>
      </c>
    </row>
    <row r="749">
      <c r="A749" s="5">
        <v>748.0</v>
      </c>
      <c r="B749" s="5" t="s">
        <v>1406</v>
      </c>
      <c r="C749" s="5" t="s">
        <v>21</v>
      </c>
      <c r="K749" s="5">
        <v>100.0</v>
      </c>
      <c r="N749" s="8">
        <v>45239.0</v>
      </c>
    </row>
    <row r="750">
      <c r="A750" s="5">
        <v>749.0</v>
      </c>
      <c r="B750" s="5" t="s">
        <v>1407</v>
      </c>
      <c r="C750" s="5" t="s">
        <v>21</v>
      </c>
      <c r="K750" s="5">
        <v>150.0</v>
      </c>
      <c r="N750" s="8">
        <v>44577.0</v>
      </c>
    </row>
    <row r="751">
      <c r="A751" s="5">
        <v>750.0</v>
      </c>
      <c r="B751" s="5" t="s">
        <v>1408</v>
      </c>
      <c r="C751" s="5" t="s">
        <v>21</v>
      </c>
      <c r="K751" s="5">
        <v>150.0</v>
      </c>
      <c r="N751" s="8">
        <v>45463.0</v>
      </c>
    </row>
    <row r="752">
      <c r="A752" s="5">
        <v>751.0</v>
      </c>
      <c r="B752" s="5" t="s">
        <v>1409</v>
      </c>
      <c r="C752" s="5" t="s">
        <v>21</v>
      </c>
      <c r="K752" s="5">
        <v>100.0</v>
      </c>
      <c r="N752" s="8">
        <v>44959.0</v>
      </c>
    </row>
    <row r="753">
      <c r="A753" s="5">
        <v>752.0</v>
      </c>
      <c r="B753" s="5" t="s">
        <v>1410</v>
      </c>
      <c r="C753" s="5" t="s">
        <v>21</v>
      </c>
      <c r="K753" s="5">
        <v>3100.0</v>
      </c>
      <c r="N753" s="8">
        <v>45340.0</v>
      </c>
    </row>
    <row r="754">
      <c r="A754" s="5">
        <v>753.0</v>
      </c>
      <c r="B754" s="5" t="s">
        <v>1411</v>
      </c>
      <c r="C754" s="5" t="s">
        <v>21</v>
      </c>
      <c r="K754" s="5">
        <v>500.0</v>
      </c>
      <c r="N754" s="8">
        <v>44608.0</v>
      </c>
    </row>
    <row r="755">
      <c r="A755" s="5">
        <v>754.0</v>
      </c>
      <c r="B755" s="5" t="s">
        <v>82</v>
      </c>
      <c r="C755" s="5" t="s">
        <v>21</v>
      </c>
      <c r="K755" s="5">
        <v>300.0</v>
      </c>
      <c r="N755" s="8">
        <v>45141.0</v>
      </c>
    </row>
    <row r="756">
      <c r="A756" s="5">
        <v>755.0</v>
      </c>
      <c r="B756" s="5" t="s">
        <v>1412</v>
      </c>
      <c r="C756" s="5" t="s">
        <v>21</v>
      </c>
      <c r="K756" s="5">
        <v>20.0</v>
      </c>
      <c r="N756" s="8">
        <v>45286.0</v>
      </c>
    </row>
    <row r="757">
      <c r="A757" s="5">
        <v>756.0</v>
      </c>
      <c r="B757" s="5" t="s">
        <v>1413</v>
      </c>
      <c r="C757" s="5" t="s">
        <v>21</v>
      </c>
      <c r="K757" s="5">
        <v>70.0</v>
      </c>
      <c r="N757" s="8">
        <v>45021.0</v>
      </c>
    </row>
    <row r="758">
      <c r="A758" s="5">
        <v>757.0</v>
      </c>
      <c r="B758" s="5" t="s">
        <v>1414</v>
      </c>
      <c r="C758" s="5" t="s">
        <v>21</v>
      </c>
      <c r="K758" s="5">
        <v>200.0</v>
      </c>
      <c r="N758" s="8">
        <v>45212.0</v>
      </c>
    </row>
    <row r="759">
      <c r="A759" s="5">
        <v>758.0</v>
      </c>
      <c r="B759" s="5" t="s">
        <v>1415</v>
      </c>
      <c r="C759" s="5" t="s">
        <v>21</v>
      </c>
      <c r="K759" s="5">
        <v>200.0</v>
      </c>
      <c r="N759" s="8">
        <v>45089.0</v>
      </c>
    </row>
    <row r="760">
      <c r="A760" s="5">
        <v>759.0</v>
      </c>
      <c r="B760" s="5" t="s">
        <v>1416</v>
      </c>
      <c r="C760" s="5" t="s">
        <v>21</v>
      </c>
      <c r="K760" s="5">
        <v>500.0</v>
      </c>
      <c r="N760" s="8">
        <v>44676.0</v>
      </c>
    </row>
    <row r="761">
      <c r="A761" s="5">
        <v>760.0</v>
      </c>
      <c r="B761" s="5" t="s">
        <v>1417</v>
      </c>
      <c r="C761" s="5" t="s">
        <v>21</v>
      </c>
      <c r="K761" s="5">
        <v>700.0</v>
      </c>
      <c r="N761" s="8">
        <v>44285.0</v>
      </c>
    </row>
    <row r="762">
      <c r="A762" s="5">
        <v>761.0</v>
      </c>
      <c r="B762" s="5" t="s">
        <v>1418</v>
      </c>
      <c r="C762" s="5" t="s">
        <v>21</v>
      </c>
      <c r="K762" s="5">
        <v>10.0</v>
      </c>
      <c r="N762" s="8">
        <v>45518.0</v>
      </c>
    </row>
    <row r="763">
      <c r="A763" s="5">
        <v>762.0</v>
      </c>
      <c r="B763" s="5" t="s">
        <v>1419</v>
      </c>
      <c r="C763" s="5" t="s">
        <v>21</v>
      </c>
      <c r="K763" s="5">
        <v>450.0</v>
      </c>
      <c r="N763" s="8">
        <v>44264.0</v>
      </c>
    </row>
    <row r="764">
      <c r="A764" s="5">
        <v>763.0</v>
      </c>
      <c r="B764" s="5" t="s">
        <v>1420</v>
      </c>
      <c r="C764" s="5" t="s">
        <v>21</v>
      </c>
      <c r="K764" s="5">
        <v>150.0</v>
      </c>
      <c r="N764" s="8">
        <v>44584.0</v>
      </c>
    </row>
    <row r="765">
      <c r="A765" s="5">
        <v>764.0</v>
      </c>
      <c r="B765" s="5" t="s">
        <v>1421</v>
      </c>
      <c r="C765" s="5" t="s">
        <v>21</v>
      </c>
      <c r="K765" s="5">
        <v>600.0</v>
      </c>
      <c r="N765" s="8">
        <v>44450.0</v>
      </c>
    </row>
    <row r="766">
      <c r="A766" s="5">
        <v>765.0</v>
      </c>
      <c r="B766" s="5" t="s">
        <v>1422</v>
      </c>
      <c r="C766" s="5" t="s">
        <v>21</v>
      </c>
      <c r="K766" s="5">
        <v>80.0</v>
      </c>
      <c r="N766" s="8">
        <v>44537.0</v>
      </c>
    </row>
    <row r="767">
      <c r="A767" s="5">
        <v>766.0</v>
      </c>
      <c r="B767" s="5" t="s">
        <v>1423</v>
      </c>
      <c r="C767" s="5" t="s">
        <v>21</v>
      </c>
      <c r="K767" s="5">
        <v>80.0</v>
      </c>
      <c r="N767" s="8">
        <v>44582.0</v>
      </c>
    </row>
    <row r="768">
      <c r="A768" s="5">
        <v>767.0</v>
      </c>
      <c r="B768" s="5" t="s">
        <v>1424</v>
      </c>
      <c r="C768" s="5" t="s">
        <v>21</v>
      </c>
      <c r="K768" s="5">
        <v>1300.0</v>
      </c>
      <c r="N768" s="8">
        <v>44191.0</v>
      </c>
    </row>
    <row r="769">
      <c r="A769" s="5">
        <v>768.0</v>
      </c>
      <c r="B769" s="5" t="s">
        <v>1425</v>
      </c>
      <c r="C769" s="5" t="s">
        <v>21</v>
      </c>
      <c r="K769" s="5">
        <v>50.0</v>
      </c>
      <c r="N769" s="8">
        <v>44561.0</v>
      </c>
    </row>
    <row r="770">
      <c r="A770" s="5">
        <v>769.0</v>
      </c>
      <c r="B770" s="5" t="s">
        <v>86</v>
      </c>
      <c r="C770" s="5" t="s">
        <v>21</v>
      </c>
      <c r="K770" s="5">
        <v>600.0</v>
      </c>
      <c r="N770" s="8">
        <v>43640.0</v>
      </c>
    </row>
    <row r="771">
      <c r="A771" s="5">
        <v>770.0</v>
      </c>
      <c r="B771" s="5" t="s">
        <v>1426</v>
      </c>
      <c r="C771" s="5" t="s">
        <v>21</v>
      </c>
      <c r="K771" s="5">
        <v>300.0</v>
      </c>
      <c r="N771" s="8">
        <v>44918.0</v>
      </c>
    </row>
    <row r="772">
      <c r="A772" s="5">
        <v>771.0</v>
      </c>
      <c r="B772" s="5" t="s">
        <v>1427</v>
      </c>
      <c r="C772" s="5" t="s">
        <v>21</v>
      </c>
      <c r="K772" s="5">
        <v>100.0</v>
      </c>
      <c r="N772" s="8">
        <v>44582.0</v>
      </c>
    </row>
    <row r="773">
      <c r="A773" s="5">
        <v>772.0</v>
      </c>
      <c r="B773" s="5" t="s">
        <v>1428</v>
      </c>
      <c r="C773" s="5" t="s">
        <v>21</v>
      </c>
      <c r="K773" s="5">
        <v>150.0</v>
      </c>
      <c r="N773" s="8">
        <v>45278.0</v>
      </c>
    </row>
    <row r="774">
      <c r="A774" s="5">
        <v>773.0</v>
      </c>
      <c r="B774" s="5" t="s">
        <v>1429</v>
      </c>
      <c r="C774" s="5" t="s">
        <v>21</v>
      </c>
      <c r="K774" s="5">
        <v>700.0</v>
      </c>
      <c r="N774" s="8">
        <v>44119.0</v>
      </c>
    </row>
    <row r="775">
      <c r="A775" s="5">
        <v>774.0</v>
      </c>
      <c r="B775" s="5" t="s">
        <v>1430</v>
      </c>
      <c r="C775" s="5" t="s">
        <v>21</v>
      </c>
      <c r="K775" s="5">
        <v>900.0</v>
      </c>
      <c r="N775" s="8">
        <v>44161.0</v>
      </c>
    </row>
    <row r="776">
      <c r="A776" s="5">
        <v>775.0</v>
      </c>
      <c r="B776" s="5" t="s">
        <v>1431</v>
      </c>
      <c r="C776" s="5" t="s">
        <v>21</v>
      </c>
      <c r="K776" s="5">
        <v>80.0</v>
      </c>
      <c r="N776" s="8">
        <v>44694.0</v>
      </c>
    </row>
    <row r="777">
      <c r="A777" s="5">
        <v>776.0</v>
      </c>
      <c r="B777" s="5" t="s">
        <v>1432</v>
      </c>
      <c r="C777" s="5" t="s">
        <v>21</v>
      </c>
      <c r="K777" s="5">
        <v>17000.0</v>
      </c>
      <c r="N777" s="8">
        <v>44973.0</v>
      </c>
    </row>
    <row r="778">
      <c r="A778" s="5">
        <v>777.0</v>
      </c>
      <c r="B778" s="5" t="s">
        <v>1433</v>
      </c>
      <c r="C778" s="5" t="s">
        <v>21</v>
      </c>
      <c r="K778" s="5">
        <v>40.0</v>
      </c>
      <c r="N778" s="8">
        <v>45767.0</v>
      </c>
    </row>
    <row r="779">
      <c r="A779" s="5">
        <v>778.0</v>
      </c>
      <c r="B779" s="5" t="s">
        <v>1434</v>
      </c>
      <c r="C779" s="5" t="s">
        <v>21</v>
      </c>
      <c r="K779" s="5">
        <v>40.0</v>
      </c>
      <c r="N779" s="8">
        <v>44666.0</v>
      </c>
    </row>
    <row r="780">
      <c r="A780" s="5">
        <v>779.0</v>
      </c>
      <c r="B780" s="5" t="s">
        <v>1435</v>
      </c>
      <c r="C780" s="5" t="s">
        <v>21</v>
      </c>
      <c r="K780" s="5">
        <v>300.0</v>
      </c>
      <c r="N780" s="8">
        <v>44564.0</v>
      </c>
    </row>
    <row r="781">
      <c r="A781" s="5">
        <v>780.0</v>
      </c>
      <c r="B781" s="5" t="s">
        <v>1436</v>
      </c>
      <c r="C781" s="5" t="s">
        <v>21</v>
      </c>
      <c r="N781" s="8">
        <v>45334.0</v>
      </c>
    </row>
    <row r="782">
      <c r="A782" s="5">
        <v>781.0</v>
      </c>
      <c r="B782" s="5" t="s">
        <v>1437</v>
      </c>
      <c r="C782" s="5" t="s">
        <v>21</v>
      </c>
      <c r="K782" s="5">
        <v>1100.0</v>
      </c>
      <c r="N782" s="8">
        <v>44739.0</v>
      </c>
    </row>
    <row r="783">
      <c r="A783" s="5">
        <v>782.0</v>
      </c>
      <c r="B783" s="5" t="s">
        <v>1438</v>
      </c>
      <c r="C783" s="5" t="s">
        <v>21</v>
      </c>
      <c r="K783" s="5">
        <v>1500.0</v>
      </c>
      <c r="N783" s="8">
        <v>44518.0</v>
      </c>
    </row>
    <row r="784">
      <c r="A784" s="5">
        <v>783.0</v>
      </c>
      <c r="B784" s="5" t="s">
        <v>1439</v>
      </c>
      <c r="C784" s="5" t="s">
        <v>21</v>
      </c>
      <c r="K784" s="5">
        <v>40.0</v>
      </c>
      <c r="N784" s="8">
        <v>45517.0</v>
      </c>
    </row>
    <row r="785">
      <c r="A785" s="5">
        <v>784.0</v>
      </c>
      <c r="B785" s="5" t="s">
        <v>1440</v>
      </c>
      <c r="C785" s="5" t="s">
        <v>21</v>
      </c>
      <c r="N785" s="8">
        <v>42320.0</v>
      </c>
      <c r="O785" s="5" t="s">
        <v>47</v>
      </c>
      <c r="P785" s="5" t="s">
        <v>25</v>
      </c>
      <c r="S785" s="5" t="s">
        <v>1012</v>
      </c>
    </row>
    <row r="786">
      <c r="A786" s="5">
        <v>785.0</v>
      </c>
      <c r="B786" s="5" t="s">
        <v>1441</v>
      </c>
      <c r="C786" s="5" t="s">
        <v>21</v>
      </c>
      <c r="K786" s="5">
        <v>150.0</v>
      </c>
      <c r="N786" s="8">
        <v>44548.0</v>
      </c>
    </row>
    <row r="787">
      <c r="A787" s="5">
        <v>786.0</v>
      </c>
      <c r="B787" s="5" t="s">
        <v>1442</v>
      </c>
      <c r="C787" s="5" t="s">
        <v>21</v>
      </c>
      <c r="K787" s="5">
        <v>350.0</v>
      </c>
      <c r="N787" s="8">
        <v>43960.0</v>
      </c>
    </row>
    <row r="788">
      <c r="A788" s="5">
        <v>787.0</v>
      </c>
      <c r="B788" s="5" t="s">
        <v>1443</v>
      </c>
      <c r="C788" s="5" t="s">
        <v>21</v>
      </c>
      <c r="K788" s="5">
        <v>90.0</v>
      </c>
      <c r="N788" s="8">
        <v>43974.0</v>
      </c>
    </row>
    <row r="789">
      <c r="A789" s="5">
        <v>788.0</v>
      </c>
      <c r="B789" s="5" t="s">
        <v>1444</v>
      </c>
      <c r="C789" s="5" t="s">
        <v>21</v>
      </c>
      <c r="K789" s="5">
        <v>3700.0</v>
      </c>
      <c r="N789" s="8">
        <v>43954.0</v>
      </c>
    </row>
    <row r="790">
      <c r="A790" s="5">
        <v>789.0</v>
      </c>
      <c r="B790" s="5" t="s">
        <v>1445</v>
      </c>
      <c r="C790" s="5" t="s">
        <v>21</v>
      </c>
      <c r="K790" s="5">
        <v>900.0</v>
      </c>
      <c r="N790" s="8">
        <v>44634.0</v>
      </c>
    </row>
    <row r="791">
      <c r="A791" s="5">
        <v>790.0</v>
      </c>
      <c r="B791" s="5" t="s">
        <v>1446</v>
      </c>
      <c r="C791" s="5" t="s">
        <v>21</v>
      </c>
      <c r="K791" s="5">
        <v>70.0</v>
      </c>
      <c r="N791" s="8">
        <v>44704.0</v>
      </c>
    </row>
    <row r="792">
      <c r="A792" s="5">
        <v>791.0</v>
      </c>
      <c r="B792" s="5" t="s">
        <v>1447</v>
      </c>
      <c r="C792" s="5" t="s">
        <v>21</v>
      </c>
      <c r="K792" s="5">
        <v>10.0</v>
      </c>
      <c r="N792" s="8">
        <v>43929.0</v>
      </c>
    </row>
    <row r="793">
      <c r="A793" s="5">
        <v>792.0</v>
      </c>
      <c r="B793" s="5" t="s">
        <v>1448</v>
      </c>
      <c r="C793" s="5" t="s">
        <v>21</v>
      </c>
      <c r="K793" s="5">
        <v>150.0</v>
      </c>
      <c r="N793" s="8">
        <v>44629.0</v>
      </c>
    </row>
    <row r="794">
      <c r="A794" s="5">
        <v>793.0</v>
      </c>
      <c r="B794" s="5" t="s">
        <v>1449</v>
      </c>
      <c r="C794" s="5" t="s">
        <v>21</v>
      </c>
      <c r="K794" s="5">
        <v>350.0</v>
      </c>
      <c r="N794" s="8">
        <v>45580.0</v>
      </c>
    </row>
    <row r="795">
      <c r="A795" s="5">
        <v>794.0</v>
      </c>
      <c r="B795" s="5" t="s">
        <v>1450</v>
      </c>
      <c r="C795" s="5" t="s">
        <v>21</v>
      </c>
      <c r="K795" s="5">
        <v>400.0</v>
      </c>
      <c r="N795" s="8">
        <v>45329.0</v>
      </c>
    </row>
    <row r="796">
      <c r="A796" s="5">
        <v>795.0</v>
      </c>
      <c r="B796" s="5" t="s">
        <v>1451</v>
      </c>
      <c r="C796" s="5" t="s">
        <v>21</v>
      </c>
      <c r="K796" s="5">
        <v>80.0</v>
      </c>
      <c r="N796" s="8">
        <v>44040.0</v>
      </c>
    </row>
    <row r="797">
      <c r="A797" s="5">
        <v>796.0</v>
      </c>
      <c r="B797" s="5" t="s">
        <v>1452</v>
      </c>
      <c r="C797" s="5" t="s">
        <v>21</v>
      </c>
      <c r="K797" s="5">
        <v>20.0</v>
      </c>
      <c r="N797" s="8">
        <v>45554.0</v>
      </c>
    </row>
    <row r="798">
      <c r="A798" s="5">
        <v>797.0</v>
      </c>
      <c r="B798" s="5" t="s">
        <v>1453</v>
      </c>
      <c r="C798" s="5" t="s">
        <v>21</v>
      </c>
      <c r="K798" s="5">
        <v>60.0</v>
      </c>
      <c r="N798" s="8">
        <v>44570.0</v>
      </c>
    </row>
    <row r="799">
      <c r="A799" s="5">
        <v>798.0</v>
      </c>
      <c r="B799" s="5" t="s">
        <v>1454</v>
      </c>
      <c r="C799" s="5" t="s">
        <v>21</v>
      </c>
      <c r="K799" s="5">
        <v>40.0</v>
      </c>
      <c r="N799" s="8">
        <v>44201.0</v>
      </c>
    </row>
    <row r="800">
      <c r="A800" s="5">
        <v>799.0</v>
      </c>
      <c r="B800" s="5" t="s">
        <v>1455</v>
      </c>
      <c r="C800" s="5" t="s">
        <v>21</v>
      </c>
      <c r="K800" s="5">
        <v>600.0</v>
      </c>
      <c r="N800" s="8">
        <v>44143.0</v>
      </c>
    </row>
    <row r="801">
      <c r="A801" s="5">
        <v>800.0</v>
      </c>
      <c r="B801" s="5" t="s">
        <v>1456</v>
      </c>
      <c r="C801" s="5" t="s">
        <v>21</v>
      </c>
      <c r="K801" s="5">
        <v>150.0</v>
      </c>
      <c r="N801" s="8">
        <v>45581.0</v>
      </c>
    </row>
    <row r="802">
      <c r="A802" s="5">
        <v>801.0</v>
      </c>
      <c r="B802" s="5" t="s">
        <v>1457</v>
      </c>
      <c r="C802" s="5" t="s">
        <v>21</v>
      </c>
      <c r="K802" s="5">
        <v>150.0</v>
      </c>
      <c r="N802" s="8">
        <v>44585.0</v>
      </c>
    </row>
    <row r="803">
      <c r="A803" s="5">
        <v>802.0</v>
      </c>
      <c r="B803" s="5" t="s">
        <v>123</v>
      </c>
      <c r="C803" s="5" t="s">
        <v>21</v>
      </c>
      <c r="K803" s="5">
        <v>900.0</v>
      </c>
      <c r="N803" s="8">
        <v>45441.0</v>
      </c>
    </row>
    <row r="804">
      <c r="A804" s="5">
        <v>803.0</v>
      </c>
      <c r="B804" s="5" t="s">
        <v>1458</v>
      </c>
      <c r="C804" s="5" t="s">
        <v>21</v>
      </c>
      <c r="N804" s="8">
        <v>44546.0</v>
      </c>
    </row>
    <row r="805">
      <c r="A805" s="5">
        <v>804.0</v>
      </c>
      <c r="B805" s="5" t="s">
        <v>126</v>
      </c>
      <c r="C805" s="5" t="s">
        <v>21</v>
      </c>
      <c r="K805" s="5">
        <v>6400.0</v>
      </c>
      <c r="N805" s="8">
        <v>44174.0</v>
      </c>
    </row>
    <row r="806">
      <c r="A806" s="5">
        <v>805.0</v>
      </c>
      <c r="B806" s="5" t="s">
        <v>1459</v>
      </c>
      <c r="C806" s="5" t="s">
        <v>21</v>
      </c>
      <c r="K806" s="5">
        <v>500.0</v>
      </c>
      <c r="N806" s="8">
        <v>44531.0</v>
      </c>
    </row>
    <row r="807">
      <c r="A807" s="5">
        <v>806.0</v>
      </c>
      <c r="B807" s="5" t="s">
        <v>1460</v>
      </c>
      <c r="C807" s="5" t="s">
        <v>21</v>
      </c>
      <c r="K807" s="5">
        <v>250.0</v>
      </c>
      <c r="N807" s="8">
        <v>45394.0</v>
      </c>
    </row>
    <row r="808">
      <c r="A808" s="5">
        <v>807.0</v>
      </c>
      <c r="B808" s="5" t="s">
        <v>1461</v>
      </c>
      <c r="C808" s="5" t="s">
        <v>21</v>
      </c>
      <c r="K808" s="5">
        <v>1300.0</v>
      </c>
      <c r="N808" s="8">
        <v>44375.0</v>
      </c>
    </row>
    <row r="809">
      <c r="A809" s="5">
        <v>808.0</v>
      </c>
      <c r="B809" s="5" t="s">
        <v>1462</v>
      </c>
      <c r="C809" s="5" t="s">
        <v>21</v>
      </c>
      <c r="K809" s="5">
        <v>200.0</v>
      </c>
      <c r="N809" s="8">
        <v>44315.0</v>
      </c>
    </row>
    <row r="810">
      <c r="A810" s="5">
        <v>809.0</v>
      </c>
      <c r="B810" s="5" t="s">
        <v>1463</v>
      </c>
      <c r="C810" s="5" t="s">
        <v>21</v>
      </c>
      <c r="K810" s="5">
        <v>900.0</v>
      </c>
      <c r="N810" s="8">
        <v>44273.0</v>
      </c>
    </row>
    <row r="811">
      <c r="A811" s="5">
        <v>810.0</v>
      </c>
      <c r="B811" s="5" t="s">
        <v>1464</v>
      </c>
      <c r="C811" s="5" t="s">
        <v>21</v>
      </c>
      <c r="K811" s="5">
        <v>200.0</v>
      </c>
      <c r="N811" s="8">
        <v>44588.0</v>
      </c>
    </row>
    <row r="812">
      <c r="A812" s="5">
        <v>811.0</v>
      </c>
      <c r="B812" s="5" t="s">
        <v>1465</v>
      </c>
      <c r="C812" s="5" t="s">
        <v>21</v>
      </c>
      <c r="K812" s="5">
        <v>100.0</v>
      </c>
      <c r="N812" s="8">
        <v>44485.0</v>
      </c>
    </row>
    <row r="813">
      <c r="A813" s="5">
        <v>812.0</v>
      </c>
      <c r="B813" s="5" t="s">
        <v>1466</v>
      </c>
      <c r="C813" s="5" t="s">
        <v>21</v>
      </c>
      <c r="K813" s="5">
        <v>150.0</v>
      </c>
      <c r="N813" s="8">
        <v>44457.0</v>
      </c>
    </row>
    <row r="814">
      <c r="A814" s="5">
        <v>813.0</v>
      </c>
      <c r="B814" s="5" t="s">
        <v>1467</v>
      </c>
      <c r="C814" s="5" t="s">
        <v>21</v>
      </c>
      <c r="K814" s="5">
        <v>100.0</v>
      </c>
      <c r="N814" s="8">
        <v>44972.0</v>
      </c>
    </row>
    <row r="815">
      <c r="A815" s="5">
        <v>814.0</v>
      </c>
      <c r="B815" s="5" t="s">
        <v>1468</v>
      </c>
      <c r="C815" s="5" t="s">
        <v>21</v>
      </c>
      <c r="K815" s="5">
        <v>10.0</v>
      </c>
      <c r="N815" s="8">
        <v>44545.0</v>
      </c>
    </row>
    <row r="816">
      <c r="A816" s="5">
        <v>815.0</v>
      </c>
      <c r="B816" s="5" t="s">
        <v>1469</v>
      </c>
      <c r="C816" s="5" t="s">
        <v>21</v>
      </c>
      <c r="K816" s="5">
        <v>80.0</v>
      </c>
      <c r="N816" s="8">
        <v>44582.0</v>
      </c>
    </row>
    <row r="817">
      <c r="A817" s="5">
        <v>816.0</v>
      </c>
      <c r="B817" s="5" t="s">
        <v>1470</v>
      </c>
      <c r="C817" s="5" t="s">
        <v>21</v>
      </c>
      <c r="K817" s="5">
        <v>400.0</v>
      </c>
      <c r="N817" s="8">
        <v>44580.0</v>
      </c>
    </row>
    <row r="818">
      <c r="A818" s="5">
        <v>817.0</v>
      </c>
      <c r="B818" s="5" t="s">
        <v>1471</v>
      </c>
      <c r="C818" s="5" t="s">
        <v>21</v>
      </c>
      <c r="K818" s="5">
        <v>150.0</v>
      </c>
      <c r="N818" s="8">
        <v>45361.0</v>
      </c>
    </row>
    <row r="819">
      <c r="A819" s="5">
        <v>818.0</v>
      </c>
      <c r="B819" s="5" t="s">
        <v>1472</v>
      </c>
      <c r="C819" s="5" t="s">
        <v>21</v>
      </c>
      <c r="K819" s="5">
        <v>200.0</v>
      </c>
      <c r="N819" s="8">
        <v>44077.0</v>
      </c>
    </row>
    <row r="820">
      <c r="A820" s="5">
        <v>819.0</v>
      </c>
      <c r="B820" s="5" t="s">
        <v>1473</v>
      </c>
      <c r="C820" s="5" t="s">
        <v>21</v>
      </c>
      <c r="K820" s="5">
        <v>2500.0</v>
      </c>
      <c r="N820" s="8">
        <v>43855.0</v>
      </c>
    </row>
    <row r="821">
      <c r="A821" s="5">
        <v>820.0</v>
      </c>
      <c r="B821" s="5" t="s">
        <v>1474</v>
      </c>
      <c r="C821" s="5" t="s">
        <v>21</v>
      </c>
      <c r="K821" s="5">
        <v>150.0</v>
      </c>
      <c r="N821" s="8">
        <v>44589.0</v>
      </c>
    </row>
    <row r="822">
      <c r="A822" s="5">
        <v>821.0</v>
      </c>
      <c r="B822" s="5" t="s">
        <v>1475</v>
      </c>
      <c r="C822" s="5" t="s">
        <v>21</v>
      </c>
      <c r="K822" s="5">
        <v>200.0</v>
      </c>
      <c r="N822" s="8">
        <v>43849.0</v>
      </c>
    </row>
    <row r="823">
      <c r="A823" s="5">
        <v>822.0</v>
      </c>
      <c r="B823" s="5" t="s">
        <v>128</v>
      </c>
      <c r="C823" s="5" t="s">
        <v>21</v>
      </c>
      <c r="K823" s="5">
        <v>450.0</v>
      </c>
      <c r="N823" s="8">
        <v>44402.0</v>
      </c>
    </row>
    <row r="824">
      <c r="A824" s="5">
        <v>823.0</v>
      </c>
      <c r="B824" s="5" t="s">
        <v>1476</v>
      </c>
      <c r="C824" s="5" t="s">
        <v>21</v>
      </c>
      <c r="K824" s="5">
        <v>100.0</v>
      </c>
      <c r="N824" s="8">
        <v>46000.0</v>
      </c>
    </row>
    <row r="825">
      <c r="A825" s="5">
        <v>824.0</v>
      </c>
      <c r="B825" s="5" t="s">
        <v>1477</v>
      </c>
      <c r="C825" s="5" t="s">
        <v>21</v>
      </c>
      <c r="K825" s="5">
        <v>250.0</v>
      </c>
      <c r="N825" s="8">
        <v>44520.0</v>
      </c>
    </row>
    <row r="826">
      <c r="A826" s="5">
        <v>825.0</v>
      </c>
      <c r="B826" s="5" t="s">
        <v>1478</v>
      </c>
      <c r="C826" s="5" t="s">
        <v>21</v>
      </c>
      <c r="K826" s="5">
        <v>300.0</v>
      </c>
      <c r="N826" s="8">
        <v>45147.0</v>
      </c>
    </row>
    <row r="827">
      <c r="A827" s="5">
        <v>826.0</v>
      </c>
      <c r="B827" s="5" t="s">
        <v>1479</v>
      </c>
      <c r="C827" s="5" t="s">
        <v>21</v>
      </c>
      <c r="K827" s="5">
        <v>700.0</v>
      </c>
      <c r="N827" s="8">
        <v>44517.0</v>
      </c>
    </row>
    <row r="828">
      <c r="A828" s="5">
        <v>827.0</v>
      </c>
      <c r="B828" s="5" t="s">
        <v>1480</v>
      </c>
      <c r="C828" s="5" t="s">
        <v>21</v>
      </c>
      <c r="K828" s="5">
        <v>20.0</v>
      </c>
      <c r="N828" s="8">
        <v>44920.0</v>
      </c>
    </row>
    <row r="829">
      <c r="A829" s="5">
        <v>828.0</v>
      </c>
      <c r="B829" s="5" t="s">
        <v>1481</v>
      </c>
      <c r="C829" s="5" t="s">
        <v>21</v>
      </c>
      <c r="K829" s="5">
        <v>150.0</v>
      </c>
      <c r="N829" s="8">
        <v>45031.0</v>
      </c>
    </row>
    <row r="830">
      <c r="A830" s="5">
        <v>829.0</v>
      </c>
      <c r="B830" s="5" t="s">
        <v>1482</v>
      </c>
      <c r="C830" s="5" t="s">
        <v>21</v>
      </c>
      <c r="K830" s="5">
        <v>30.0</v>
      </c>
      <c r="N830" s="8">
        <v>44979.0</v>
      </c>
    </row>
    <row r="831">
      <c r="A831" s="5">
        <v>830.0</v>
      </c>
      <c r="B831" s="5" t="s">
        <v>1483</v>
      </c>
      <c r="C831" s="5" t="s">
        <v>21</v>
      </c>
      <c r="K831" s="5">
        <v>300.0</v>
      </c>
      <c r="N831" s="8">
        <v>44365.0</v>
      </c>
    </row>
    <row r="832">
      <c r="A832" s="5">
        <v>831.0</v>
      </c>
      <c r="B832" s="5" t="s">
        <v>1484</v>
      </c>
      <c r="C832" s="5" t="s">
        <v>21</v>
      </c>
      <c r="K832" s="5">
        <v>200.0</v>
      </c>
      <c r="N832" s="8">
        <v>44569.0</v>
      </c>
    </row>
    <row r="833">
      <c r="A833" s="5">
        <v>832.0</v>
      </c>
      <c r="B833" s="5" t="s">
        <v>1485</v>
      </c>
      <c r="C833" s="5" t="s">
        <v>21</v>
      </c>
      <c r="K833" s="5">
        <v>250.0</v>
      </c>
      <c r="N833" s="8">
        <v>44436.0</v>
      </c>
    </row>
    <row r="834">
      <c r="A834" s="5">
        <v>833.0</v>
      </c>
      <c r="B834" s="5" t="s">
        <v>1486</v>
      </c>
      <c r="C834" s="5" t="s">
        <v>21</v>
      </c>
      <c r="K834" s="5">
        <v>500.0</v>
      </c>
      <c r="N834" s="8">
        <v>44529.0</v>
      </c>
    </row>
    <row r="835">
      <c r="A835" s="5">
        <v>834.0</v>
      </c>
      <c r="B835" s="5" t="s">
        <v>1487</v>
      </c>
      <c r="C835" s="5" t="s">
        <v>21</v>
      </c>
      <c r="K835" s="5">
        <v>350.0</v>
      </c>
      <c r="N835" s="8">
        <v>44536.0</v>
      </c>
    </row>
    <row r="836">
      <c r="A836" s="5">
        <v>835.0</v>
      </c>
      <c r="B836" s="5" t="s">
        <v>1488</v>
      </c>
      <c r="C836" s="5" t="s">
        <v>21</v>
      </c>
      <c r="K836" s="5">
        <v>350.0</v>
      </c>
      <c r="N836" s="8">
        <v>44047.0</v>
      </c>
    </row>
    <row r="837">
      <c r="A837" s="5">
        <v>836.0</v>
      </c>
      <c r="B837" s="5" t="s">
        <v>1489</v>
      </c>
      <c r="C837" s="5" t="s">
        <v>21</v>
      </c>
      <c r="K837" s="5">
        <v>350.0</v>
      </c>
      <c r="N837" s="8">
        <v>45153.0</v>
      </c>
    </row>
    <row r="838">
      <c r="A838" s="5">
        <v>837.0</v>
      </c>
      <c r="B838" s="5" t="s">
        <v>1490</v>
      </c>
      <c r="C838" s="5" t="s">
        <v>21</v>
      </c>
      <c r="N838" s="8">
        <v>44588.0</v>
      </c>
    </row>
    <row r="839">
      <c r="A839" s="5">
        <v>838.0</v>
      </c>
      <c r="B839" s="5" t="s">
        <v>1491</v>
      </c>
      <c r="C839" s="5" t="s">
        <v>21</v>
      </c>
      <c r="K839" s="5">
        <v>1100.0</v>
      </c>
      <c r="N839" s="8">
        <v>44534.0</v>
      </c>
    </row>
    <row r="840">
      <c r="A840" s="5">
        <v>839.0</v>
      </c>
      <c r="B840" s="5" t="s">
        <v>1492</v>
      </c>
      <c r="C840" s="5" t="s">
        <v>21</v>
      </c>
      <c r="K840" s="5">
        <v>300.0</v>
      </c>
      <c r="N840" s="8">
        <v>43917.0</v>
      </c>
    </row>
    <row r="841">
      <c r="A841" s="5">
        <v>840.0</v>
      </c>
      <c r="B841" s="5" t="s">
        <v>1493</v>
      </c>
      <c r="C841" s="5" t="s">
        <v>21</v>
      </c>
      <c r="K841" s="5">
        <v>20.0</v>
      </c>
      <c r="N841" s="8">
        <v>44582.0</v>
      </c>
    </row>
    <row r="842">
      <c r="A842" s="5">
        <v>841.0</v>
      </c>
      <c r="B842" s="5" t="s">
        <v>1494</v>
      </c>
      <c r="C842" s="5" t="s">
        <v>21</v>
      </c>
      <c r="K842" s="5">
        <v>1700.0</v>
      </c>
      <c r="N842" s="8">
        <v>44401.0</v>
      </c>
    </row>
    <row r="843">
      <c r="A843" s="5">
        <v>842.0</v>
      </c>
      <c r="B843" s="5" t="s">
        <v>1495</v>
      </c>
      <c r="C843" s="5" t="s">
        <v>21</v>
      </c>
      <c r="K843" s="5">
        <v>700.0</v>
      </c>
      <c r="N843" s="8">
        <v>44969.0</v>
      </c>
    </row>
    <row r="844">
      <c r="A844" s="5">
        <v>843.0</v>
      </c>
      <c r="B844" s="5" t="s">
        <v>1496</v>
      </c>
      <c r="C844" s="5" t="s">
        <v>21</v>
      </c>
      <c r="K844" s="5">
        <v>20.0</v>
      </c>
      <c r="N844" s="8">
        <v>45087.0</v>
      </c>
    </row>
    <row r="845">
      <c r="A845" s="5">
        <v>844.0</v>
      </c>
      <c r="B845" s="5" t="s">
        <v>1497</v>
      </c>
      <c r="C845" s="5" t="s">
        <v>21</v>
      </c>
      <c r="K845" s="5">
        <v>150.0</v>
      </c>
      <c r="N845" s="8">
        <v>45487.0</v>
      </c>
    </row>
    <row r="846">
      <c r="A846" s="5">
        <v>845.0</v>
      </c>
      <c r="B846" s="5" t="s">
        <v>1498</v>
      </c>
      <c r="C846" s="5" t="s">
        <v>21</v>
      </c>
      <c r="K846" s="5">
        <v>800.0</v>
      </c>
      <c r="N846" s="8">
        <v>44287.0</v>
      </c>
    </row>
    <row r="847">
      <c r="A847" s="5">
        <v>846.0</v>
      </c>
      <c r="B847" s="5" t="s">
        <v>1499</v>
      </c>
      <c r="C847" s="5" t="s">
        <v>21</v>
      </c>
      <c r="K847" s="5">
        <v>200.0</v>
      </c>
      <c r="N847" s="8">
        <v>45783.0</v>
      </c>
    </row>
    <row r="848">
      <c r="A848" s="5">
        <v>847.0</v>
      </c>
      <c r="B848" s="5" t="s">
        <v>1500</v>
      </c>
      <c r="C848" s="5" t="s">
        <v>21</v>
      </c>
      <c r="K848" s="5">
        <v>2200.0</v>
      </c>
      <c r="N848" s="8">
        <v>44565.0</v>
      </c>
    </row>
    <row r="849">
      <c r="A849" s="5">
        <v>848.0</v>
      </c>
      <c r="B849" s="5" t="s">
        <v>1501</v>
      </c>
      <c r="C849" s="5" t="s">
        <v>21</v>
      </c>
      <c r="K849" s="5">
        <v>200.0</v>
      </c>
      <c r="N849" s="8">
        <v>44621.0</v>
      </c>
    </row>
    <row r="850">
      <c r="A850" s="5">
        <v>849.0</v>
      </c>
      <c r="B850" s="5" t="s">
        <v>1502</v>
      </c>
      <c r="C850" s="5" t="s">
        <v>21</v>
      </c>
      <c r="K850" s="5">
        <v>2000.0</v>
      </c>
      <c r="N850" s="8">
        <v>42870.0</v>
      </c>
    </row>
    <row r="851">
      <c r="A851" s="5">
        <v>850.0</v>
      </c>
      <c r="B851" s="5" t="s">
        <v>1503</v>
      </c>
      <c r="C851" s="5" t="s">
        <v>21</v>
      </c>
      <c r="K851" s="5">
        <v>200.0</v>
      </c>
      <c r="N851" s="8">
        <v>44317.0</v>
      </c>
    </row>
    <row r="852">
      <c r="A852" s="5">
        <v>851.0</v>
      </c>
      <c r="B852" s="5" t="s">
        <v>1504</v>
      </c>
      <c r="C852" s="5" t="s">
        <v>21</v>
      </c>
      <c r="K852" s="5">
        <v>600.0</v>
      </c>
      <c r="N852" s="8">
        <v>44266.0</v>
      </c>
    </row>
    <row r="853">
      <c r="A853" s="5">
        <v>852.0</v>
      </c>
      <c r="B853" s="5" t="s">
        <v>1505</v>
      </c>
      <c r="C853" s="5" t="s">
        <v>21</v>
      </c>
      <c r="K853" s="5">
        <v>100.0</v>
      </c>
      <c r="N853" s="8">
        <v>45253.0</v>
      </c>
    </row>
    <row r="854">
      <c r="A854" s="5">
        <v>853.0</v>
      </c>
      <c r="B854" s="5" t="s">
        <v>1506</v>
      </c>
      <c r="C854" s="5" t="s">
        <v>21</v>
      </c>
      <c r="K854" s="5">
        <v>900.0</v>
      </c>
      <c r="N854" s="8">
        <v>44591.0</v>
      </c>
    </row>
    <row r="855">
      <c r="A855" s="5">
        <v>854.0</v>
      </c>
      <c r="B855" s="5" t="s">
        <v>1507</v>
      </c>
      <c r="C855" s="5" t="s">
        <v>21</v>
      </c>
      <c r="K855" s="5">
        <v>400.0</v>
      </c>
      <c r="N855" s="8">
        <v>43886.0</v>
      </c>
    </row>
    <row r="856">
      <c r="A856" s="5">
        <v>855.0</v>
      </c>
      <c r="B856" s="5" t="s">
        <v>1508</v>
      </c>
      <c r="C856" s="5" t="s">
        <v>21</v>
      </c>
      <c r="K856" s="5">
        <v>40.0</v>
      </c>
      <c r="N856" s="8">
        <v>45328.0</v>
      </c>
    </row>
    <row r="857">
      <c r="A857" s="5">
        <v>856.0</v>
      </c>
      <c r="B857" s="5" t="s">
        <v>1509</v>
      </c>
      <c r="C857" s="5" t="s">
        <v>21</v>
      </c>
      <c r="K857" s="5">
        <v>30.0</v>
      </c>
      <c r="N857" s="8">
        <v>44731.0</v>
      </c>
    </row>
    <row r="858">
      <c r="A858" s="5">
        <v>857.0</v>
      </c>
      <c r="B858" s="5" t="s">
        <v>1510</v>
      </c>
      <c r="C858" s="5" t="s">
        <v>21</v>
      </c>
      <c r="K858" s="5">
        <v>3300.0</v>
      </c>
      <c r="N858" s="8">
        <v>43874.0</v>
      </c>
    </row>
    <row r="859">
      <c r="A859" s="5">
        <v>858.0</v>
      </c>
      <c r="B859" s="5" t="s">
        <v>1511</v>
      </c>
      <c r="C859" s="5" t="s">
        <v>21</v>
      </c>
      <c r="K859" s="5">
        <v>1000.0</v>
      </c>
      <c r="N859" s="8">
        <v>44978.0</v>
      </c>
    </row>
    <row r="860">
      <c r="A860" s="5">
        <v>859.0</v>
      </c>
      <c r="B860" s="5" t="s">
        <v>1512</v>
      </c>
      <c r="C860" s="5" t="s">
        <v>21</v>
      </c>
      <c r="K860" s="5">
        <v>500.0</v>
      </c>
      <c r="N860" s="8">
        <v>44717.0</v>
      </c>
    </row>
    <row r="861">
      <c r="A861" s="5">
        <v>860.0</v>
      </c>
      <c r="B861" s="5" t="s">
        <v>1513</v>
      </c>
      <c r="C861" s="5" t="s">
        <v>21</v>
      </c>
      <c r="K861" s="5">
        <v>200.0</v>
      </c>
      <c r="N861" s="8">
        <v>45231.0</v>
      </c>
    </row>
    <row r="862">
      <c r="A862" s="5">
        <v>861.0</v>
      </c>
      <c r="B862" s="5" t="s">
        <v>1514</v>
      </c>
      <c r="C862" s="5" t="s">
        <v>21</v>
      </c>
      <c r="K862" s="5">
        <v>150.0</v>
      </c>
      <c r="N862" s="8">
        <v>44637.0</v>
      </c>
    </row>
    <row r="863">
      <c r="A863" s="5">
        <v>862.0</v>
      </c>
      <c r="B863" s="5" t="s">
        <v>1515</v>
      </c>
      <c r="C863" s="5" t="s">
        <v>21</v>
      </c>
      <c r="K863" s="5">
        <v>2400.0</v>
      </c>
      <c r="N863" s="8">
        <v>44092.0</v>
      </c>
    </row>
    <row r="864">
      <c r="A864" s="5">
        <v>863.0</v>
      </c>
      <c r="B864" s="5" t="s">
        <v>1516</v>
      </c>
      <c r="C864" s="5" t="s">
        <v>21</v>
      </c>
      <c r="K864" s="5">
        <v>5500.0</v>
      </c>
      <c r="N864" s="8">
        <v>43902.0</v>
      </c>
    </row>
    <row r="865">
      <c r="A865" s="5">
        <v>864.0</v>
      </c>
      <c r="B865" s="5" t="s">
        <v>1517</v>
      </c>
      <c r="C865" s="5" t="s">
        <v>21</v>
      </c>
      <c r="K865" s="5">
        <v>700.0</v>
      </c>
      <c r="N865" s="8">
        <v>44204.0</v>
      </c>
    </row>
    <row r="866">
      <c r="A866" s="5">
        <v>865.0</v>
      </c>
      <c r="B866" s="5" t="s">
        <v>1518</v>
      </c>
      <c r="C866" s="5" t="s">
        <v>21</v>
      </c>
      <c r="K866" s="5">
        <v>250.0</v>
      </c>
      <c r="N866" s="8">
        <v>44517.0</v>
      </c>
    </row>
    <row r="867">
      <c r="A867" s="5">
        <v>866.0</v>
      </c>
      <c r="B867" s="5" t="s">
        <v>1519</v>
      </c>
      <c r="C867" s="5" t="s">
        <v>21</v>
      </c>
      <c r="K867" s="5">
        <v>450.0</v>
      </c>
      <c r="N867" s="8">
        <v>44646.0</v>
      </c>
    </row>
    <row r="868">
      <c r="A868" s="5">
        <v>867.0</v>
      </c>
      <c r="B868" s="5" t="s">
        <v>1520</v>
      </c>
      <c r="C868" s="5" t="s">
        <v>21</v>
      </c>
      <c r="K868" s="5">
        <v>800.0</v>
      </c>
      <c r="N868" s="8">
        <v>44191.0</v>
      </c>
    </row>
    <row r="869">
      <c r="A869" s="5">
        <v>868.0</v>
      </c>
      <c r="B869" s="5" t="s">
        <v>1521</v>
      </c>
      <c r="C869" s="5" t="s">
        <v>21</v>
      </c>
      <c r="K869" s="5">
        <v>250.0</v>
      </c>
      <c r="N869" s="8">
        <v>44566.0</v>
      </c>
    </row>
    <row r="870">
      <c r="A870" s="5">
        <v>869.0</v>
      </c>
      <c r="B870" s="5" t="s">
        <v>1522</v>
      </c>
      <c r="C870" s="5" t="s">
        <v>21</v>
      </c>
      <c r="K870" s="5">
        <v>200.0</v>
      </c>
      <c r="N870" s="8">
        <v>45019.0</v>
      </c>
    </row>
    <row r="871">
      <c r="A871" s="5">
        <v>870.0</v>
      </c>
      <c r="B871" s="5" t="s">
        <v>1523</v>
      </c>
      <c r="C871" s="5" t="s">
        <v>21</v>
      </c>
      <c r="K871" s="5">
        <v>300.0</v>
      </c>
      <c r="N871" s="8">
        <v>44596.0</v>
      </c>
    </row>
    <row r="872">
      <c r="A872" s="5">
        <v>871.0</v>
      </c>
      <c r="B872" s="5" t="s">
        <v>1524</v>
      </c>
      <c r="C872" s="5" t="s">
        <v>21</v>
      </c>
      <c r="K872" s="5">
        <v>4100.0</v>
      </c>
      <c r="N872" s="8">
        <v>43995.0</v>
      </c>
    </row>
    <row r="873">
      <c r="A873" s="5">
        <v>872.0</v>
      </c>
      <c r="B873" s="5" t="s">
        <v>1525</v>
      </c>
      <c r="C873" s="5" t="s">
        <v>21</v>
      </c>
      <c r="K873" s="5">
        <v>200.0</v>
      </c>
      <c r="N873" s="8">
        <v>45358.0</v>
      </c>
    </row>
    <row r="874">
      <c r="A874" s="5">
        <v>873.0</v>
      </c>
      <c r="B874" s="5" t="s">
        <v>1526</v>
      </c>
      <c r="C874" s="5" t="s">
        <v>21</v>
      </c>
      <c r="K874" s="5">
        <v>100.0</v>
      </c>
      <c r="N874" s="8">
        <v>45079.0</v>
      </c>
    </row>
    <row r="875">
      <c r="A875" s="5">
        <v>874.0</v>
      </c>
      <c r="B875" s="5" t="s">
        <v>1527</v>
      </c>
      <c r="C875" s="5" t="s">
        <v>21</v>
      </c>
      <c r="K875" s="5">
        <v>300.0</v>
      </c>
      <c r="N875" s="8">
        <v>45034.0</v>
      </c>
    </row>
    <row r="876">
      <c r="A876" s="5">
        <v>875.0</v>
      </c>
      <c r="B876" s="5" t="s">
        <v>1528</v>
      </c>
      <c r="C876" s="5" t="s">
        <v>21</v>
      </c>
      <c r="K876" s="5">
        <v>1000.0</v>
      </c>
      <c r="N876" s="8">
        <v>44634.0</v>
      </c>
    </row>
    <row r="877">
      <c r="A877" s="5">
        <v>876.0</v>
      </c>
      <c r="B877" s="5" t="s">
        <v>1529</v>
      </c>
      <c r="C877" s="5" t="s">
        <v>21</v>
      </c>
      <c r="K877" s="5">
        <v>1100.0</v>
      </c>
      <c r="N877" s="8">
        <v>44200.0</v>
      </c>
    </row>
    <row r="878">
      <c r="A878" s="5">
        <v>877.0</v>
      </c>
      <c r="B878" s="5" t="s">
        <v>1530</v>
      </c>
      <c r="C878" s="5" t="s">
        <v>21</v>
      </c>
      <c r="K878" s="5">
        <v>250.0</v>
      </c>
      <c r="N878" s="8">
        <v>44197.0</v>
      </c>
    </row>
    <row r="879">
      <c r="A879" s="5">
        <v>878.0</v>
      </c>
      <c r="B879" s="5" t="s">
        <v>1531</v>
      </c>
      <c r="C879" s="5" t="s">
        <v>21</v>
      </c>
      <c r="K879" s="5">
        <v>200.0</v>
      </c>
      <c r="N879" s="8">
        <v>44706.0</v>
      </c>
    </row>
    <row r="880">
      <c r="A880" s="5">
        <v>879.0</v>
      </c>
      <c r="B880" s="5" t="s">
        <v>1532</v>
      </c>
      <c r="C880" s="5" t="s">
        <v>21</v>
      </c>
      <c r="K880" s="5">
        <v>150.0</v>
      </c>
      <c r="N880" s="8">
        <v>45518.0</v>
      </c>
    </row>
    <row r="881">
      <c r="A881" s="5">
        <v>880.0</v>
      </c>
      <c r="B881" s="5" t="s">
        <v>1533</v>
      </c>
      <c r="C881" s="5" t="s">
        <v>21</v>
      </c>
      <c r="N881" s="8">
        <v>44381.0</v>
      </c>
    </row>
    <row r="882">
      <c r="A882" s="5">
        <v>881.0</v>
      </c>
      <c r="B882" s="5" t="s">
        <v>131</v>
      </c>
      <c r="C882" s="5" t="s">
        <v>21</v>
      </c>
      <c r="K882" s="5">
        <v>600.0</v>
      </c>
      <c r="N882" s="8">
        <v>44126.0</v>
      </c>
    </row>
    <row r="883">
      <c r="A883" s="5">
        <v>882.0</v>
      </c>
      <c r="B883" s="5" t="s">
        <v>1534</v>
      </c>
      <c r="C883" s="5" t="s">
        <v>21</v>
      </c>
      <c r="K883" s="5">
        <v>500.0</v>
      </c>
      <c r="N883" s="8">
        <v>44612.0</v>
      </c>
    </row>
    <row r="884">
      <c r="A884" s="5">
        <v>883.0</v>
      </c>
      <c r="B884" s="5" t="s">
        <v>1535</v>
      </c>
      <c r="C884" s="5" t="s">
        <v>21</v>
      </c>
      <c r="K884" s="5">
        <v>300.0</v>
      </c>
      <c r="N884" s="8">
        <v>44528.0</v>
      </c>
    </row>
    <row r="885">
      <c r="A885" s="5">
        <v>884.0</v>
      </c>
      <c r="B885" s="5" t="s">
        <v>1536</v>
      </c>
      <c r="C885" s="5" t="s">
        <v>21</v>
      </c>
      <c r="K885" s="5">
        <v>1300.0</v>
      </c>
      <c r="N885" s="8">
        <v>44020.0</v>
      </c>
    </row>
    <row r="886">
      <c r="A886" s="5">
        <v>885.0</v>
      </c>
      <c r="B886" s="5" t="s">
        <v>1537</v>
      </c>
      <c r="C886" s="5" t="s">
        <v>21</v>
      </c>
      <c r="K886" s="5">
        <v>600.0</v>
      </c>
      <c r="N886" s="8">
        <v>45054.0</v>
      </c>
    </row>
    <row r="887">
      <c r="A887" s="5">
        <v>886.0</v>
      </c>
      <c r="B887" s="5" t="s">
        <v>1538</v>
      </c>
      <c r="C887" s="5" t="s">
        <v>21</v>
      </c>
      <c r="K887" s="5">
        <v>1700.0</v>
      </c>
      <c r="N887" s="8">
        <v>44138.0</v>
      </c>
    </row>
    <row r="888">
      <c r="A888" s="5">
        <v>887.0</v>
      </c>
      <c r="B888" s="5" t="s">
        <v>1539</v>
      </c>
      <c r="C888" s="5" t="s">
        <v>21</v>
      </c>
      <c r="K888" s="5">
        <v>400.0</v>
      </c>
      <c r="N888" s="8">
        <v>44811.0</v>
      </c>
    </row>
    <row r="889">
      <c r="A889" s="5">
        <v>888.0</v>
      </c>
      <c r="B889" s="5" t="s">
        <v>1540</v>
      </c>
      <c r="C889" s="5" t="s">
        <v>21</v>
      </c>
      <c r="K889" s="5">
        <v>1000.0</v>
      </c>
      <c r="N889" s="8">
        <v>45263.0</v>
      </c>
    </row>
    <row r="890">
      <c r="A890" s="5">
        <v>889.0</v>
      </c>
      <c r="B890" s="5" t="s">
        <v>1541</v>
      </c>
      <c r="C890" s="5" t="s">
        <v>21</v>
      </c>
      <c r="K890" s="5">
        <v>900.0</v>
      </c>
      <c r="N890" s="8">
        <v>45019.0</v>
      </c>
    </row>
    <row r="891">
      <c r="A891" s="5">
        <v>890.0</v>
      </c>
      <c r="B891" s="5" t="s">
        <v>1542</v>
      </c>
      <c r="C891" s="5" t="s">
        <v>21</v>
      </c>
      <c r="K891" s="5">
        <v>150.0</v>
      </c>
      <c r="N891" s="8">
        <v>44616.0</v>
      </c>
    </row>
    <row r="892">
      <c r="A892" s="5">
        <v>891.0</v>
      </c>
      <c r="B892" s="5" t="s">
        <v>1543</v>
      </c>
      <c r="C892" s="5" t="s">
        <v>21</v>
      </c>
      <c r="K892" s="5">
        <v>50.0</v>
      </c>
      <c r="N892" s="8">
        <v>43958.0</v>
      </c>
    </row>
    <row r="893">
      <c r="A893" s="5">
        <v>892.0</v>
      </c>
      <c r="B893" s="5" t="s">
        <v>1544</v>
      </c>
      <c r="C893" s="5" t="s">
        <v>21</v>
      </c>
      <c r="K893" s="5">
        <v>100.0</v>
      </c>
      <c r="N893" s="8">
        <v>44762.0</v>
      </c>
    </row>
    <row r="894">
      <c r="A894" s="5">
        <v>893.0</v>
      </c>
      <c r="B894" s="5" t="s">
        <v>1545</v>
      </c>
      <c r="C894" s="5" t="s">
        <v>21</v>
      </c>
      <c r="K894" s="5">
        <v>150.0</v>
      </c>
      <c r="N894" s="8">
        <v>45220.0</v>
      </c>
    </row>
    <row r="895">
      <c r="A895" s="5">
        <v>894.0</v>
      </c>
      <c r="B895" s="5" t="s">
        <v>132</v>
      </c>
      <c r="C895" s="5" t="s">
        <v>21</v>
      </c>
      <c r="K895" s="5">
        <v>900.0</v>
      </c>
      <c r="N895" s="8">
        <v>44537.0</v>
      </c>
    </row>
    <row r="896">
      <c r="A896" s="5">
        <v>895.0</v>
      </c>
      <c r="B896" s="5" t="s">
        <v>1546</v>
      </c>
      <c r="C896" s="5" t="s">
        <v>21</v>
      </c>
      <c r="K896" s="5">
        <v>900.0</v>
      </c>
      <c r="N896" s="8">
        <v>43864.0</v>
      </c>
    </row>
    <row r="897">
      <c r="A897" s="5">
        <v>896.0</v>
      </c>
      <c r="B897" s="5" t="s">
        <v>1547</v>
      </c>
      <c r="C897" s="5" t="s">
        <v>21</v>
      </c>
      <c r="K897" s="5">
        <v>150.0</v>
      </c>
      <c r="N897" s="8">
        <v>44782.0</v>
      </c>
    </row>
    <row r="898">
      <c r="A898" s="5">
        <v>897.0</v>
      </c>
      <c r="B898" s="5" t="s">
        <v>1548</v>
      </c>
      <c r="C898" s="5" t="s">
        <v>21</v>
      </c>
      <c r="K898" s="5">
        <v>900.0</v>
      </c>
      <c r="N898" s="8">
        <v>44590.0</v>
      </c>
    </row>
    <row r="899">
      <c r="A899" s="5">
        <v>898.0</v>
      </c>
      <c r="B899" s="5" t="s">
        <v>1549</v>
      </c>
      <c r="C899" s="5" t="s">
        <v>21</v>
      </c>
      <c r="K899" s="5">
        <v>40.0</v>
      </c>
      <c r="N899" s="8">
        <v>44790.0</v>
      </c>
    </row>
    <row r="900">
      <c r="A900" s="5">
        <v>899.0</v>
      </c>
      <c r="B900" s="5" t="s">
        <v>1550</v>
      </c>
      <c r="C900" s="5" t="s">
        <v>21</v>
      </c>
      <c r="K900" s="5">
        <v>250.0</v>
      </c>
      <c r="N900" s="8">
        <v>45536.0</v>
      </c>
    </row>
    <row r="901">
      <c r="A901" s="5">
        <v>900.0</v>
      </c>
      <c r="B901" s="5" t="s">
        <v>1551</v>
      </c>
      <c r="C901" s="5" t="s">
        <v>21</v>
      </c>
      <c r="K901" s="5">
        <v>60.0</v>
      </c>
      <c r="N901" s="8">
        <v>44781.0</v>
      </c>
    </row>
    <row r="902">
      <c r="A902" s="5">
        <v>901.0</v>
      </c>
      <c r="B902" s="5" t="s">
        <v>1552</v>
      </c>
      <c r="C902" s="5" t="s">
        <v>21</v>
      </c>
      <c r="K902" s="5">
        <v>2700.0</v>
      </c>
      <c r="N902" s="8">
        <v>44188.0</v>
      </c>
    </row>
    <row r="903">
      <c r="A903" s="5">
        <v>902.0</v>
      </c>
      <c r="B903" s="5" t="s">
        <v>1553</v>
      </c>
      <c r="C903" s="5" t="s">
        <v>21</v>
      </c>
      <c r="K903" s="5">
        <v>30.0</v>
      </c>
      <c r="N903" s="8">
        <v>44558.0</v>
      </c>
    </row>
    <row r="904">
      <c r="A904" s="5">
        <v>903.0</v>
      </c>
      <c r="B904" s="5" t="s">
        <v>1554</v>
      </c>
      <c r="C904" s="5" t="s">
        <v>21</v>
      </c>
      <c r="K904" s="5">
        <v>50.0</v>
      </c>
      <c r="N904" s="8">
        <v>44637.0</v>
      </c>
    </row>
    <row r="905">
      <c r="A905" s="5">
        <v>904.0</v>
      </c>
      <c r="B905" s="5" t="s">
        <v>1555</v>
      </c>
      <c r="C905" s="5" t="s">
        <v>21</v>
      </c>
      <c r="N905" s="8">
        <v>44558.0</v>
      </c>
    </row>
    <row r="906">
      <c r="A906" s="5">
        <v>905.0</v>
      </c>
      <c r="B906" s="5" t="s">
        <v>1556</v>
      </c>
      <c r="C906" s="5" t="s">
        <v>21</v>
      </c>
      <c r="K906" s="5">
        <v>250.0</v>
      </c>
      <c r="N906" s="8">
        <v>44636.0</v>
      </c>
    </row>
    <row r="907">
      <c r="A907" s="5">
        <v>906.0</v>
      </c>
      <c r="B907" s="5" t="s">
        <v>1557</v>
      </c>
      <c r="C907" s="5" t="s">
        <v>21</v>
      </c>
      <c r="K907" s="5">
        <v>400.0</v>
      </c>
      <c r="N907" s="8">
        <v>44562.0</v>
      </c>
    </row>
    <row r="908">
      <c r="A908" s="5">
        <v>907.0</v>
      </c>
      <c r="B908" s="5" t="s">
        <v>1558</v>
      </c>
      <c r="C908" s="5" t="s">
        <v>21</v>
      </c>
      <c r="K908" s="5">
        <v>1200.0</v>
      </c>
      <c r="N908" s="8">
        <v>44516.0</v>
      </c>
    </row>
    <row r="909">
      <c r="A909" s="5">
        <v>908.0</v>
      </c>
      <c r="B909" s="5" t="s">
        <v>1559</v>
      </c>
      <c r="C909" s="5" t="s">
        <v>21</v>
      </c>
      <c r="K909" s="5">
        <v>50.0</v>
      </c>
      <c r="N909" s="8">
        <v>44520.0</v>
      </c>
    </row>
    <row r="910">
      <c r="A910" s="5">
        <v>909.0</v>
      </c>
      <c r="B910" s="5" t="s">
        <v>1560</v>
      </c>
      <c r="C910" s="5" t="s">
        <v>21</v>
      </c>
      <c r="K910" s="5">
        <v>600.0</v>
      </c>
      <c r="N910" s="8">
        <v>43880.0</v>
      </c>
    </row>
    <row r="911">
      <c r="A911" s="5">
        <v>910.0</v>
      </c>
      <c r="B911" s="5" t="s">
        <v>1561</v>
      </c>
      <c r="C911" s="5" t="s">
        <v>21</v>
      </c>
      <c r="K911" s="5">
        <v>150.0</v>
      </c>
      <c r="N911" s="8">
        <v>44627.0</v>
      </c>
    </row>
    <row r="912">
      <c r="A912" s="5">
        <v>911.0</v>
      </c>
      <c r="B912" s="5" t="s">
        <v>1562</v>
      </c>
      <c r="C912" s="5" t="s">
        <v>21</v>
      </c>
      <c r="K912" s="5">
        <v>200.0</v>
      </c>
      <c r="N912" s="8">
        <v>45130.0</v>
      </c>
    </row>
    <row r="913">
      <c r="A913" s="5">
        <v>912.0</v>
      </c>
      <c r="B913" s="5" t="s">
        <v>1563</v>
      </c>
      <c r="C913" s="5" t="s">
        <v>21</v>
      </c>
      <c r="K913" s="5">
        <v>600.0</v>
      </c>
      <c r="N913" s="8">
        <v>45052.0</v>
      </c>
    </row>
    <row r="914">
      <c r="A914" s="5">
        <v>913.0</v>
      </c>
      <c r="B914" s="5" t="s">
        <v>1564</v>
      </c>
      <c r="C914" s="5" t="s">
        <v>21</v>
      </c>
      <c r="K914" s="5">
        <v>400.0</v>
      </c>
      <c r="N914" s="8">
        <v>44515.0</v>
      </c>
    </row>
    <row r="915">
      <c r="A915" s="5">
        <v>914.0</v>
      </c>
      <c r="B915" s="5" t="s">
        <v>1565</v>
      </c>
      <c r="C915" s="5" t="s">
        <v>21</v>
      </c>
      <c r="K915" s="5">
        <v>1300.0</v>
      </c>
      <c r="N915" s="8">
        <v>44654.0</v>
      </c>
    </row>
    <row r="916">
      <c r="A916" s="5">
        <v>915.0</v>
      </c>
      <c r="B916" s="5" t="s">
        <v>1566</v>
      </c>
      <c r="C916" s="5" t="s">
        <v>21</v>
      </c>
      <c r="K916" s="5">
        <v>300.0</v>
      </c>
      <c r="N916" s="8">
        <v>44531.0</v>
      </c>
    </row>
    <row r="917">
      <c r="A917" s="5">
        <v>916.0</v>
      </c>
      <c r="B917" s="5" t="s">
        <v>1567</v>
      </c>
      <c r="C917" s="5" t="s">
        <v>21</v>
      </c>
      <c r="K917" s="5">
        <v>1800.0</v>
      </c>
      <c r="N917" s="8">
        <v>45316.0</v>
      </c>
    </row>
    <row r="918">
      <c r="A918" s="5">
        <v>917.0</v>
      </c>
      <c r="B918" s="5" t="s">
        <v>1568</v>
      </c>
      <c r="C918" s="5" t="s">
        <v>21</v>
      </c>
      <c r="K918" s="5">
        <v>300.0</v>
      </c>
      <c r="N918" s="8">
        <v>44343.0</v>
      </c>
    </row>
    <row r="919">
      <c r="A919" s="5">
        <v>918.0</v>
      </c>
      <c r="B919" s="5" t="s">
        <v>1569</v>
      </c>
      <c r="C919" s="5" t="s">
        <v>21</v>
      </c>
      <c r="K919" s="5">
        <v>800.0</v>
      </c>
      <c r="N919" s="8">
        <v>44520.0</v>
      </c>
    </row>
    <row r="920">
      <c r="A920" s="5">
        <v>919.0</v>
      </c>
      <c r="B920" s="5" t="s">
        <v>1570</v>
      </c>
      <c r="C920" s="5" t="s">
        <v>21</v>
      </c>
      <c r="K920" s="5">
        <v>400.0</v>
      </c>
      <c r="N920" s="8">
        <v>43937.0</v>
      </c>
    </row>
    <row r="921">
      <c r="A921" s="5">
        <v>920.0</v>
      </c>
      <c r="B921" s="5" t="s">
        <v>134</v>
      </c>
      <c r="C921" s="5" t="s">
        <v>21</v>
      </c>
      <c r="K921" s="5">
        <v>600.0</v>
      </c>
      <c r="N921" s="8">
        <v>44728.0</v>
      </c>
    </row>
    <row r="922">
      <c r="A922" s="5">
        <v>921.0</v>
      </c>
      <c r="B922" s="5" t="s">
        <v>1571</v>
      </c>
      <c r="C922" s="5" t="s">
        <v>21</v>
      </c>
      <c r="K922" s="5">
        <v>150.0</v>
      </c>
      <c r="N922" s="8">
        <v>44859.0</v>
      </c>
    </row>
    <row r="923">
      <c r="A923" s="5">
        <v>922.0</v>
      </c>
      <c r="B923" s="5" t="s">
        <v>1572</v>
      </c>
      <c r="C923" s="5" t="s">
        <v>21</v>
      </c>
      <c r="K923" s="5">
        <v>77000.0</v>
      </c>
      <c r="N923" s="8">
        <v>44326.0</v>
      </c>
    </row>
    <row r="924">
      <c r="A924" s="5">
        <v>923.0</v>
      </c>
      <c r="B924" s="5" t="s">
        <v>1573</v>
      </c>
      <c r="C924" s="5" t="s">
        <v>21</v>
      </c>
      <c r="K924" s="5">
        <v>2600.0</v>
      </c>
      <c r="N924" s="8">
        <v>44358.0</v>
      </c>
    </row>
    <row r="925">
      <c r="A925" s="5">
        <v>924.0</v>
      </c>
      <c r="B925" s="5" t="s">
        <v>1574</v>
      </c>
      <c r="C925" s="5" t="s">
        <v>21</v>
      </c>
      <c r="K925" s="5">
        <v>400.0</v>
      </c>
      <c r="N925" s="8">
        <v>44511.0</v>
      </c>
    </row>
    <row r="926">
      <c r="A926" s="5">
        <v>925.0</v>
      </c>
      <c r="B926" s="5" t="s">
        <v>1575</v>
      </c>
      <c r="C926" s="5" t="s">
        <v>21</v>
      </c>
      <c r="K926" s="5">
        <v>200.0</v>
      </c>
      <c r="N926" s="8">
        <v>44910.0</v>
      </c>
    </row>
    <row r="927">
      <c r="A927" s="5">
        <v>926.0</v>
      </c>
      <c r="B927" s="5" t="s">
        <v>1576</v>
      </c>
      <c r="C927" s="5" t="s">
        <v>21</v>
      </c>
      <c r="K927" s="5">
        <v>10.0</v>
      </c>
      <c r="N927" s="8">
        <v>44568.0</v>
      </c>
    </row>
    <row r="928">
      <c r="A928" s="5">
        <v>927.0</v>
      </c>
      <c r="B928" s="5" t="s">
        <v>1577</v>
      </c>
      <c r="C928" s="5" t="s">
        <v>21</v>
      </c>
      <c r="K928" s="5">
        <v>500.0</v>
      </c>
      <c r="N928" s="8">
        <v>44576.0</v>
      </c>
    </row>
    <row r="929">
      <c r="A929" s="5">
        <v>928.0</v>
      </c>
      <c r="B929" s="5" t="s">
        <v>1578</v>
      </c>
      <c r="C929" s="5" t="s">
        <v>21</v>
      </c>
      <c r="K929" s="5">
        <v>600.0</v>
      </c>
      <c r="N929" s="8">
        <v>44629.0</v>
      </c>
    </row>
    <row r="930">
      <c r="A930" s="5">
        <v>929.0</v>
      </c>
      <c r="B930" s="5" t="s">
        <v>1579</v>
      </c>
      <c r="C930" s="5" t="s">
        <v>21</v>
      </c>
      <c r="K930" s="5">
        <v>70.0</v>
      </c>
      <c r="N930" s="8">
        <v>44875.0</v>
      </c>
    </row>
    <row r="931">
      <c r="A931" s="5">
        <v>930.0</v>
      </c>
      <c r="B931" s="5" t="s">
        <v>1580</v>
      </c>
      <c r="C931" s="5" t="s">
        <v>21</v>
      </c>
      <c r="N931" s="8">
        <v>44581.0</v>
      </c>
    </row>
    <row r="932">
      <c r="A932" s="5">
        <v>931.0</v>
      </c>
      <c r="B932" s="5" t="s">
        <v>1581</v>
      </c>
      <c r="C932" s="5" t="s">
        <v>21</v>
      </c>
      <c r="K932" s="5">
        <v>250.0</v>
      </c>
      <c r="N932" s="8">
        <v>44527.0</v>
      </c>
    </row>
    <row r="933">
      <c r="A933" s="5">
        <v>932.0</v>
      </c>
      <c r="B933" s="5" t="s">
        <v>1582</v>
      </c>
      <c r="C933" s="5" t="s">
        <v>21</v>
      </c>
      <c r="K933" s="5">
        <v>2300.0</v>
      </c>
      <c r="N933" s="8">
        <v>44183.0</v>
      </c>
    </row>
    <row r="934">
      <c r="A934" s="5">
        <v>933.0</v>
      </c>
      <c r="B934" s="5" t="s">
        <v>1583</v>
      </c>
      <c r="C934" s="5" t="s">
        <v>21</v>
      </c>
      <c r="K934" s="5">
        <v>2400.0</v>
      </c>
      <c r="N934" s="8">
        <v>42540.0</v>
      </c>
    </row>
    <row r="935">
      <c r="A935" s="5">
        <v>934.0</v>
      </c>
      <c r="B935" s="5" t="s">
        <v>1584</v>
      </c>
      <c r="C935" s="5" t="s">
        <v>21</v>
      </c>
      <c r="K935" s="5">
        <v>300.0</v>
      </c>
      <c r="N935" s="8">
        <v>43889.0</v>
      </c>
    </row>
    <row r="936">
      <c r="A936" s="5">
        <v>935.0</v>
      </c>
      <c r="B936" s="5" t="s">
        <v>1585</v>
      </c>
      <c r="C936" s="5" t="s">
        <v>21</v>
      </c>
      <c r="K936" s="5">
        <v>900.0</v>
      </c>
      <c r="N936" s="8">
        <v>44741.0</v>
      </c>
    </row>
    <row r="937">
      <c r="A937" s="5">
        <v>936.0</v>
      </c>
      <c r="B937" s="5" t="s">
        <v>1586</v>
      </c>
      <c r="C937" s="5" t="s">
        <v>21</v>
      </c>
      <c r="K937" s="5">
        <v>700.0</v>
      </c>
      <c r="N937" s="8">
        <v>44718.0</v>
      </c>
    </row>
    <row r="938">
      <c r="A938" s="5">
        <v>937.0</v>
      </c>
      <c r="B938" s="5" t="s">
        <v>1587</v>
      </c>
      <c r="C938" s="5" t="s">
        <v>21</v>
      </c>
      <c r="K938" s="5">
        <v>500.0</v>
      </c>
      <c r="N938" s="8">
        <v>45127.0</v>
      </c>
    </row>
    <row r="939">
      <c r="A939" s="5">
        <v>938.0</v>
      </c>
      <c r="B939" s="5" t="s">
        <v>1588</v>
      </c>
      <c r="C939" s="5" t="s">
        <v>21</v>
      </c>
      <c r="K939" s="5">
        <v>20.0</v>
      </c>
      <c r="N939" s="8">
        <v>44582.0</v>
      </c>
    </row>
    <row r="940">
      <c r="A940" s="5">
        <v>939.0</v>
      </c>
      <c r="B940" s="5" t="s">
        <v>1589</v>
      </c>
      <c r="C940" s="5" t="s">
        <v>21</v>
      </c>
      <c r="K940" s="5">
        <v>600.0</v>
      </c>
      <c r="N940" s="8">
        <v>44447.0</v>
      </c>
    </row>
    <row r="941">
      <c r="A941" s="5">
        <v>940.0</v>
      </c>
      <c r="B941" s="5" t="s">
        <v>1590</v>
      </c>
      <c r="C941" s="5" t="s">
        <v>21</v>
      </c>
      <c r="K941" s="5">
        <v>600.0</v>
      </c>
      <c r="N941" s="8">
        <v>45196.0</v>
      </c>
    </row>
    <row r="942">
      <c r="A942" s="5">
        <v>941.0</v>
      </c>
      <c r="B942" s="5" t="s">
        <v>138</v>
      </c>
      <c r="C942" s="5" t="s">
        <v>21</v>
      </c>
      <c r="K942" s="5">
        <v>17000.0</v>
      </c>
      <c r="N942" s="8">
        <v>45568.0</v>
      </c>
    </row>
    <row r="943">
      <c r="A943" s="5">
        <v>942.0</v>
      </c>
      <c r="B943" s="5" t="s">
        <v>1591</v>
      </c>
      <c r="C943" s="5" t="s">
        <v>21</v>
      </c>
      <c r="K943" s="5">
        <v>800.0</v>
      </c>
      <c r="N943" s="8">
        <v>44034.0</v>
      </c>
    </row>
    <row r="944">
      <c r="A944" s="5">
        <v>943.0</v>
      </c>
      <c r="B944" s="5" t="s">
        <v>1592</v>
      </c>
      <c r="C944" s="5" t="s">
        <v>21</v>
      </c>
      <c r="K944" s="5">
        <v>900.0</v>
      </c>
      <c r="N944" s="8">
        <v>45636.0</v>
      </c>
    </row>
    <row r="945">
      <c r="A945" s="5">
        <v>944.0</v>
      </c>
      <c r="B945" s="5" t="s">
        <v>1593</v>
      </c>
      <c r="C945" s="5" t="s">
        <v>21</v>
      </c>
      <c r="N945" s="8">
        <v>44582.0</v>
      </c>
    </row>
    <row r="946">
      <c r="A946" s="5">
        <v>945.0</v>
      </c>
      <c r="B946" s="5" t="s">
        <v>141</v>
      </c>
      <c r="C946" s="5" t="s">
        <v>21</v>
      </c>
      <c r="K946" s="5">
        <v>3800.0</v>
      </c>
      <c r="N946" s="8">
        <v>44208.0</v>
      </c>
    </row>
    <row r="947">
      <c r="A947" s="5">
        <v>946.0</v>
      </c>
      <c r="B947" s="5" t="s">
        <v>1594</v>
      </c>
      <c r="C947" s="5" t="s">
        <v>21</v>
      </c>
      <c r="K947" s="5">
        <v>300.0</v>
      </c>
      <c r="N947" s="8">
        <v>45960.0</v>
      </c>
    </row>
    <row r="948">
      <c r="A948" s="5">
        <v>947.0</v>
      </c>
      <c r="B948" s="5" t="s">
        <v>88</v>
      </c>
      <c r="C948" s="5" t="s">
        <v>21</v>
      </c>
      <c r="K948" s="5">
        <v>250.0</v>
      </c>
      <c r="N948" s="8">
        <v>44022.0</v>
      </c>
    </row>
    <row r="949">
      <c r="A949" s="5">
        <v>948.0</v>
      </c>
      <c r="B949" s="5" t="s">
        <v>1595</v>
      </c>
      <c r="C949" s="5" t="s">
        <v>21</v>
      </c>
      <c r="K949" s="5">
        <v>200.0</v>
      </c>
      <c r="N949" s="8">
        <v>45162.0</v>
      </c>
    </row>
    <row r="950">
      <c r="A950" s="5">
        <v>949.0</v>
      </c>
      <c r="B950" s="5" t="s">
        <v>1596</v>
      </c>
      <c r="C950" s="5" t="s">
        <v>21</v>
      </c>
      <c r="K950" s="5">
        <v>150.0</v>
      </c>
      <c r="N950" s="8">
        <v>44527.0</v>
      </c>
    </row>
    <row r="951">
      <c r="A951" s="5">
        <v>950.0</v>
      </c>
      <c r="B951" s="5" t="s">
        <v>1597</v>
      </c>
      <c r="C951" s="5" t="s">
        <v>21</v>
      </c>
      <c r="K951" s="5">
        <v>200.0</v>
      </c>
      <c r="N951" s="8">
        <v>44632.0</v>
      </c>
    </row>
    <row r="952">
      <c r="A952" s="5">
        <v>951.0</v>
      </c>
      <c r="B952" s="5" t="s">
        <v>1598</v>
      </c>
      <c r="C952" s="5" t="s">
        <v>21</v>
      </c>
      <c r="K952" s="5">
        <v>800.0</v>
      </c>
      <c r="N952" s="8">
        <v>44388.0</v>
      </c>
    </row>
    <row r="953">
      <c r="A953" s="5">
        <v>952.0</v>
      </c>
      <c r="B953" s="5" t="s">
        <v>1599</v>
      </c>
      <c r="C953" s="5" t="s">
        <v>21</v>
      </c>
      <c r="K953" s="5">
        <v>150.0</v>
      </c>
      <c r="N953" s="8">
        <v>44633.0</v>
      </c>
    </row>
    <row r="954">
      <c r="A954" s="5">
        <v>953.0</v>
      </c>
      <c r="B954" s="5" t="s">
        <v>1600</v>
      </c>
      <c r="C954" s="5" t="s">
        <v>21</v>
      </c>
      <c r="K954" s="5">
        <v>700.0</v>
      </c>
      <c r="N954" s="8">
        <v>44362.0</v>
      </c>
    </row>
    <row r="955">
      <c r="A955" s="5">
        <v>954.0</v>
      </c>
      <c r="B955" s="5" t="s">
        <v>1601</v>
      </c>
      <c r="C955" s="5" t="s">
        <v>21</v>
      </c>
      <c r="K955" s="5">
        <v>100.0</v>
      </c>
      <c r="N955" s="8">
        <v>44553.0</v>
      </c>
    </row>
    <row r="956">
      <c r="A956" s="5">
        <v>955.0</v>
      </c>
      <c r="B956" s="5" t="s">
        <v>1602</v>
      </c>
      <c r="C956" s="5" t="s">
        <v>21</v>
      </c>
      <c r="K956" s="5">
        <v>150.0</v>
      </c>
      <c r="N956" s="8">
        <v>45326.0</v>
      </c>
    </row>
    <row r="957">
      <c r="A957" s="5">
        <v>956.0</v>
      </c>
      <c r="B957" s="5" t="s">
        <v>1603</v>
      </c>
      <c r="C957" s="5" t="s">
        <v>21</v>
      </c>
      <c r="K957" s="5">
        <v>50.0</v>
      </c>
      <c r="N957" s="8">
        <v>44710.0</v>
      </c>
    </row>
    <row r="958">
      <c r="A958" s="5">
        <v>957.0</v>
      </c>
      <c r="B958" s="5" t="s">
        <v>1604</v>
      </c>
      <c r="C958" s="5" t="s">
        <v>21</v>
      </c>
      <c r="K958" s="5">
        <v>150.0</v>
      </c>
      <c r="N958" s="8">
        <v>45145.0</v>
      </c>
    </row>
    <row r="959">
      <c r="A959" s="5">
        <v>958.0</v>
      </c>
      <c r="B959" s="5" t="s">
        <v>1605</v>
      </c>
      <c r="C959" s="5" t="s">
        <v>21</v>
      </c>
      <c r="K959" s="5">
        <v>250.0</v>
      </c>
      <c r="N959" s="8">
        <v>45073.0</v>
      </c>
    </row>
    <row r="960">
      <c r="A960" s="5">
        <v>959.0</v>
      </c>
      <c r="B960" s="5" t="s">
        <v>1606</v>
      </c>
      <c r="C960" s="5" t="s">
        <v>21</v>
      </c>
      <c r="K960" s="5">
        <v>1100.0</v>
      </c>
      <c r="N960" s="8">
        <v>44387.0</v>
      </c>
    </row>
    <row r="961">
      <c r="A961" s="5">
        <v>960.0</v>
      </c>
      <c r="B961" s="5" t="s">
        <v>1607</v>
      </c>
      <c r="C961" s="5" t="s">
        <v>21</v>
      </c>
      <c r="K961" s="5">
        <v>500.0</v>
      </c>
      <c r="N961" s="8">
        <v>45188.0</v>
      </c>
    </row>
    <row r="962">
      <c r="A962" s="5">
        <v>961.0</v>
      </c>
      <c r="B962" s="5" t="s">
        <v>1608</v>
      </c>
      <c r="C962" s="5" t="s">
        <v>21</v>
      </c>
      <c r="K962" s="5">
        <v>150.0</v>
      </c>
      <c r="N962" s="8">
        <v>45188.0</v>
      </c>
    </row>
    <row r="963">
      <c r="A963" s="5">
        <v>962.0</v>
      </c>
      <c r="B963" s="5" t="s">
        <v>1609</v>
      </c>
      <c r="C963" s="5" t="s">
        <v>21</v>
      </c>
      <c r="K963" s="5">
        <v>250.0</v>
      </c>
      <c r="N963" s="8">
        <v>44965.0</v>
      </c>
    </row>
    <row r="964">
      <c r="A964" s="5">
        <v>963.0</v>
      </c>
      <c r="B964" s="5" t="s">
        <v>1610</v>
      </c>
      <c r="C964" s="5" t="s">
        <v>21</v>
      </c>
      <c r="K964" s="5">
        <v>500.0</v>
      </c>
      <c r="N964" s="8">
        <v>44533.0</v>
      </c>
    </row>
    <row r="965">
      <c r="A965" s="5">
        <v>964.0</v>
      </c>
      <c r="B965" s="5" t="s">
        <v>1611</v>
      </c>
      <c r="C965" s="5" t="s">
        <v>21</v>
      </c>
      <c r="K965" s="5">
        <v>500.0</v>
      </c>
      <c r="N965" s="8">
        <v>44549.0</v>
      </c>
    </row>
    <row r="966">
      <c r="A966" s="5">
        <v>965.0</v>
      </c>
      <c r="B966" s="5" t="s">
        <v>1612</v>
      </c>
      <c r="C966" s="5" t="s">
        <v>21</v>
      </c>
      <c r="K966" s="5">
        <v>5500.0</v>
      </c>
      <c r="N966" s="8">
        <v>43940.0</v>
      </c>
    </row>
    <row r="967">
      <c r="A967" s="5">
        <v>966.0</v>
      </c>
      <c r="B967" s="5" t="s">
        <v>1613</v>
      </c>
      <c r="C967" s="5" t="s">
        <v>21</v>
      </c>
      <c r="K967" s="5">
        <v>70.0</v>
      </c>
      <c r="N967" s="8">
        <v>43941.0</v>
      </c>
    </row>
    <row r="968">
      <c r="A968" s="5">
        <v>967.0</v>
      </c>
      <c r="B968" s="5" t="s">
        <v>1614</v>
      </c>
      <c r="C968" s="5" t="s">
        <v>21</v>
      </c>
      <c r="K968" s="5">
        <v>1500.0</v>
      </c>
      <c r="N968" s="8">
        <v>44549.0</v>
      </c>
    </row>
    <row r="969">
      <c r="A969" s="5">
        <v>968.0</v>
      </c>
      <c r="B969" s="5" t="s">
        <v>1615</v>
      </c>
      <c r="C969" s="5" t="s">
        <v>21</v>
      </c>
      <c r="K969" s="5">
        <v>350.0</v>
      </c>
      <c r="N969" s="8">
        <v>44778.0</v>
      </c>
    </row>
    <row r="970">
      <c r="A970" s="5">
        <v>969.0</v>
      </c>
      <c r="B970" s="5" t="s">
        <v>1616</v>
      </c>
      <c r="C970" s="5" t="s">
        <v>21</v>
      </c>
      <c r="K970" s="5">
        <v>300.0</v>
      </c>
      <c r="N970" s="8">
        <v>44654.0</v>
      </c>
    </row>
    <row r="971">
      <c r="A971" s="5">
        <v>970.0</v>
      </c>
      <c r="B971" s="5" t="s">
        <v>1617</v>
      </c>
      <c r="C971" s="5" t="s">
        <v>21</v>
      </c>
      <c r="K971" s="5">
        <v>350.0</v>
      </c>
      <c r="N971" s="8">
        <v>45110.0</v>
      </c>
    </row>
    <row r="972">
      <c r="A972" s="5">
        <v>971.0</v>
      </c>
      <c r="B972" s="5" t="s">
        <v>90</v>
      </c>
      <c r="C972" s="5" t="s">
        <v>21</v>
      </c>
      <c r="K972" s="5">
        <v>150.0</v>
      </c>
      <c r="N972" s="8">
        <v>44591.0</v>
      </c>
    </row>
    <row r="973">
      <c r="A973" s="5">
        <v>972.0</v>
      </c>
      <c r="B973" s="5" t="s">
        <v>1618</v>
      </c>
      <c r="C973" s="5" t="s">
        <v>21</v>
      </c>
      <c r="K973" s="5">
        <v>400.0</v>
      </c>
      <c r="N973" s="8">
        <v>44618.0</v>
      </c>
    </row>
    <row r="974">
      <c r="A974" s="5">
        <v>973.0</v>
      </c>
      <c r="B974" s="5" t="s">
        <v>1619</v>
      </c>
      <c r="C974" s="5" t="s">
        <v>21</v>
      </c>
      <c r="K974" s="5">
        <v>350.0</v>
      </c>
      <c r="N974" s="8">
        <v>44617.0</v>
      </c>
    </row>
    <row r="975">
      <c r="A975" s="5">
        <v>974.0</v>
      </c>
      <c r="B975" s="5" t="s">
        <v>1620</v>
      </c>
      <c r="C975" s="5" t="s">
        <v>21</v>
      </c>
      <c r="K975" s="5">
        <v>20.0</v>
      </c>
      <c r="N975" s="8">
        <v>43894.0</v>
      </c>
    </row>
    <row r="976">
      <c r="A976" s="5">
        <v>975.0</v>
      </c>
      <c r="B976" s="5" t="s">
        <v>1621</v>
      </c>
      <c r="C976" s="5" t="s">
        <v>21</v>
      </c>
      <c r="K976" s="5">
        <v>600.0</v>
      </c>
      <c r="N976" s="8">
        <v>44993.0</v>
      </c>
    </row>
    <row r="977">
      <c r="A977" s="5">
        <v>976.0</v>
      </c>
      <c r="B977" s="5" t="s">
        <v>1622</v>
      </c>
      <c r="C977" s="5" t="s">
        <v>21</v>
      </c>
      <c r="K977" s="5">
        <v>250.0</v>
      </c>
      <c r="N977" s="8">
        <v>45467.0</v>
      </c>
    </row>
    <row r="978">
      <c r="A978" s="5">
        <v>977.0</v>
      </c>
      <c r="B978" s="5" t="s">
        <v>1623</v>
      </c>
      <c r="C978" s="5" t="s">
        <v>21</v>
      </c>
      <c r="K978" s="5">
        <v>900.0</v>
      </c>
      <c r="N978" s="8">
        <v>44521.0</v>
      </c>
    </row>
    <row r="979">
      <c r="A979" s="5">
        <v>978.0</v>
      </c>
      <c r="B979" s="5" t="s">
        <v>1624</v>
      </c>
      <c r="C979" s="5" t="s">
        <v>21</v>
      </c>
      <c r="K979" s="5">
        <v>250.0</v>
      </c>
      <c r="N979" s="8">
        <v>44400.0</v>
      </c>
    </row>
    <row r="980">
      <c r="A980" s="5">
        <v>979.0</v>
      </c>
      <c r="B980" s="5" t="s">
        <v>1625</v>
      </c>
      <c r="C980" s="5" t="s">
        <v>21</v>
      </c>
      <c r="K980" s="5">
        <v>350.0</v>
      </c>
      <c r="N980" s="8">
        <v>45141.0</v>
      </c>
    </row>
    <row r="981">
      <c r="A981" s="5">
        <v>980.0</v>
      </c>
      <c r="B981" s="5" t="s">
        <v>92</v>
      </c>
      <c r="C981" s="5" t="s">
        <v>21</v>
      </c>
      <c r="K981" s="5">
        <v>450.0</v>
      </c>
      <c r="N981" s="8">
        <v>45061.0</v>
      </c>
    </row>
    <row r="982">
      <c r="A982" s="5">
        <v>981.0</v>
      </c>
      <c r="B982" s="5" t="s">
        <v>1626</v>
      </c>
      <c r="C982" s="5" t="s">
        <v>21</v>
      </c>
      <c r="K982" s="5">
        <v>350.0</v>
      </c>
      <c r="N982" s="8">
        <v>44565.0</v>
      </c>
    </row>
    <row r="983">
      <c r="A983" s="5">
        <v>982.0</v>
      </c>
      <c r="B983" s="5" t="s">
        <v>1627</v>
      </c>
      <c r="C983" s="5" t="s">
        <v>21</v>
      </c>
      <c r="K983" s="5">
        <v>150.0</v>
      </c>
      <c r="N983" s="8">
        <v>44593.0</v>
      </c>
    </row>
    <row r="984">
      <c r="A984" s="5">
        <v>983.0</v>
      </c>
      <c r="B984" s="5" t="s">
        <v>1628</v>
      </c>
      <c r="C984" s="5" t="s">
        <v>21</v>
      </c>
      <c r="K984" s="5">
        <v>1000.0</v>
      </c>
      <c r="N984" s="8">
        <v>43911.0</v>
      </c>
    </row>
    <row r="985">
      <c r="A985" s="5">
        <v>984.0</v>
      </c>
      <c r="B985" s="5" t="s">
        <v>1629</v>
      </c>
      <c r="C985" s="5" t="s">
        <v>21</v>
      </c>
      <c r="K985" s="5">
        <v>40.0</v>
      </c>
      <c r="N985" s="8">
        <v>44582.0</v>
      </c>
    </row>
    <row r="986">
      <c r="A986" s="5">
        <v>985.0</v>
      </c>
      <c r="B986" s="5" t="s">
        <v>1630</v>
      </c>
      <c r="C986" s="5" t="s">
        <v>21</v>
      </c>
      <c r="K986" s="5">
        <v>900.0</v>
      </c>
      <c r="N986" s="8">
        <v>44517.0</v>
      </c>
    </row>
    <row r="987">
      <c r="A987" s="5">
        <v>986.0</v>
      </c>
      <c r="B987" s="5" t="s">
        <v>1631</v>
      </c>
      <c r="C987" s="5" t="s">
        <v>21</v>
      </c>
      <c r="K987" s="5">
        <v>350.0</v>
      </c>
      <c r="N987" s="8">
        <v>44710.0</v>
      </c>
    </row>
    <row r="988">
      <c r="A988" s="5">
        <v>987.0</v>
      </c>
      <c r="B988" s="5" t="s">
        <v>1632</v>
      </c>
      <c r="C988" s="5" t="s">
        <v>21</v>
      </c>
      <c r="K988" s="5">
        <v>100.0</v>
      </c>
      <c r="N988" s="8">
        <v>44904.0</v>
      </c>
    </row>
    <row r="989">
      <c r="A989" s="5">
        <v>988.0</v>
      </c>
      <c r="B989" s="5" t="s">
        <v>1633</v>
      </c>
      <c r="C989" s="5" t="s">
        <v>21</v>
      </c>
      <c r="K989" s="5">
        <v>30.0</v>
      </c>
      <c r="N989" s="8">
        <v>45539.0</v>
      </c>
    </row>
    <row r="990">
      <c r="A990" s="5">
        <v>989.0</v>
      </c>
      <c r="B990" s="5" t="s">
        <v>1634</v>
      </c>
      <c r="C990" s="5" t="s">
        <v>21</v>
      </c>
      <c r="K990" s="5">
        <v>200.0</v>
      </c>
      <c r="N990" s="8">
        <v>44210.0</v>
      </c>
    </row>
    <row r="991">
      <c r="A991" s="5">
        <v>990.0</v>
      </c>
      <c r="B991" s="5" t="s">
        <v>1635</v>
      </c>
      <c r="C991" s="5" t="s">
        <v>21</v>
      </c>
      <c r="K991" s="5">
        <v>400.0</v>
      </c>
      <c r="N991" s="8">
        <v>44409.0</v>
      </c>
    </row>
    <row r="992">
      <c r="A992" s="5">
        <v>991.0</v>
      </c>
      <c r="B992" s="5" t="s">
        <v>1636</v>
      </c>
      <c r="C992" s="5" t="s">
        <v>21</v>
      </c>
      <c r="K992" s="5">
        <v>700.0</v>
      </c>
      <c r="N992" s="8">
        <v>44562.0</v>
      </c>
    </row>
    <row r="993">
      <c r="A993" s="5">
        <v>992.0</v>
      </c>
      <c r="B993" s="5" t="s">
        <v>1637</v>
      </c>
      <c r="C993" s="5" t="s">
        <v>21</v>
      </c>
      <c r="K993" s="5">
        <v>2200.0</v>
      </c>
      <c r="N993" s="8">
        <v>44525.0</v>
      </c>
    </row>
    <row r="994">
      <c r="A994" s="5">
        <v>993.0</v>
      </c>
      <c r="B994" s="5" t="s">
        <v>1638</v>
      </c>
      <c r="C994" s="5" t="s">
        <v>21</v>
      </c>
      <c r="K994" s="5">
        <v>150.0</v>
      </c>
      <c r="N994" s="8">
        <v>44282.0</v>
      </c>
    </row>
    <row r="995">
      <c r="A995" s="5">
        <v>994.0</v>
      </c>
      <c r="B995" s="5" t="s">
        <v>1639</v>
      </c>
      <c r="C995" s="5" t="s">
        <v>21</v>
      </c>
      <c r="K995" s="5">
        <v>200.0</v>
      </c>
      <c r="N995" s="8">
        <v>44472.0</v>
      </c>
    </row>
    <row r="996">
      <c r="A996" s="5">
        <v>995.0</v>
      </c>
      <c r="B996" s="5" t="s">
        <v>1640</v>
      </c>
      <c r="C996" s="5" t="s">
        <v>21</v>
      </c>
      <c r="K996" s="5">
        <v>500.0</v>
      </c>
      <c r="N996" s="8">
        <v>44544.0</v>
      </c>
    </row>
    <row r="997">
      <c r="A997" s="5">
        <v>996.0</v>
      </c>
      <c r="B997" s="5" t="s">
        <v>1641</v>
      </c>
      <c r="C997" s="5" t="s">
        <v>21</v>
      </c>
      <c r="K997" s="5">
        <v>350.0</v>
      </c>
      <c r="N997" s="8">
        <v>44617.0</v>
      </c>
    </row>
    <row r="998">
      <c r="A998" s="5">
        <v>997.0</v>
      </c>
      <c r="B998" s="5" t="s">
        <v>1642</v>
      </c>
      <c r="C998" s="5" t="s">
        <v>21</v>
      </c>
      <c r="K998" s="5">
        <v>80.0</v>
      </c>
      <c r="N998" s="8">
        <v>45085.0</v>
      </c>
    </row>
    <row r="999">
      <c r="A999" s="5">
        <v>998.0</v>
      </c>
      <c r="B999" s="5" t="s">
        <v>1643</v>
      </c>
      <c r="C999" s="5" t="s">
        <v>21</v>
      </c>
      <c r="K999" s="5">
        <v>4900.0</v>
      </c>
      <c r="N999" s="8">
        <v>43846.0</v>
      </c>
    </row>
    <row r="1000">
      <c r="A1000" s="5">
        <v>999.0</v>
      </c>
      <c r="B1000" s="5" t="s">
        <v>1644</v>
      </c>
      <c r="C1000" s="5" t="s">
        <v>21</v>
      </c>
      <c r="K1000" s="5">
        <v>70.0</v>
      </c>
      <c r="N1000" s="8">
        <v>45067.0</v>
      </c>
    </row>
    <row r="1001">
      <c r="A1001" s="5">
        <v>1000.0</v>
      </c>
      <c r="B1001" s="5" t="s">
        <v>1645</v>
      </c>
      <c r="C1001" s="5" t="s">
        <v>21</v>
      </c>
      <c r="K1001" s="5">
        <v>150.0</v>
      </c>
      <c r="N1001" s="8">
        <v>44604.0</v>
      </c>
    </row>
    <row r="1002">
      <c r="A1002" s="5">
        <v>1001.0</v>
      </c>
      <c r="B1002" s="5" t="s">
        <v>1646</v>
      </c>
      <c r="C1002" s="5" t="s">
        <v>21</v>
      </c>
      <c r="K1002" s="5">
        <v>300.0</v>
      </c>
      <c r="N1002" s="8">
        <v>44556.0</v>
      </c>
    </row>
    <row r="1003">
      <c r="A1003" s="5">
        <v>1002.0</v>
      </c>
      <c r="B1003" s="5" t="s">
        <v>142</v>
      </c>
      <c r="C1003" s="5" t="s">
        <v>21</v>
      </c>
      <c r="K1003" s="5">
        <v>350.0</v>
      </c>
      <c r="N1003" s="8">
        <v>43963.0</v>
      </c>
    </row>
    <row r="1004">
      <c r="A1004" s="5">
        <v>1003.0</v>
      </c>
      <c r="B1004" s="5" t="s">
        <v>1647</v>
      </c>
      <c r="C1004" s="5" t="s">
        <v>21</v>
      </c>
      <c r="K1004" s="5">
        <v>200.0</v>
      </c>
      <c r="N1004" s="8">
        <v>43842.0</v>
      </c>
    </row>
    <row r="1005">
      <c r="A1005" s="5">
        <v>1004.0</v>
      </c>
      <c r="B1005" s="5" t="s">
        <v>1648</v>
      </c>
      <c r="C1005" s="5" t="s">
        <v>21</v>
      </c>
      <c r="K1005" s="5">
        <v>250.0</v>
      </c>
      <c r="N1005" s="8">
        <v>45086.0</v>
      </c>
    </row>
    <row r="1006">
      <c r="A1006" s="5">
        <v>1005.0</v>
      </c>
      <c r="B1006" s="5" t="s">
        <v>1649</v>
      </c>
      <c r="C1006" s="5" t="s">
        <v>21</v>
      </c>
      <c r="K1006" s="5">
        <v>350.0</v>
      </c>
      <c r="N1006" s="8">
        <v>44532.0</v>
      </c>
    </row>
    <row r="1007">
      <c r="A1007" s="5">
        <v>1006.0</v>
      </c>
      <c r="B1007" s="5" t="s">
        <v>1650</v>
      </c>
      <c r="C1007" s="5" t="s">
        <v>21</v>
      </c>
      <c r="K1007" s="5">
        <v>800.0</v>
      </c>
      <c r="N1007" s="8">
        <v>44315.0</v>
      </c>
    </row>
    <row r="1008">
      <c r="A1008" s="5">
        <v>1007.0</v>
      </c>
      <c r="B1008" s="5" t="s">
        <v>1651</v>
      </c>
      <c r="C1008" s="5" t="s">
        <v>21</v>
      </c>
      <c r="K1008" s="5">
        <v>300.0</v>
      </c>
      <c r="N1008" s="8">
        <v>45081.0</v>
      </c>
    </row>
    <row r="1009">
      <c r="A1009" s="5">
        <v>1008.0</v>
      </c>
      <c r="B1009" s="5" t="s">
        <v>1652</v>
      </c>
      <c r="C1009" s="5" t="s">
        <v>21</v>
      </c>
      <c r="K1009" s="5">
        <v>4200.0</v>
      </c>
      <c r="N1009" s="8">
        <v>44083.0</v>
      </c>
    </row>
    <row r="1010">
      <c r="A1010" s="5">
        <v>1009.0</v>
      </c>
      <c r="B1010" s="5" t="s">
        <v>1653</v>
      </c>
      <c r="C1010" s="5" t="s">
        <v>21</v>
      </c>
      <c r="K1010" s="5">
        <v>70.0</v>
      </c>
      <c r="N1010" s="8">
        <v>44761.0</v>
      </c>
    </row>
    <row r="1011">
      <c r="A1011" s="5">
        <v>1010.0</v>
      </c>
      <c r="B1011" s="5" t="s">
        <v>1654</v>
      </c>
      <c r="C1011" s="5" t="s">
        <v>21</v>
      </c>
      <c r="K1011" s="5">
        <v>700.0</v>
      </c>
      <c r="N1011" s="8">
        <v>43874.0</v>
      </c>
    </row>
    <row r="1012">
      <c r="A1012" s="5">
        <v>1011.0</v>
      </c>
      <c r="B1012" s="5" t="s">
        <v>1655</v>
      </c>
      <c r="C1012" s="5" t="s">
        <v>21</v>
      </c>
      <c r="K1012" s="5">
        <v>1500.0</v>
      </c>
      <c r="N1012" s="8">
        <v>44516.0</v>
      </c>
    </row>
    <row r="1013">
      <c r="A1013" s="5">
        <v>1012.0</v>
      </c>
      <c r="B1013" s="5" t="s">
        <v>1656</v>
      </c>
      <c r="C1013" s="5" t="s">
        <v>21</v>
      </c>
      <c r="K1013" s="5">
        <v>400.0</v>
      </c>
      <c r="N1013" s="8">
        <v>44631.0</v>
      </c>
    </row>
    <row r="1014">
      <c r="A1014" s="5">
        <v>1013.0</v>
      </c>
      <c r="B1014" s="5" t="s">
        <v>1657</v>
      </c>
      <c r="C1014" s="5" t="s">
        <v>21</v>
      </c>
      <c r="K1014" s="5">
        <v>350.0</v>
      </c>
      <c r="N1014" s="8">
        <v>45099.0</v>
      </c>
    </row>
    <row r="1015">
      <c r="A1015" s="5">
        <v>1014.0</v>
      </c>
      <c r="B1015" s="5" t="s">
        <v>1658</v>
      </c>
      <c r="C1015" s="5" t="s">
        <v>21</v>
      </c>
      <c r="K1015" s="5">
        <v>600.0</v>
      </c>
      <c r="N1015" s="8">
        <v>45048.0</v>
      </c>
    </row>
    <row r="1016">
      <c r="A1016" s="5">
        <v>1015.0</v>
      </c>
      <c r="B1016" s="5" t="s">
        <v>1659</v>
      </c>
      <c r="C1016" s="5" t="s">
        <v>21</v>
      </c>
      <c r="K1016" s="5">
        <v>1400.0</v>
      </c>
      <c r="N1016" s="8">
        <v>44534.0</v>
      </c>
    </row>
    <row r="1017">
      <c r="A1017" s="5">
        <v>1016.0</v>
      </c>
      <c r="B1017" s="5" t="s">
        <v>1660</v>
      </c>
      <c r="C1017" s="5" t="s">
        <v>21</v>
      </c>
      <c r="K1017" s="5">
        <v>100.0</v>
      </c>
      <c r="N1017" s="8">
        <v>43862.0</v>
      </c>
    </row>
    <row r="1018">
      <c r="A1018" s="5">
        <v>1017.0</v>
      </c>
      <c r="B1018" s="5" t="s">
        <v>1661</v>
      </c>
      <c r="C1018" s="5" t="s">
        <v>21</v>
      </c>
      <c r="K1018" s="5">
        <v>150.0</v>
      </c>
      <c r="N1018" s="8">
        <v>44650.0</v>
      </c>
    </row>
    <row r="1019">
      <c r="A1019" s="5">
        <v>1018.0</v>
      </c>
      <c r="B1019" s="5" t="s">
        <v>1662</v>
      </c>
      <c r="C1019" s="5" t="s">
        <v>21</v>
      </c>
      <c r="K1019" s="5">
        <v>150.0</v>
      </c>
      <c r="N1019" s="8">
        <v>44538.0</v>
      </c>
    </row>
    <row r="1020">
      <c r="A1020" s="5">
        <v>1019.0</v>
      </c>
      <c r="B1020" s="5" t="s">
        <v>1663</v>
      </c>
      <c r="C1020" s="5" t="s">
        <v>21</v>
      </c>
      <c r="K1020" s="5">
        <v>900.0</v>
      </c>
      <c r="N1020" s="8">
        <v>43308.0</v>
      </c>
    </row>
    <row r="1021">
      <c r="A1021" s="5">
        <v>1020.0</v>
      </c>
      <c r="B1021" s="5" t="s">
        <v>1664</v>
      </c>
      <c r="C1021" s="5" t="s">
        <v>21</v>
      </c>
      <c r="K1021" s="5">
        <v>1000.0</v>
      </c>
      <c r="N1021" s="8">
        <v>44048.0</v>
      </c>
    </row>
    <row r="1022">
      <c r="A1022" s="5">
        <v>1021.0</v>
      </c>
      <c r="B1022" s="5" t="s">
        <v>1665</v>
      </c>
      <c r="C1022" s="5" t="s">
        <v>21</v>
      </c>
      <c r="K1022" s="5">
        <v>250.0</v>
      </c>
      <c r="N1022" s="8">
        <v>45008.0</v>
      </c>
    </row>
    <row r="1023">
      <c r="A1023" s="5">
        <v>1022.0</v>
      </c>
      <c r="B1023" s="5" t="s">
        <v>1666</v>
      </c>
      <c r="C1023" s="5" t="s">
        <v>21</v>
      </c>
      <c r="K1023" s="5">
        <v>250.0</v>
      </c>
      <c r="N1023" s="8">
        <v>44235.0</v>
      </c>
    </row>
    <row r="1024">
      <c r="A1024" s="5">
        <v>1023.0</v>
      </c>
      <c r="B1024" s="5" t="s">
        <v>1667</v>
      </c>
      <c r="C1024" s="5" t="s">
        <v>21</v>
      </c>
      <c r="K1024" s="5">
        <v>300.0</v>
      </c>
      <c r="N1024" s="8">
        <v>44543.0</v>
      </c>
    </row>
    <row r="1025">
      <c r="A1025" s="5">
        <v>1024.0</v>
      </c>
      <c r="B1025" s="5" t="s">
        <v>1668</v>
      </c>
      <c r="C1025" s="5" t="s">
        <v>21</v>
      </c>
      <c r="K1025" s="5">
        <v>700.0</v>
      </c>
      <c r="N1025" s="8">
        <v>44799.0</v>
      </c>
    </row>
    <row r="1026">
      <c r="A1026" s="5">
        <v>1025.0</v>
      </c>
      <c r="B1026" s="5" t="s">
        <v>1669</v>
      </c>
      <c r="C1026" s="5" t="s">
        <v>21</v>
      </c>
      <c r="K1026" s="5">
        <v>20.0</v>
      </c>
      <c r="N1026" s="8">
        <v>44809.0</v>
      </c>
    </row>
    <row r="1027">
      <c r="A1027" s="5">
        <v>1026.0</v>
      </c>
      <c r="B1027" s="5" t="s">
        <v>1670</v>
      </c>
      <c r="C1027" s="5" t="s">
        <v>21</v>
      </c>
      <c r="K1027" s="5">
        <v>700.0</v>
      </c>
      <c r="N1027" s="8">
        <v>44534.0</v>
      </c>
    </row>
    <row r="1028">
      <c r="A1028" s="5">
        <v>1027.0</v>
      </c>
      <c r="B1028" s="5" t="s">
        <v>1671</v>
      </c>
      <c r="C1028" s="5" t="s">
        <v>21</v>
      </c>
      <c r="K1028" s="5">
        <v>800.0</v>
      </c>
      <c r="N1028" s="8">
        <v>44050.0</v>
      </c>
    </row>
    <row r="1029">
      <c r="A1029" s="5">
        <v>1028.0</v>
      </c>
      <c r="B1029" s="5" t="s">
        <v>1672</v>
      </c>
      <c r="C1029" s="5" t="s">
        <v>21</v>
      </c>
      <c r="K1029" s="5">
        <v>200.0</v>
      </c>
      <c r="N1029" s="8">
        <v>44223.0</v>
      </c>
    </row>
    <row r="1030">
      <c r="A1030" s="5">
        <v>1029.0</v>
      </c>
      <c r="B1030" s="5" t="s">
        <v>1673</v>
      </c>
      <c r="C1030" s="5" t="s">
        <v>21</v>
      </c>
      <c r="K1030" s="5">
        <v>800.0</v>
      </c>
      <c r="N1030" s="8">
        <v>44710.0</v>
      </c>
    </row>
    <row r="1031">
      <c r="A1031" s="5">
        <v>1030.0</v>
      </c>
      <c r="B1031" s="5" t="s">
        <v>1674</v>
      </c>
      <c r="C1031" s="5" t="s">
        <v>21</v>
      </c>
      <c r="K1031" s="5">
        <v>200.0</v>
      </c>
      <c r="N1031" s="8">
        <v>43841.0</v>
      </c>
    </row>
    <row r="1032">
      <c r="A1032" s="5">
        <v>1031.0</v>
      </c>
      <c r="B1032" s="5" t="s">
        <v>1675</v>
      </c>
      <c r="C1032" s="5" t="s">
        <v>21</v>
      </c>
      <c r="K1032" s="5">
        <v>250.0</v>
      </c>
      <c r="N1032" s="8">
        <v>45219.0</v>
      </c>
    </row>
    <row r="1033">
      <c r="A1033" s="5">
        <v>1032.0</v>
      </c>
      <c r="B1033" s="5" t="s">
        <v>1676</v>
      </c>
      <c r="C1033" s="5" t="s">
        <v>21</v>
      </c>
      <c r="K1033" s="5">
        <v>200.0</v>
      </c>
      <c r="N1033" s="8">
        <v>44338.0</v>
      </c>
    </row>
    <row r="1034">
      <c r="A1034" s="5">
        <v>1033.0</v>
      </c>
      <c r="B1034" s="5" t="s">
        <v>1677</v>
      </c>
      <c r="C1034" s="5" t="s">
        <v>21</v>
      </c>
      <c r="K1034" s="5">
        <v>2100.0</v>
      </c>
      <c r="N1034" s="8">
        <v>43894.0</v>
      </c>
    </row>
    <row r="1035">
      <c r="A1035" s="5">
        <v>1034.0</v>
      </c>
      <c r="B1035" s="5" t="s">
        <v>1678</v>
      </c>
      <c r="C1035" s="5" t="s">
        <v>21</v>
      </c>
      <c r="N1035" s="8">
        <v>46010.0</v>
      </c>
    </row>
    <row r="1036">
      <c r="A1036" s="5">
        <v>1035.0</v>
      </c>
      <c r="B1036" s="5" t="s">
        <v>1679</v>
      </c>
      <c r="C1036" s="5" t="s">
        <v>21</v>
      </c>
      <c r="K1036" s="5">
        <v>1100.0</v>
      </c>
      <c r="N1036" s="8">
        <v>44320.0</v>
      </c>
    </row>
    <row r="1037">
      <c r="A1037" s="5">
        <v>1036.0</v>
      </c>
      <c r="B1037" s="5" t="s">
        <v>1680</v>
      </c>
      <c r="C1037" s="5" t="s">
        <v>21</v>
      </c>
      <c r="K1037" s="5">
        <v>80.0</v>
      </c>
      <c r="N1037" s="8">
        <v>44551.0</v>
      </c>
    </row>
    <row r="1038">
      <c r="A1038" s="5">
        <v>1037.0</v>
      </c>
      <c r="B1038" s="5" t="s">
        <v>1681</v>
      </c>
      <c r="C1038" s="5" t="s">
        <v>21</v>
      </c>
      <c r="K1038" s="5">
        <v>150.0</v>
      </c>
      <c r="N1038" s="8">
        <v>44232.0</v>
      </c>
    </row>
    <row r="1039">
      <c r="A1039" s="5">
        <v>1038.0</v>
      </c>
      <c r="B1039" s="5" t="s">
        <v>1682</v>
      </c>
      <c r="C1039" s="5" t="s">
        <v>21</v>
      </c>
      <c r="K1039" s="5">
        <v>700.0</v>
      </c>
      <c r="N1039" s="8">
        <v>43978.0</v>
      </c>
    </row>
    <row r="1040">
      <c r="A1040" s="5">
        <v>1039.0</v>
      </c>
      <c r="B1040" s="5" t="s">
        <v>1683</v>
      </c>
      <c r="C1040" s="5" t="s">
        <v>21</v>
      </c>
      <c r="K1040" s="5">
        <v>250.0</v>
      </c>
      <c r="N1040" s="8">
        <v>44983.0</v>
      </c>
    </row>
    <row r="1041">
      <c r="A1041" s="5">
        <v>1040.0</v>
      </c>
      <c r="B1041" s="5" t="s">
        <v>1684</v>
      </c>
      <c r="C1041" s="5" t="s">
        <v>21</v>
      </c>
      <c r="K1041" s="5">
        <v>70.0</v>
      </c>
      <c r="N1041" s="8">
        <v>44804.0</v>
      </c>
    </row>
    <row r="1042">
      <c r="A1042" s="5">
        <v>1041.0</v>
      </c>
      <c r="B1042" s="5" t="s">
        <v>1685</v>
      </c>
      <c r="C1042" s="5" t="s">
        <v>21</v>
      </c>
      <c r="K1042" s="5">
        <v>1100.0</v>
      </c>
      <c r="N1042" s="8">
        <v>44530.0</v>
      </c>
    </row>
    <row r="1043">
      <c r="A1043" s="5">
        <v>1042.0</v>
      </c>
      <c r="B1043" s="5" t="s">
        <v>1686</v>
      </c>
      <c r="C1043" s="5" t="s">
        <v>21</v>
      </c>
      <c r="K1043" s="5">
        <v>10.0</v>
      </c>
      <c r="N1043" s="8">
        <v>44563.0</v>
      </c>
    </row>
    <row r="1044">
      <c r="A1044" s="5">
        <v>1043.0</v>
      </c>
      <c r="B1044" s="5" t="s">
        <v>1687</v>
      </c>
      <c r="C1044" s="5" t="s">
        <v>21</v>
      </c>
      <c r="K1044" s="5">
        <v>250.0</v>
      </c>
      <c r="N1044" s="8">
        <v>44295.0</v>
      </c>
    </row>
    <row r="1045">
      <c r="A1045" s="5">
        <v>1044.0</v>
      </c>
      <c r="B1045" s="5" t="s">
        <v>1688</v>
      </c>
      <c r="C1045" s="5" t="s">
        <v>21</v>
      </c>
      <c r="K1045" s="5">
        <v>200.0</v>
      </c>
      <c r="N1045" s="8">
        <v>45272.0</v>
      </c>
    </row>
    <row r="1046">
      <c r="A1046" s="5">
        <v>1045.0</v>
      </c>
      <c r="B1046" s="5" t="s">
        <v>1689</v>
      </c>
      <c r="C1046" s="5" t="s">
        <v>21</v>
      </c>
      <c r="K1046" s="5">
        <v>700.0</v>
      </c>
      <c r="N1046" s="8">
        <v>46096.0</v>
      </c>
    </row>
    <row r="1047">
      <c r="A1047" s="5">
        <v>1046.0</v>
      </c>
      <c r="B1047" s="5" t="s">
        <v>1690</v>
      </c>
      <c r="C1047" s="5" t="s">
        <v>21</v>
      </c>
      <c r="K1047" s="5">
        <v>200.0</v>
      </c>
      <c r="N1047" s="8">
        <v>45282.0</v>
      </c>
    </row>
    <row r="1048">
      <c r="A1048" s="5">
        <v>1047.0</v>
      </c>
      <c r="B1048" s="5" t="s">
        <v>1691</v>
      </c>
      <c r="C1048" s="5" t="s">
        <v>21</v>
      </c>
      <c r="K1048" s="5">
        <v>900.0</v>
      </c>
      <c r="N1048" s="8">
        <v>44996.0</v>
      </c>
    </row>
    <row r="1049">
      <c r="A1049" s="5">
        <v>1048.0</v>
      </c>
      <c r="B1049" s="5" t="s">
        <v>1692</v>
      </c>
      <c r="C1049" s="5" t="s">
        <v>21</v>
      </c>
      <c r="K1049" s="5">
        <v>4500.0</v>
      </c>
      <c r="N1049" s="8">
        <v>43912.0</v>
      </c>
    </row>
    <row r="1050">
      <c r="A1050" s="5">
        <v>1049.0</v>
      </c>
      <c r="B1050" s="5" t="s">
        <v>1693</v>
      </c>
      <c r="C1050" s="5" t="s">
        <v>21</v>
      </c>
      <c r="K1050" s="5">
        <v>200.0</v>
      </c>
      <c r="N1050" s="8">
        <v>44220.0</v>
      </c>
    </row>
    <row r="1051">
      <c r="A1051" s="5">
        <v>1050.0</v>
      </c>
      <c r="B1051" s="5" t="s">
        <v>1694</v>
      </c>
      <c r="C1051" s="5" t="s">
        <v>21</v>
      </c>
      <c r="K1051" s="5">
        <v>400.0</v>
      </c>
      <c r="N1051" s="8">
        <v>45395.0</v>
      </c>
    </row>
    <row r="1052">
      <c r="A1052" s="5">
        <v>1051.0</v>
      </c>
      <c r="B1052" s="5" t="s">
        <v>1695</v>
      </c>
      <c r="C1052" s="5" t="s">
        <v>21</v>
      </c>
      <c r="K1052" s="5">
        <v>200.0</v>
      </c>
      <c r="N1052" s="8">
        <v>44795.0</v>
      </c>
    </row>
    <row r="1053">
      <c r="A1053" s="5">
        <v>1052.0</v>
      </c>
      <c r="B1053" s="5" t="s">
        <v>1696</v>
      </c>
      <c r="C1053" s="5" t="s">
        <v>21</v>
      </c>
      <c r="N1053" s="8">
        <v>45312.0</v>
      </c>
    </row>
    <row r="1054">
      <c r="A1054" s="5">
        <v>1053.0</v>
      </c>
      <c r="B1054" s="5" t="s">
        <v>1697</v>
      </c>
      <c r="C1054" s="5" t="s">
        <v>21</v>
      </c>
      <c r="K1054" s="5">
        <v>250.0</v>
      </c>
      <c r="N1054" s="8">
        <v>44640.0</v>
      </c>
    </row>
    <row r="1055">
      <c r="A1055" s="5">
        <v>1054.0</v>
      </c>
      <c r="B1055" s="5" t="s">
        <v>1698</v>
      </c>
      <c r="C1055" s="5" t="s">
        <v>21</v>
      </c>
      <c r="K1055" s="5">
        <v>350.0</v>
      </c>
      <c r="N1055" s="8">
        <v>44520.0</v>
      </c>
    </row>
    <row r="1056">
      <c r="A1056" s="5">
        <v>1055.0</v>
      </c>
      <c r="B1056" s="5" t="s">
        <v>1699</v>
      </c>
      <c r="C1056" s="5" t="s">
        <v>21</v>
      </c>
      <c r="K1056" s="5">
        <v>30.0</v>
      </c>
      <c r="N1056" s="8">
        <v>44965.0</v>
      </c>
    </row>
    <row r="1057">
      <c r="A1057" s="5">
        <v>1056.0</v>
      </c>
      <c r="B1057" s="5" t="s">
        <v>1700</v>
      </c>
      <c r="C1057" s="5" t="s">
        <v>21</v>
      </c>
      <c r="K1057" s="5">
        <v>200.0</v>
      </c>
      <c r="N1057" s="8">
        <v>44550.0</v>
      </c>
    </row>
    <row r="1058">
      <c r="A1058" s="5">
        <v>1057.0</v>
      </c>
      <c r="B1058" s="5" t="s">
        <v>1701</v>
      </c>
      <c r="C1058" s="5" t="s">
        <v>21</v>
      </c>
      <c r="K1058" s="5">
        <v>600.0</v>
      </c>
      <c r="N1058" s="8">
        <v>43962.0</v>
      </c>
    </row>
    <row r="1059">
      <c r="A1059" s="5">
        <v>1058.0</v>
      </c>
      <c r="B1059" s="5" t="s">
        <v>1702</v>
      </c>
      <c r="C1059" s="5" t="s">
        <v>21</v>
      </c>
      <c r="K1059" s="5">
        <v>20.0</v>
      </c>
      <c r="N1059" s="8">
        <v>45055.0</v>
      </c>
    </row>
    <row r="1060">
      <c r="A1060" s="5">
        <v>1059.0</v>
      </c>
      <c r="B1060" s="5" t="s">
        <v>1703</v>
      </c>
      <c r="C1060" s="5" t="s">
        <v>21</v>
      </c>
      <c r="K1060" s="5">
        <v>1100.0</v>
      </c>
      <c r="N1060" s="8">
        <v>44158.0</v>
      </c>
    </row>
    <row r="1061">
      <c r="A1061" s="5">
        <v>1060.0</v>
      </c>
      <c r="B1061" s="5" t="s">
        <v>1704</v>
      </c>
      <c r="C1061" s="5" t="s">
        <v>21</v>
      </c>
      <c r="K1061" s="5">
        <v>500.0</v>
      </c>
      <c r="N1061" s="8">
        <v>44087.0</v>
      </c>
    </row>
    <row r="1062">
      <c r="A1062" s="5">
        <v>1061.0</v>
      </c>
      <c r="B1062" s="5" t="s">
        <v>1705</v>
      </c>
      <c r="C1062" s="5" t="s">
        <v>21</v>
      </c>
      <c r="K1062" s="5">
        <v>30.0</v>
      </c>
      <c r="N1062" s="8">
        <v>45183.0</v>
      </c>
    </row>
    <row r="1063">
      <c r="A1063" s="5">
        <v>1062.0</v>
      </c>
      <c r="B1063" s="5" t="s">
        <v>95</v>
      </c>
      <c r="C1063" s="5" t="s">
        <v>21</v>
      </c>
      <c r="K1063" s="5">
        <v>10.0</v>
      </c>
      <c r="N1063" s="8">
        <v>43897.0</v>
      </c>
    </row>
    <row r="1064">
      <c r="A1064" s="5">
        <v>1063.0</v>
      </c>
      <c r="B1064" s="5" t="s">
        <v>1706</v>
      </c>
      <c r="C1064" s="5" t="s">
        <v>21</v>
      </c>
      <c r="K1064" s="5">
        <v>500.0</v>
      </c>
      <c r="N1064" s="8">
        <v>45627.0</v>
      </c>
    </row>
    <row r="1065">
      <c r="A1065" s="5">
        <v>1064.0</v>
      </c>
      <c r="B1065" s="5" t="s">
        <v>97</v>
      </c>
      <c r="C1065" s="5" t="s">
        <v>21</v>
      </c>
      <c r="K1065" s="5">
        <v>30.0</v>
      </c>
      <c r="N1065" s="8">
        <v>46056.0</v>
      </c>
    </row>
    <row r="1066">
      <c r="A1066" s="5">
        <v>1065.0</v>
      </c>
      <c r="B1066" s="5" t="s">
        <v>1707</v>
      </c>
      <c r="C1066" s="5" t="s">
        <v>21</v>
      </c>
      <c r="K1066" s="5">
        <v>6900.0</v>
      </c>
      <c r="N1066" s="8">
        <v>43852.0</v>
      </c>
    </row>
    <row r="1067">
      <c r="A1067" s="5">
        <v>1066.0</v>
      </c>
      <c r="B1067" s="5" t="s">
        <v>1708</v>
      </c>
      <c r="C1067" s="5" t="s">
        <v>21</v>
      </c>
      <c r="K1067" s="5">
        <v>150.0</v>
      </c>
      <c r="N1067" s="8">
        <v>44606.0</v>
      </c>
    </row>
    <row r="1068">
      <c r="A1068" s="5">
        <v>1067.0</v>
      </c>
      <c r="B1068" s="5" t="s">
        <v>1709</v>
      </c>
      <c r="C1068" s="5" t="s">
        <v>21</v>
      </c>
      <c r="K1068" s="5">
        <v>250.0</v>
      </c>
      <c r="N1068" s="8">
        <v>44595.0</v>
      </c>
    </row>
    <row r="1069">
      <c r="A1069" s="5">
        <v>1068.0</v>
      </c>
      <c r="B1069" s="5" t="s">
        <v>99</v>
      </c>
      <c r="C1069" s="5" t="s">
        <v>21</v>
      </c>
      <c r="K1069" s="5">
        <v>100.0</v>
      </c>
      <c r="N1069" s="8">
        <v>43908.0</v>
      </c>
    </row>
    <row r="1070">
      <c r="A1070" s="5">
        <v>1069.0</v>
      </c>
      <c r="B1070" s="5" t="s">
        <v>1710</v>
      </c>
      <c r="C1070" s="5" t="s">
        <v>21</v>
      </c>
      <c r="K1070" s="5">
        <v>200.0</v>
      </c>
      <c r="N1070" s="8">
        <v>45614.0</v>
      </c>
    </row>
    <row r="1071">
      <c r="A1071" s="5">
        <v>1070.0</v>
      </c>
      <c r="B1071" s="5" t="s">
        <v>1711</v>
      </c>
      <c r="C1071" s="5" t="s">
        <v>21</v>
      </c>
      <c r="K1071" s="5">
        <v>10.0</v>
      </c>
      <c r="N1071" s="8">
        <v>44631.0</v>
      </c>
    </row>
    <row r="1072">
      <c r="A1072" s="5">
        <v>1071.0</v>
      </c>
      <c r="B1072" s="5" t="s">
        <v>1712</v>
      </c>
      <c r="C1072" s="5" t="s">
        <v>21</v>
      </c>
      <c r="K1072" s="5">
        <v>3100.0</v>
      </c>
      <c r="N1072" s="8">
        <v>44349.0</v>
      </c>
    </row>
    <row r="1073">
      <c r="A1073" s="5">
        <v>1072.0</v>
      </c>
      <c r="B1073" s="5" t="s">
        <v>1713</v>
      </c>
      <c r="C1073" s="5" t="s">
        <v>21</v>
      </c>
      <c r="K1073" s="5">
        <v>30000.0</v>
      </c>
      <c r="N1073" s="8">
        <v>43960.0</v>
      </c>
    </row>
    <row r="1074">
      <c r="A1074" s="5">
        <v>1073.0</v>
      </c>
      <c r="B1074" s="5" t="s">
        <v>1714</v>
      </c>
      <c r="C1074" s="5" t="s">
        <v>21</v>
      </c>
      <c r="K1074" s="5">
        <v>70.0</v>
      </c>
      <c r="N1074" s="8">
        <v>44523.0</v>
      </c>
    </row>
    <row r="1075">
      <c r="A1075" s="5">
        <v>1074.0</v>
      </c>
      <c r="B1075" s="5" t="s">
        <v>1715</v>
      </c>
      <c r="C1075" s="5" t="s">
        <v>21</v>
      </c>
      <c r="K1075" s="5">
        <v>1000.0</v>
      </c>
      <c r="N1075" s="8">
        <v>44506.0</v>
      </c>
    </row>
    <row r="1076">
      <c r="A1076" s="5">
        <v>1075.0</v>
      </c>
      <c r="B1076" s="5" t="s">
        <v>1716</v>
      </c>
      <c r="C1076" s="5" t="s">
        <v>21</v>
      </c>
      <c r="K1076" s="5">
        <v>700.0</v>
      </c>
      <c r="N1076" s="8">
        <v>42403.0</v>
      </c>
    </row>
    <row r="1077">
      <c r="A1077" s="5">
        <v>1076.0</v>
      </c>
      <c r="B1077" s="5" t="s">
        <v>1717</v>
      </c>
      <c r="C1077" s="5" t="s">
        <v>21</v>
      </c>
      <c r="K1077" s="5">
        <v>500.0</v>
      </c>
      <c r="N1077" s="8">
        <v>45103.0</v>
      </c>
    </row>
    <row r="1078">
      <c r="A1078" s="5">
        <v>1077.0</v>
      </c>
      <c r="B1078" s="5" t="s">
        <v>1718</v>
      </c>
      <c r="C1078" s="5" t="s">
        <v>21</v>
      </c>
      <c r="K1078" s="5">
        <v>70.0</v>
      </c>
      <c r="N1078" s="8">
        <v>44354.0</v>
      </c>
    </row>
    <row r="1079">
      <c r="A1079" s="5">
        <v>1078.0</v>
      </c>
      <c r="B1079" s="5" t="s">
        <v>1719</v>
      </c>
      <c r="C1079" s="5" t="s">
        <v>21</v>
      </c>
      <c r="K1079" s="5">
        <v>600.0</v>
      </c>
      <c r="N1079" s="8">
        <v>44418.0</v>
      </c>
    </row>
    <row r="1080">
      <c r="A1080" s="5">
        <v>1079.0</v>
      </c>
      <c r="B1080" s="5" t="s">
        <v>1720</v>
      </c>
      <c r="C1080" s="5" t="s">
        <v>21</v>
      </c>
      <c r="K1080" s="5">
        <v>30.0</v>
      </c>
      <c r="N1080" s="8">
        <v>45094.0</v>
      </c>
    </row>
    <row r="1081">
      <c r="A1081" s="5">
        <v>1080.0</v>
      </c>
      <c r="B1081" s="5" t="s">
        <v>1721</v>
      </c>
      <c r="C1081" s="5" t="s">
        <v>21</v>
      </c>
      <c r="K1081" s="5">
        <v>250.0</v>
      </c>
      <c r="N1081" s="8">
        <v>44659.0</v>
      </c>
    </row>
    <row r="1082">
      <c r="A1082" s="5">
        <v>1081.0</v>
      </c>
      <c r="B1082" s="5" t="s">
        <v>1722</v>
      </c>
      <c r="C1082" s="5" t="s">
        <v>21</v>
      </c>
      <c r="K1082" s="5">
        <v>50.0</v>
      </c>
      <c r="N1082" s="8">
        <v>44667.0</v>
      </c>
    </row>
    <row r="1083">
      <c r="A1083" s="5">
        <v>1082.0</v>
      </c>
      <c r="B1083" s="5" t="s">
        <v>1723</v>
      </c>
      <c r="C1083" s="5" t="s">
        <v>21</v>
      </c>
      <c r="K1083" s="5">
        <v>900.0</v>
      </c>
      <c r="N1083" s="8">
        <v>44012.0</v>
      </c>
    </row>
    <row r="1084">
      <c r="A1084" s="5">
        <v>1083.0</v>
      </c>
      <c r="B1084" s="5" t="s">
        <v>1724</v>
      </c>
      <c r="C1084" s="5" t="s">
        <v>21</v>
      </c>
      <c r="K1084" s="5">
        <v>60.0</v>
      </c>
      <c r="N1084" s="8">
        <v>44615.0</v>
      </c>
    </row>
    <row r="1085">
      <c r="A1085" s="5">
        <v>1084.0</v>
      </c>
      <c r="B1085" s="5" t="s">
        <v>1725</v>
      </c>
      <c r="C1085" s="5" t="s">
        <v>21</v>
      </c>
      <c r="K1085" s="5">
        <v>20.0</v>
      </c>
      <c r="N1085" s="8">
        <v>44091.0</v>
      </c>
    </row>
    <row r="1086">
      <c r="A1086" s="5">
        <v>1085.0</v>
      </c>
      <c r="B1086" s="5" t="s">
        <v>1726</v>
      </c>
      <c r="C1086" s="5" t="s">
        <v>21</v>
      </c>
      <c r="K1086" s="5">
        <v>800.0</v>
      </c>
      <c r="N1086" s="8">
        <v>44070.0</v>
      </c>
    </row>
    <row r="1087">
      <c r="A1087" s="5">
        <v>1086.0</v>
      </c>
      <c r="B1087" s="5" t="s">
        <v>1727</v>
      </c>
      <c r="C1087" s="5" t="s">
        <v>21</v>
      </c>
      <c r="K1087" s="5">
        <v>80.0</v>
      </c>
      <c r="N1087" s="8">
        <v>44926.0</v>
      </c>
    </row>
    <row r="1088">
      <c r="A1088" s="5">
        <v>1087.0</v>
      </c>
      <c r="B1088" s="5" t="s">
        <v>1728</v>
      </c>
      <c r="C1088" s="5" t="s">
        <v>21</v>
      </c>
      <c r="K1088" s="5">
        <v>50.0</v>
      </c>
      <c r="N1088" s="8">
        <v>44582.0</v>
      </c>
    </row>
    <row r="1089">
      <c r="A1089" s="5">
        <v>1088.0</v>
      </c>
      <c r="B1089" s="5" t="s">
        <v>1729</v>
      </c>
      <c r="C1089" s="5" t="s">
        <v>21</v>
      </c>
      <c r="K1089" s="5">
        <v>200.0</v>
      </c>
      <c r="N1089" s="8">
        <v>44840.0</v>
      </c>
    </row>
    <row r="1090">
      <c r="A1090" s="5">
        <v>1089.0</v>
      </c>
      <c r="B1090" s="5" t="s">
        <v>1730</v>
      </c>
      <c r="C1090" s="5" t="s">
        <v>21</v>
      </c>
      <c r="K1090" s="5">
        <v>600.0</v>
      </c>
      <c r="N1090" s="8">
        <v>44525.0</v>
      </c>
    </row>
    <row r="1091">
      <c r="A1091" s="5">
        <v>1090.0</v>
      </c>
      <c r="B1091" s="5" t="s">
        <v>1731</v>
      </c>
      <c r="C1091" s="5" t="s">
        <v>21</v>
      </c>
      <c r="K1091" s="5">
        <v>40.0</v>
      </c>
      <c r="N1091" s="8">
        <v>44534.0</v>
      </c>
    </row>
    <row r="1092">
      <c r="A1092" s="5">
        <v>1091.0</v>
      </c>
      <c r="B1092" s="5" t="s">
        <v>1732</v>
      </c>
      <c r="C1092" s="5" t="s">
        <v>21</v>
      </c>
      <c r="K1092" s="5">
        <v>600.0</v>
      </c>
      <c r="N1092" s="8">
        <v>44086.0</v>
      </c>
    </row>
    <row r="1093">
      <c r="A1093" s="5">
        <v>1092.0</v>
      </c>
      <c r="B1093" s="5" t="s">
        <v>1733</v>
      </c>
      <c r="C1093" s="5" t="s">
        <v>21</v>
      </c>
      <c r="K1093" s="5">
        <v>600.0</v>
      </c>
      <c r="N1093" s="8">
        <v>44582.0</v>
      </c>
    </row>
    <row r="1094">
      <c r="A1094" s="5">
        <v>1093.0</v>
      </c>
      <c r="B1094" s="5" t="s">
        <v>1734</v>
      </c>
      <c r="C1094" s="5" t="s">
        <v>21</v>
      </c>
      <c r="K1094" s="5">
        <v>250.0</v>
      </c>
      <c r="N1094" s="8">
        <v>44547.0</v>
      </c>
    </row>
    <row r="1095">
      <c r="A1095" s="5">
        <v>1094.0</v>
      </c>
      <c r="B1095" s="5" t="s">
        <v>1735</v>
      </c>
      <c r="C1095" s="5" t="s">
        <v>21</v>
      </c>
      <c r="N1095" s="8">
        <v>44358.0</v>
      </c>
    </row>
    <row r="1096">
      <c r="A1096" s="5">
        <v>1095.0</v>
      </c>
      <c r="B1096" s="5" t="s">
        <v>1736</v>
      </c>
      <c r="C1096" s="5" t="s">
        <v>21</v>
      </c>
      <c r="K1096" s="5">
        <v>800.0</v>
      </c>
      <c r="N1096" s="8">
        <v>44882.0</v>
      </c>
    </row>
    <row r="1097">
      <c r="A1097" s="5">
        <v>1096.0</v>
      </c>
      <c r="B1097" s="5" t="s">
        <v>1737</v>
      </c>
      <c r="C1097" s="5" t="s">
        <v>21</v>
      </c>
      <c r="K1097" s="5">
        <v>2200.0</v>
      </c>
      <c r="N1097" s="8">
        <v>44414.0</v>
      </c>
    </row>
    <row r="1098">
      <c r="A1098" s="5">
        <v>1097.0</v>
      </c>
      <c r="B1098" s="5" t="s">
        <v>1738</v>
      </c>
      <c r="C1098" s="5" t="s">
        <v>21</v>
      </c>
      <c r="K1098" s="5">
        <v>60.0</v>
      </c>
      <c r="N1098" s="8">
        <v>44904.0</v>
      </c>
    </row>
    <row r="1099">
      <c r="A1099" s="5">
        <v>1098.0</v>
      </c>
      <c r="B1099" s="5" t="s">
        <v>1739</v>
      </c>
      <c r="C1099" s="5" t="s">
        <v>21</v>
      </c>
      <c r="K1099" s="5">
        <v>150.0</v>
      </c>
      <c r="N1099" s="8">
        <v>44975.0</v>
      </c>
    </row>
    <row r="1100">
      <c r="A1100" s="5">
        <v>1099.0</v>
      </c>
      <c r="B1100" s="5" t="s">
        <v>1740</v>
      </c>
      <c r="C1100" s="5" t="s">
        <v>21</v>
      </c>
      <c r="K1100" s="5">
        <v>350.0</v>
      </c>
      <c r="N1100" s="8">
        <v>45624.0</v>
      </c>
    </row>
    <row r="1101">
      <c r="A1101" s="5">
        <v>1100.0</v>
      </c>
      <c r="B1101" s="5" t="s">
        <v>1741</v>
      </c>
      <c r="C1101" s="5" t="s">
        <v>21</v>
      </c>
      <c r="K1101" s="5">
        <v>350.0</v>
      </c>
      <c r="N1101" s="8">
        <v>44889.0</v>
      </c>
    </row>
    <row r="1102">
      <c r="A1102" s="5">
        <v>1101.0</v>
      </c>
      <c r="B1102" s="5" t="s">
        <v>1742</v>
      </c>
      <c r="C1102" s="5" t="s">
        <v>21</v>
      </c>
      <c r="K1102" s="5">
        <v>1400.0</v>
      </c>
      <c r="N1102" s="8">
        <v>43878.0</v>
      </c>
    </row>
    <row r="1103">
      <c r="A1103" s="5">
        <v>1102.0</v>
      </c>
      <c r="B1103" s="5" t="s">
        <v>1743</v>
      </c>
      <c r="C1103" s="5" t="s">
        <v>21</v>
      </c>
      <c r="K1103" s="5">
        <v>800.0</v>
      </c>
      <c r="N1103" s="8">
        <v>44726.0</v>
      </c>
    </row>
    <row r="1104">
      <c r="A1104" s="5">
        <v>1103.0</v>
      </c>
      <c r="B1104" s="5" t="s">
        <v>1744</v>
      </c>
      <c r="C1104" s="5" t="s">
        <v>21</v>
      </c>
      <c r="K1104" s="5">
        <v>10.0</v>
      </c>
      <c r="N1104" s="8">
        <v>44732.0</v>
      </c>
    </row>
    <row r="1105">
      <c r="A1105" s="5">
        <v>1104.0</v>
      </c>
      <c r="B1105" s="5" t="s">
        <v>1745</v>
      </c>
      <c r="C1105" s="5" t="s">
        <v>21</v>
      </c>
      <c r="K1105" s="5">
        <v>150.0</v>
      </c>
      <c r="N1105" s="8">
        <v>45443.0</v>
      </c>
    </row>
    <row r="1106">
      <c r="A1106" s="5">
        <v>1105.0</v>
      </c>
      <c r="B1106" s="5" t="s">
        <v>1746</v>
      </c>
      <c r="C1106" s="5" t="s">
        <v>21</v>
      </c>
      <c r="K1106" s="5">
        <v>1400.0</v>
      </c>
      <c r="N1106" s="8">
        <v>44111.0</v>
      </c>
    </row>
    <row r="1107">
      <c r="A1107" s="5">
        <v>1106.0</v>
      </c>
      <c r="B1107" s="5" t="s">
        <v>103</v>
      </c>
      <c r="C1107" s="5" t="s">
        <v>21</v>
      </c>
      <c r="K1107" s="5">
        <v>2600.0</v>
      </c>
      <c r="N1107" s="8">
        <v>44008.0</v>
      </c>
    </row>
    <row r="1108">
      <c r="A1108" s="5">
        <v>1107.0</v>
      </c>
      <c r="B1108" s="5" t="s">
        <v>1747</v>
      </c>
      <c r="C1108" s="5" t="s">
        <v>21</v>
      </c>
      <c r="K1108" s="5">
        <v>20.0</v>
      </c>
      <c r="N1108" s="8">
        <v>44659.0</v>
      </c>
    </row>
    <row r="1109">
      <c r="A1109" s="5">
        <v>1108.0</v>
      </c>
      <c r="B1109" s="5" t="s">
        <v>1748</v>
      </c>
      <c r="C1109" s="5" t="s">
        <v>21</v>
      </c>
      <c r="K1109" s="5">
        <v>200.0</v>
      </c>
      <c r="N1109" s="8">
        <v>45564.0</v>
      </c>
    </row>
    <row r="1110">
      <c r="A1110" s="5">
        <v>1109.0</v>
      </c>
      <c r="B1110" s="5" t="s">
        <v>1749</v>
      </c>
      <c r="C1110" s="5" t="s">
        <v>21</v>
      </c>
      <c r="K1110" s="5">
        <v>500.0</v>
      </c>
      <c r="N1110" s="8">
        <v>44338.0</v>
      </c>
    </row>
    <row r="1111">
      <c r="A1111" s="5">
        <v>1110.0</v>
      </c>
      <c r="B1111" s="5" t="s">
        <v>1750</v>
      </c>
      <c r="C1111" s="5" t="s">
        <v>21</v>
      </c>
      <c r="K1111" s="5">
        <v>300.0</v>
      </c>
      <c r="N1111" s="8">
        <v>44699.0</v>
      </c>
    </row>
    <row r="1112">
      <c r="A1112" s="5">
        <v>1111.0</v>
      </c>
      <c r="B1112" s="5" t="s">
        <v>1751</v>
      </c>
      <c r="C1112" s="5" t="s">
        <v>21</v>
      </c>
      <c r="K1112" s="5">
        <v>350.0</v>
      </c>
      <c r="N1112" s="8">
        <v>44593.0</v>
      </c>
    </row>
    <row r="1113">
      <c r="A1113" s="5">
        <v>1112.0</v>
      </c>
      <c r="B1113" s="5" t="s">
        <v>1752</v>
      </c>
      <c r="C1113" s="5" t="s">
        <v>21</v>
      </c>
      <c r="K1113" s="5">
        <v>900.0</v>
      </c>
      <c r="N1113" s="8">
        <v>44761.0</v>
      </c>
    </row>
    <row r="1114">
      <c r="A1114" s="5">
        <v>1113.0</v>
      </c>
      <c r="B1114" s="5" t="s">
        <v>1753</v>
      </c>
      <c r="C1114" s="5" t="s">
        <v>21</v>
      </c>
      <c r="K1114" s="5">
        <v>900.0</v>
      </c>
      <c r="N1114" s="8">
        <v>44661.0</v>
      </c>
    </row>
    <row r="1115">
      <c r="A1115" s="5">
        <v>1114.0</v>
      </c>
      <c r="B1115" s="5" t="s">
        <v>1754</v>
      </c>
      <c r="C1115" s="5" t="s">
        <v>21</v>
      </c>
      <c r="K1115" s="5">
        <v>90.0</v>
      </c>
      <c r="N1115" s="8">
        <v>45209.0</v>
      </c>
    </row>
    <row r="1116">
      <c r="A1116" s="5">
        <v>1115.0</v>
      </c>
      <c r="B1116" s="5" t="s">
        <v>107</v>
      </c>
      <c r="C1116" s="5" t="s">
        <v>21</v>
      </c>
      <c r="K1116" s="5">
        <v>600.0</v>
      </c>
      <c r="N1116" s="8">
        <v>44626.0</v>
      </c>
    </row>
    <row r="1117">
      <c r="A1117" s="5">
        <v>1116.0</v>
      </c>
      <c r="B1117" s="5" t="s">
        <v>1755</v>
      </c>
      <c r="C1117" s="5" t="s">
        <v>21</v>
      </c>
      <c r="K1117" s="5">
        <v>1900.0</v>
      </c>
      <c r="N1117" s="8">
        <v>44515.0</v>
      </c>
    </row>
    <row r="1118">
      <c r="A1118" s="5">
        <v>1117.0</v>
      </c>
      <c r="B1118" s="5" t="s">
        <v>1756</v>
      </c>
      <c r="C1118" s="5" t="s">
        <v>21</v>
      </c>
      <c r="K1118" s="5">
        <v>700.0</v>
      </c>
      <c r="N1118" s="8">
        <v>44140.0</v>
      </c>
    </row>
    <row r="1119">
      <c r="A1119" s="5">
        <v>1118.0</v>
      </c>
      <c r="B1119" s="5" t="s">
        <v>1757</v>
      </c>
      <c r="C1119" s="5" t="s">
        <v>21</v>
      </c>
      <c r="N1119" s="8">
        <v>45047.0</v>
      </c>
    </row>
    <row r="1120">
      <c r="A1120" s="5">
        <v>1119.0</v>
      </c>
      <c r="B1120" s="5" t="s">
        <v>1758</v>
      </c>
      <c r="C1120" s="5" t="s">
        <v>21</v>
      </c>
      <c r="K1120" s="5">
        <v>50.0</v>
      </c>
      <c r="N1120" s="8">
        <v>44731.0</v>
      </c>
    </row>
    <row r="1121">
      <c r="A1121" s="5">
        <v>1120.0</v>
      </c>
      <c r="B1121" s="5" t="s">
        <v>1759</v>
      </c>
      <c r="C1121" s="5" t="s">
        <v>21</v>
      </c>
      <c r="K1121" s="5">
        <v>60.0</v>
      </c>
      <c r="N1121" s="8">
        <v>45271.0</v>
      </c>
    </row>
    <row r="1122">
      <c r="A1122" s="5">
        <v>1121.0</v>
      </c>
      <c r="B1122" s="5" t="s">
        <v>1760</v>
      </c>
      <c r="C1122" s="5" t="s">
        <v>21</v>
      </c>
      <c r="K1122" s="5">
        <v>20.0</v>
      </c>
      <c r="N1122" s="8">
        <v>45364.0</v>
      </c>
    </row>
    <row r="1123">
      <c r="A1123" s="5">
        <v>1122.0</v>
      </c>
      <c r="B1123" s="5" t="s">
        <v>1761</v>
      </c>
      <c r="C1123" s="5" t="s">
        <v>21</v>
      </c>
      <c r="K1123" s="5">
        <v>60.0</v>
      </c>
      <c r="N1123" s="8">
        <v>44240.0</v>
      </c>
    </row>
    <row r="1124">
      <c r="A1124" s="5">
        <v>1123.0</v>
      </c>
      <c r="B1124" s="5" t="s">
        <v>1762</v>
      </c>
      <c r="C1124" s="5" t="s">
        <v>21</v>
      </c>
      <c r="K1124" s="5">
        <v>150.0</v>
      </c>
      <c r="N1124" s="8">
        <v>44585.0</v>
      </c>
    </row>
    <row r="1125">
      <c r="A1125" s="5">
        <v>1124.0</v>
      </c>
      <c r="B1125" s="5" t="s">
        <v>1763</v>
      </c>
      <c r="C1125" s="5" t="s">
        <v>21</v>
      </c>
      <c r="K1125" s="5">
        <v>250.0</v>
      </c>
      <c r="N1125" s="8">
        <v>44580.0</v>
      </c>
    </row>
    <row r="1126">
      <c r="A1126" s="5">
        <v>1125.0</v>
      </c>
      <c r="B1126" s="5" t="s">
        <v>1764</v>
      </c>
      <c r="C1126" s="5" t="s">
        <v>21</v>
      </c>
      <c r="K1126" s="5">
        <v>30.0</v>
      </c>
      <c r="N1126" s="8">
        <v>44691.0</v>
      </c>
    </row>
    <row r="1127">
      <c r="A1127" s="5">
        <v>1126.0</v>
      </c>
      <c r="B1127" s="5" t="s">
        <v>1765</v>
      </c>
      <c r="C1127" s="5" t="s">
        <v>21</v>
      </c>
      <c r="K1127" s="5">
        <v>150.0</v>
      </c>
      <c r="N1127" s="8">
        <v>44542.0</v>
      </c>
    </row>
    <row r="1128">
      <c r="A1128" s="5">
        <v>1127.0</v>
      </c>
      <c r="B1128" s="5" t="s">
        <v>1766</v>
      </c>
      <c r="C1128" s="5" t="s">
        <v>21</v>
      </c>
      <c r="K1128" s="5">
        <v>100.0</v>
      </c>
      <c r="N1128" s="8">
        <v>43848.0</v>
      </c>
    </row>
    <row r="1129">
      <c r="A1129" s="5">
        <v>1128.0</v>
      </c>
      <c r="B1129" s="5" t="s">
        <v>145</v>
      </c>
      <c r="C1129" s="5" t="s">
        <v>21</v>
      </c>
      <c r="K1129" s="5">
        <v>5300.0</v>
      </c>
      <c r="N1129" s="8">
        <v>43926.0</v>
      </c>
    </row>
    <row r="1130">
      <c r="A1130" s="5">
        <v>1129.0</v>
      </c>
      <c r="B1130" s="5" t="s">
        <v>1767</v>
      </c>
      <c r="C1130" s="5" t="s">
        <v>21</v>
      </c>
      <c r="K1130" s="5">
        <v>600.0</v>
      </c>
      <c r="N1130" s="8">
        <v>44230.0</v>
      </c>
    </row>
    <row r="1131">
      <c r="A1131" s="5">
        <v>1130.0</v>
      </c>
      <c r="B1131" s="5" t="s">
        <v>1768</v>
      </c>
      <c r="C1131" s="5" t="s">
        <v>21</v>
      </c>
      <c r="K1131" s="5">
        <v>90.0</v>
      </c>
      <c r="N1131" s="8">
        <v>44686.0</v>
      </c>
    </row>
    <row r="1132">
      <c r="A1132" s="5">
        <v>1131.0</v>
      </c>
      <c r="B1132" s="5" t="s">
        <v>1769</v>
      </c>
      <c r="C1132" s="5" t="s">
        <v>21</v>
      </c>
      <c r="K1132" s="5">
        <v>150.0</v>
      </c>
      <c r="N1132" s="8">
        <v>44764.0</v>
      </c>
    </row>
    <row r="1133">
      <c r="A1133" s="5">
        <v>1132.0</v>
      </c>
      <c r="B1133" s="5" t="s">
        <v>1770</v>
      </c>
      <c r="C1133" s="5" t="s">
        <v>21</v>
      </c>
      <c r="K1133" s="5">
        <v>450.0</v>
      </c>
      <c r="N1133" s="8">
        <v>44491.0</v>
      </c>
    </row>
    <row r="1134">
      <c r="A1134" s="5">
        <v>1133.0</v>
      </c>
      <c r="B1134" s="5" t="s">
        <v>1771</v>
      </c>
      <c r="C1134" s="5" t="s">
        <v>21</v>
      </c>
      <c r="K1134" s="5">
        <v>150.0</v>
      </c>
      <c r="N1134" s="8">
        <v>45345.0</v>
      </c>
    </row>
    <row r="1135">
      <c r="A1135" s="5">
        <v>1134.0</v>
      </c>
      <c r="B1135" s="5" t="s">
        <v>1772</v>
      </c>
      <c r="C1135" s="5" t="s">
        <v>21</v>
      </c>
      <c r="K1135" s="5">
        <v>150.0</v>
      </c>
      <c r="N1135" s="8">
        <v>44791.0</v>
      </c>
    </row>
    <row r="1136">
      <c r="A1136" s="5">
        <v>1135.0</v>
      </c>
      <c r="B1136" s="5" t="s">
        <v>1773</v>
      </c>
      <c r="C1136" s="5" t="s">
        <v>21</v>
      </c>
      <c r="K1136" s="5">
        <v>150.0</v>
      </c>
      <c r="N1136" s="8">
        <v>45216.0</v>
      </c>
    </row>
    <row r="1137">
      <c r="A1137" s="5">
        <v>1136.0</v>
      </c>
      <c r="B1137" s="5" t="s">
        <v>1774</v>
      </c>
      <c r="C1137" s="5" t="s">
        <v>21</v>
      </c>
      <c r="K1137" s="5">
        <v>5000.0</v>
      </c>
      <c r="N1137" s="8">
        <v>44085.0</v>
      </c>
    </row>
    <row r="1138">
      <c r="A1138" s="5">
        <v>1137.0</v>
      </c>
      <c r="B1138" s="5" t="s">
        <v>1775</v>
      </c>
      <c r="C1138" s="5" t="s">
        <v>21</v>
      </c>
      <c r="K1138" s="5">
        <v>300.0</v>
      </c>
      <c r="N1138" s="8">
        <v>44815.0</v>
      </c>
    </row>
    <row r="1139">
      <c r="A1139" s="5">
        <v>1138.0</v>
      </c>
      <c r="B1139" s="5" t="s">
        <v>1776</v>
      </c>
      <c r="C1139" s="5" t="s">
        <v>21</v>
      </c>
      <c r="K1139" s="5">
        <v>4200.0</v>
      </c>
      <c r="N1139" s="8">
        <v>44671.0</v>
      </c>
    </row>
    <row r="1140">
      <c r="A1140" s="5">
        <v>1139.0</v>
      </c>
      <c r="B1140" s="5" t="s">
        <v>1777</v>
      </c>
      <c r="C1140" s="5" t="s">
        <v>21</v>
      </c>
      <c r="K1140" s="5">
        <v>800.0</v>
      </c>
      <c r="N1140" s="8">
        <v>44069.0</v>
      </c>
    </row>
    <row r="1141">
      <c r="A1141" s="5">
        <v>1140.0</v>
      </c>
      <c r="B1141" s="5" t="s">
        <v>1778</v>
      </c>
      <c r="C1141" s="5" t="s">
        <v>21</v>
      </c>
      <c r="K1141" s="5">
        <v>1100.0</v>
      </c>
      <c r="N1141" s="8">
        <v>44164.0</v>
      </c>
    </row>
    <row r="1142">
      <c r="A1142" s="5">
        <v>1141.0</v>
      </c>
      <c r="B1142" s="5" t="s">
        <v>1779</v>
      </c>
      <c r="C1142" s="5" t="s">
        <v>21</v>
      </c>
      <c r="K1142" s="5">
        <v>30.0</v>
      </c>
      <c r="N1142" s="8">
        <v>44934.0</v>
      </c>
    </row>
    <row r="1143">
      <c r="A1143" s="5">
        <v>1142.0</v>
      </c>
      <c r="B1143" s="5" t="s">
        <v>1780</v>
      </c>
      <c r="C1143" s="5" t="s">
        <v>21</v>
      </c>
      <c r="K1143" s="5">
        <v>250.0</v>
      </c>
      <c r="N1143" s="8">
        <v>45377.0</v>
      </c>
    </row>
    <row r="1144">
      <c r="A1144" s="5">
        <v>1143.0</v>
      </c>
      <c r="B1144" s="5" t="s">
        <v>1781</v>
      </c>
      <c r="C1144" s="5" t="s">
        <v>21</v>
      </c>
      <c r="K1144" s="5">
        <v>5200.0</v>
      </c>
      <c r="N1144" s="8">
        <v>43874.0</v>
      </c>
    </row>
    <row r="1145">
      <c r="A1145" s="5">
        <v>1144.0</v>
      </c>
      <c r="B1145" s="5" t="s">
        <v>1782</v>
      </c>
      <c r="C1145" s="5" t="s">
        <v>21</v>
      </c>
      <c r="K1145" s="5">
        <v>900.0</v>
      </c>
      <c r="N1145" s="8">
        <v>44033.0</v>
      </c>
    </row>
    <row r="1146">
      <c r="A1146" s="5">
        <v>1145.0</v>
      </c>
      <c r="B1146" s="5" t="s">
        <v>1783</v>
      </c>
      <c r="C1146" s="5" t="s">
        <v>21</v>
      </c>
      <c r="K1146" s="5">
        <v>200.0</v>
      </c>
      <c r="N1146" s="8">
        <v>44628.0</v>
      </c>
    </row>
    <row r="1147">
      <c r="A1147" s="5">
        <v>1146.0</v>
      </c>
      <c r="B1147" s="5" t="s">
        <v>1784</v>
      </c>
      <c r="C1147" s="5" t="s">
        <v>21</v>
      </c>
      <c r="K1147" s="5">
        <v>90.0</v>
      </c>
      <c r="N1147" s="8">
        <v>44449.0</v>
      </c>
    </row>
    <row r="1148">
      <c r="A1148" s="5">
        <v>1147.0</v>
      </c>
      <c r="B1148" s="5" t="s">
        <v>1785</v>
      </c>
      <c r="C1148" s="5" t="s">
        <v>21</v>
      </c>
      <c r="K1148" s="5">
        <v>8200.0</v>
      </c>
      <c r="N1148" s="8">
        <v>43931.0</v>
      </c>
    </row>
    <row r="1149">
      <c r="A1149" s="5">
        <v>1148.0</v>
      </c>
      <c r="B1149" s="5" t="s">
        <v>1786</v>
      </c>
      <c r="C1149" s="5" t="s">
        <v>21</v>
      </c>
      <c r="K1149" s="5">
        <v>150.0</v>
      </c>
      <c r="N1149" s="8">
        <v>44553.0</v>
      </c>
    </row>
    <row r="1150">
      <c r="A1150" s="5">
        <v>1149.0</v>
      </c>
      <c r="B1150" s="5" t="s">
        <v>1787</v>
      </c>
      <c r="C1150" s="5" t="s">
        <v>21</v>
      </c>
      <c r="K1150" s="5">
        <v>100.0</v>
      </c>
      <c r="N1150" s="8">
        <v>45182.0</v>
      </c>
    </row>
    <row r="1151">
      <c r="A1151" s="5">
        <v>1150.0</v>
      </c>
      <c r="B1151" s="5" t="s">
        <v>1788</v>
      </c>
      <c r="C1151" s="5" t="s">
        <v>21</v>
      </c>
      <c r="K1151" s="5">
        <v>20.0</v>
      </c>
      <c r="N1151" s="8">
        <v>45264.0</v>
      </c>
    </row>
    <row r="1152">
      <c r="A1152" s="5">
        <v>1151.0</v>
      </c>
      <c r="B1152" s="5" t="s">
        <v>1789</v>
      </c>
      <c r="C1152" s="5" t="s">
        <v>21</v>
      </c>
      <c r="K1152" s="5">
        <v>150.0</v>
      </c>
      <c r="N1152" s="8">
        <v>44685.0</v>
      </c>
    </row>
    <row r="1153">
      <c r="A1153" s="5">
        <v>1152.0</v>
      </c>
      <c r="B1153" s="5" t="s">
        <v>1790</v>
      </c>
      <c r="C1153" s="5" t="s">
        <v>21</v>
      </c>
      <c r="K1153" s="5">
        <v>150.0</v>
      </c>
      <c r="N1153" s="8">
        <v>44529.0</v>
      </c>
    </row>
    <row r="1154">
      <c r="A1154" s="5">
        <v>1153.0</v>
      </c>
      <c r="B1154" s="5" t="s">
        <v>1791</v>
      </c>
      <c r="C1154" s="5" t="s">
        <v>21</v>
      </c>
      <c r="N1154" s="8">
        <v>44549.0</v>
      </c>
    </row>
    <row r="1155">
      <c r="A1155" s="5">
        <v>1154.0</v>
      </c>
      <c r="B1155" s="5" t="s">
        <v>1792</v>
      </c>
      <c r="C1155" s="5" t="s">
        <v>21</v>
      </c>
      <c r="K1155" s="5">
        <v>200.0</v>
      </c>
      <c r="N1155" s="8">
        <v>44822.0</v>
      </c>
    </row>
    <row r="1156">
      <c r="A1156" s="5">
        <v>1155.0</v>
      </c>
      <c r="B1156" s="5" t="s">
        <v>1793</v>
      </c>
      <c r="C1156" s="5" t="s">
        <v>21</v>
      </c>
      <c r="K1156" s="5">
        <v>200.0</v>
      </c>
      <c r="N1156" s="8">
        <v>44555.0</v>
      </c>
    </row>
    <row r="1157">
      <c r="A1157" s="5">
        <v>1156.0</v>
      </c>
      <c r="B1157" s="5" t="s">
        <v>1794</v>
      </c>
      <c r="C1157" s="5" t="s">
        <v>21</v>
      </c>
      <c r="K1157" s="5">
        <v>4100.0</v>
      </c>
      <c r="N1157" s="8">
        <v>44513.0</v>
      </c>
    </row>
    <row r="1158">
      <c r="A1158" s="5">
        <v>1157.0</v>
      </c>
      <c r="B1158" s="5" t="s">
        <v>1795</v>
      </c>
      <c r="C1158" s="5" t="s">
        <v>21</v>
      </c>
      <c r="K1158" s="5">
        <v>350.0</v>
      </c>
      <c r="N1158" s="8">
        <v>44537.0</v>
      </c>
    </row>
    <row r="1159">
      <c r="A1159" s="5">
        <v>1158.0</v>
      </c>
      <c r="B1159" s="5" t="s">
        <v>1796</v>
      </c>
      <c r="C1159" s="5" t="s">
        <v>21</v>
      </c>
      <c r="K1159" s="5">
        <v>250.0</v>
      </c>
      <c r="N1159" s="8">
        <v>44863.0</v>
      </c>
    </row>
    <row r="1160">
      <c r="A1160" s="5">
        <v>1159.0</v>
      </c>
      <c r="B1160" s="5" t="s">
        <v>1797</v>
      </c>
      <c r="C1160" s="5" t="s">
        <v>21</v>
      </c>
      <c r="K1160" s="5">
        <v>200.0</v>
      </c>
      <c r="N1160" s="8">
        <v>43982.0</v>
      </c>
    </row>
    <row r="1161">
      <c r="A1161" s="5">
        <v>1160.0</v>
      </c>
      <c r="B1161" s="5" t="s">
        <v>1798</v>
      </c>
      <c r="C1161" s="5" t="s">
        <v>21</v>
      </c>
      <c r="K1161" s="5">
        <v>800.0</v>
      </c>
      <c r="N1161" s="8">
        <v>44415.0</v>
      </c>
    </row>
    <row r="1162">
      <c r="A1162" s="5">
        <v>1161.0</v>
      </c>
      <c r="B1162" s="5" t="s">
        <v>1799</v>
      </c>
      <c r="C1162" s="5" t="s">
        <v>21</v>
      </c>
      <c r="K1162" s="5">
        <v>250.0</v>
      </c>
      <c r="N1162" s="8">
        <v>45032.0</v>
      </c>
    </row>
    <row r="1163">
      <c r="A1163" s="5">
        <v>1162.0</v>
      </c>
      <c r="B1163" s="5" t="s">
        <v>110</v>
      </c>
      <c r="C1163" s="5" t="s">
        <v>21</v>
      </c>
      <c r="K1163" s="5">
        <v>150.0</v>
      </c>
      <c r="N1163" s="8">
        <v>44650.0</v>
      </c>
    </row>
    <row r="1164">
      <c r="A1164" s="5">
        <v>1163.0</v>
      </c>
      <c r="B1164" s="5" t="s">
        <v>1800</v>
      </c>
      <c r="C1164" s="5" t="s">
        <v>21</v>
      </c>
      <c r="K1164" s="5">
        <v>80.0</v>
      </c>
      <c r="N1164" s="8">
        <v>45091.0</v>
      </c>
    </row>
    <row r="1165">
      <c r="A1165" s="5">
        <v>1164.0</v>
      </c>
      <c r="B1165" s="5" t="s">
        <v>1801</v>
      </c>
      <c r="C1165" s="5" t="s">
        <v>21</v>
      </c>
      <c r="K1165" s="5">
        <v>150.0</v>
      </c>
      <c r="N1165" s="8">
        <v>44548.0</v>
      </c>
    </row>
    <row r="1166">
      <c r="A1166" s="5">
        <v>1165.0</v>
      </c>
      <c r="B1166" s="5" t="s">
        <v>1802</v>
      </c>
      <c r="C1166" s="5" t="s">
        <v>21</v>
      </c>
      <c r="K1166" s="5">
        <v>200.0</v>
      </c>
      <c r="N1166" s="8">
        <v>45483.0</v>
      </c>
    </row>
    <row r="1167">
      <c r="A1167" s="5">
        <v>1166.0</v>
      </c>
      <c r="B1167" s="5" t="s">
        <v>1803</v>
      </c>
      <c r="C1167" s="5" t="s">
        <v>21</v>
      </c>
      <c r="K1167" s="5">
        <v>50.0</v>
      </c>
      <c r="N1167" s="8">
        <v>43841.0</v>
      </c>
    </row>
    <row r="1168">
      <c r="A1168" s="5">
        <v>1167.0</v>
      </c>
      <c r="B1168" s="5" t="s">
        <v>1804</v>
      </c>
      <c r="C1168" s="5" t="s">
        <v>21</v>
      </c>
      <c r="K1168" s="5">
        <v>20.0</v>
      </c>
      <c r="N1168" s="8">
        <v>45760.0</v>
      </c>
    </row>
    <row r="1169">
      <c r="A1169" s="5">
        <v>1168.0</v>
      </c>
      <c r="B1169" s="5" t="s">
        <v>1805</v>
      </c>
      <c r="C1169" s="5" t="s">
        <v>21</v>
      </c>
      <c r="K1169" s="5">
        <v>1200.0</v>
      </c>
      <c r="N1169" s="8">
        <v>44147.0</v>
      </c>
    </row>
    <row r="1170">
      <c r="A1170" s="5">
        <v>1169.0</v>
      </c>
      <c r="B1170" s="5" t="s">
        <v>1806</v>
      </c>
      <c r="C1170" s="5" t="s">
        <v>21</v>
      </c>
      <c r="K1170" s="5">
        <v>400.0</v>
      </c>
      <c r="N1170" s="8">
        <v>44529.0</v>
      </c>
    </row>
    <row r="1171">
      <c r="A1171" s="5">
        <v>1170.0</v>
      </c>
      <c r="B1171" s="5" t="s">
        <v>1807</v>
      </c>
      <c r="C1171" s="5" t="s">
        <v>21</v>
      </c>
      <c r="K1171" s="5">
        <v>2500.0</v>
      </c>
      <c r="N1171" s="8">
        <v>43942.0</v>
      </c>
    </row>
    <row r="1172">
      <c r="A1172" s="5">
        <v>1171.0</v>
      </c>
      <c r="B1172" s="5" t="s">
        <v>1808</v>
      </c>
      <c r="C1172" s="5" t="s">
        <v>21</v>
      </c>
      <c r="K1172" s="5">
        <v>200.0</v>
      </c>
      <c r="N1172" s="8">
        <v>44518.0</v>
      </c>
    </row>
    <row r="1173">
      <c r="A1173" s="5">
        <v>1172.0</v>
      </c>
      <c r="B1173" s="5" t="s">
        <v>1809</v>
      </c>
      <c r="C1173" s="5" t="s">
        <v>21</v>
      </c>
      <c r="K1173" s="5">
        <v>600.0</v>
      </c>
      <c r="N1173" s="8">
        <v>44087.0</v>
      </c>
    </row>
    <row r="1174">
      <c r="A1174" s="5">
        <v>1173.0</v>
      </c>
      <c r="B1174" s="5" t="s">
        <v>1810</v>
      </c>
      <c r="C1174" s="5" t="s">
        <v>21</v>
      </c>
      <c r="K1174" s="5">
        <v>10000.0</v>
      </c>
      <c r="N1174" s="8">
        <v>45657.0</v>
      </c>
    </row>
    <row r="1175">
      <c r="A1175" s="5">
        <v>1174.0</v>
      </c>
      <c r="B1175" s="5" t="s">
        <v>1811</v>
      </c>
      <c r="C1175" s="5" t="s">
        <v>21</v>
      </c>
      <c r="N1175" s="8">
        <v>44612.0</v>
      </c>
    </row>
    <row r="1176">
      <c r="A1176" s="5">
        <v>1175.0</v>
      </c>
      <c r="B1176" s="5" t="s">
        <v>1812</v>
      </c>
      <c r="C1176" s="5" t="s">
        <v>21</v>
      </c>
      <c r="K1176" s="5">
        <v>100.0</v>
      </c>
      <c r="N1176" s="8">
        <v>45552.0</v>
      </c>
    </row>
    <row r="1177">
      <c r="A1177" s="5">
        <v>1176.0</v>
      </c>
      <c r="B1177" s="5" t="s">
        <v>1813</v>
      </c>
      <c r="C1177" s="5" t="s">
        <v>21</v>
      </c>
      <c r="K1177" s="5">
        <v>200.0</v>
      </c>
      <c r="N1177" s="8">
        <v>43861.0</v>
      </c>
    </row>
    <row r="1178">
      <c r="A1178" s="5">
        <v>1177.0</v>
      </c>
      <c r="B1178" s="5" t="s">
        <v>1814</v>
      </c>
      <c r="C1178" s="5" t="s">
        <v>21</v>
      </c>
      <c r="K1178" s="5">
        <v>450.0</v>
      </c>
      <c r="N1178" s="8">
        <v>44354.0</v>
      </c>
    </row>
    <row r="1179">
      <c r="A1179" s="5">
        <v>1178.0</v>
      </c>
      <c r="B1179" s="5" t="s">
        <v>111</v>
      </c>
      <c r="C1179" s="5" t="s">
        <v>21</v>
      </c>
      <c r="N1179" s="8">
        <v>44969.0</v>
      </c>
    </row>
    <row r="1180">
      <c r="A1180" s="5">
        <v>1179.0</v>
      </c>
      <c r="B1180" s="5" t="s">
        <v>1815</v>
      </c>
      <c r="C1180" s="5" t="s">
        <v>21</v>
      </c>
      <c r="K1180" s="5">
        <v>10.0</v>
      </c>
      <c r="N1180" s="8">
        <v>44570.0</v>
      </c>
    </row>
    <row r="1181">
      <c r="A1181" s="5">
        <v>1180.0</v>
      </c>
      <c r="B1181" s="5" t="s">
        <v>1816</v>
      </c>
      <c r="C1181" s="5" t="s">
        <v>21</v>
      </c>
      <c r="N1181" s="8">
        <v>45109.0</v>
      </c>
    </row>
    <row r="1182">
      <c r="A1182" s="5">
        <v>1181.0</v>
      </c>
      <c r="B1182" s="5" t="s">
        <v>1817</v>
      </c>
      <c r="C1182" s="5" t="s">
        <v>21</v>
      </c>
      <c r="K1182" s="5">
        <v>50.0</v>
      </c>
      <c r="N1182" s="8">
        <v>44592.0</v>
      </c>
    </row>
    <row r="1183">
      <c r="A1183" s="5">
        <v>1182.0</v>
      </c>
      <c r="B1183" s="5" t="s">
        <v>1818</v>
      </c>
      <c r="C1183" s="5" t="s">
        <v>21</v>
      </c>
      <c r="K1183" s="5">
        <v>450.0</v>
      </c>
      <c r="N1183" s="8">
        <v>44731.0</v>
      </c>
    </row>
    <row r="1184">
      <c r="A1184" s="5">
        <v>1183.0</v>
      </c>
      <c r="B1184" s="5" t="s">
        <v>1819</v>
      </c>
      <c r="C1184" s="5" t="s">
        <v>21</v>
      </c>
      <c r="K1184" s="5">
        <v>1900.0</v>
      </c>
      <c r="N1184" s="8">
        <v>43974.0</v>
      </c>
    </row>
    <row r="1185">
      <c r="A1185" s="5">
        <v>1184.0</v>
      </c>
      <c r="B1185" s="5" t="s">
        <v>1820</v>
      </c>
      <c r="C1185" s="5" t="s">
        <v>21</v>
      </c>
      <c r="K1185" s="5">
        <v>40.0</v>
      </c>
      <c r="N1185" s="8">
        <v>45130.0</v>
      </c>
    </row>
    <row r="1186">
      <c r="A1186" s="5">
        <v>1185.0</v>
      </c>
      <c r="B1186" s="5" t="s">
        <v>1821</v>
      </c>
      <c r="C1186" s="5" t="s">
        <v>21</v>
      </c>
      <c r="K1186" s="5">
        <v>300.0</v>
      </c>
      <c r="N1186" s="8">
        <v>44511.0</v>
      </c>
    </row>
    <row r="1187">
      <c r="A1187" s="5">
        <v>1186.0</v>
      </c>
      <c r="B1187" s="5" t="s">
        <v>1822</v>
      </c>
      <c r="C1187" s="5" t="s">
        <v>21</v>
      </c>
      <c r="K1187" s="5">
        <v>200.0</v>
      </c>
      <c r="N1187" s="8">
        <v>44425.0</v>
      </c>
    </row>
    <row r="1188">
      <c r="A1188" s="5">
        <v>1187.0</v>
      </c>
      <c r="B1188" s="5" t="s">
        <v>1823</v>
      </c>
      <c r="C1188" s="5" t="s">
        <v>21</v>
      </c>
      <c r="N1188" s="8">
        <v>44440.0</v>
      </c>
    </row>
    <row r="1189">
      <c r="A1189" s="5">
        <v>1188.0</v>
      </c>
      <c r="B1189" s="5" t="s">
        <v>1824</v>
      </c>
      <c r="C1189" s="5" t="s">
        <v>21</v>
      </c>
      <c r="K1189" s="5">
        <v>60.0</v>
      </c>
      <c r="N1189" s="8">
        <v>45704.0</v>
      </c>
    </row>
    <row r="1190">
      <c r="A1190" s="5">
        <v>1189.0</v>
      </c>
      <c r="B1190" s="5" t="s">
        <v>1825</v>
      </c>
      <c r="C1190" s="5" t="s">
        <v>21</v>
      </c>
      <c r="K1190" s="5">
        <v>80.0</v>
      </c>
      <c r="N1190" s="8">
        <v>44488.0</v>
      </c>
    </row>
    <row r="1191">
      <c r="A1191" s="5">
        <v>1190.0</v>
      </c>
      <c r="B1191" s="5" t="s">
        <v>1826</v>
      </c>
      <c r="C1191" s="5" t="s">
        <v>21</v>
      </c>
      <c r="K1191" s="5">
        <v>700.0</v>
      </c>
      <c r="N1191" s="8">
        <v>44664.0</v>
      </c>
    </row>
    <row r="1192">
      <c r="A1192" s="5">
        <v>1191.0</v>
      </c>
      <c r="B1192" s="5" t="s">
        <v>1827</v>
      </c>
      <c r="C1192" s="5" t="s">
        <v>21</v>
      </c>
      <c r="K1192" s="5">
        <v>80.0</v>
      </c>
      <c r="N1192" s="8">
        <v>44666.0</v>
      </c>
    </row>
    <row r="1193">
      <c r="A1193" s="5">
        <v>1192.0</v>
      </c>
      <c r="B1193" s="5" t="s">
        <v>1828</v>
      </c>
      <c r="C1193" s="5" t="s">
        <v>21</v>
      </c>
      <c r="K1193" s="5">
        <v>700.0</v>
      </c>
      <c r="N1193" s="8">
        <v>45809.0</v>
      </c>
    </row>
    <row r="1194">
      <c r="A1194" s="5">
        <v>1193.0</v>
      </c>
      <c r="B1194" s="5" t="s">
        <v>1829</v>
      </c>
      <c r="C1194" s="5" t="s">
        <v>21</v>
      </c>
      <c r="K1194" s="5">
        <v>800.0</v>
      </c>
      <c r="N1194" s="8">
        <v>45724.0</v>
      </c>
    </row>
    <row r="1195">
      <c r="A1195" s="5">
        <v>1194.0</v>
      </c>
      <c r="B1195" s="5" t="s">
        <v>1830</v>
      </c>
      <c r="C1195" s="5" t="s">
        <v>21</v>
      </c>
      <c r="K1195" s="5">
        <v>1300.0</v>
      </c>
      <c r="N1195" s="8">
        <v>44224.0</v>
      </c>
    </row>
    <row r="1196">
      <c r="A1196" s="5">
        <v>1195.0</v>
      </c>
      <c r="B1196" s="5" t="s">
        <v>1831</v>
      </c>
      <c r="C1196" s="5" t="s">
        <v>21</v>
      </c>
      <c r="K1196" s="5">
        <v>70.0</v>
      </c>
      <c r="N1196" s="8">
        <v>44503.0</v>
      </c>
    </row>
    <row r="1197">
      <c r="A1197" s="5">
        <v>1196.0</v>
      </c>
      <c r="B1197" s="5" t="s">
        <v>1832</v>
      </c>
      <c r="C1197" s="5" t="s">
        <v>21</v>
      </c>
      <c r="K1197" s="5">
        <v>400.0</v>
      </c>
      <c r="N1197" s="8">
        <v>44225.0</v>
      </c>
    </row>
    <row r="1198">
      <c r="A1198" s="5">
        <v>1197.0</v>
      </c>
      <c r="B1198" s="5" t="s">
        <v>1833</v>
      </c>
      <c r="C1198" s="5" t="s">
        <v>21</v>
      </c>
      <c r="K1198" s="5">
        <v>400.0</v>
      </c>
      <c r="N1198" s="8">
        <v>44915.0</v>
      </c>
    </row>
    <row r="1199">
      <c r="A1199" s="5">
        <v>1198.0</v>
      </c>
      <c r="B1199" s="5" t="s">
        <v>1834</v>
      </c>
      <c r="C1199" s="5" t="s">
        <v>21</v>
      </c>
      <c r="K1199" s="5">
        <v>30.0</v>
      </c>
      <c r="N1199" s="8">
        <v>44826.0</v>
      </c>
    </row>
    <row r="1200">
      <c r="A1200" s="5">
        <v>1199.0</v>
      </c>
      <c r="B1200" s="5" t="s">
        <v>1835</v>
      </c>
      <c r="C1200" s="5" t="s">
        <v>21</v>
      </c>
      <c r="K1200" s="5">
        <v>250.0</v>
      </c>
      <c r="N1200" s="8">
        <v>45722.0</v>
      </c>
    </row>
    <row r="1201">
      <c r="A1201" s="5">
        <v>1200.0</v>
      </c>
      <c r="B1201" s="5" t="s">
        <v>1836</v>
      </c>
      <c r="C1201" s="5" t="s">
        <v>21</v>
      </c>
      <c r="K1201" s="5">
        <v>70.0</v>
      </c>
      <c r="N1201" s="8">
        <v>44635.0</v>
      </c>
    </row>
    <row r="1202">
      <c r="A1202" s="5">
        <v>1201.0</v>
      </c>
      <c r="B1202" s="5" t="s">
        <v>1837</v>
      </c>
      <c r="C1202" s="5" t="s">
        <v>21</v>
      </c>
      <c r="K1202" s="5">
        <v>200.0</v>
      </c>
      <c r="N1202" s="8">
        <v>43892.0</v>
      </c>
    </row>
    <row r="1203">
      <c r="A1203" s="5">
        <v>1202.0</v>
      </c>
      <c r="B1203" s="5" t="s">
        <v>1838</v>
      </c>
      <c r="C1203" s="5" t="s">
        <v>21</v>
      </c>
      <c r="K1203" s="5">
        <v>600.0</v>
      </c>
      <c r="N1203" s="8">
        <v>43914.0</v>
      </c>
    </row>
    <row r="1204">
      <c r="A1204" s="5">
        <v>1203.0</v>
      </c>
      <c r="B1204" s="5" t="s">
        <v>1839</v>
      </c>
      <c r="C1204" s="5" t="s">
        <v>21</v>
      </c>
      <c r="K1204" s="5">
        <v>250.0</v>
      </c>
      <c r="N1204" s="8">
        <v>44784.0</v>
      </c>
    </row>
    <row r="1205">
      <c r="A1205" s="5">
        <v>1204.0</v>
      </c>
      <c r="B1205" s="5" t="s">
        <v>1840</v>
      </c>
      <c r="C1205" s="5" t="s">
        <v>21</v>
      </c>
      <c r="K1205" s="5">
        <v>350.0</v>
      </c>
      <c r="N1205" s="8">
        <v>44290.0</v>
      </c>
    </row>
    <row r="1206">
      <c r="A1206" s="5">
        <v>1205.0</v>
      </c>
      <c r="B1206" s="5" t="s">
        <v>1841</v>
      </c>
      <c r="C1206" s="5" t="s">
        <v>21</v>
      </c>
      <c r="K1206" s="5">
        <v>250.0</v>
      </c>
      <c r="N1206" s="8">
        <v>44323.0</v>
      </c>
    </row>
    <row r="1207">
      <c r="A1207" s="5">
        <v>1206.0</v>
      </c>
      <c r="B1207" s="5" t="s">
        <v>114</v>
      </c>
      <c r="C1207" s="5" t="s">
        <v>21</v>
      </c>
      <c r="K1207" s="5">
        <v>500.0</v>
      </c>
      <c r="N1207" s="8">
        <v>44535.0</v>
      </c>
    </row>
    <row r="1208">
      <c r="A1208" s="5">
        <v>1207.0</v>
      </c>
      <c r="B1208" s="5" t="s">
        <v>1842</v>
      </c>
      <c r="C1208" s="5" t="s">
        <v>21</v>
      </c>
      <c r="K1208" s="5">
        <v>70.0</v>
      </c>
      <c r="N1208" s="8">
        <v>45110.0</v>
      </c>
    </row>
    <row r="1209">
      <c r="A1209" s="5">
        <v>1208.0</v>
      </c>
      <c r="B1209" s="5" t="s">
        <v>1843</v>
      </c>
      <c r="C1209" s="5" t="s">
        <v>21</v>
      </c>
      <c r="K1209" s="5">
        <v>90.0</v>
      </c>
      <c r="N1209" s="8">
        <v>45464.0</v>
      </c>
    </row>
    <row r="1210">
      <c r="A1210" s="5">
        <v>1209.0</v>
      </c>
      <c r="B1210" s="5" t="s">
        <v>1844</v>
      </c>
      <c r="C1210" s="5" t="s">
        <v>21</v>
      </c>
      <c r="K1210" s="5">
        <v>900.0</v>
      </c>
      <c r="N1210" s="8">
        <v>45524.0</v>
      </c>
    </row>
    <row r="1211">
      <c r="A1211" s="5">
        <v>1210.0</v>
      </c>
      <c r="B1211" s="5" t="s">
        <v>1845</v>
      </c>
      <c r="C1211" s="5" t="s">
        <v>21</v>
      </c>
      <c r="K1211" s="5">
        <v>100.0</v>
      </c>
      <c r="N1211" s="8">
        <v>44596.0</v>
      </c>
    </row>
    <row r="1212">
      <c r="A1212" s="5">
        <v>1211.0</v>
      </c>
      <c r="B1212" s="5" t="s">
        <v>1846</v>
      </c>
      <c r="C1212" s="5" t="s">
        <v>21</v>
      </c>
      <c r="K1212" s="5">
        <v>200.0</v>
      </c>
      <c r="N1212" s="8">
        <v>44336.0</v>
      </c>
    </row>
    <row r="1213">
      <c r="A1213" s="5">
        <v>1212.0</v>
      </c>
      <c r="B1213" s="5" t="s">
        <v>1847</v>
      </c>
      <c r="C1213" s="5" t="s">
        <v>21</v>
      </c>
      <c r="K1213" s="5">
        <v>2200.0</v>
      </c>
      <c r="N1213" s="8">
        <v>44111.0</v>
      </c>
    </row>
    <row r="1214">
      <c r="A1214" s="5">
        <v>1213.0</v>
      </c>
      <c r="B1214" s="5" t="s">
        <v>116</v>
      </c>
      <c r="C1214" s="5" t="s">
        <v>21</v>
      </c>
      <c r="K1214" s="5">
        <v>1500.0</v>
      </c>
      <c r="N1214" s="8">
        <v>43867.0</v>
      </c>
    </row>
    <row r="1215">
      <c r="A1215" s="5">
        <v>1214.0</v>
      </c>
      <c r="B1215" s="5" t="s">
        <v>1848</v>
      </c>
      <c r="C1215" s="5" t="s">
        <v>21</v>
      </c>
      <c r="N1215" s="8">
        <v>45082.0</v>
      </c>
    </row>
    <row r="1216">
      <c r="A1216" s="5">
        <v>1215.0</v>
      </c>
      <c r="B1216" s="5" t="s">
        <v>1849</v>
      </c>
      <c r="C1216" s="5" t="s">
        <v>21</v>
      </c>
      <c r="K1216" s="5">
        <v>50.0</v>
      </c>
      <c r="N1216" s="8">
        <v>44249.0</v>
      </c>
    </row>
    <row r="1217">
      <c r="A1217" s="5">
        <v>1216.0</v>
      </c>
      <c r="B1217" s="5" t="s">
        <v>1850</v>
      </c>
      <c r="C1217" s="5" t="s">
        <v>21</v>
      </c>
      <c r="K1217" s="5">
        <v>300.0</v>
      </c>
      <c r="N1217" s="8">
        <v>44428.0</v>
      </c>
    </row>
    <row r="1218">
      <c r="A1218" s="5">
        <v>1217.0</v>
      </c>
      <c r="B1218" s="5" t="s">
        <v>1851</v>
      </c>
      <c r="C1218" s="5" t="s">
        <v>21</v>
      </c>
      <c r="K1218" s="5">
        <v>500.0</v>
      </c>
      <c r="N1218" s="8">
        <v>44833.0</v>
      </c>
    </row>
    <row r="1219">
      <c r="A1219" s="5">
        <v>1218.0</v>
      </c>
      <c r="B1219" s="5" t="s">
        <v>1852</v>
      </c>
      <c r="C1219" s="5" t="s">
        <v>21</v>
      </c>
      <c r="K1219" s="5">
        <v>150.0</v>
      </c>
      <c r="N1219" s="8">
        <v>44638.0</v>
      </c>
    </row>
    <row r="1220">
      <c r="A1220" s="5">
        <v>1219.0</v>
      </c>
      <c r="B1220" s="5" t="s">
        <v>1853</v>
      </c>
      <c r="C1220" s="5" t="s">
        <v>21</v>
      </c>
      <c r="K1220" s="5">
        <v>250.0</v>
      </c>
      <c r="N1220" s="8">
        <v>44015.0</v>
      </c>
    </row>
    <row r="1221">
      <c r="A1221" s="5">
        <v>1220.0</v>
      </c>
      <c r="B1221" s="5" t="s">
        <v>1854</v>
      </c>
      <c r="C1221" s="5" t="s">
        <v>21</v>
      </c>
      <c r="K1221" s="5">
        <v>3500.0</v>
      </c>
      <c r="N1221" s="8">
        <v>44204.0</v>
      </c>
    </row>
    <row r="1222">
      <c r="A1222" s="5">
        <v>1221.0</v>
      </c>
      <c r="B1222" s="5" t="s">
        <v>1855</v>
      </c>
      <c r="C1222" s="5" t="s">
        <v>21</v>
      </c>
      <c r="K1222" s="5">
        <v>40.0</v>
      </c>
      <c r="N1222" s="8">
        <v>44530.0</v>
      </c>
    </row>
    <row r="1223">
      <c r="A1223" s="5">
        <v>1222.0</v>
      </c>
      <c r="B1223" s="5" t="s">
        <v>119</v>
      </c>
      <c r="C1223" s="5" t="s">
        <v>21</v>
      </c>
      <c r="K1223" s="5">
        <v>800.0</v>
      </c>
      <c r="N1223" s="8">
        <v>44009.0</v>
      </c>
    </row>
    <row r="1224">
      <c r="A1224" s="5">
        <v>1223.0</v>
      </c>
      <c r="B1224" s="5" t="s">
        <v>1856</v>
      </c>
      <c r="C1224" s="5" t="s">
        <v>21</v>
      </c>
      <c r="K1224" s="5">
        <v>80.0</v>
      </c>
      <c r="N1224" s="8">
        <v>44556.0</v>
      </c>
    </row>
    <row r="1225">
      <c r="A1225" s="5">
        <v>1224.0</v>
      </c>
      <c r="B1225" s="5" t="s">
        <v>1857</v>
      </c>
      <c r="C1225" s="5" t="s">
        <v>21</v>
      </c>
      <c r="K1225" s="5">
        <v>30.0</v>
      </c>
      <c r="N1225" s="8">
        <v>44673.0</v>
      </c>
    </row>
    <row r="1226">
      <c r="A1226" s="5">
        <v>1225.0</v>
      </c>
      <c r="B1226" s="5" t="s">
        <v>1858</v>
      </c>
      <c r="C1226" s="5" t="s">
        <v>21</v>
      </c>
      <c r="K1226" s="5">
        <v>200.0</v>
      </c>
      <c r="N1226" s="8">
        <v>44618.0</v>
      </c>
    </row>
    <row r="1227">
      <c r="A1227" s="5">
        <v>1226.0</v>
      </c>
      <c r="B1227" s="5" t="s">
        <v>1859</v>
      </c>
      <c r="C1227" s="5" t="s">
        <v>21</v>
      </c>
      <c r="K1227" s="5">
        <v>300.0</v>
      </c>
      <c r="N1227" s="8">
        <v>45059.0</v>
      </c>
    </row>
    <row r="1228">
      <c r="A1228" s="5">
        <v>1227.0</v>
      </c>
      <c r="B1228" s="5" t="s">
        <v>1860</v>
      </c>
      <c r="C1228" s="5" t="s">
        <v>21</v>
      </c>
      <c r="K1228" s="5">
        <v>300.0</v>
      </c>
      <c r="N1228" s="8">
        <v>44759.0</v>
      </c>
    </row>
    <row r="1229">
      <c r="A1229" s="5">
        <v>1228.0</v>
      </c>
      <c r="B1229" s="5" t="s">
        <v>1861</v>
      </c>
      <c r="C1229" s="5" t="s">
        <v>21</v>
      </c>
      <c r="K1229" s="5">
        <v>1500.0</v>
      </c>
      <c r="N1229" s="8">
        <v>44021.0</v>
      </c>
    </row>
    <row r="1230">
      <c r="A1230" s="5">
        <v>1229.0</v>
      </c>
      <c r="B1230" s="5" t="s">
        <v>1862</v>
      </c>
      <c r="C1230" s="5" t="s">
        <v>21</v>
      </c>
      <c r="K1230" s="5">
        <v>150.0</v>
      </c>
      <c r="N1230" s="8">
        <v>44921.0</v>
      </c>
    </row>
    <row r="1231">
      <c r="A1231" s="5">
        <v>1230.0</v>
      </c>
      <c r="B1231" s="5" t="s">
        <v>1863</v>
      </c>
      <c r="C1231" s="5" t="s">
        <v>21</v>
      </c>
      <c r="K1231" s="5">
        <v>150.0</v>
      </c>
      <c r="N1231" s="8">
        <v>44265.0</v>
      </c>
    </row>
    <row r="1232">
      <c r="A1232" s="5">
        <v>1231.0</v>
      </c>
      <c r="B1232" s="5" t="s">
        <v>1864</v>
      </c>
      <c r="C1232" s="5" t="s">
        <v>21</v>
      </c>
      <c r="K1232" s="5">
        <v>150.0</v>
      </c>
      <c r="N1232" s="8">
        <v>45495.0</v>
      </c>
    </row>
    <row r="1233">
      <c r="A1233" s="5">
        <v>1232.0</v>
      </c>
      <c r="B1233" s="5" t="s">
        <v>1865</v>
      </c>
      <c r="C1233" s="5" t="s">
        <v>21</v>
      </c>
      <c r="K1233" s="5">
        <v>250.0</v>
      </c>
      <c r="N1233" s="8">
        <v>44416.0</v>
      </c>
    </row>
    <row r="1234">
      <c r="A1234" s="5">
        <v>1233.0</v>
      </c>
      <c r="B1234" s="5" t="s">
        <v>1866</v>
      </c>
      <c r="C1234" s="5" t="s">
        <v>21</v>
      </c>
      <c r="K1234" s="5">
        <v>300.0</v>
      </c>
      <c r="N1234" s="8">
        <v>44540.0</v>
      </c>
    </row>
    <row r="1235">
      <c r="A1235" s="5">
        <v>1234.0</v>
      </c>
      <c r="B1235" s="5" t="s">
        <v>1867</v>
      </c>
      <c r="C1235" s="5" t="s">
        <v>21</v>
      </c>
      <c r="N1235" s="8">
        <v>44748.0</v>
      </c>
    </row>
    <row r="1236">
      <c r="A1236" s="5">
        <v>1235.0</v>
      </c>
      <c r="B1236" s="5" t="s">
        <v>1868</v>
      </c>
      <c r="C1236" s="5" t="s">
        <v>21</v>
      </c>
      <c r="K1236" s="5">
        <v>450.0</v>
      </c>
      <c r="N1236" s="8">
        <v>44481.0</v>
      </c>
    </row>
    <row r="1237">
      <c r="A1237" s="5">
        <v>1236.0</v>
      </c>
      <c r="B1237" s="5" t="s">
        <v>1869</v>
      </c>
      <c r="C1237" s="5" t="s">
        <v>21</v>
      </c>
      <c r="K1237" s="5">
        <v>250.0</v>
      </c>
      <c r="N1237" s="8">
        <v>43961.0</v>
      </c>
    </row>
    <row r="1238">
      <c r="A1238" s="5">
        <v>1237.0</v>
      </c>
      <c r="B1238" s="5" t="s">
        <v>1870</v>
      </c>
      <c r="C1238" s="5" t="s">
        <v>21</v>
      </c>
      <c r="K1238" s="5">
        <v>200.0</v>
      </c>
      <c r="N1238" s="8">
        <v>44749.0</v>
      </c>
    </row>
    <row r="1239">
      <c r="A1239" s="5">
        <v>1238.0</v>
      </c>
      <c r="B1239" s="5" t="s">
        <v>1871</v>
      </c>
      <c r="C1239" s="5" t="s">
        <v>21</v>
      </c>
      <c r="K1239" s="5">
        <v>250.0</v>
      </c>
      <c r="N1239" s="8">
        <v>44637.0</v>
      </c>
    </row>
    <row r="1240">
      <c r="A1240" s="5">
        <v>1239.0</v>
      </c>
      <c r="B1240" s="5" t="s">
        <v>1872</v>
      </c>
      <c r="C1240" s="5" t="s">
        <v>21</v>
      </c>
      <c r="K1240" s="5">
        <v>900.0</v>
      </c>
      <c r="N1240" s="8">
        <v>45634.0</v>
      </c>
    </row>
    <row r="1241">
      <c r="A1241" s="5">
        <v>1240.0</v>
      </c>
      <c r="B1241" s="5" t="s">
        <v>1873</v>
      </c>
      <c r="C1241" s="5" t="s">
        <v>21</v>
      </c>
      <c r="K1241" s="5">
        <v>500.0</v>
      </c>
      <c r="N1241" s="8">
        <v>44170.0</v>
      </c>
    </row>
    <row r="1242">
      <c r="A1242" s="5">
        <v>1241.0</v>
      </c>
      <c r="B1242" s="5" t="s">
        <v>1874</v>
      </c>
      <c r="C1242" s="5" t="s">
        <v>21</v>
      </c>
      <c r="K1242" s="5">
        <v>20.0</v>
      </c>
      <c r="N1242" s="8">
        <v>44531.0</v>
      </c>
    </row>
    <row r="1243">
      <c r="A1243" s="5">
        <v>1242.0</v>
      </c>
      <c r="B1243" s="5" t="s">
        <v>1875</v>
      </c>
      <c r="C1243" s="5" t="s">
        <v>21</v>
      </c>
      <c r="K1243" s="5">
        <v>150.0</v>
      </c>
      <c r="N1243" s="8">
        <v>45110.0</v>
      </c>
    </row>
    <row r="1244">
      <c r="A1244" s="5">
        <v>1243.0</v>
      </c>
      <c r="B1244" s="5" t="s">
        <v>1876</v>
      </c>
      <c r="C1244" s="5" t="s">
        <v>21</v>
      </c>
      <c r="K1244" s="5">
        <v>80.0</v>
      </c>
      <c r="N1244" s="8">
        <v>44562.0</v>
      </c>
    </row>
    <row r="1245">
      <c r="A1245" s="5">
        <v>1244.0</v>
      </c>
      <c r="B1245" s="5" t="s">
        <v>1877</v>
      </c>
      <c r="C1245" s="5" t="s">
        <v>21</v>
      </c>
      <c r="K1245" s="5">
        <v>150.0</v>
      </c>
      <c r="N1245" s="8">
        <v>44760.0</v>
      </c>
    </row>
    <row r="1246">
      <c r="A1246" s="5">
        <v>1245.0</v>
      </c>
      <c r="B1246" s="5" t="s">
        <v>1878</v>
      </c>
      <c r="C1246" s="5" t="s">
        <v>21</v>
      </c>
      <c r="K1246" s="5">
        <v>700.0</v>
      </c>
      <c r="N1246" s="8">
        <v>44580.0</v>
      </c>
    </row>
    <row r="1247">
      <c r="A1247" s="5">
        <v>1246.0</v>
      </c>
      <c r="B1247" s="5" t="s">
        <v>1879</v>
      </c>
      <c r="C1247" s="5" t="s">
        <v>21</v>
      </c>
      <c r="K1247" s="5">
        <v>3000.0</v>
      </c>
      <c r="N1247" s="8">
        <v>44468.0</v>
      </c>
    </row>
    <row r="1248">
      <c r="A1248" s="5">
        <v>1247.0</v>
      </c>
      <c r="B1248" s="5" t="s">
        <v>1880</v>
      </c>
      <c r="C1248" s="5" t="s">
        <v>21</v>
      </c>
      <c r="K1248" s="5">
        <v>150.0</v>
      </c>
      <c r="N1248" s="8">
        <v>44399.0</v>
      </c>
    </row>
    <row r="1249">
      <c r="A1249" s="5">
        <v>1248.0</v>
      </c>
      <c r="B1249" s="5" t="s">
        <v>1881</v>
      </c>
      <c r="C1249" s="5" t="s">
        <v>21</v>
      </c>
      <c r="K1249" s="5">
        <v>100.0</v>
      </c>
      <c r="N1249" s="8">
        <v>44570.0</v>
      </c>
    </row>
    <row r="1250">
      <c r="A1250" s="5">
        <v>1249.0</v>
      </c>
      <c r="B1250" s="5" t="s">
        <v>1882</v>
      </c>
      <c r="C1250" s="5" t="s">
        <v>21</v>
      </c>
      <c r="K1250" s="5">
        <v>600.0</v>
      </c>
      <c r="N1250" s="8">
        <v>44662.0</v>
      </c>
    </row>
    <row r="1251">
      <c r="A1251" s="5">
        <v>1250.0</v>
      </c>
      <c r="B1251" s="5" t="s">
        <v>1883</v>
      </c>
      <c r="C1251" s="5" t="s">
        <v>21</v>
      </c>
      <c r="K1251" s="5">
        <v>100.0</v>
      </c>
      <c r="N1251" s="8">
        <v>44543.0</v>
      </c>
    </row>
    <row r="1252">
      <c r="A1252" s="5">
        <v>1251.0</v>
      </c>
      <c r="B1252" s="5" t="s">
        <v>1884</v>
      </c>
      <c r="C1252" s="5" t="s">
        <v>21</v>
      </c>
      <c r="K1252" s="5">
        <v>100.0</v>
      </c>
      <c r="N1252" s="8">
        <v>45295.0</v>
      </c>
    </row>
    <row r="1253">
      <c r="A1253" s="5">
        <v>1252.0</v>
      </c>
      <c r="B1253" s="5" t="s">
        <v>1885</v>
      </c>
      <c r="C1253" s="5" t="s">
        <v>21</v>
      </c>
      <c r="K1253" s="5">
        <v>30.0</v>
      </c>
      <c r="N1253" s="8">
        <v>44629.0</v>
      </c>
    </row>
    <row r="1254">
      <c r="A1254" s="5">
        <v>1253.0</v>
      </c>
      <c r="B1254" s="5" t="s">
        <v>1886</v>
      </c>
      <c r="C1254" s="5" t="s">
        <v>21</v>
      </c>
      <c r="K1254" s="5">
        <v>300.0</v>
      </c>
      <c r="N1254" s="8">
        <v>45069.0</v>
      </c>
    </row>
    <row r="1255">
      <c r="A1255" s="5">
        <v>1254.0</v>
      </c>
      <c r="B1255" s="5" t="s">
        <v>1887</v>
      </c>
      <c r="C1255" s="5" t="s">
        <v>21</v>
      </c>
      <c r="K1255" s="5">
        <v>500.0</v>
      </c>
      <c r="N1255" s="8">
        <v>44969.0</v>
      </c>
    </row>
    <row r="1256">
      <c r="A1256" s="5">
        <v>1255.0</v>
      </c>
      <c r="B1256" s="5" t="s">
        <v>1888</v>
      </c>
      <c r="C1256" s="5" t="s">
        <v>21</v>
      </c>
      <c r="K1256" s="5">
        <v>600.0</v>
      </c>
      <c r="N1256" s="8">
        <v>44633.0</v>
      </c>
    </row>
    <row r="1257">
      <c r="A1257" s="5">
        <v>1256.0</v>
      </c>
      <c r="B1257" s="5" t="s">
        <v>1889</v>
      </c>
      <c r="C1257" s="5" t="s">
        <v>21</v>
      </c>
      <c r="K1257" s="5">
        <v>450.0</v>
      </c>
      <c r="N1257" s="8">
        <v>45557.0</v>
      </c>
    </row>
    <row r="1258">
      <c r="A1258" s="5">
        <v>1257.0</v>
      </c>
      <c r="B1258" s="5" t="s">
        <v>1890</v>
      </c>
      <c r="C1258" s="5" t="s">
        <v>21</v>
      </c>
      <c r="K1258" s="5">
        <v>70.0</v>
      </c>
      <c r="N1258" s="8">
        <v>46042.0</v>
      </c>
    </row>
    <row r="1259">
      <c r="A1259" s="5">
        <v>1258.0</v>
      </c>
      <c r="B1259" s="5" t="s">
        <v>1891</v>
      </c>
      <c r="C1259" s="5" t="s">
        <v>21</v>
      </c>
      <c r="K1259" s="5">
        <v>40.0</v>
      </c>
      <c r="N1259" s="8">
        <v>44598.0</v>
      </c>
    </row>
    <row r="1260">
      <c r="A1260" s="5">
        <v>1259.0</v>
      </c>
      <c r="B1260" s="5" t="s">
        <v>1892</v>
      </c>
      <c r="C1260" s="5" t="s">
        <v>21</v>
      </c>
      <c r="K1260" s="5">
        <v>600.0</v>
      </c>
      <c r="N1260" s="8">
        <v>44539.0</v>
      </c>
    </row>
    <row r="1261">
      <c r="A1261" s="5">
        <v>1260.0</v>
      </c>
      <c r="B1261" s="5" t="s">
        <v>1893</v>
      </c>
      <c r="C1261" s="5" t="s">
        <v>21</v>
      </c>
      <c r="K1261" s="5">
        <v>200.0</v>
      </c>
      <c r="N1261" s="8">
        <v>45302.0</v>
      </c>
    </row>
    <row r="1262">
      <c r="A1262" s="5">
        <v>1261.0</v>
      </c>
      <c r="B1262" s="5" t="s">
        <v>1894</v>
      </c>
      <c r="C1262" s="5" t="s">
        <v>21</v>
      </c>
      <c r="K1262" s="5">
        <v>1200.0</v>
      </c>
      <c r="N1262" s="8">
        <v>44291.0</v>
      </c>
    </row>
    <row r="1263">
      <c r="A1263" s="5">
        <v>1262.0</v>
      </c>
      <c r="B1263" s="5" t="s">
        <v>1895</v>
      </c>
      <c r="C1263" s="5" t="s">
        <v>21</v>
      </c>
      <c r="K1263" s="5">
        <v>250.0</v>
      </c>
      <c r="N1263" s="8">
        <v>44598.0</v>
      </c>
    </row>
    <row r="1264">
      <c r="A1264" s="5">
        <v>1263.0</v>
      </c>
      <c r="B1264" s="5" t="s">
        <v>1896</v>
      </c>
      <c r="C1264" s="5" t="s">
        <v>21</v>
      </c>
      <c r="K1264" s="5">
        <v>10.0</v>
      </c>
      <c r="N1264" s="8">
        <v>44666.0</v>
      </c>
    </row>
    <row r="1265">
      <c r="A1265" s="5">
        <v>1264.0</v>
      </c>
      <c r="B1265" s="5" t="s">
        <v>1897</v>
      </c>
      <c r="C1265" s="5" t="s">
        <v>21</v>
      </c>
      <c r="K1265" s="5">
        <v>40.0</v>
      </c>
      <c r="N1265" s="8">
        <v>43899.0</v>
      </c>
    </row>
    <row r="1266">
      <c r="A1266" s="5">
        <v>1265.0</v>
      </c>
      <c r="B1266" s="5" t="s">
        <v>1898</v>
      </c>
      <c r="C1266" s="5" t="s">
        <v>21</v>
      </c>
      <c r="K1266" s="5">
        <v>1200.0</v>
      </c>
      <c r="N1266" s="8">
        <v>44968.0</v>
      </c>
    </row>
    <row r="1267">
      <c r="A1267" s="5">
        <v>1266.0</v>
      </c>
      <c r="B1267" s="5" t="s">
        <v>1899</v>
      </c>
      <c r="C1267" s="5" t="s">
        <v>21</v>
      </c>
      <c r="K1267" s="5">
        <v>700.0</v>
      </c>
      <c r="N1267" s="8">
        <v>43878.0</v>
      </c>
    </row>
    <row r="1268">
      <c r="A1268" s="5">
        <v>1267.0</v>
      </c>
      <c r="B1268" s="5" t="s">
        <v>1900</v>
      </c>
      <c r="C1268" s="5" t="s">
        <v>21</v>
      </c>
      <c r="K1268" s="5">
        <v>500.0</v>
      </c>
      <c r="N1268" s="8">
        <v>43851.0</v>
      </c>
    </row>
    <row r="1269">
      <c r="A1269" s="5">
        <v>1268.0</v>
      </c>
      <c r="B1269" s="5" t="s">
        <v>1901</v>
      </c>
      <c r="C1269" s="5" t="s">
        <v>21</v>
      </c>
      <c r="K1269" s="5">
        <v>700.0</v>
      </c>
      <c r="N1269" s="8">
        <v>44492.0</v>
      </c>
    </row>
    <row r="1270">
      <c r="A1270" s="5">
        <v>1269.0</v>
      </c>
      <c r="B1270" s="5" t="s">
        <v>1902</v>
      </c>
      <c r="C1270" s="5" t="s">
        <v>21</v>
      </c>
      <c r="K1270" s="5">
        <v>3100.0</v>
      </c>
      <c r="N1270" s="8">
        <v>43905.0</v>
      </c>
    </row>
    <row r="1271">
      <c r="A1271" s="5">
        <v>1270.0</v>
      </c>
      <c r="B1271" s="5" t="s">
        <v>1903</v>
      </c>
      <c r="C1271" s="5" t="s">
        <v>21</v>
      </c>
      <c r="K1271" s="5">
        <v>250.0</v>
      </c>
      <c r="N1271" s="8">
        <v>43857.0</v>
      </c>
    </row>
    <row r="1272">
      <c r="A1272" s="5">
        <v>1271.0</v>
      </c>
      <c r="B1272" s="5" t="s">
        <v>1904</v>
      </c>
      <c r="C1272" s="5" t="s">
        <v>21</v>
      </c>
      <c r="K1272" s="5">
        <v>350.0</v>
      </c>
      <c r="N1272" s="8">
        <v>44606.0</v>
      </c>
    </row>
    <row r="1273">
      <c r="A1273" s="5">
        <v>1272.0</v>
      </c>
      <c r="B1273" s="5" t="s">
        <v>1905</v>
      </c>
      <c r="C1273" s="5" t="s">
        <v>21</v>
      </c>
      <c r="K1273" s="5">
        <v>250.0</v>
      </c>
      <c r="N1273" s="8">
        <v>44584.0</v>
      </c>
    </row>
    <row r="1274">
      <c r="A1274" s="5">
        <v>1273.0</v>
      </c>
      <c r="B1274" s="5" t="s">
        <v>1906</v>
      </c>
      <c r="C1274" s="5" t="s">
        <v>21</v>
      </c>
      <c r="K1274" s="5">
        <v>300.0</v>
      </c>
      <c r="N1274" s="8">
        <v>44519.0</v>
      </c>
    </row>
    <row r="1275">
      <c r="A1275" s="5">
        <v>1274.0</v>
      </c>
      <c r="B1275" s="5" t="s">
        <v>1907</v>
      </c>
      <c r="C1275" s="5" t="s">
        <v>21</v>
      </c>
      <c r="K1275" s="5">
        <v>400.0</v>
      </c>
      <c r="N1275" s="8">
        <v>44568.0</v>
      </c>
    </row>
    <row r="1276">
      <c r="A1276" s="5">
        <v>1275.0</v>
      </c>
      <c r="B1276" s="5" t="s">
        <v>1908</v>
      </c>
      <c r="C1276" s="5" t="s">
        <v>21</v>
      </c>
      <c r="K1276" s="5">
        <v>100.0</v>
      </c>
      <c r="N1276" s="8">
        <v>43914.0</v>
      </c>
    </row>
    <row r="1277">
      <c r="A1277" s="5">
        <v>1276.0</v>
      </c>
      <c r="B1277" s="5" t="s">
        <v>1909</v>
      </c>
      <c r="C1277" s="5" t="s">
        <v>21</v>
      </c>
      <c r="K1277" s="5">
        <v>250.0</v>
      </c>
      <c r="N1277" s="8">
        <v>44084.0</v>
      </c>
    </row>
    <row r="1278">
      <c r="A1278" s="5">
        <v>1277.0</v>
      </c>
      <c r="B1278" s="5" t="s">
        <v>1910</v>
      </c>
      <c r="C1278" s="5" t="s">
        <v>21</v>
      </c>
      <c r="N1278" s="8">
        <v>44519.0</v>
      </c>
    </row>
    <row r="1279">
      <c r="A1279" s="5">
        <v>1278.0</v>
      </c>
      <c r="B1279" s="5" t="s">
        <v>1911</v>
      </c>
      <c r="C1279" s="5" t="s">
        <v>21</v>
      </c>
      <c r="K1279" s="5">
        <v>200.0</v>
      </c>
      <c r="N1279" s="8">
        <v>44116.0</v>
      </c>
    </row>
    <row r="1280">
      <c r="A1280" s="5">
        <v>1279.0</v>
      </c>
      <c r="B1280" s="5" t="s">
        <v>1912</v>
      </c>
      <c r="C1280" s="5" t="s">
        <v>21</v>
      </c>
      <c r="K1280" s="5">
        <v>4400.0</v>
      </c>
      <c r="N1280" s="8">
        <v>43957.0</v>
      </c>
    </row>
    <row r="1281">
      <c r="A1281" s="5">
        <v>1280.0</v>
      </c>
      <c r="B1281" s="5" t="s">
        <v>1913</v>
      </c>
      <c r="C1281" s="5" t="s">
        <v>21</v>
      </c>
      <c r="N1281" s="8">
        <v>44528.0</v>
      </c>
    </row>
    <row r="1282">
      <c r="A1282" s="5">
        <v>1281.0</v>
      </c>
      <c r="B1282" s="5" t="s">
        <v>1914</v>
      </c>
      <c r="C1282" s="5" t="s">
        <v>21</v>
      </c>
      <c r="K1282" s="5">
        <v>250.0</v>
      </c>
      <c r="N1282" s="8">
        <v>45273.0</v>
      </c>
    </row>
    <row r="1283">
      <c r="A1283" s="5">
        <v>1282.0</v>
      </c>
      <c r="B1283" s="5" t="s">
        <v>1915</v>
      </c>
      <c r="C1283" s="5" t="s">
        <v>21</v>
      </c>
      <c r="K1283" s="5">
        <v>10.0</v>
      </c>
      <c r="N1283" s="8">
        <v>44560.0</v>
      </c>
    </row>
    <row r="1284">
      <c r="A1284" s="5">
        <v>1283.0</v>
      </c>
      <c r="B1284" s="5" t="s">
        <v>1916</v>
      </c>
      <c r="C1284" s="5" t="s">
        <v>21</v>
      </c>
      <c r="K1284" s="5">
        <v>40.0</v>
      </c>
      <c r="N1284" s="8">
        <v>44524.0</v>
      </c>
    </row>
    <row r="1285">
      <c r="A1285" s="5">
        <v>1284.0</v>
      </c>
      <c r="B1285" s="5" t="s">
        <v>1917</v>
      </c>
      <c r="C1285" s="5" t="s">
        <v>21</v>
      </c>
      <c r="K1285" s="5">
        <v>250.0</v>
      </c>
      <c r="N1285" s="8">
        <v>44279.0</v>
      </c>
    </row>
    <row r="1286">
      <c r="A1286" s="5">
        <v>1285.0</v>
      </c>
      <c r="B1286" s="5" t="s">
        <v>1918</v>
      </c>
      <c r="C1286" s="5" t="s">
        <v>21</v>
      </c>
      <c r="K1286" s="5">
        <v>10.0</v>
      </c>
      <c r="N1286" s="8">
        <v>45266.0</v>
      </c>
    </row>
    <row r="1287">
      <c r="A1287" s="5">
        <v>1286.0</v>
      </c>
      <c r="B1287" s="5" t="s">
        <v>1919</v>
      </c>
      <c r="C1287" s="5" t="s">
        <v>21</v>
      </c>
      <c r="K1287" s="5">
        <v>150.0</v>
      </c>
      <c r="N1287" s="8">
        <v>45789.0</v>
      </c>
    </row>
    <row r="1288">
      <c r="A1288" s="5">
        <v>1287.0</v>
      </c>
      <c r="B1288" s="5" t="s">
        <v>1920</v>
      </c>
      <c r="C1288" s="5" t="s">
        <v>21</v>
      </c>
      <c r="K1288" s="5">
        <v>100.0</v>
      </c>
      <c r="N1288" s="8">
        <v>44664.0</v>
      </c>
    </row>
    <row r="1289">
      <c r="A1289" s="5">
        <v>1288.0</v>
      </c>
      <c r="B1289" s="5" t="s">
        <v>1921</v>
      </c>
      <c r="C1289" s="5" t="s">
        <v>21</v>
      </c>
      <c r="K1289" s="5">
        <v>30.0</v>
      </c>
      <c r="N1289" s="8">
        <v>44693.0</v>
      </c>
    </row>
    <row r="1290">
      <c r="A1290" s="5">
        <v>1289.0</v>
      </c>
      <c r="B1290" s="5" t="s">
        <v>1922</v>
      </c>
      <c r="C1290" s="5" t="s">
        <v>21</v>
      </c>
      <c r="K1290" s="5">
        <v>450.0</v>
      </c>
      <c r="N1290" s="8">
        <v>44901.0</v>
      </c>
    </row>
    <row r="1291">
      <c r="A1291" s="5">
        <v>1290.0</v>
      </c>
      <c r="B1291" s="5" t="s">
        <v>1923</v>
      </c>
      <c r="C1291" s="5" t="s">
        <v>21</v>
      </c>
      <c r="K1291" s="5">
        <v>300.0</v>
      </c>
      <c r="N1291" s="8">
        <v>44529.0</v>
      </c>
    </row>
    <row r="1292">
      <c r="A1292" s="5">
        <v>1291.0</v>
      </c>
      <c r="B1292" s="5" t="s">
        <v>1924</v>
      </c>
      <c r="C1292" s="5" t="s">
        <v>21</v>
      </c>
      <c r="K1292" s="5">
        <v>200.0</v>
      </c>
      <c r="N1292" s="8">
        <v>44626.0</v>
      </c>
    </row>
    <row r="1293">
      <c r="A1293" s="5">
        <v>1292.0</v>
      </c>
      <c r="B1293" s="5" t="s">
        <v>122</v>
      </c>
      <c r="C1293" s="5" t="s">
        <v>21</v>
      </c>
      <c r="K1293" s="5">
        <v>300.0</v>
      </c>
      <c r="N1293" s="8">
        <v>44300.0</v>
      </c>
    </row>
    <row r="1294">
      <c r="A1294" s="5">
        <v>1293.0</v>
      </c>
      <c r="B1294" s="5" t="s">
        <v>1925</v>
      </c>
      <c r="C1294" s="5" t="s">
        <v>21</v>
      </c>
      <c r="K1294" s="5">
        <v>100.0</v>
      </c>
      <c r="N1294" s="8">
        <v>43973.0</v>
      </c>
    </row>
    <row r="1295">
      <c r="A1295" s="5">
        <v>1294.0</v>
      </c>
      <c r="B1295" s="5" t="s">
        <v>1926</v>
      </c>
      <c r="C1295" s="5" t="s">
        <v>21</v>
      </c>
      <c r="K1295" s="5">
        <v>800.0</v>
      </c>
      <c r="N1295" s="8">
        <v>44574.0</v>
      </c>
    </row>
    <row r="1296">
      <c r="A1296" s="5">
        <v>1295.0</v>
      </c>
      <c r="B1296" s="5" t="s">
        <v>1927</v>
      </c>
      <c r="C1296" s="5" t="s">
        <v>21</v>
      </c>
      <c r="K1296" s="5">
        <v>250.0</v>
      </c>
      <c r="N1296" s="8">
        <v>45745.0</v>
      </c>
    </row>
    <row r="1297">
      <c r="A1297" s="5">
        <v>1296.0</v>
      </c>
      <c r="B1297" s="5" t="s">
        <v>1928</v>
      </c>
      <c r="C1297" s="5" t="s">
        <v>21</v>
      </c>
      <c r="K1297" s="5">
        <v>500.0</v>
      </c>
      <c r="N1297" s="8">
        <v>44633.0</v>
      </c>
    </row>
    <row r="1298">
      <c r="A1298" s="5">
        <v>1297.0</v>
      </c>
      <c r="B1298" s="5" t="s">
        <v>1929</v>
      </c>
      <c r="C1298" s="5" t="s">
        <v>21</v>
      </c>
      <c r="K1298" s="5">
        <v>250.0</v>
      </c>
      <c r="N1298" s="8">
        <v>44945.0</v>
      </c>
    </row>
    <row r="1299">
      <c r="A1299" s="5">
        <v>1298.0</v>
      </c>
      <c r="B1299" s="5" t="s">
        <v>1930</v>
      </c>
      <c r="C1299" s="5" t="s">
        <v>21</v>
      </c>
      <c r="K1299" s="5">
        <v>350.0</v>
      </c>
      <c r="N1299" s="8">
        <v>44756.0</v>
      </c>
    </row>
    <row r="1300">
      <c r="A1300" s="5">
        <v>1299.0</v>
      </c>
      <c r="B1300" s="5" t="s">
        <v>1931</v>
      </c>
      <c r="C1300" s="5" t="s">
        <v>21</v>
      </c>
      <c r="K1300" s="5">
        <v>200.0</v>
      </c>
      <c r="N1300" s="8">
        <v>44849.0</v>
      </c>
    </row>
    <row r="1301">
      <c r="A1301" s="5">
        <v>1300.0</v>
      </c>
      <c r="B1301" s="5" t="s">
        <v>1932</v>
      </c>
      <c r="C1301" s="5" t="s">
        <v>21</v>
      </c>
      <c r="K1301" s="5">
        <v>350.0</v>
      </c>
      <c r="N1301" s="8">
        <v>44545.0</v>
      </c>
    </row>
    <row r="1302">
      <c r="A1302" s="5">
        <v>1301.0</v>
      </c>
      <c r="B1302" s="5" t="s">
        <v>1933</v>
      </c>
      <c r="C1302" s="5" t="s">
        <v>21</v>
      </c>
      <c r="K1302" s="5">
        <v>50.0</v>
      </c>
      <c r="N1302" s="8">
        <v>44306.0</v>
      </c>
    </row>
    <row r="1303">
      <c r="A1303" s="5">
        <v>1302.0</v>
      </c>
      <c r="B1303" s="5" t="s">
        <v>1934</v>
      </c>
      <c r="C1303" s="5" t="s">
        <v>21</v>
      </c>
      <c r="K1303" s="5">
        <v>450.0</v>
      </c>
      <c r="N1303" s="8">
        <v>44551.0</v>
      </c>
    </row>
    <row r="1304">
      <c r="A1304" s="5">
        <v>1303.0</v>
      </c>
      <c r="B1304" s="5" t="s">
        <v>1935</v>
      </c>
      <c r="C1304" s="5" t="s">
        <v>21</v>
      </c>
      <c r="K1304" s="5">
        <v>2700.0</v>
      </c>
      <c r="N1304" s="8">
        <v>42878.0</v>
      </c>
    </row>
    <row r="1305">
      <c r="A1305" s="5">
        <v>1304.0</v>
      </c>
      <c r="B1305" s="5" t="s">
        <v>1936</v>
      </c>
      <c r="C1305" s="5" t="s">
        <v>21</v>
      </c>
      <c r="K1305" s="5">
        <v>600.0</v>
      </c>
      <c r="N1305" s="8">
        <v>44736.0</v>
      </c>
    </row>
    <row r="1306">
      <c r="A1306" s="5">
        <v>1305.0</v>
      </c>
      <c r="B1306" s="5" t="s">
        <v>1937</v>
      </c>
      <c r="C1306" s="5" t="s">
        <v>21</v>
      </c>
      <c r="K1306" s="5">
        <v>150.0</v>
      </c>
      <c r="N1306" s="8">
        <v>44729.0</v>
      </c>
    </row>
    <row r="1307">
      <c r="A1307" s="5">
        <v>1306.0</v>
      </c>
      <c r="B1307" s="5" t="s">
        <v>1938</v>
      </c>
      <c r="C1307" s="5" t="s">
        <v>21</v>
      </c>
      <c r="K1307" s="5">
        <v>100.0</v>
      </c>
      <c r="N1307" s="8">
        <v>45255.0</v>
      </c>
    </row>
    <row r="1308">
      <c r="A1308" s="5">
        <v>1307.0</v>
      </c>
      <c r="B1308" s="5" t="s">
        <v>1939</v>
      </c>
      <c r="C1308" s="5" t="s">
        <v>21</v>
      </c>
      <c r="N1308" s="8">
        <v>44678.0</v>
      </c>
    </row>
    <row r="1309">
      <c r="A1309" s="5">
        <v>1308.0</v>
      </c>
      <c r="B1309" s="5" t="s">
        <v>1940</v>
      </c>
      <c r="C1309" s="5" t="s">
        <v>21</v>
      </c>
      <c r="K1309" s="5">
        <v>150.0</v>
      </c>
      <c r="N1309" s="8">
        <v>43966.0</v>
      </c>
    </row>
    <row r="1310">
      <c r="A1310" s="5">
        <v>1309.0</v>
      </c>
      <c r="B1310" s="5" t="s">
        <v>1941</v>
      </c>
      <c r="C1310" s="5" t="s">
        <v>21</v>
      </c>
      <c r="K1310" s="5">
        <v>150.0</v>
      </c>
      <c r="N1310" s="8">
        <v>45127.0</v>
      </c>
    </row>
    <row r="1311">
      <c r="A1311" s="5">
        <v>1310.0</v>
      </c>
      <c r="B1311" s="5" t="s">
        <v>1942</v>
      </c>
      <c r="C1311" s="5" t="s">
        <v>21</v>
      </c>
      <c r="K1311" s="5">
        <v>200.0</v>
      </c>
      <c r="N1311" s="8">
        <v>44952.0</v>
      </c>
    </row>
    <row r="1312">
      <c r="A1312" s="5">
        <v>1311.0</v>
      </c>
      <c r="B1312" s="5" t="s">
        <v>1943</v>
      </c>
      <c r="C1312" s="5" t="s">
        <v>21</v>
      </c>
      <c r="K1312" s="5">
        <v>1000.0</v>
      </c>
      <c r="N1312" s="8">
        <v>45195.0</v>
      </c>
    </row>
    <row r="1313">
      <c r="A1313" s="5">
        <v>1312.0</v>
      </c>
      <c r="B1313" s="5" t="s">
        <v>1944</v>
      </c>
      <c r="C1313" s="5" t="s">
        <v>21</v>
      </c>
      <c r="K1313" s="5">
        <v>20.0</v>
      </c>
      <c r="N1313" s="8">
        <v>44544.0</v>
      </c>
    </row>
    <row r="1314">
      <c r="A1314" s="5">
        <v>1313.0</v>
      </c>
      <c r="B1314" s="5" t="s">
        <v>1945</v>
      </c>
      <c r="C1314" s="5" t="s">
        <v>21</v>
      </c>
      <c r="K1314" s="5">
        <v>1400.0</v>
      </c>
      <c r="N1314" s="8">
        <v>43910.0</v>
      </c>
    </row>
    <row r="1315">
      <c r="A1315" s="5">
        <v>1314.0</v>
      </c>
      <c r="B1315" s="5" t="s">
        <v>1946</v>
      </c>
      <c r="C1315" s="5" t="s">
        <v>21</v>
      </c>
      <c r="K1315" s="5">
        <v>250.0</v>
      </c>
      <c r="N1315" s="8">
        <v>44978.0</v>
      </c>
    </row>
    <row r="1316">
      <c r="A1316" s="5">
        <v>1315.0</v>
      </c>
      <c r="B1316" s="5" t="s">
        <v>1947</v>
      </c>
      <c r="C1316" s="5" t="s">
        <v>21</v>
      </c>
      <c r="K1316" s="5">
        <v>600.0</v>
      </c>
      <c r="N1316" s="8">
        <v>44524.0</v>
      </c>
    </row>
    <row r="1317">
      <c r="A1317" s="5">
        <v>1316.0</v>
      </c>
      <c r="B1317" s="5" t="s">
        <v>1948</v>
      </c>
      <c r="C1317" s="5" t="s">
        <v>21</v>
      </c>
      <c r="K1317" s="5">
        <v>600.0</v>
      </c>
      <c r="N1317" s="8">
        <v>44041.0</v>
      </c>
    </row>
    <row r="1318">
      <c r="A1318" s="5">
        <v>1317.0</v>
      </c>
      <c r="B1318" s="5" t="s">
        <v>1949</v>
      </c>
      <c r="C1318" s="5" t="s">
        <v>21</v>
      </c>
      <c r="N1318" s="8">
        <v>45044.0</v>
      </c>
    </row>
    <row r="1319">
      <c r="A1319" s="5">
        <v>1318.0</v>
      </c>
      <c r="B1319" s="5" t="s">
        <v>125</v>
      </c>
      <c r="C1319" s="5" t="s">
        <v>21</v>
      </c>
      <c r="K1319" s="5">
        <v>200.0</v>
      </c>
      <c r="N1319" s="8">
        <v>44536.0</v>
      </c>
    </row>
    <row r="1320">
      <c r="A1320" s="5">
        <v>1319.0</v>
      </c>
      <c r="B1320" s="5" t="s">
        <v>1950</v>
      </c>
      <c r="C1320" s="5" t="s">
        <v>21</v>
      </c>
      <c r="K1320" s="5">
        <v>30.0</v>
      </c>
      <c r="N1320" s="8">
        <v>45363.0</v>
      </c>
    </row>
    <row r="1321">
      <c r="A1321" s="5">
        <v>1320.0</v>
      </c>
      <c r="B1321" s="5" t="s">
        <v>1951</v>
      </c>
      <c r="C1321" s="5" t="s">
        <v>21</v>
      </c>
      <c r="K1321" s="5">
        <v>20.0</v>
      </c>
      <c r="N1321" s="8">
        <v>44907.0</v>
      </c>
    </row>
    <row r="1322">
      <c r="A1322" s="5">
        <v>1321.0</v>
      </c>
      <c r="B1322" s="5" t="s">
        <v>1952</v>
      </c>
      <c r="C1322" s="5" t="s">
        <v>21</v>
      </c>
      <c r="K1322" s="5">
        <v>150.0</v>
      </c>
      <c r="N1322" s="8">
        <v>44850.0</v>
      </c>
    </row>
    <row r="1323">
      <c r="A1323" s="5">
        <v>1322.0</v>
      </c>
      <c r="B1323" s="5" t="s">
        <v>1953</v>
      </c>
      <c r="C1323" s="5" t="s">
        <v>21</v>
      </c>
      <c r="K1323" s="5">
        <v>1300.0</v>
      </c>
      <c r="N1323" s="8">
        <v>43928.0</v>
      </c>
    </row>
    <row r="1324">
      <c r="A1324" s="5">
        <v>1323.0</v>
      </c>
      <c r="B1324" s="5" t="s">
        <v>1954</v>
      </c>
      <c r="C1324" s="5" t="s">
        <v>21</v>
      </c>
      <c r="K1324" s="5">
        <v>700.0</v>
      </c>
      <c r="N1324" s="8">
        <v>44891.0</v>
      </c>
    </row>
    <row r="1325">
      <c r="A1325" s="5">
        <v>1324.0</v>
      </c>
      <c r="B1325" s="5" t="s">
        <v>1955</v>
      </c>
      <c r="C1325" s="5" t="s">
        <v>21</v>
      </c>
      <c r="K1325" s="5">
        <v>20.0</v>
      </c>
      <c r="N1325" s="8">
        <v>44485.0</v>
      </c>
    </row>
    <row r="1326">
      <c r="A1326" s="5">
        <v>1325.0</v>
      </c>
      <c r="B1326" s="5" t="s">
        <v>127</v>
      </c>
      <c r="C1326" s="5" t="s">
        <v>21</v>
      </c>
      <c r="K1326" s="5">
        <v>80.0</v>
      </c>
      <c r="N1326" s="8">
        <v>44983.0</v>
      </c>
    </row>
    <row r="1327">
      <c r="A1327" s="5">
        <v>1326.0</v>
      </c>
      <c r="B1327" s="5" t="s">
        <v>1956</v>
      </c>
      <c r="C1327" s="5" t="s">
        <v>21</v>
      </c>
      <c r="K1327" s="5">
        <v>500.0</v>
      </c>
      <c r="N1327" s="8">
        <v>44489.0</v>
      </c>
    </row>
    <row r="1328">
      <c r="A1328" s="5">
        <v>1327.0</v>
      </c>
      <c r="B1328" s="5" t="s">
        <v>1957</v>
      </c>
      <c r="C1328" s="5" t="s">
        <v>21</v>
      </c>
      <c r="K1328" s="5">
        <v>300.0</v>
      </c>
      <c r="N1328" s="8">
        <v>44541.0</v>
      </c>
    </row>
    <row r="1329">
      <c r="A1329" s="5">
        <v>1328.0</v>
      </c>
      <c r="B1329" s="5" t="s">
        <v>1958</v>
      </c>
      <c r="C1329" s="5" t="s">
        <v>21</v>
      </c>
      <c r="K1329" s="5">
        <v>20.0</v>
      </c>
      <c r="N1329" s="8">
        <v>44555.0</v>
      </c>
    </row>
    <row r="1330">
      <c r="A1330" s="5">
        <v>1329.0</v>
      </c>
      <c r="B1330" s="5" t="s">
        <v>1959</v>
      </c>
      <c r="C1330" s="5" t="s">
        <v>21</v>
      </c>
      <c r="K1330" s="5">
        <v>700.0</v>
      </c>
      <c r="N1330" s="8">
        <v>44256.0</v>
      </c>
    </row>
    <row r="1331">
      <c r="A1331" s="5">
        <v>1330.0</v>
      </c>
      <c r="B1331" s="5" t="s">
        <v>1960</v>
      </c>
      <c r="C1331" s="5" t="s">
        <v>21</v>
      </c>
      <c r="N1331" s="8">
        <v>45101.0</v>
      </c>
    </row>
    <row r="1332">
      <c r="A1332" s="5">
        <v>1331.0</v>
      </c>
      <c r="B1332" s="5" t="s">
        <v>1961</v>
      </c>
      <c r="C1332" s="5" t="s">
        <v>21</v>
      </c>
      <c r="K1332" s="5">
        <v>400.0</v>
      </c>
      <c r="N1332" s="8">
        <v>43862.0</v>
      </c>
    </row>
    <row r="1333">
      <c r="A1333" s="5">
        <v>1332.0</v>
      </c>
      <c r="B1333" s="5" t="s">
        <v>1962</v>
      </c>
      <c r="C1333" s="5" t="s">
        <v>21</v>
      </c>
      <c r="K1333" s="5">
        <v>350.0</v>
      </c>
      <c r="N1333" s="8">
        <v>44543.0</v>
      </c>
    </row>
    <row r="1334">
      <c r="A1334" s="5">
        <v>1333.0</v>
      </c>
      <c r="B1334" s="5" t="s">
        <v>1963</v>
      </c>
      <c r="C1334" s="5" t="s">
        <v>21</v>
      </c>
      <c r="K1334" s="5">
        <v>1600.0</v>
      </c>
      <c r="N1334" s="8">
        <v>44616.0</v>
      </c>
    </row>
    <row r="1335">
      <c r="A1335" s="5">
        <v>1334.0</v>
      </c>
      <c r="B1335" s="5" t="s">
        <v>1964</v>
      </c>
      <c r="C1335" s="5" t="s">
        <v>21</v>
      </c>
      <c r="N1335" s="8">
        <v>44762.0</v>
      </c>
    </row>
    <row r="1336">
      <c r="A1336" s="5">
        <v>1335.0</v>
      </c>
      <c r="B1336" s="5" t="s">
        <v>1965</v>
      </c>
      <c r="C1336" s="5" t="s">
        <v>21</v>
      </c>
      <c r="K1336" s="5">
        <v>250.0</v>
      </c>
      <c r="N1336" s="8">
        <v>45152.0</v>
      </c>
    </row>
    <row r="1337">
      <c r="A1337" s="5">
        <v>1336.0</v>
      </c>
      <c r="B1337" s="5" t="s">
        <v>1966</v>
      </c>
      <c r="C1337" s="5" t="s">
        <v>21</v>
      </c>
      <c r="K1337" s="5">
        <v>700.0</v>
      </c>
      <c r="N1337" s="8">
        <v>45625.0</v>
      </c>
    </row>
    <row r="1338">
      <c r="A1338" s="5">
        <v>1337.0</v>
      </c>
      <c r="B1338" s="5" t="s">
        <v>1967</v>
      </c>
      <c r="C1338" s="5" t="s">
        <v>21</v>
      </c>
      <c r="K1338" s="5">
        <v>40.0</v>
      </c>
      <c r="N1338" s="8">
        <v>45271.0</v>
      </c>
    </row>
    <row r="1339">
      <c r="A1339" s="5">
        <v>1338.0</v>
      </c>
      <c r="B1339" s="5" t="s">
        <v>1968</v>
      </c>
      <c r="C1339" s="5" t="s">
        <v>21</v>
      </c>
      <c r="K1339" s="5">
        <v>250.0</v>
      </c>
      <c r="N1339" s="8">
        <v>44148.0</v>
      </c>
    </row>
    <row r="1340">
      <c r="A1340" s="5">
        <v>1339.0</v>
      </c>
      <c r="B1340" s="5" t="s">
        <v>1969</v>
      </c>
      <c r="C1340" s="5" t="s">
        <v>21</v>
      </c>
      <c r="K1340" s="5">
        <v>60.0</v>
      </c>
      <c r="N1340" s="8">
        <v>44277.0</v>
      </c>
    </row>
    <row r="1341">
      <c r="A1341" s="5">
        <v>1340.0</v>
      </c>
      <c r="B1341" s="5" t="s">
        <v>1970</v>
      </c>
      <c r="C1341" s="5" t="s">
        <v>21</v>
      </c>
      <c r="K1341" s="5">
        <v>100.0</v>
      </c>
      <c r="N1341" s="8">
        <v>44351.0</v>
      </c>
    </row>
    <row r="1342">
      <c r="A1342" s="5">
        <v>1341.0</v>
      </c>
      <c r="B1342" s="5" t="s">
        <v>1971</v>
      </c>
      <c r="C1342" s="5" t="s">
        <v>21</v>
      </c>
      <c r="K1342" s="5">
        <v>350.0</v>
      </c>
      <c r="N1342" s="8">
        <v>42362.0</v>
      </c>
    </row>
    <row r="1343">
      <c r="A1343" s="5">
        <v>1342.0</v>
      </c>
      <c r="B1343" s="5" t="s">
        <v>1972</v>
      </c>
      <c r="C1343" s="5" t="s">
        <v>21</v>
      </c>
      <c r="K1343" s="5">
        <v>500.0</v>
      </c>
      <c r="N1343" s="8">
        <v>43965.0</v>
      </c>
    </row>
    <row r="1344">
      <c r="A1344" s="5">
        <v>1343.0</v>
      </c>
      <c r="B1344" s="5" t="s">
        <v>1973</v>
      </c>
      <c r="C1344" s="5" t="s">
        <v>21</v>
      </c>
      <c r="K1344" s="5">
        <v>200.0</v>
      </c>
      <c r="N1344" s="8">
        <v>44582.0</v>
      </c>
    </row>
    <row r="1345">
      <c r="A1345" s="5">
        <v>1344.0</v>
      </c>
      <c r="B1345" s="5" t="s">
        <v>1974</v>
      </c>
      <c r="C1345" s="5" t="s">
        <v>21</v>
      </c>
      <c r="K1345" s="5">
        <v>600.0</v>
      </c>
      <c r="N1345" s="8">
        <v>44562.0</v>
      </c>
    </row>
    <row r="1346">
      <c r="A1346" s="5">
        <v>1345.0</v>
      </c>
      <c r="B1346" s="5" t="s">
        <v>1975</v>
      </c>
      <c r="C1346" s="5" t="s">
        <v>21</v>
      </c>
      <c r="K1346" s="5">
        <v>200.0</v>
      </c>
      <c r="N1346" s="8">
        <v>45099.0</v>
      </c>
    </row>
    <row r="1347">
      <c r="A1347" s="5">
        <v>1346.0</v>
      </c>
      <c r="B1347" s="5" t="s">
        <v>1976</v>
      </c>
      <c r="C1347" s="5" t="s">
        <v>21</v>
      </c>
      <c r="N1347" s="8">
        <v>44518.0</v>
      </c>
    </row>
    <row r="1348">
      <c r="A1348" s="5">
        <v>1347.0</v>
      </c>
      <c r="B1348" s="5" t="s">
        <v>1977</v>
      </c>
      <c r="C1348" s="5" t="s">
        <v>21</v>
      </c>
      <c r="K1348" s="5">
        <v>600.0</v>
      </c>
      <c r="N1348" s="8">
        <v>44579.0</v>
      </c>
    </row>
    <row r="1349">
      <c r="A1349" s="5">
        <v>1348.0</v>
      </c>
      <c r="B1349" s="5" t="s">
        <v>1978</v>
      </c>
      <c r="C1349" s="5" t="s">
        <v>21</v>
      </c>
      <c r="K1349" s="5">
        <v>80.0</v>
      </c>
      <c r="N1349" s="8">
        <v>43857.0</v>
      </c>
    </row>
    <row r="1350">
      <c r="A1350" s="5">
        <v>1349.0</v>
      </c>
      <c r="B1350" s="5" t="s">
        <v>1979</v>
      </c>
      <c r="C1350" s="5" t="s">
        <v>21</v>
      </c>
      <c r="K1350" s="5">
        <v>600.0</v>
      </c>
      <c r="N1350" s="8">
        <v>44573.0</v>
      </c>
    </row>
    <row r="1351">
      <c r="A1351" s="5">
        <v>1350.0</v>
      </c>
      <c r="B1351" s="5" t="s">
        <v>1980</v>
      </c>
      <c r="C1351" s="5" t="s">
        <v>21</v>
      </c>
      <c r="K1351" s="5">
        <v>10.0</v>
      </c>
      <c r="N1351" s="8">
        <v>44608.0</v>
      </c>
    </row>
    <row r="1352">
      <c r="A1352" s="5">
        <v>1351.0</v>
      </c>
      <c r="B1352" s="5" t="s">
        <v>1981</v>
      </c>
      <c r="C1352" s="5" t="s">
        <v>21</v>
      </c>
      <c r="K1352" s="5">
        <v>150.0</v>
      </c>
      <c r="N1352" s="8">
        <v>44410.0</v>
      </c>
    </row>
    <row r="1353">
      <c r="A1353" s="5">
        <v>1352.0</v>
      </c>
      <c r="B1353" s="5" t="s">
        <v>1982</v>
      </c>
      <c r="C1353" s="5" t="s">
        <v>21</v>
      </c>
      <c r="K1353" s="5">
        <v>70.0</v>
      </c>
      <c r="N1353" s="8">
        <v>44127.0</v>
      </c>
    </row>
    <row r="1354">
      <c r="A1354" s="5">
        <v>1353.0</v>
      </c>
      <c r="B1354" s="5" t="s">
        <v>1983</v>
      </c>
      <c r="C1354" s="5" t="s">
        <v>21</v>
      </c>
      <c r="K1354" s="5">
        <v>300.0</v>
      </c>
      <c r="N1354" s="8">
        <v>45098.0</v>
      </c>
    </row>
    <row r="1355">
      <c r="A1355" s="5">
        <v>1354.0</v>
      </c>
      <c r="B1355" s="5" t="s">
        <v>1984</v>
      </c>
      <c r="C1355" s="5" t="s">
        <v>21</v>
      </c>
      <c r="K1355" s="5">
        <v>1000.0</v>
      </c>
      <c r="N1355" s="8">
        <v>44360.0</v>
      </c>
    </row>
    <row r="1356">
      <c r="A1356" s="5">
        <v>1355.0</v>
      </c>
      <c r="B1356" s="5" t="s">
        <v>1985</v>
      </c>
      <c r="C1356" s="5" t="s">
        <v>21</v>
      </c>
      <c r="K1356" s="5">
        <v>900.0</v>
      </c>
      <c r="N1356" s="8">
        <v>43957.0</v>
      </c>
    </row>
    <row r="1357">
      <c r="A1357" s="5">
        <v>1356.0</v>
      </c>
      <c r="B1357" s="5" t="s">
        <v>1986</v>
      </c>
      <c r="C1357" s="5" t="s">
        <v>21</v>
      </c>
      <c r="K1357" s="5">
        <v>350.0</v>
      </c>
      <c r="N1357" s="8">
        <v>44662.0</v>
      </c>
    </row>
    <row r="1358">
      <c r="A1358" s="5">
        <v>1357.0</v>
      </c>
      <c r="B1358" s="5" t="s">
        <v>1987</v>
      </c>
      <c r="C1358" s="5" t="s">
        <v>21</v>
      </c>
      <c r="K1358" s="5">
        <v>600.0</v>
      </c>
      <c r="N1358" s="8">
        <v>44759.0</v>
      </c>
    </row>
    <row r="1359">
      <c r="A1359" s="5">
        <v>1358.0</v>
      </c>
      <c r="B1359" s="5" t="s">
        <v>1988</v>
      </c>
      <c r="C1359" s="5" t="s">
        <v>21</v>
      </c>
      <c r="K1359" s="5">
        <v>6300.0</v>
      </c>
      <c r="N1359" s="8">
        <v>44064.0</v>
      </c>
    </row>
    <row r="1360">
      <c r="A1360" s="5">
        <v>1359.0</v>
      </c>
      <c r="B1360" s="5" t="s">
        <v>1989</v>
      </c>
      <c r="C1360" s="5" t="s">
        <v>21</v>
      </c>
      <c r="K1360" s="5">
        <v>900.0</v>
      </c>
      <c r="N1360" s="8">
        <v>44426.0</v>
      </c>
    </row>
    <row r="1361">
      <c r="A1361" s="5">
        <v>1360.0</v>
      </c>
      <c r="B1361" s="5" t="s">
        <v>1990</v>
      </c>
      <c r="C1361" s="5" t="s">
        <v>21</v>
      </c>
      <c r="K1361" s="5">
        <v>1000.0</v>
      </c>
      <c r="N1361" s="8">
        <v>44619.0</v>
      </c>
    </row>
    <row r="1362">
      <c r="A1362" s="5">
        <v>1361.0</v>
      </c>
      <c r="B1362" s="5" t="s">
        <v>1991</v>
      </c>
      <c r="C1362" s="5" t="s">
        <v>21</v>
      </c>
      <c r="K1362" s="5">
        <v>400.0</v>
      </c>
      <c r="N1362" s="8">
        <v>45448.0</v>
      </c>
    </row>
    <row r="1363">
      <c r="A1363" s="5">
        <v>1362.0</v>
      </c>
      <c r="B1363" s="5" t="s">
        <v>1992</v>
      </c>
      <c r="C1363" s="5" t="s">
        <v>21</v>
      </c>
      <c r="K1363" s="5">
        <v>1000.0</v>
      </c>
      <c r="N1363" s="8">
        <v>44528.0</v>
      </c>
    </row>
    <row r="1364">
      <c r="A1364" s="5">
        <v>1363.0</v>
      </c>
      <c r="B1364" s="5" t="s">
        <v>1993</v>
      </c>
      <c r="C1364" s="5" t="s">
        <v>21</v>
      </c>
      <c r="K1364" s="5">
        <v>150.0</v>
      </c>
      <c r="N1364" s="8">
        <v>44948.0</v>
      </c>
    </row>
    <row r="1365">
      <c r="A1365" s="5">
        <v>1364.0</v>
      </c>
      <c r="B1365" s="5" t="s">
        <v>1994</v>
      </c>
      <c r="C1365" s="5" t="s">
        <v>21</v>
      </c>
      <c r="K1365" s="5">
        <v>900.0</v>
      </c>
      <c r="N1365" s="8">
        <v>44573.0</v>
      </c>
    </row>
    <row r="1366">
      <c r="A1366" s="5">
        <v>1365.0</v>
      </c>
      <c r="B1366" s="5" t="s">
        <v>1995</v>
      </c>
      <c r="C1366" s="5" t="s">
        <v>21</v>
      </c>
      <c r="K1366" s="5">
        <v>600.0</v>
      </c>
      <c r="N1366" s="8">
        <v>44747.0</v>
      </c>
    </row>
    <row r="1367">
      <c r="A1367" s="5">
        <v>1366.0</v>
      </c>
      <c r="B1367" s="5" t="s">
        <v>1996</v>
      </c>
      <c r="C1367" s="5" t="s">
        <v>21</v>
      </c>
      <c r="K1367" s="5">
        <v>500.0</v>
      </c>
      <c r="N1367" s="8">
        <v>42514.0</v>
      </c>
    </row>
    <row r="1368">
      <c r="A1368" s="5">
        <v>1367.0</v>
      </c>
      <c r="B1368" s="5" t="s">
        <v>1997</v>
      </c>
      <c r="C1368" s="5" t="s">
        <v>21</v>
      </c>
      <c r="K1368" s="5">
        <v>100.0</v>
      </c>
      <c r="N1368" s="8">
        <v>45354.0</v>
      </c>
    </row>
    <row r="1369">
      <c r="A1369" s="5">
        <v>1368.0</v>
      </c>
      <c r="B1369" s="5" t="s">
        <v>1998</v>
      </c>
      <c r="C1369" s="5" t="s">
        <v>21</v>
      </c>
      <c r="K1369" s="5">
        <v>150.0</v>
      </c>
      <c r="N1369" s="8">
        <v>44823.0</v>
      </c>
    </row>
    <row r="1370">
      <c r="A1370" s="5">
        <v>1369.0</v>
      </c>
      <c r="B1370" s="5" t="s">
        <v>1999</v>
      </c>
      <c r="C1370" s="5" t="s">
        <v>21</v>
      </c>
      <c r="K1370" s="5">
        <v>3100.0</v>
      </c>
      <c r="N1370" s="8">
        <v>43857.0</v>
      </c>
    </row>
    <row r="1371">
      <c r="A1371" s="5">
        <v>1370.0</v>
      </c>
      <c r="B1371" s="5" t="s">
        <v>2000</v>
      </c>
      <c r="C1371" s="5" t="s">
        <v>21</v>
      </c>
      <c r="K1371" s="5">
        <v>150.0</v>
      </c>
      <c r="N1371" s="8">
        <v>43883.0</v>
      </c>
    </row>
    <row r="1372">
      <c r="A1372" s="5">
        <v>1371.0</v>
      </c>
      <c r="B1372" s="5" t="s">
        <v>2001</v>
      </c>
      <c r="C1372" s="5" t="s">
        <v>21</v>
      </c>
      <c r="K1372" s="5">
        <v>50.0</v>
      </c>
      <c r="N1372" s="8">
        <v>45077.0</v>
      </c>
    </row>
    <row r="1373">
      <c r="A1373" s="5">
        <v>1372.0</v>
      </c>
      <c r="B1373" s="5" t="s">
        <v>2002</v>
      </c>
      <c r="C1373" s="5" t="s">
        <v>21</v>
      </c>
      <c r="K1373" s="5">
        <v>1500.0</v>
      </c>
      <c r="N1373" s="8">
        <v>43970.0</v>
      </c>
    </row>
    <row r="1374">
      <c r="A1374" s="5">
        <v>1373.0</v>
      </c>
      <c r="B1374" s="5" t="s">
        <v>2003</v>
      </c>
      <c r="C1374" s="5" t="s">
        <v>21</v>
      </c>
      <c r="K1374" s="5">
        <v>70.0</v>
      </c>
      <c r="N1374" s="8">
        <v>43927.0</v>
      </c>
    </row>
    <row r="1375">
      <c r="A1375" s="5">
        <v>1374.0</v>
      </c>
      <c r="B1375" s="5" t="s">
        <v>2004</v>
      </c>
      <c r="C1375" s="5" t="s">
        <v>21</v>
      </c>
      <c r="K1375" s="5">
        <v>350.0</v>
      </c>
      <c r="N1375" s="8">
        <v>44524.0</v>
      </c>
    </row>
    <row r="1376">
      <c r="A1376" s="5">
        <v>1375.0</v>
      </c>
      <c r="B1376" s="5" t="s">
        <v>2005</v>
      </c>
      <c r="C1376" s="5" t="s">
        <v>21</v>
      </c>
      <c r="K1376" s="5">
        <v>400.0</v>
      </c>
      <c r="N1376" s="8">
        <v>44360.0</v>
      </c>
    </row>
    <row r="1377">
      <c r="A1377" s="5">
        <v>1376.0</v>
      </c>
      <c r="B1377" s="5" t="s">
        <v>2006</v>
      </c>
      <c r="C1377" s="5" t="s">
        <v>21</v>
      </c>
      <c r="K1377" s="5">
        <v>1300.0</v>
      </c>
      <c r="N1377" s="8">
        <v>43874.0</v>
      </c>
    </row>
    <row r="1378">
      <c r="A1378" s="5">
        <v>1377.0</v>
      </c>
      <c r="B1378" s="5" t="s">
        <v>130</v>
      </c>
      <c r="C1378" s="5" t="s">
        <v>21</v>
      </c>
      <c r="K1378" s="5">
        <v>200.0</v>
      </c>
      <c r="N1378" s="8">
        <v>44286.0</v>
      </c>
    </row>
    <row r="1379">
      <c r="A1379" s="5">
        <v>1378.0</v>
      </c>
      <c r="B1379" s="5" t="s">
        <v>2007</v>
      </c>
      <c r="C1379" s="5" t="s">
        <v>21</v>
      </c>
      <c r="K1379" s="5">
        <v>150.0</v>
      </c>
      <c r="N1379" s="8">
        <v>44904.0</v>
      </c>
    </row>
    <row r="1380">
      <c r="A1380" s="5">
        <v>1379.0</v>
      </c>
      <c r="B1380" s="5" t="s">
        <v>2008</v>
      </c>
      <c r="C1380" s="5" t="s">
        <v>21</v>
      </c>
      <c r="K1380" s="5">
        <v>40.0</v>
      </c>
      <c r="N1380" s="8">
        <v>44304.0</v>
      </c>
    </row>
    <row r="1381">
      <c r="A1381" s="5">
        <v>1380.0</v>
      </c>
      <c r="B1381" s="5" t="s">
        <v>2009</v>
      </c>
      <c r="C1381" s="5" t="s">
        <v>21</v>
      </c>
      <c r="K1381" s="5">
        <v>80.0</v>
      </c>
      <c r="N1381" s="8">
        <v>44252.0</v>
      </c>
    </row>
    <row r="1382">
      <c r="A1382" s="5">
        <v>1381.0</v>
      </c>
      <c r="B1382" s="5" t="s">
        <v>2010</v>
      </c>
      <c r="C1382" s="5" t="s">
        <v>21</v>
      </c>
      <c r="K1382" s="5">
        <v>900.0</v>
      </c>
      <c r="N1382" s="8">
        <v>44120.0</v>
      </c>
    </row>
    <row r="1383">
      <c r="A1383" s="5">
        <v>1382.0</v>
      </c>
      <c r="B1383" s="5" t="s">
        <v>2011</v>
      </c>
      <c r="C1383" s="5" t="s">
        <v>21</v>
      </c>
      <c r="K1383" s="5">
        <v>700.0</v>
      </c>
      <c r="N1383" s="8">
        <v>44351.0</v>
      </c>
    </row>
    <row r="1384">
      <c r="A1384" s="5">
        <v>1383.0</v>
      </c>
      <c r="B1384" s="5" t="s">
        <v>2012</v>
      </c>
      <c r="C1384" s="5" t="s">
        <v>21</v>
      </c>
      <c r="K1384" s="5">
        <v>1700.0</v>
      </c>
      <c r="N1384" s="8">
        <v>44415.0</v>
      </c>
    </row>
    <row r="1385">
      <c r="A1385" s="5">
        <v>1384.0</v>
      </c>
      <c r="B1385" s="5" t="s">
        <v>2013</v>
      </c>
      <c r="C1385" s="5" t="s">
        <v>21</v>
      </c>
      <c r="K1385" s="5">
        <v>40.0</v>
      </c>
      <c r="N1385" s="8">
        <v>44362.0</v>
      </c>
    </row>
    <row r="1386">
      <c r="A1386" s="5">
        <v>1385.0</v>
      </c>
      <c r="B1386" s="5" t="s">
        <v>2014</v>
      </c>
      <c r="C1386" s="5" t="s">
        <v>21</v>
      </c>
      <c r="K1386" s="5">
        <v>500.0</v>
      </c>
      <c r="N1386" s="8">
        <v>43939.0</v>
      </c>
    </row>
    <row r="1387">
      <c r="A1387" s="5">
        <v>1386.0</v>
      </c>
      <c r="B1387" s="5" t="s">
        <v>2015</v>
      </c>
      <c r="C1387" s="5" t="s">
        <v>21</v>
      </c>
      <c r="K1387" s="5">
        <v>250.0</v>
      </c>
      <c r="N1387" s="8">
        <v>44521.0</v>
      </c>
    </row>
    <row r="1388">
      <c r="A1388" s="5">
        <v>1387.0</v>
      </c>
      <c r="B1388" s="5" t="s">
        <v>2016</v>
      </c>
      <c r="C1388" s="5" t="s">
        <v>21</v>
      </c>
      <c r="K1388" s="5">
        <v>40.0</v>
      </c>
      <c r="N1388" s="8">
        <v>44893.0</v>
      </c>
    </row>
    <row r="1389">
      <c r="A1389" s="5">
        <v>1388.0</v>
      </c>
      <c r="B1389" s="5" t="s">
        <v>2017</v>
      </c>
      <c r="C1389" s="5" t="s">
        <v>21</v>
      </c>
      <c r="K1389" s="5">
        <v>100.0</v>
      </c>
      <c r="N1389" s="8">
        <v>45559.0</v>
      </c>
    </row>
    <row r="1390">
      <c r="A1390" s="5">
        <v>1389.0</v>
      </c>
      <c r="B1390" s="5" t="s">
        <v>2018</v>
      </c>
      <c r="C1390" s="5" t="s">
        <v>21</v>
      </c>
      <c r="K1390" s="5">
        <v>70.0</v>
      </c>
      <c r="N1390" s="8">
        <v>44180.0</v>
      </c>
    </row>
    <row r="1391">
      <c r="A1391" s="5">
        <v>1390.0</v>
      </c>
      <c r="B1391" s="5" t="s">
        <v>2019</v>
      </c>
      <c r="C1391" s="5" t="s">
        <v>21</v>
      </c>
      <c r="N1391" s="8">
        <v>45675.0</v>
      </c>
    </row>
    <row r="1392">
      <c r="A1392" s="5">
        <v>1391.0</v>
      </c>
      <c r="B1392" s="5" t="s">
        <v>133</v>
      </c>
      <c r="C1392" s="5" t="s">
        <v>21</v>
      </c>
      <c r="K1392" s="5">
        <v>30.0</v>
      </c>
      <c r="N1392" s="8">
        <v>44129.0</v>
      </c>
    </row>
    <row r="1393">
      <c r="A1393" s="5">
        <v>1392.0</v>
      </c>
      <c r="B1393" s="5" t="s">
        <v>2020</v>
      </c>
      <c r="C1393" s="5" t="s">
        <v>21</v>
      </c>
      <c r="K1393" s="5">
        <v>200.0</v>
      </c>
      <c r="N1393" s="8">
        <v>44564.0</v>
      </c>
    </row>
    <row r="1394">
      <c r="A1394" s="5">
        <v>1393.0</v>
      </c>
      <c r="B1394" s="5" t="s">
        <v>2021</v>
      </c>
      <c r="C1394" s="5" t="s">
        <v>21</v>
      </c>
      <c r="K1394" s="5">
        <v>10.0</v>
      </c>
      <c r="N1394" s="8">
        <v>44716.0</v>
      </c>
    </row>
    <row r="1395">
      <c r="A1395" s="5">
        <v>1394.0</v>
      </c>
      <c r="B1395" s="5" t="s">
        <v>2022</v>
      </c>
      <c r="C1395" s="5" t="s">
        <v>21</v>
      </c>
      <c r="K1395" s="5">
        <v>80.0</v>
      </c>
      <c r="N1395" s="8">
        <v>44038.0</v>
      </c>
    </row>
    <row r="1396">
      <c r="A1396" s="5">
        <v>1395.0</v>
      </c>
      <c r="B1396" s="5" t="s">
        <v>2023</v>
      </c>
      <c r="C1396" s="5" t="s">
        <v>21</v>
      </c>
      <c r="K1396" s="5">
        <v>200.0</v>
      </c>
      <c r="N1396" s="8">
        <v>44635.0</v>
      </c>
    </row>
    <row r="1397">
      <c r="A1397" s="5">
        <v>1396.0</v>
      </c>
      <c r="B1397" s="5" t="s">
        <v>2024</v>
      </c>
      <c r="C1397" s="5" t="s">
        <v>21</v>
      </c>
      <c r="K1397" s="5">
        <v>250.0</v>
      </c>
      <c r="N1397" s="8">
        <v>44999.0</v>
      </c>
    </row>
    <row r="1398">
      <c r="A1398" s="5">
        <v>1397.0</v>
      </c>
      <c r="B1398" s="5" t="s">
        <v>2025</v>
      </c>
      <c r="C1398" s="5" t="s">
        <v>21</v>
      </c>
      <c r="K1398" s="5">
        <v>1100.0</v>
      </c>
      <c r="N1398" s="8">
        <v>44885.0</v>
      </c>
    </row>
    <row r="1399">
      <c r="A1399" s="5">
        <v>1398.0</v>
      </c>
      <c r="B1399" s="5" t="s">
        <v>2026</v>
      </c>
      <c r="C1399" s="5" t="s">
        <v>21</v>
      </c>
      <c r="K1399" s="5">
        <v>30.0</v>
      </c>
      <c r="N1399" s="8">
        <v>44457.0</v>
      </c>
    </row>
    <row r="1400">
      <c r="A1400" s="5">
        <v>1399.0</v>
      </c>
      <c r="B1400" s="5" t="s">
        <v>136</v>
      </c>
      <c r="C1400" s="5" t="s">
        <v>21</v>
      </c>
      <c r="K1400" s="5">
        <v>30.0</v>
      </c>
      <c r="N1400" s="8">
        <v>44507.0</v>
      </c>
    </row>
    <row r="1401">
      <c r="A1401" s="5">
        <v>1400.0</v>
      </c>
      <c r="B1401" s="5" t="s">
        <v>2027</v>
      </c>
      <c r="C1401" s="5" t="s">
        <v>21</v>
      </c>
      <c r="K1401" s="5">
        <v>30.0</v>
      </c>
      <c r="N1401" s="8">
        <v>44655.0</v>
      </c>
    </row>
    <row r="1402">
      <c r="A1402" s="5">
        <v>1401.0</v>
      </c>
      <c r="B1402" s="5" t="s">
        <v>2028</v>
      </c>
      <c r="C1402" s="5" t="s">
        <v>21</v>
      </c>
      <c r="K1402" s="5">
        <v>1300.0</v>
      </c>
      <c r="N1402" s="8">
        <v>44070.0</v>
      </c>
    </row>
    <row r="1403">
      <c r="A1403" s="5">
        <v>1402.0</v>
      </c>
      <c r="B1403" s="5" t="s">
        <v>2029</v>
      </c>
      <c r="C1403" s="5" t="s">
        <v>21</v>
      </c>
      <c r="K1403" s="5">
        <v>2200.0</v>
      </c>
      <c r="N1403" s="8">
        <v>43841.0</v>
      </c>
    </row>
    <row r="1404">
      <c r="A1404" s="5">
        <v>1403.0</v>
      </c>
      <c r="B1404" s="5" t="s">
        <v>2030</v>
      </c>
      <c r="C1404" s="5" t="s">
        <v>21</v>
      </c>
      <c r="K1404" s="5">
        <v>450.0</v>
      </c>
      <c r="N1404" s="8">
        <v>44418.0</v>
      </c>
    </row>
    <row r="1405">
      <c r="A1405" s="5">
        <v>1404.0</v>
      </c>
      <c r="B1405" s="5" t="s">
        <v>2031</v>
      </c>
      <c r="C1405" s="5" t="s">
        <v>21</v>
      </c>
      <c r="K1405" s="5">
        <v>30.0</v>
      </c>
      <c r="N1405" s="8">
        <v>44543.0</v>
      </c>
    </row>
    <row r="1406">
      <c r="A1406" s="5">
        <v>1405.0</v>
      </c>
      <c r="B1406" s="5" t="s">
        <v>2032</v>
      </c>
      <c r="C1406" s="5" t="s">
        <v>21</v>
      </c>
      <c r="K1406" s="5">
        <v>200.0</v>
      </c>
      <c r="N1406" s="8">
        <v>44668.0</v>
      </c>
    </row>
    <row r="1407">
      <c r="A1407" s="5">
        <v>1406.0</v>
      </c>
      <c r="B1407" s="5" t="s">
        <v>2033</v>
      </c>
      <c r="C1407" s="5" t="s">
        <v>21</v>
      </c>
      <c r="K1407" s="5">
        <v>900.0</v>
      </c>
      <c r="N1407" s="8">
        <v>44652.0</v>
      </c>
    </row>
    <row r="1408">
      <c r="A1408" s="5">
        <v>1407.0</v>
      </c>
      <c r="B1408" s="5" t="s">
        <v>2034</v>
      </c>
      <c r="C1408" s="5" t="s">
        <v>21</v>
      </c>
      <c r="K1408" s="5">
        <v>9600.0</v>
      </c>
      <c r="N1408" s="8">
        <v>45612.0</v>
      </c>
    </row>
    <row r="1409">
      <c r="A1409" s="5">
        <v>1408.0</v>
      </c>
      <c r="B1409" s="5" t="s">
        <v>2035</v>
      </c>
      <c r="C1409" s="5" t="s">
        <v>21</v>
      </c>
      <c r="N1409" s="8">
        <v>44320.0</v>
      </c>
    </row>
    <row r="1410">
      <c r="A1410" s="5">
        <v>1409.0</v>
      </c>
      <c r="B1410" s="5" t="s">
        <v>2036</v>
      </c>
      <c r="C1410" s="5" t="s">
        <v>21</v>
      </c>
      <c r="K1410" s="5">
        <v>600.0</v>
      </c>
      <c r="N1410" s="8">
        <v>43891.0</v>
      </c>
    </row>
    <row r="1411">
      <c r="A1411" s="5">
        <v>1410.0</v>
      </c>
      <c r="B1411" s="5" t="s">
        <v>2037</v>
      </c>
      <c r="C1411" s="5" t="s">
        <v>21</v>
      </c>
      <c r="K1411" s="5">
        <v>100.0</v>
      </c>
      <c r="N1411" s="8">
        <v>45158.0</v>
      </c>
    </row>
    <row r="1412">
      <c r="A1412" s="5">
        <v>1411.0</v>
      </c>
      <c r="B1412" s="5" t="s">
        <v>2038</v>
      </c>
      <c r="C1412" s="5" t="s">
        <v>21</v>
      </c>
      <c r="K1412" s="5">
        <v>600.0</v>
      </c>
      <c r="N1412" s="8">
        <v>44707.0</v>
      </c>
    </row>
    <row r="1413">
      <c r="A1413" s="5">
        <v>1412.0</v>
      </c>
      <c r="B1413" s="5" t="s">
        <v>2039</v>
      </c>
      <c r="C1413" s="5" t="s">
        <v>21</v>
      </c>
      <c r="K1413" s="5">
        <v>70.0</v>
      </c>
      <c r="N1413" s="8">
        <v>44050.0</v>
      </c>
    </row>
    <row r="1414">
      <c r="A1414" s="5">
        <v>1413.0</v>
      </c>
      <c r="B1414" s="5" t="s">
        <v>2040</v>
      </c>
      <c r="C1414" s="5" t="s">
        <v>21</v>
      </c>
      <c r="K1414" s="5">
        <v>250.0</v>
      </c>
      <c r="N1414" s="8">
        <v>43978.0</v>
      </c>
    </row>
    <row r="1415">
      <c r="A1415" s="5">
        <v>1414.0</v>
      </c>
      <c r="B1415" s="5" t="s">
        <v>2041</v>
      </c>
      <c r="C1415" s="5" t="s">
        <v>21</v>
      </c>
      <c r="K1415" s="5">
        <v>20.0</v>
      </c>
      <c r="N1415" s="8">
        <v>45024.0</v>
      </c>
    </row>
    <row r="1416">
      <c r="A1416" s="5">
        <v>1415.0</v>
      </c>
      <c r="B1416" s="5" t="s">
        <v>140</v>
      </c>
      <c r="C1416" s="5" t="s">
        <v>21</v>
      </c>
      <c r="K1416" s="5">
        <v>350.0</v>
      </c>
      <c r="N1416" s="8">
        <v>43988.0</v>
      </c>
    </row>
    <row r="1417">
      <c r="A1417" s="5">
        <v>1416.0</v>
      </c>
      <c r="B1417" s="5" t="s">
        <v>2042</v>
      </c>
      <c r="C1417" s="5" t="s">
        <v>21</v>
      </c>
      <c r="K1417" s="5">
        <v>300.0</v>
      </c>
      <c r="N1417" s="8">
        <v>44628.0</v>
      </c>
    </row>
    <row r="1418">
      <c r="A1418" s="5">
        <v>1417.0</v>
      </c>
      <c r="B1418" s="5" t="s">
        <v>2043</v>
      </c>
      <c r="C1418" s="5" t="s">
        <v>21</v>
      </c>
      <c r="K1418" s="5">
        <v>300.0</v>
      </c>
      <c r="N1418" s="8">
        <v>44865.0</v>
      </c>
    </row>
    <row r="1419">
      <c r="A1419" s="5">
        <v>1418.0</v>
      </c>
      <c r="B1419" s="5" t="s">
        <v>2044</v>
      </c>
      <c r="C1419" s="5" t="s">
        <v>21</v>
      </c>
      <c r="K1419" s="5">
        <v>2000.0</v>
      </c>
      <c r="N1419" s="8">
        <v>43859.0</v>
      </c>
    </row>
    <row r="1420">
      <c r="A1420" s="5">
        <v>1419.0</v>
      </c>
      <c r="B1420" s="5" t="s">
        <v>2045</v>
      </c>
      <c r="C1420" s="5" t="s">
        <v>21</v>
      </c>
      <c r="K1420" s="5">
        <v>200.0</v>
      </c>
      <c r="N1420" s="8">
        <v>44865.0</v>
      </c>
    </row>
    <row r="1421">
      <c r="A1421" s="5">
        <v>1420.0</v>
      </c>
      <c r="B1421" s="5" t="s">
        <v>2046</v>
      </c>
      <c r="C1421" s="5" t="s">
        <v>21</v>
      </c>
      <c r="K1421" s="5">
        <v>700.0</v>
      </c>
      <c r="N1421" s="8">
        <v>43860.0</v>
      </c>
    </row>
    <row r="1422">
      <c r="A1422" s="5">
        <v>1421.0</v>
      </c>
      <c r="B1422" s="5" t="s">
        <v>2047</v>
      </c>
      <c r="C1422" s="5" t="s">
        <v>21</v>
      </c>
      <c r="K1422" s="5">
        <v>250.0</v>
      </c>
      <c r="N1422" s="8">
        <v>44952.0</v>
      </c>
    </row>
    <row r="1423">
      <c r="A1423" s="5">
        <v>1422.0</v>
      </c>
      <c r="B1423" s="5" t="s">
        <v>2048</v>
      </c>
      <c r="C1423" s="5" t="s">
        <v>21</v>
      </c>
      <c r="K1423" s="5">
        <v>30.0</v>
      </c>
      <c r="N1423" s="8">
        <v>44662.0</v>
      </c>
    </row>
    <row r="1424">
      <c r="A1424" s="5">
        <v>1423.0</v>
      </c>
      <c r="B1424" s="5" t="s">
        <v>2049</v>
      </c>
      <c r="C1424" s="5" t="s">
        <v>21</v>
      </c>
      <c r="K1424" s="5">
        <v>1100.0</v>
      </c>
      <c r="N1424" s="8">
        <v>44416.0</v>
      </c>
    </row>
    <row r="1425">
      <c r="A1425" s="5">
        <v>1424.0</v>
      </c>
      <c r="B1425" s="5" t="s">
        <v>2050</v>
      </c>
      <c r="C1425" s="5" t="s">
        <v>21</v>
      </c>
      <c r="K1425" s="5">
        <v>450.0</v>
      </c>
      <c r="N1425" s="8">
        <v>44717.0</v>
      </c>
    </row>
    <row r="1426">
      <c r="A1426" s="5">
        <v>1425.0</v>
      </c>
      <c r="B1426" s="5" t="s">
        <v>2051</v>
      </c>
      <c r="C1426" s="5" t="s">
        <v>21</v>
      </c>
      <c r="K1426" s="5">
        <v>500.0</v>
      </c>
      <c r="N1426" s="8">
        <v>44019.0</v>
      </c>
    </row>
    <row r="1427">
      <c r="A1427" s="5">
        <v>1426.0</v>
      </c>
      <c r="B1427" s="5" t="s">
        <v>2052</v>
      </c>
      <c r="C1427" s="5" t="s">
        <v>21</v>
      </c>
      <c r="K1427" s="5">
        <v>250.0</v>
      </c>
      <c r="N1427" s="8">
        <v>44536.0</v>
      </c>
    </row>
    <row r="1428">
      <c r="A1428" s="5">
        <v>1427.0</v>
      </c>
      <c r="B1428" s="5" t="s">
        <v>2053</v>
      </c>
      <c r="C1428" s="5" t="s">
        <v>21</v>
      </c>
      <c r="K1428" s="5">
        <v>74000.0</v>
      </c>
      <c r="N1428" s="8">
        <v>44322.0</v>
      </c>
    </row>
    <row r="1429">
      <c r="A1429" s="5">
        <v>1428.0</v>
      </c>
      <c r="B1429" s="5" t="s">
        <v>2054</v>
      </c>
      <c r="C1429" s="5" t="s">
        <v>21</v>
      </c>
      <c r="K1429" s="5">
        <v>300.0</v>
      </c>
      <c r="N1429" s="8">
        <v>43865.0</v>
      </c>
    </row>
    <row r="1430">
      <c r="A1430" s="5">
        <v>1429.0</v>
      </c>
      <c r="B1430" s="5" t="s">
        <v>2055</v>
      </c>
      <c r="C1430" s="5" t="s">
        <v>21</v>
      </c>
      <c r="K1430" s="5">
        <v>800.0</v>
      </c>
      <c r="N1430" s="8">
        <v>44529.0</v>
      </c>
    </row>
    <row r="1431">
      <c r="A1431" s="5">
        <v>1430.0</v>
      </c>
      <c r="B1431" s="5" t="s">
        <v>2056</v>
      </c>
      <c r="C1431" s="5" t="s">
        <v>21</v>
      </c>
      <c r="K1431" s="5">
        <v>90.0</v>
      </c>
      <c r="N1431" s="8">
        <v>44682.0</v>
      </c>
    </row>
    <row r="1432">
      <c r="A1432" s="5">
        <v>1431.0</v>
      </c>
      <c r="B1432" s="5" t="s">
        <v>2057</v>
      </c>
      <c r="C1432" s="5" t="s">
        <v>21</v>
      </c>
      <c r="K1432" s="5">
        <v>40.0</v>
      </c>
      <c r="N1432" s="8">
        <v>45163.0</v>
      </c>
    </row>
    <row r="1433">
      <c r="A1433" s="5">
        <v>1432.0</v>
      </c>
      <c r="B1433" s="5" t="s">
        <v>2058</v>
      </c>
      <c r="C1433" s="5" t="s">
        <v>21</v>
      </c>
      <c r="K1433" s="5">
        <v>500.0</v>
      </c>
      <c r="N1433" s="8">
        <v>44966.0</v>
      </c>
    </row>
    <row r="1434">
      <c r="A1434" s="5">
        <v>1433.0</v>
      </c>
      <c r="B1434" s="5" t="s">
        <v>2059</v>
      </c>
      <c r="C1434" s="5" t="s">
        <v>21</v>
      </c>
      <c r="K1434" s="5">
        <v>90.0</v>
      </c>
      <c r="N1434" s="8">
        <v>44718.0</v>
      </c>
    </row>
    <row r="1435">
      <c r="A1435" s="5">
        <v>1434.0</v>
      </c>
      <c r="B1435" s="5" t="s">
        <v>2060</v>
      </c>
      <c r="C1435" s="5" t="s">
        <v>21</v>
      </c>
      <c r="K1435" s="5">
        <v>250.0</v>
      </c>
      <c r="N1435" s="8">
        <v>44299.0</v>
      </c>
    </row>
    <row r="1436">
      <c r="A1436" s="5">
        <v>1435.0</v>
      </c>
      <c r="B1436" s="5" t="s">
        <v>2061</v>
      </c>
      <c r="C1436" s="5" t="s">
        <v>21</v>
      </c>
      <c r="K1436" s="5">
        <v>60.0</v>
      </c>
      <c r="N1436" s="8">
        <v>45192.0</v>
      </c>
    </row>
    <row r="1437">
      <c r="A1437" s="5">
        <v>1436.0</v>
      </c>
      <c r="B1437" s="5" t="s">
        <v>2062</v>
      </c>
      <c r="C1437" s="5" t="s">
        <v>21</v>
      </c>
      <c r="K1437" s="5">
        <v>250.0</v>
      </c>
      <c r="N1437" s="8">
        <v>45427.0</v>
      </c>
    </row>
    <row r="1438">
      <c r="A1438" s="5">
        <v>1437.0</v>
      </c>
      <c r="B1438" s="5" t="s">
        <v>2063</v>
      </c>
      <c r="C1438" s="5" t="s">
        <v>21</v>
      </c>
      <c r="K1438" s="5">
        <v>800.0</v>
      </c>
      <c r="N1438" s="8">
        <v>44075.0</v>
      </c>
    </row>
    <row r="1439">
      <c r="A1439" s="5">
        <v>1438.0</v>
      </c>
      <c r="B1439" s="5" t="s">
        <v>2064</v>
      </c>
      <c r="C1439" s="5" t="s">
        <v>21</v>
      </c>
      <c r="K1439" s="5">
        <v>300.0</v>
      </c>
      <c r="N1439" s="8">
        <v>44249.0</v>
      </c>
    </row>
    <row r="1440">
      <c r="A1440" s="5">
        <v>1439.0</v>
      </c>
      <c r="B1440" s="5" t="s">
        <v>2065</v>
      </c>
      <c r="C1440" s="5" t="s">
        <v>21</v>
      </c>
      <c r="K1440" s="5">
        <v>90.0</v>
      </c>
      <c r="N1440" s="8">
        <v>45659.0</v>
      </c>
    </row>
    <row r="1441">
      <c r="A1441" s="5">
        <v>1440.0</v>
      </c>
      <c r="B1441" s="5" t="s">
        <v>2066</v>
      </c>
      <c r="C1441" s="5" t="s">
        <v>21</v>
      </c>
      <c r="K1441" s="5">
        <v>500.0</v>
      </c>
      <c r="N1441" s="8">
        <v>44180.0</v>
      </c>
    </row>
    <row r="1442">
      <c r="A1442" s="5">
        <v>1441.0</v>
      </c>
      <c r="B1442" s="5" t="s">
        <v>2067</v>
      </c>
      <c r="C1442" s="5" t="s">
        <v>21</v>
      </c>
      <c r="K1442" s="5">
        <v>80.0</v>
      </c>
      <c r="N1442" s="8">
        <v>44182.0</v>
      </c>
    </row>
    <row r="1443">
      <c r="A1443" s="5">
        <v>1442.0</v>
      </c>
      <c r="B1443" s="5" t="s">
        <v>2068</v>
      </c>
      <c r="C1443" s="5" t="s">
        <v>21</v>
      </c>
      <c r="K1443" s="5">
        <v>600.0</v>
      </c>
      <c r="N1443" s="8">
        <v>44521.0</v>
      </c>
    </row>
    <row r="1444">
      <c r="A1444" s="5">
        <v>1443.0</v>
      </c>
      <c r="B1444" s="5" t="s">
        <v>2069</v>
      </c>
      <c r="C1444" s="5" t="s">
        <v>21</v>
      </c>
      <c r="K1444" s="5">
        <v>300.0</v>
      </c>
      <c r="N1444" s="8">
        <v>44777.0</v>
      </c>
    </row>
    <row r="1445">
      <c r="A1445" s="5">
        <v>1444.0</v>
      </c>
      <c r="B1445" s="5" t="s">
        <v>2070</v>
      </c>
      <c r="C1445" s="5" t="s">
        <v>21</v>
      </c>
      <c r="K1445" s="5">
        <v>500.0</v>
      </c>
      <c r="N1445" s="8">
        <v>44344.0</v>
      </c>
    </row>
    <row r="1446">
      <c r="A1446" s="5">
        <v>1445.0</v>
      </c>
      <c r="B1446" s="5" t="s">
        <v>2071</v>
      </c>
      <c r="C1446" s="5" t="s">
        <v>21</v>
      </c>
      <c r="K1446" s="5">
        <v>100.0</v>
      </c>
      <c r="N1446" s="8">
        <v>43904.0</v>
      </c>
    </row>
    <row r="1447">
      <c r="A1447" s="5">
        <v>1446.0</v>
      </c>
      <c r="B1447" s="5" t="s">
        <v>2072</v>
      </c>
      <c r="C1447" s="5" t="s">
        <v>21</v>
      </c>
      <c r="K1447" s="5">
        <v>300.0</v>
      </c>
      <c r="N1447" s="8">
        <v>44535.0</v>
      </c>
    </row>
    <row r="1448">
      <c r="A1448" s="5">
        <v>1447.0</v>
      </c>
      <c r="B1448" s="5" t="s">
        <v>2073</v>
      </c>
      <c r="C1448" s="5" t="s">
        <v>21</v>
      </c>
      <c r="K1448" s="5">
        <v>300.0</v>
      </c>
      <c r="N1448" s="8">
        <v>45032.0</v>
      </c>
    </row>
    <row r="1449">
      <c r="A1449" s="5">
        <v>1448.0</v>
      </c>
      <c r="B1449" s="5" t="s">
        <v>2074</v>
      </c>
      <c r="C1449" s="5" t="s">
        <v>21</v>
      </c>
      <c r="K1449" s="5">
        <v>60.0</v>
      </c>
      <c r="N1449" s="8">
        <v>44286.0</v>
      </c>
    </row>
    <row r="1450">
      <c r="A1450" s="5">
        <v>1449.0</v>
      </c>
      <c r="B1450" s="5" t="s">
        <v>2075</v>
      </c>
      <c r="C1450" s="5" t="s">
        <v>21</v>
      </c>
      <c r="K1450" s="5">
        <v>80.0</v>
      </c>
      <c r="N1450" s="8">
        <v>44156.0</v>
      </c>
    </row>
    <row r="1451">
      <c r="A1451" s="5">
        <v>1450.0</v>
      </c>
      <c r="B1451" s="5" t="s">
        <v>2076</v>
      </c>
      <c r="C1451" s="5" t="s">
        <v>21</v>
      </c>
      <c r="K1451" s="5">
        <v>400.0</v>
      </c>
      <c r="N1451" s="8">
        <v>44687.0</v>
      </c>
    </row>
    <row r="1452">
      <c r="A1452" s="5">
        <v>1451.0</v>
      </c>
      <c r="B1452" s="5" t="s">
        <v>2077</v>
      </c>
      <c r="C1452" s="5" t="s">
        <v>21</v>
      </c>
      <c r="K1452" s="5">
        <v>250.0</v>
      </c>
      <c r="N1452" s="8">
        <v>45374.0</v>
      </c>
    </row>
    <row r="1453">
      <c r="A1453" s="5">
        <v>1452.0</v>
      </c>
      <c r="B1453" s="5" t="s">
        <v>2078</v>
      </c>
      <c r="C1453" s="5" t="s">
        <v>21</v>
      </c>
      <c r="K1453" s="5">
        <v>150.0</v>
      </c>
      <c r="N1453" s="8">
        <v>45656.0</v>
      </c>
    </row>
    <row r="1454">
      <c r="A1454" s="5">
        <v>1453.0</v>
      </c>
      <c r="B1454" s="5" t="s">
        <v>2079</v>
      </c>
      <c r="C1454" s="5" t="s">
        <v>21</v>
      </c>
      <c r="K1454" s="5">
        <v>300.0</v>
      </c>
      <c r="N1454" s="8">
        <v>44531.0</v>
      </c>
    </row>
    <row r="1455">
      <c r="A1455" s="5">
        <v>1454.0</v>
      </c>
      <c r="B1455" s="5" t="s">
        <v>2080</v>
      </c>
      <c r="C1455" s="5" t="s">
        <v>21</v>
      </c>
      <c r="K1455" s="5">
        <v>150.0</v>
      </c>
      <c r="N1455" s="8">
        <v>45278.0</v>
      </c>
    </row>
    <row r="1456">
      <c r="A1456" s="5">
        <v>1455.0</v>
      </c>
      <c r="B1456" s="5" t="s">
        <v>143</v>
      </c>
      <c r="C1456" s="5" t="s">
        <v>21</v>
      </c>
      <c r="K1456" s="5">
        <v>450.0</v>
      </c>
      <c r="N1456" s="8">
        <v>45032.0</v>
      </c>
    </row>
    <row r="1457">
      <c r="A1457" s="5">
        <v>1456.0</v>
      </c>
      <c r="B1457" s="5" t="s">
        <v>2081</v>
      </c>
      <c r="C1457" s="5" t="s">
        <v>21</v>
      </c>
      <c r="K1457" s="5">
        <v>500.0</v>
      </c>
      <c r="N1457" s="8">
        <v>44400.0</v>
      </c>
    </row>
    <row r="1458">
      <c r="A1458" s="5">
        <v>1457.0</v>
      </c>
      <c r="B1458" s="5" t="s">
        <v>2082</v>
      </c>
      <c r="C1458" s="5" t="s">
        <v>21</v>
      </c>
      <c r="K1458" s="5">
        <v>400.0</v>
      </c>
      <c r="N1458" s="8">
        <v>45058.0</v>
      </c>
    </row>
    <row r="1459">
      <c r="A1459" s="5">
        <v>1458.0</v>
      </c>
      <c r="B1459" s="5" t="s">
        <v>2083</v>
      </c>
      <c r="C1459" s="5" t="s">
        <v>21</v>
      </c>
      <c r="K1459" s="5">
        <v>300.0</v>
      </c>
      <c r="N1459" s="8">
        <v>44571.0</v>
      </c>
    </row>
    <row r="1460">
      <c r="A1460" s="5">
        <v>1459.0</v>
      </c>
      <c r="B1460" s="5" t="s">
        <v>2084</v>
      </c>
      <c r="C1460" s="5" t="s">
        <v>21</v>
      </c>
      <c r="K1460" s="5">
        <v>250.0</v>
      </c>
      <c r="N1460" s="8">
        <v>44526.0</v>
      </c>
    </row>
    <row r="1461">
      <c r="A1461" s="5">
        <v>1460.0</v>
      </c>
      <c r="B1461" s="5" t="s">
        <v>2085</v>
      </c>
      <c r="C1461" s="5" t="s">
        <v>21</v>
      </c>
      <c r="K1461" s="5">
        <v>150.0</v>
      </c>
      <c r="N1461" s="8">
        <v>45401.0</v>
      </c>
    </row>
    <row r="1462">
      <c r="A1462" s="5">
        <v>1461.0</v>
      </c>
      <c r="B1462" s="5" t="s">
        <v>2086</v>
      </c>
      <c r="C1462" s="5" t="s">
        <v>21</v>
      </c>
      <c r="K1462" s="5">
        <v>450.0</v>
      </c>
      <c r="N1462" s="8">
        <v>44575.0</v>
      </c>
    </row>
    <row r="1463">
      <c r="A1463" s="5">
        <v>1462.0</v>
      </c>
      <c r="B1463" s="5" t="s">
        <v>2087</v>
      </c>
      <c r="C1463" s="5" t="s">
        <v>21</v>
      </c>
      <c r="K1463" s="5">
        <v>350.0</v>
      </c>
      <c r="N1463" s="8">
        <v>44567.0</v>
      </c>
    </row>
    <row r="1464">
      <c r="A1464" s="5">
        <v>1463.0</v>
      </c>
      <c r="B1464" s="5" t="s">
        <v>2088</v>
      </c>
      <c r="C1464" s="5" t="s">
        <v>21</v>
      </c>
      <c r="K1464" s="5">
        <v>1900.0</v>
      </c>
      <c r="N1464" s="8">
        <v>46119.0</v>
      </c>
    </row>
    <row r="1465">
      <c r="A1465" s="5">
        <v>1464.0</v>
      </c>
      <c r="B1465" s="5" t="s">
        <v>2089</v>
      </c>
      <c r="C1465" s="5" t="s">
        <v>21</v>
      </c>
      <c r="K1465" s="5">
        <v>100.0</v>
      </c>
      <c r="N1465" s="8">
        <v>44727.0</v>
      </c>
    </row>
    <row r="1466">
      <c r="A1466" s="5">
        <v>1465.0</v>
      </c>
      <c r="B1466" s="5" t="s">
        <v>2090</v>
      </c>
      <c r="C1466" s="5" t="s">
        <v>21</v>
      </c>
      <c r="K1466" s="5">
        <v>200.0</v>
      </c>
      <c r="N1466" s="8">
        <v>44598.0</v>
      </c>
    </row>
    <row r="1467">
      <c r="A1467" s="5">
        <v>1466.0</v>
      </c>
      <c r="B1467" s="5" t="s">
        <v>2091</v>
      </c>
      <c r="C1467" s="5" t="s">
        <v>21</v>
      </c>
      <c r="K1467" s="5">
        <v>1300.0</v>
      </c>
      <c r="N1467" s="8">
        <v>44371.0</v>
      </c>
    </row>
    <row r="1468">
      <c r="A1468" s="5">
        <v>1467.0</v>
      </c>
      <c r="B1468" s="5" t="s">
        <v>2092</v>
      </c>
      <c r="C1468" s="5" t="s">
        <v>21</v>
      </c>
      <c r="K1468" s="5">
        <v>250.0</v>
      </c>
      <c r="N1468" s="8">
        <v>44618.0</v>
      </c>
    </row>
    <row r="1469">
      <c r="A1469" s="5">
        <v>1468.0</v>
      </c>
      <c r="B1469" s="5" t="s">
        <v>2093</v>
      </c>
      <c r="C1469" s="5" t="s">
        <v>21</v>
      </c>
      <c r="K1469" s="5">
        <v>250.0</v>
      </c>
      <c r="N1469" s="8">
        <v>44738.0</v>
      </c>
    </row>
    <row r="1470">
      <c r="A1470" s="5">
        <v>1469.0</v>
      </c>
      <c r="B1470" s="5" t="s">
        <v>2094</v>
      </c>
      <c r="C1470" s="5" t="s">
        <v>21</v>
      </c>
      <c r="K1470" s="5">
        <v>500.0</v>
      </c>
      <c r="N1470" s="8">
        <v>44361.0</v>
      </c>
    </row>
    <row r="1471">
      <c r="A1471" s="5">
        <v>1470.0</v>
      </c>
      <c r="B1471" s="5" t="s">
        <v>2095</v>
      </c>
      <c r="C1471" s="5" t="s">
        <v>21</v>
      </c>
      <c r="K1471" s="5">
        <v>250.0</v>
      </c>
      <c r="N1471" s="8">
        <v>44663.0</v>
      </c>
    </row>
    <row r="1472">
      <c r="A1472" s="5">
        <v>1471.0</v>
      </c>
      <c r="B1472" s="5" t="s">
        <v>2096</v>
      </c>
      <c r="C1472" s="5" t="s">
        <v>21</v>
      </c>
      <c r="K1472" s="5">
        <v>30.0</v>
      </c>
      <c r="N1472" s="8">
        <v>45376.0</v>
      </c>
    </row>
    <row r="1473">
      <c r="A1473" s="5">
        <v>1472.0</v>
      </c>
      <c r="B1473" s="5" t="s">
        <v>2097</v>
      </c>
      <c r="C1473" s="5" t="s">
        <v>21</v>
      </c>
      <c r="K1473" s="5">
        <v>700.0</v>
      </c>
      <c r="N1473" s="8">
        <v>44595.0</v>
      </c>
    </row>
    <row r="1474">
      <c r="A1474" s="5">
        <v>1473.0</v>
      </c>
      <c r="B1474" s="5" t="s">
        <v>2098</v>
      </c>
      <c r="C1474" s="5" t="s">
        <v>21</v>
      </c>
      <c r="K1474" s="5">
        <v>600.0</v>
      </c>
      <c r="N1474" s="8">
        <v>44047.0</v>
      </c>
    </row>
    <row r="1475">
      <c r="A1475" s="5">
        <v>1474.0</v>
      </c>
      <c r="B1475" s="5" t="s">
        <v>2099</v>
      </c>
      <c r="C1475" s="5" t="s">
        <v>21</v>
      </c>
      <c r="K1475" s="5">
        <v>1000.0</v>
      </c>
      <c r="N1475" s="8">
        <v>44559.0</v>
      </c>
    </row>
    <row r="1476">
      <c r="A1476" s="5">
        <v>1475.0</v>
      </c>
      <c r="B1476" s="5" t="s">
        <v>2100</v>
      </c>
      <c r="C1476" s="5" t="s">
        <v>21</v>
      </c>
      <c r="K1476" s="5">
        <v>100.0</v>
      </c>
      <c r="N1476" s="8">
        <v>45627.0</v>
      </c>
    </row>
    <row r="1477">
      <c r="A1477" s="5">
        <v>1476.0</v>
      </c>
      <c r="B1477" s="5" t="s">
        <v>2101</v>
      </c>
      <c r="C1477" s="5" t="s">
        <v>21</v>
      </c>
      <c r="K1477" s="5">
        <v>1100.0</v>
      </c>
      <c r="N1477" s="8">
        <v>43850.0</v>
      </c>
    </row>
    <row r="1478">
      <c r="A1478" s="5">
        <v>1477.0</v>
      </c>
      <c r="B1478" s="5" t="s">
        <v>2102</v>
      </c>
      <c r="C1478" s="5" t="s">
        <v>21</v>
      </c>
      <c r="K1478" s="5">
        <v>250.0</v>
      </c>
      <c r="N1478" s="8">
        <v>44546.0</v>
      </c>
    </row>
    <row r="1479">
      <c r="A1479" s="5">
        <v>1478.0</v>
      </c>
      <c r="B1479" s="5" t="s">
        <v>2103</v>
      </c>
      <c r="C1479" s="5" t="s">
        <v>21</v>
      </c>
      <c r="K1479" s="5">
        <v>150.0</v>
      </c>
      <c r="N1479" s="8">
        <v>43869.0</v>
      </c>
    </row>
    <row r="1480">
      <c r="A1480" s="5">
        <v>1479.0</v>
      </c>
      <c r="B1480" s="5" t="s">
        <v>2104</v>
      </c>
      <c r="C1480" s="5" t="s">
        <v>21</v>
      </c>
      <c r="K1480" s="5">
        <v>500.0</v>
      </c>
      <c r="N1480" s="8">
        <v>44530.0</v>
      </c>
    </row>
    <row r="1481">
      <c r="A1481" s="5">
        <v>1480.0</v>
      </c>
      <c r="B1481" s="5" t="s">
        <v>2105</v>
      </c>
      <c r="C1481" s="5" t="s">
        <v>21</v>
      </c>
      <c r="K1481" s="5">
        <v>200.0</v>
      </c>
      <c r="N1481" s="8">
        <v>44648.0</v>
      </c>
    </row>
    <row r="1482">
      <c r="A1482" s="5">
        <v>1481.0</v>
      </c>
      <c r="B1482" s="5" t="s">
        <v>2106</v>
      </c>
      <c r="C1482" s="5" t="s">
        <v>21</v>
      </c>
      <c r="K1482" s="5">
        <v>100.0</v>
      </c>
      <c r="N1482" s="8">
        <v>44458.0</v>
      </c>
    </row>
    <row r="1483">
      <c r="A1483" s="5">
        <v>1482.0</v>
      </c>
      <c r="B1483" s="5" t="s">
        <v>2107</v>
      </c>
      <c r="C1483" s="5" t="s">
        <v>21</v>
      </c>
      <c r="K1483" s="5">
        <v>10.0</v>
      </c>
      <c r="N1483" s="8">
        <v>43873.0</v>
      </c>
    </row>
    <row r="1484">
      <c r="A1484" s="5">
        <v>1483.0</v>
      </c>
      <c r="B1484" s="5" t="s">
        <v>2108</v>
      </c>
      <c r="C1484" s="5" t="s">
        <v>21</v>
      </c>
      <c r="K1484" s="5">
        <v>150.0</v>
      </c>
      <c r="N1484" s="8">
        <v>44351.0</v>
      </c>
    </row>
    <row r="1485">
      <c r="A1485" s="5">
        <v>1484.0</v>
      </c>
      <c r="B1485" s="5" t="s">
        <v>2109</v>
      </c>
      <c r="C1485" s="5" t="s">
        <v>21</v>
      </c>
      <c r="N1485" s="8">
        <v>44545.0</v>
      </c>
    </row>
    <row r="1486">
      <c r="A1486" s="5">
        <v>1485.0</v>
      </c>
      <c r="B1486" s="5" t="s">
        <v>146</v>
      </c>
      <c r="C1486" s="5" t="s">
        <v>21</v>
      </c>
      <c r="K1486" s="5">
        <v>30.0</v>
      </c>
      <c r="N1486" s="8">
        <v>44466.0</v>
      </c>
    </row>
    <row r="1487">
      <c r="A1487" s="5">
        <v>1486.0</v>
      </c>
      <c r="B1487" s="5" t="s">
        <v>2110</v>
      </c>
      <c r="C1487" s="5" t="s">
        <v>21</v>
      </c>
      <c r="K1487" s="5">
        <v>200.0</v>
      </c>
      <c r="N1487" s="8">
        <v>43908.0</v>
      </c>
    </row>
    <row r="1488">
      <c r="A1488" s="5">
        <v>1487.0</v>
      </c>
      <c r="B1488" s="5" t="s">
        <v>2111</v>
      </c>
      <c r="C1488" s="5" t="s">
        <v>21</v>
      </c>
      <c r="K1488" s="5">
        <v>250.0</v>
      </c>
      <c r="N1488" s="8">
        <v>44597.0</v>
      </c>
    </row>
    <row r="1489">
      <c r="A1489" s="5">
        <v>1488.0</v>
      </c>
      <c r="B1489" s="5" t="s">
        <v>151</v>
      </c>
      <c r="C1489" s="5" t="s">
        <v>21</v>
      </c>
      <c r="K1489" s="5">
        <v>300.0</v>
      </c>
      <c r="N1489" s="8">
        <v>44310.0</v>
      </c>
    </row>
    <row r="1490">
      <c r="A1490" s="5">
        <v>1489.0</v>
      </c>
      <c r="B1490" s="5" t="s">
        <v>2112</v>
      </c>
      <c r="C1490" s="5" t="s">
        <v>21</v>
      </c>
      <c r="K1490" s="5">
        <v>400.0</v>
      </c>
      <c r="N1490" s="8">
        <v>45501.0</v>
      </c>
    </row>
    <row r="1491">
      <c r="A1491" s="5">
        <v>1490.0</v>
      </c>
      <c r="B1491" s="5" t="s">
        <v>154</v>
      </c>
      <c r="C1491" s="5" t="s">
        <v>21</v>
      </c>
      <c r="K1491" s="5">
        <v>5300.0</v>
      </c>
      <c r="N1491" s="8">
        <v>43908.0</v>
      </c>
    </row>
    <row r="1492">
      <c r="A1492" s="5">
        <v>1491.0</v>
      </c>
      <c r="B1492" s="5" t="s">
        <v>148</v>
      </c>
      <c r="C1492" s="5" t="s">
        <v>21</v>
      </c>
      <c r="K1492" s="5">
        <v>1300.0</v>
      </c>
      <c r="N1492" s="8">
        <v>43949.0</v>
      </c>
    </row>
    <row r="1493">
      <c r="A1493" s="5">
        <v>1492.0</v>
      </c>
      <c r="B1493" s="5" t="s">
        <v>2113</v>
      </c>
      <c r="C1493" s="5" t="s">
        <v>21</v>
      </c>
      <c r="K1493" s="5">
        <v>800.0</v>
      </c>
      <c r="N1493" s="8">
        <v>44460.0</v>
      </c>
    </row>
    <row r="1494">
      <c r="A1494" s="5">
        <v>1493.0</v>
      </c>
      <c r="B1494" s="5" t="s">
        <v>2114</v>
      </c>
      <c r="C1494" s="5" t="s">
        <v>21</v>
      </c>
      <c r="K1494" s="5">
        <v>300.0</v>
      </c>
      <c r="N1494" s="8">
        <v>45362.0</v>
      </c>
    </row>
    <row r="1495">
      <c r="A1495" s="5">
        <v>1494.0</v>
      </c>
      <c r="B1495" s="5" t="s">
        <v>2115</v>
      </c>
      <c r="C1495" s="5" t="s">
        <v>21</v>
      </c>
      <c r="K1495" s="5">
        <v>200.0</v>
      </c>
      <c r="N1495" s="8">
        <v>44712.0</v>
      </c>
    </row>
    <row r="1496">
      <c r="A1496" s="5">
        <v>1495.0</v>
      </c>
      <c r="B1496" s="5" t="s">
        <v>2116</v>
      </c>
      <c r="C1496" s="5" t="s">
        <v>21</v>
      </c>
      <c r="K1496" s="5">
        <v>400.0</v>
      </c>
      <c r="N1496" s="8">
        <v>44775.0</v>
      </c>
    </row>
    <row r="1497">
      <c r="A1497" s="5">
        <v>1496.0</v>
      </c>
      <c r="B1497" s="5" t="s">
        <v>2117</v>
      </c>
      <c r="C1497" s="5" t="s">
        <v>21</v>
      </c>
      <c r="K1497" s="5">
        <v>60.0</v>
      </c>
      <c r="N1497" s="8">
        <v>45045.0</v>
      </c>
    </row>
    <row r="1498">
      <c r="A1498" s="5">
        <v>1497.0</v>
      </c>
      <c r="B1498" s="5" t="s">
        <v>2118</v>
      </c>
      <c r="C1498" s="5" t="s">
        <v>21</v>
      </c>
      <c r="K1498" s="5">
        <v>300.0</v>
      </c>
      <c r="N1498" s="8">
        <v>45349.0</v>
      </c>
    </row>
    <row r="1499">
      <c r="A1499" s="5">
        <v>1498.0</v>
      </c>
      <c r="B1499" s="5" t="s">
        <v>2119</v>
      </c>
      <c r="C1499" s="5" t="s">
        <v>21</v>
      </c>
      <c r="K1499" s="5">
        <v>90.0</v>
      </c>
      <c r="N1499" s="8">
        <v>44663.0</v>
      </c>
    </row>
    <row r="1500">
      <c r="A1500" s="5">
        <v>1499.0</v>
      </c>
      <c r="B1500" s="5" t="s">
        <v>2120</v>
      </c>
      <c r="C1500" s="5" t="s">
        <v>21</v>
      </c>
      <c r="K1500" s="5">
        <v>400.0</v>
      </c>
      <c r="N1500" s="8">
        <v>44622.0</v>
      </c>
    </row>
    <row r="1501">
      <c r="A1501" s="5">
        <v>1500.0</v>
      </c>
      <c r="B1501" s="5" t="s">
        <v>2121</v>
      </c>
      <c r="C1501" s="5" t="s">
        <v>21</v>
      </c>
      <c r="K1501" s="5">
        <v>450.0</v>
      </c>
      <c r="N1501" s="8">
        <v>44119.0</v>
      </c>
    </row>
    <row r="1502">
      <c r="A1502" s="5">
        <v>1501.0</v>
      </c>
      <c r="B1502" s="5" t="s">
        <v>2122</v>
      </c>
      <c r="C1502" s="5" t="s">
        <v>21</v>
      </c>
      <c r="K1502" s="5">
        <v>150.0</v>
      </c>
      <c r="N1502" s="8">
        <v>44543.0</v>
      </c>
    </row>
    <row r="1503">
      <c r="A1503" s="5">
        <v>1502.0</v>
      </c>
      <c r="B1503" s="5" t="s">
        <v>2123</v>
      </c>
      <c r="C1503" s="5" t="s">
        <v>21</v>
      </c>
      <c r="K1503" s="5">
        <v>800.0</v>
      </c>
      <c r="N1503" s="8">
        <v>44237.0</v>
      </c>
    </row>
    <row r="1504">
      <c r="A1504" s="5">
        <v>1503.0</v>
      </c>
      <c r="B1504" s="5" t="s">
        <v>2124</v>
      </c>
      <c r="C1504" s="5" t="s">
        <v>21</v>
      </c>
      <c r="K1504" s="5">
        <v>1300.0</v>
      </c>
      <c r="N1504" s="8">
        <v>44284.0</v>
      </c>
    </row>
    <row r="1505">
      <c r="A1505" s="5">
        <v>1504.0</v>
      </c>
      <c r="B1505" s="5" t="s">
        <v>2125</v>
      </c>
      <c r="C1505" s="5" t="s">
        <v>21</v>
      </c>
      <c r="K1505" s="5">
        <v>150.0</v>
      </c>
      <c r="N1505" s="8">
        <v>44526.0</v>
      </c>
    </row>
    <row r="1506">
      <c r="A1506" s="5">
        <v>1505.0</v>
      </c>
      <c r="B1506" s="5" t="s">
        <v>2126</v>
      </c>
      <c r="C1506" s="5" t="s">
        <v>21</v>
      </c>
      <c r="K1506" s="5">
        <v>150.0</v>
      </c>
      <c r="N1506" s="8">
        <v>45065.0</v>
      </c>
    </row>
    <row r="1507">
      <c r="A1507" s="5">
        <v>1506.0</v>
      </c>
      <c r="B1507" s="5" t="s">
        <v>2127</v>
      </c>
      <c r="C1507" s="5" t="s">
        <v>21</v>
      </c>
      <c r="K1507" s="5">
        <v>1000.0</v>
      </c>
      <c r="N1507" s="8">
        <v>44061.0</v>
      </c>
    </row>
    <row r="1508">
      <c r="A1508" s="5">
        <v>1507.0</v>
      </c>
      <c r="B1508" s="5" t="s">
        <v>2128</v>
      </c>
      <c r="C1508" s="5" t="s">
        <v>21</v>
      </c>
      <c r="K1508" s="5">
        <v>400.0</v>
      </c>
      <c r="N1508" s="8">
        <v>45101.0</v>
      </c>
    </row>
    <row r="1509">
      <c r="A1509" s="5">
        <v>1508.0</v>
      </c>
      <c r="B1509" s="5" t="s">
        <v>2129</v>
      </c>
      <c r="C1509" s="5" t="s">
        <v>21</v>
      </c>
      <c r="K1509" s="5">
        <v>250.0</v>
      </c>
      <c r="N1509" s="8">
        <v>45130.0</v>
      </c>
    </row>
    <row r="1510">
      <c r="A1510" s="5">
        <v>1509.0</v>
      </c>
      <c r="B1510" s="5" t="s">
        <v>2130</v>
      </c>
      <c r="C1510" s="5" t="s">
        <v>21</v>
      </c>
      <c r="K1510" s="5">
        <v>200.0</v>
      </c>
      <c r="N1510" s="8">
        <v>45279.0</v>
      </c>
    </row>
    <row r="1511">
      <c r="A1511" s="5">
        <v>1510.0</v>
      </c>
      <c r="B1511" s="5" t="s">
        <v>2131</v>
      </c>
      <c r="C1511" s="5" t="s">
        <v>21</v>
      </c>
      <c r="K1511" s="5">
        <v>450.0</v>
      </c>
      <c r="N1511" s="8">
        <v>43843.0</v>
      </c>
    </row>
    <row r="1512">
      <c r="A1512" s="5">
        <v>1511.0</v>
      </c>
      <c r="B1512" s="5" t="s">
        <v>156</v>
      </c>
      <c r="C1512" s="5" t="s">
        <v>21</v>
      </c>
      <c r="K1512" s="5">
        <v>14000.0</v>
      </c>
      <c r="N1512" s="8">
        <v>43362.0</v>
      </c>
    </row>
    <row r="1513">
      <c r="A1513" s="5">
        <v>1512.0</v>
      </c>
      <c r="B1513" s="5" t="s">
        <v>2132</v>
      </c>
      <c r="C1513" s="5" t="s">
        <v>21</v>
      </c>
      <c r="K1513" s="5">
        <v>150.0</v>
      </c>
      <c r="N1513" s="8">
        <v>44789.0</v>
      </c>
    </row>
    <row r="1514">
      <c r="A1514" s="5">
        <v>1513.0</v>
      </c>
      <c r="B1514" s="5" t="s">
        <v>2133</v>
      </c>
      <c r="C1514" s="5" t="s">
        <v>21</v>
      </c>
      <c r="K1514" s="5">
        <v>40.0</v>
      </c>
      <c r="N1514" s="8">
        <v>44550.0</v>
      </c>
    </row>
    <row r="1515">
      <c r="A1515" s="5">
        <v>1514.0</v>
      </c>
      <c r="B1515" s="5" t="s">
        <v>2134</v>
      </c>
      <c r="C1515" s="5" t="s">
        <v>21</v>
      </c>
      <c r="K1515" s="5">
        <v>20.0</v>
      </c>
      <c r="N1515" s="8">
        <v>44563.0</v>
      </c>
    </row>
    <row r="1516">
      <c r="A1516" s="5">
        <v>1515.0</v>
      </c>
      <c r="B1516" s="5" t="s">
        <v>2135</v>
      </c>
      <c r="C1516" s="5" t="s">
        <v>21</v>
      </c>
      <c r="K1516" s="5">
        <v>100.0</v>
      </c>
      <c r="N1516" s="8">
        <v>45352.0</v>
      </c>
    </row>
    <row r="1517">
      <c r="A1517" s="5">
        <v>1516.0</v>
      </c>
      <c r="B1517" s="5" t="s">
        <v>2136</v>
      </c>
      <c r="C1517" s="5" t="s">
        <v>21</v>
      </c>
      <c r="K1517" s="5">
        <v>20000.0</v>
      </c>
      <c r="N1517" s="8">
        <v>42983.0</v>
      </c>
    </row>
    <row r="1518">
      <c r="A1518" s="5">
        <v>1517.0</v>
      </c>
      <c r="B1518" s="5" t="s">
        <v>2137</v>
      </c>
      <c r="C1518" s="5" t="s">
        <v>21</v>
      </c>
      <c r="K1518" s="5">
        <v>20.0</v>
      </c>
      <c r="N1518" s="8">
        <v>44757.0</v>
      </c>
    </row>
    <row r="1519">
      <c r="A1519" s="5">
        <v>1518.0</v>
      </c>
      <c r="B1519" s="5" t="s">
        <v>157</v>
      </c>
      <c r="C1519" s="5" t="s">
        <v>21</v>
      </c>
      <c r="K1519" s="5">
        <v>16000.0</v>
      </c>
      <c r="N1519" s="8">
        <v>45458.0</v>
      </c>
    </row>
    <row r="1520">
      <c r="A1520" s="5">
        <v>1519.0</v>
      </c>
      <c r="B1520" s="5" t="s">
        <v>2138</v>
      </c>
      <c r="C1520" s="5" t="s">
        <v>21</v>
      </c>
      <c r="K1520" s="5">
        <v>600.0</v>
      </c>
      <c r="N1520" s="8">
        <v>44685.0</v>
      </c>
    </row>
    <row r="1521">
      <c r="A1521" s="5">
        <v>1520.0</v>
      </c>
      <c r="B1521" s="5" t="s">
        <v>2139</v>
      </c>
      <c r="C1521" s="5" t="s">
        <v>21</v>
      </c>
      <c r="K1521" s="5">
        <v>600.0</v>
      </c>
      <c r="N1521" s="8">
        <v>44233.0</v>
      </c>
    </row>
    <row r="1522">
      <c r="A1522" s="5">
        <v>1521.0</v>
      </c>
      <c r="B1522" s="5" t="s">
        <v>2140</v>
      </c>
      <c r="C1522" s="5" t="s">
        <v>21</v>
      </c>
      <c r="K1522" s="5">
        <v>30.0</v>
      </c>
      <c r="N1522" s="8">
        <v>45164.0</v>
      </c>
    </row>
    <row r="1523">
      <c r="A1523" s="5">
        <v>1522.0</v>
      </c>
      <c r="B1523" s="5" t="s">
        <v>2141</v>
      </c>
      <c r="C1523" s="5" t="s">
        <v>21</v>
      </c>
      <c r="K1523" s="5">
        <v>500.0</v>
      </c>
      <c r="N1523" s="8">
        <v>44565.0</v>
      </c>
    </row>
    <row r="1524">
      <c r="A1524" s="5">
        <v>1523.0</v>
      </c>
      <c r="B1524" s="5" t="s">
        <v>153</v>
      </c>
      <c r="C1524" s="5" t="s">
        <v>21</v>
      </c>
      <c r="K1524" s="5">
        <v>200.0</v>
      </c>
      <c r="N1524" s="8">
        <v>43854.0</v>
      </c>
    </row>
    <row r="1525">
      <c r="A1525" s="5">
        <v>1524.0</v>
      </c>
      <c r="B1525" s="5" t="s">
        <v>2142</v>
      </c>
      <c r="C1525" s="5" t="s">
        <v>21</v>
      </c>
      <c r="K1525" s="5">
        <v>100.0</v>
      </c>
      <c r="N1525" s="8">
        <v>45250.0</v>
      </c>
    </row>
    <row r="1526">
      <c r="A1526" s="5">
        <v>1525.0</v>
      </c>
      <c r="B1526" s="5" t="s">
        <v>2143</v>
      </c>
      <c r="C1526" s="5" t="s">
        <v>21</v>
      </c>
      <c r="K1526" s="5">
        <v>250.0</v>
      </c>
      <c r="N1526" s="8">
        <v>45100.0</v>
      </c>
    </row>
    <row r="1527">
      <c r="A1527" s="5">
        <v>1526.0</v>
      </c>
      <c r="B1527" s="5" t="s">
        <v>2144</v>
      </c>
      <c r="C1527" s="5" t="s">
        <v>21</v>
      </c>
      <c r="K1527" s="5">
        <v>1000.0</v>
      </c>
      <c r="N1527" s="8">
        <v>44542.0</v>
      </c>
    </row>
    <row r="1528">
      <c r="A1528" s="5">
        <v>1527.0</v>
      </c>
      <c r="B1528" s="5" t="s">
        <v>2145</v>
      </c>
      <c r="C1528" s="5" t="s">
        <v>21</v>
      </c>
      <c r="K1528" s="5">
        <v>1400.0</v>
      </c>
      <c r="N1528" s="8">
        <v>43892.0</v>
      </c>
    </row>
    <row r="1529">
      <c r="A1529" s="5">
        <v>1528.0</v>
      </c>
      <c r="B1529" s="5" t="s">
        <v>2146</v>
      </c>
      <c r="C1529" s="5" t="s">
        <v>21</v>
      </c>
      <c r="K1529" s="5">
        <v>30.0</v>
      </c>
      <c r="N1529" s="8">
        <v>44329.0</v>
      </c>
    </row>
    <row r="1530">
      <c r="A1530" s="5">
        <v>1529.0</v>
      </c>
      <c r="B1530" s="5" t="s">
        <v>2147</v>
      </c>
      <c r="C1530" s="5" t="s">
        <v>21</v>
      </c>
      <c r="K1530" s="5">
        <v>100.0</v>
      </c>
      <c r="N1530" s="8">
        <v>45807.0</v>
      </c>
    </row>
    <row r="1531">
      <c r="A1531" s="5">
        <v>1530.0</v>
      </c>
      <c r="B1531" s="5" t="s">
        <v>2148</v>
      </c>
      <c r="C1531" s="5" t="s">
        <v>21</v>
      </c>
      <c r="K1531" s="5">
        <v>500.0</v>
      </c>
      <c r="N1531" s="8">
        <v>45697.0</v>
      </c>
    </row>
    <row r="1532">
      <c r="A1532" s="5">
        <v>1531.0</v>
      </c>
      <c r="B1532" s="5" t="s">
        <v>2149</v>
      </c>
      <c r="C1532" s="5" t="s">
        <v>21</v>
      </c>
      <c r="K1532" s="5">
        <v>500.0</v>
      </c>
      <c r="N1532" s="8">
        <v>45555.0</v>
      </c>
    </row>
    <row r="1533">
      <c r="A1533" s="5">
        <v>1532.0</v>
      </c>
      <c r="B1533" s="5" t="s">
        <v>2150</v>
      </c>
      <c r="C1533" s="5" t="s">
        <v>21</v>
      </c>
      <c r="K1533" s="5">
        <v>300.0</v>
      </c>
      <c r="N1533" s="8">
        <v>45422.0</v>
      </c>
    </row>
    <row r="1534">
      <c r="A1534" s="5">
        <v>1533.0</v>
      </c>
      <c r="B1534" s="5" t="s">
        <v>2151</v>
      </c>
      <c r="C1534" s="5" t="s">
        <v>21</v>
      </c>
      <c r="K1534" s="5">
        <v>400.0</v>
      </c>
      <c r="N1534" s="8">
        <v>45068.0</v>
      </c>
    </row>
    <row r="1535">
      <c r="A1535" s="5">
        <v>1534.0</v>
      </c>
      <c r="B1535" s="5" t="s">
        <v>2152</v>
      </c>
      <c r="C1535" s="5" t="s">
        <v>21</v>
      </c>
      <c r="K1535" s="5">
        <v>9200.0</v>
      </c>
      <c r="N1535" s="8">
        <v>42869.0</v>
      </c>
    </row>
    <row r="1536">
      <c r="A1536" s="5">
        <v>1535.0</v>
      </c>
      <c r="B1536" s="5" t="s">
        <v>2153</v>
      </c>
      <c r="C1536" s="5" t="s">
        <v>21</v>
      </c>
      <c r="K1536" s="5">
        <v>150.0</v>
      </c>
      <c r="N1536" s="8">
        <v>44722.0</v>
      </c>
    </row>
    <row r="1537">
      <c r="A1537" s="5">
        <v>1536.0</v>
      </c>
      <c r="B1537" s="5" t="s">
        <v>2154</v>
      </c>
      <c r="C1537" s="5" t="s">
        <v>21</v>
      </c>
      <c r="K1537" s="5">
        <v>30.0</v>
      </c>
      <c r="N1537" s="8">
        <v>45396.0</v>
      </c>
    </row>
    <row r="1538">
      <c r="A1538" s="5">
        <v>1537.0</v>
      </c>
      <c r="B1538" s="5" t="s">
        <v>2155</v>
      </c>
      <c r="C1538" s="5" t="s">
        <v>21</v>
      </c>
      <c r="K1538" s="5">
        <v>300.0</v>
      </c>
      <c r="N1538" s="8">
        <v>44662.0</v>
      </c>
    </row>
    <row r="1539">
      <c r="A1539" s="5">
        <v>1538.0</v>
      </c>
      <c r="B1539" s="5" t="s">
        <v>2156</v>
      </c>
      <c r="C1539" s="5" t="s">
        <v>21</v>
      </c>
      <c r="K1539" s="5">
        <v>200.0</v>
      </c>
      <c r="N1539" s="8">
        <v>43970.0</v>
      </c>
    </row>
    <row r="1540">
      <c r="A1540" s="5">
        <v>1539.0</v>
      </c>
      <c r="B1540" s="5" t="s">
        <v>2157</v>
      </c>
      <c r="C1540" s="5" t="s">
        <v>21</v>
      </c>
      <c r="K1540" s="5">
        <v>1400.0</v>
      </c>
      <c r="N1540" s="8">
        <v>44071.0</v>
      </c>
    </row>
    <row r="1541">
      <c r="A1541" s="5">
        <v>1540.0</v>
      </c>
      <c r="B1541" s="5" t="s">
        <v>2158</v>
      </c>
      <c r="C1541" s="5" t="s">
        <v>21</v>
      </c>
      <c r="K1541" s="5">
        <v>100.0</v>
      </c>
      <c r="N1541" s="8">
        <v>45503.0</v>
      </c>
    </row>
    <row r="1542">
      <c r="A1542" s="5">
        <v>1541.0</v>
      </c>
      <c r="B1542" s="5" t="s">
        <v>2159</v>
      </c>
      <c r="C1542" s="5" t="s">
        <v>21</v>
      </c>
      <c r="K1542" s="5">
        <v>400.0</v>
      </c>
      <c r="N1542" s="8">
        <v>44621.0</v>
      </c>
    </row>
    <row r="1543">
      <c r="A1543" s="5">
        <v>1542.0</v>
      </c>
      <c r="B1543" s="5" t="s">
        <v>2160</v>
      </c>
      <c r="C1543" s="5" t="s">
        <v>21</v>
      </c>
      <c r="K1543" s="5">
        <v>1100.0</v>
      </c>
      <c r="N1543" s="8">
        <v>44437.0</v>
      </c>
    </row>
    <row r="1544">
      <c r="A1544" s="5">
        <v>1543.0</v>
      </c>
      <c r="B1544" s="5" t="s">
        <v>2161</v>
      </c>
      <c r="C1544" s="5" t="s">
        <v>21</v>
      </c>
      <c r="K1544" s="5">
        <v>150.0</v>
      </c>
      <c r="N1544" s="8">
        <v>44824.0</v>
      </c>
    </row>
    <row r="1545">
      <c r="A1545" s="5">
        <v>1544.0</v>
      </c>
      <c r="B1545" s="5" t="s">
        <v>2162</v>
      </c>
      <c r="C1545" s="5" t="s">
        <v>21</v>
      </c>
      <c r="K1545" s="5">
        <v>200.0</v>
      </c>
      <c r="N1545" s="8">
        <v>44984.0</v>
      </c>
    </row>
    <row r="1546">
      <c r="A1546" s="5">
        <v>1545.0</v>
      </c>
      <c r="B1546" s="5" t="s">
        <v>2163</v>
      </c>
      <c r="C1546" s="5" t="s">
        <v>21</v>
      </c>
      <c r="K1546" s="5">
        <v>300.0</v>
      </c>
      <c r="N1546" s="8">
        <v>43875.0</v>
      </c>
    </row>
    <row r="1547">
      <c r="A1547" s="5">
        <v>1546.0</v>
      </c>
      <c r="B1547" s="5" t="s">
        <v>2164</v>
      </c>
      <c r="C1547" s="5" t="s">
        <v>21</v>
      </c>
      <c r="K1547" s="5">
        <v>100.0</v>
      </c>
      <c r="N1547" s="8">
        <v>44186.0</v>
      </c>
    </row>
    <row r="1548">
      <c r="A1548" s="5">
        <v>1547.0</v>
      </c>
      <c r="B1548" s="5" t="s">
        <v>2165</v>
      </c>
      <c r="C1548" s="5" t="s">
        <v>21</v>
      </c>
      <c r="N1548" s="8">
        <v>45196.0</v>
      </c>
    </row>
    <row r="1549">
      <c r="A1549" s="5">
        <v>1548.0</v>
      </c>
      <c r="B1549" s="5" t="s">
        <v>2166</v>
      </c>
      <c r="C1549" s="5" t="s">
        <v>21</v>
      </c>
      <c r="K1549" s="5">
        <v>200.0</v>
      </c>
      <c r="N1549" s="8">
        <v>44964.0</v>
      </c>
    </row>
    <row r="1550">
      <c r="A1550" s="5">
        <v>1549.0</v>
      </c>
      <c r="B1550" s="5" t="s">
        <v>2167</v>
      </c>
      <c r="C1550" s="5" t="s">
        <v>21</v>
      </c>
      <c r="K1550" s="5">
        <v>30.0</v>
      </c>
      <c r="N1550" s="8">
        <v>43869.0</v>
      </c>
    </row>
    <row r="1551">
      <c r="A1551" s="5">
        <v>1550.0</v>
      </c>
      <c r="B1551" s="5" t="s">
        <v>2168</v>
      </c>
      <c r="C1551" s="5" t="s">
        <v>21</v>
      </c>
      <c r="K1551" s="5">
        <v>3400.0</v>
      </c>
      <c r="N1551" s="8">
        <v>45338.0</v>
      </c>
    </row>
    <row r="1552">
      <c r="A1552" s="5">
        <v>1551.0</v>
      </c>
      <c r="B1552" s="5" t="s">
        <v>2169</v>
      </c>
      <c r="C1552" s="5" t="s">
        <v>21</v>
      </c>
      <c r="K1552" s="5">
        <v>90.0</v>
      </c>
      <c r="N1552" s="8">
        <v>44825.0</v>
      </c>
    </row>
    <row r="1553">
      <c r="A1553" s="5">
        <v>1552.0</v>
      </c>
      <c r="B1553" s="5" t="s">
        <v>2170</v>
      </c>
      <c r="C1553" s="5" t="s">
        <v>21</v>
      </c>
      <c r="K1553" s="5">
        <v>20.0</v>
      </c>
      <c r="N1553" s="8">
        <v>45861.0</v>
      </c>
    </row>
    <row r="1554">
      <c r="A1554" s="5">
        <v>1553.0</v>
      </c>
      <c r="B1554" s="5" t="s">
        <v>2171</v>
      </c>
      <c r="C1554" s="5" t="s">
        <v>21</v>
      </c>
      <c r="K1554" s="5">
        <v>40000.0</v>
      </c>
      <c r="N1554" s="8">
        <v>44585.0</v>
      </c>
    </row>
    <row r="1555">
      <c r="A1555" s="5">
        <v>1554.0</v>
      </c>
      <c r="B1555" s="5" t="s">
        <v>2172</v>
      </c>
      <c r="C1555" s="5" t="s">
        <v>21</v>
      </c>
      <c r="K1555" s="5">
        <v>1000.0</v>
      </c>
      <c r="N1555" s="8">
        <v>44007.0</v>
      </c>
    </row>
    <row r="1556">
      <c r="A1556" s="5">
        <v>1555.0</v>
      </c>
      <c r="B1556" s="5" t="s">
        <v>2173</v>
      </c>
      <c r="C1556" s="5" t="s">
        <v>21</v>
      </c>
      <c r="K1556" s="5">
        <v>500.0</v>
      </c>
      <c r="N1556" s="8">
        <v>44783.0</v>
      </c>
    </row>
    <row r="1557">
      <c r="A1557" s="5">
        <v>1556.0</v>
      </c>
      <c r="B1557" s="5" t="s">
        <v>2174</v>
      </c>
      <c r="C1557" s="5" t="s">
        <v>21</v>
      </c>
      <c r="K1557" s="5">
        <v>90.0</v>
      </c>
      <c r="N1557" s="8">
        <v>44677.0</v>
      </c>
    </row>
    <row r="1558">
      <c r="A1558" s="5">
        <v>1557.0</v>
      </c>
      <c r="B1558" s="5" t="s">
        <v>2175</v>
      </c>
      <c r="C1558" s="5" t="s">
        <v>21</v>
      </c>
      <c r="K1558" s="5">
        <v>450.0</v>
      </c>
      <c r="N1558" s="8">
        <v>44621.0</v>
      </c>
    </row>
    <row r="1559">
      <c r="A1559" s="5">
        <v>1558.0</v>
      </c>
      <c r="B1559" s="5" t="s">
        <v>2176</v>
      </c>
      <c r="C1559" s="5" t="s">
        <v>21</v>
      </c>
      <c r="N1559" s="8">
        <v>46050.0</v>
      </c>
    </row>
    <row r="1560">
      <c r="A1560" s="5">
        <v>1559.0</v>
      </c>
      <c r="B1560" s="5" t="s">
        <v>2177</v>
      </c>
      <c r="C1560" s="5" t="s">
        <v>21</v>
      </c>
      <c r="K1560" s="5">
        <v>20.0</v>
      </c>
      <c r="N1560" s="8">
        <v>44756.0</v>
      </c>
    </row>
    <row r="1561">
      <c r="A1561" s="5">
        <v>1560.0</v>
      </c>
      <c r="B1561" s="5" t="s">
        <v>2178</v>
      </c>
      <c r="C1561" s="5" t="s">
        <v>21</v>
      </c>
      <c r="K1561" s="5">
        <v>50.0</v>
      </c>
      <c r="N1561" s="8">
        <v>44179.0</v>
      </c>
    </row>
    <row r="1562">
      <c r="A1562" s="5">
        <v>1561.0</v>
      </c>
      <c r="B1562" s="5" t="s">
        <v>2179</v>
      </c>
      <c r="C1562" s="5" t="s">
        <v>21</v>
      </c>
      <c r="K1562" s="5">
        <v>500.0</v>
      </c>
      <c r="N1562" s="8">
        <v>44812.0</v>
      </c>
    </row>
    <row r="1563">
      <c r="A1563" s="5">
        <v>1562.0</v>
      </c>
      <c r="B1563" s="5" t="s">
        <v>2180</v>
      </c>
      <c r="C1563" s="5" t="s">
        <v>21</v>
      </c>
      <c r="K1563" s="5">
        <v>40.0</v>
      </c>
      <c r="N1563" s="8">
        <v>44688.0</v>
      </c>
    </row>
    <row r="1564">
      <c r="A1564" s="5">
        <v>1563.0</v>
      </c>
      <c r="B1564" s="5" t="s">
        <v>2181</v>
      </c>
      <c r="C1564" s="5" t="s">
        <v>21</v>
      </c>
      <c r="K1564" s="5">
        <v>250.0</v>
      </c>
      <c r="N1564" s="8">
        <v>45109.0</v>
      </c>
    </row>
    <row r="1565">
      <c r="A1565" s="5">
        <v>1564.0</v>
      </c>
      <c r="B1565" s="5" t="s">
        <v>2182</v>
      </c>
      <c r="C1565" s="5" t="s">
        <v>21</v>
      </c>
      <c r="K1565" s="5">
        <v>60.0</v>
      </c>
      <c r="N1565" s="8">
        <v>44350.0</v>
      </c>
    </row>
    <row r="1566">
      <c r="A1566" s="5">
        <v>1565.0</v>
      </c>
      <c r="B1566" s="5" t="s">
        <v>2183</v>
      </c>
      <c r="C1566" s="5" t="s">
        <v>21</v>
      </c>
      <c r="N1566" s="8">
        <v>44792.0</v>
      </c>
    </row>
    <row r="1567">
      <c r="A1567" s="5">
        <v>1566.0</v>
      </c>
      <c r="B1567" s="5" t="s">
        <v>2184</v>
      </c>
      <c r="C1567" s="5" t="s">
        <v>21</v>
      </c>
      <c r="K1567" s="5">
        <v>30.0</v>
      </c>
      <c r="N1567" s="8">
        <v>44381.0</v>
      </c>
    </row>
    <row r="1568">
      <c r="A1568" s="5">
        <v>1567.0</v>
      </c>
      <c r="B1568" s="5" t="s">
        <v>2185</v>
      </c>
      <c r="C1568" s="5" t="s">
        <v>21</v>
      </c>
      <c r="K1568" s="5">
        <v>1700.0</v>
      </c>
      <c r="N1568" s="8">
        <v>44456.0</v>
      </c>
    </row>
    <row r="1569">
      <c r="A1569" s="5">
        <v>1568.0</v>
      </c>
      <c r="B1569" s="5" t="s">
        <v>2186</v>
      </c>
      <c r="C1569" s="5" t="s">
        <v>21</v>
      </c>
      <c r="K1569" s="5">
        <v>60.0</v>
      </c>
      <c r="N1569" s="8">
        <v>44804.0</v>
      </c>
    </row>
    <row r="1570">
      <c r="A1570" s="5">
        <v>1569.0</v>
      </c>
      <c r="B1570" s="5" t="s">
        <v>2187</v>
      </c>
      <c r="C1570" s="5" t="s">
        <v>21</v>
      </c>
      <c r="K1570" s="5">
        <v>200.0</v>
      </c>
      <c r="N1570" s="8">
        <v>45359.0</v>
      </c>
    </row>
    <row r="1571">
      <c r="A1571" s="5">
        <v>1570.0</v>
      </c>
      <c r="B1571" s="5" t="s">
        <v>2188</v>
      </c>
      <c r="C1571" s="5" t="s">
        <v>21</v>
      </c>
      <c r="K1571" s="5">
        <v>800.0</v>
      </c>
      <c r="N1571" s="8">
        <v>44283.0</v>
      </c>
    </row>
    <row r="1572">
      <c r="A1572" s="5">
        <v>1571.0</v>
      </c>
      <c r="B1572" s="5" t="s">
        <v>2189</v>
      </c>
      <c r="C1572" s="5" t="s">
        <v>21</v>
      </c>
      <c r="K1572" s="5">
        <v>900.0</v>
      </c>
      <c r="N1572" s="8">
        <v>44533.0</v>
      </c>
    </row>
    <row r="1573">
      <c r="A1573" s="5">
        <v>1572.0</v>
      </c>
      <c r="B1573" s="5" t="s">
        <v>2190</v>
      </c>
      <c r="C1573" s="5" t="s">
        <v>21</v>
      </c>
      <c r="K1573" s="5">
        <v>150.0</v>
      </c>
      <c r="N1573" s="8">
        <v>44711.0</v>
      </c>
    </row>
    <row r="1574">
      <c r="A1574" s="5">
        <v>1573.0</v>
      </c>
      <c r="B1574" s="5" t="s">
        <v>2191</v>
      </c>
      <c r="C1574" s="5" t="s">
        <v>21</v>
      </c>
      <c r="K1574" s="5">
        <v>250.0</v>
      </c>
      <c r="N1574" s="8">
        <v>44965.0</v>
      </c>
    </row>
    <row r="1575">
      <c r="A1575" s="5">
        <v>1574.0</v>
      </c>
      <c r="B1575" s="5" t="s">
        <v>2192</v>
      </c>
      <c r="C1575" s="5" t="s">
        <v>21</v>
      </c>
      <c r="K1575" s="5">
        <v>150.0</v>
      </c>
      <c r="N1575" s="8">
        <v>45302.0</v>
      </c>
    </row>
    <row r="1576">
      <c r="A1576" s="5">
        <v>1575.0</v>
      </c>
      <c r="B1576" s="5" t="s">
        <v>2193</v>
      </c>
      <c r="C1576" s="5" t="s">
        <v>21</v>
      </c>
      <c r="K1576" s="5">
        <v>450.0</v>
      </c>
      <c r="N1576" s="8">
        <v>45214.0</v>
      </c>
    </row>
    <row r="1577">
      <c r="A1577" s="5">
        <v>1576.0</v>
      </c>
      <c r="B1577" s="5" t="s">
        <v>2194</v>
      </c>
      <c r="C1577" s="5" t="s">
        <v>21</v>
      </c>
      <c r="K1577" s="5">
        <v>250.0</v>
      </c>
      <c r="N1577" s="8">
        <v>44519.0</v>
      </c>
    </row>
    <row r="1578">
      <c r="A1578" s="5">
        <v>1577.0</v>
      </c>
      <c r="B1578" s="5" t="s">
        <v>2195</v>
      </c>
      <c r="C1578" s="5" t="s">
        <v>21</v>
      </c>
      <c r="K1578" s="5">
        <v>5200.0</v>
      </c>
      <c r="N1578" s="8">
        <v>44026.0</v>
      </c>
    </row>
    <row r="1579">
      <c r="A1579" s="5">
        <v>1578.0</v>
      </c>
      <c r="B1579" s="5" t="s">
        <v>2196</v>
      </c>
      <c r="C1579" s="5" t="s">
        <v>21</v>
      </c>
      <c r="N1579" s="8">
        <v>42272.0</v>
      </c>
    </row>
    <row r="1580">
      <c r="A1580" s="5">
        <v>1579.0</v>
      </c>
      <c r="B1580" s="5" t="s">
        <v>2197</v>
      </c>
      <c r="C1580" s="5" t="s">
        <v>21</v>
      </c>
      <c r="K1580" s="5">
        <v>500.0</v>
      </c>
      <c r="N1580" s="8">
        <v>45725.0</v>
      </c>
    </row>
    <row r="1581">
      <c r="A1581" s="5">
        <v>1580.0</v>
      </c>
      <c r="B1581" s="5" t="s">
        <v>2198</v>
      </c>
      <c r="C1581" s="5" t="s">
        <v>21</v>
      </c>
      <c r="K1581" s="5">
        <v>200.0</v>
      </c>
      <c r="N1581" s="8">
        <v>45227.0</v>
      </c>
    </row>
    <row r="1582">
      <c r="A1582" s="5">
        <v>1581.0</v>
      </c>
      <c r="B1582" s="5" t="s">
        <v>2199</v>
      </c>
      <c r="C1582" s="5" t="s">
        <v>21</v>
      </c>
      <c r="K1582" s="5">
        <v>150.0</v>
      </c>
      <c r="N1582" s="8">
        <v>44539.0</v>
      </c>
    </row>
    <row r="1583">
      <c r="A1583" s="5">
        <v>1582.0</v>
      </c>
      <c r="B1583" s="5" t="s">
        <v>2200</v>
      </c>
      <c r="C1583" s="5" t="s">
        <v>21</v>
      </c>
      <c r="K1583" s="5">
        <v>300.0</v>
      </c>
      <c r="N1583" s="8">
        <v>44614.0</v>
      </c>
    </row>
    <row r="1584">
      <c r="A1584" s="5">
        <v>1583.0</v>
      </c>
      <c r="B1584" s="5" t="s">
        <v>2201</v>
      </c>
      <c r="C1584" s="5" t="s">
        <v>21</v>
      </c>
      <c r="K1584" s="5">
        <v>60.0</v>
      </c>
      <c r="N1584" s="8">
        <v>44598.0</v>
      </c>
    </row>
    <row r="1585">
      <c r="A1585" s="5">
        <v>1584.0</v>
      </c>
      <c r="B1585" s="5" t="s">
        <v>2202</v>
      </c>
      <c r="C1585" s="5" t="s">
        <v>21</v>
      </c>
      <c r="K1585" s="5">
        <v>700.0</v>
      </c>
      <c r="N1585" s="8">
        <v>44591.0</v>
      </c>
    </row>
    <row r="1586">
      <c r="A1586" s="5">
        <v>1585.0</v>
      </c>
      <c r="B1586" s="5" t="s">
        <v>2203</v>
      </c>
      <c r="C1586" s="5" t="s">
        <v>21</v>
      </c>
      <c r="K1586" s="5">
        <v>500.0</v>
      </c>
      <c r="N1586" s="8">
        <v>44612.0</v>
      </c>
    </row>
    <row r="1587">
      <c r="A1587" s="5">
        <v>1586.0</v>
      </c>
      <c r="B1587" s="5" t="s">
        <v>2204</v>
      </c>
      <c r="C1587" s="5" t="s">
        <v>21</v>
      </c>
      <c r="K1587" s="5">
        <v>80.0</v>
      </c>
      <c r="N1587" s="8">
        <v>45536.0</v>
      </c>
    </row>
    <row r="1588">
      <c r="A1588" s="5">
        <v>1587.0</v>
      </c>
      <c r="B1588" s="5" t="s">
        <v>2205</v>
      </c>
      <c r="C1588" s="5" t="s">
        <v>21</v>
      </c>
      <c r="K1588" s="5">
        <v>10.0</v>
      </c>
      <c r="N1588" s="8">
        <v>44528.0</v>
      </c>
    </row>
    <row r="1589">
      <c r="A1589" s="5">
        <v>1588.0</v>
      </c>
      <c r="B1589" s="5" t="s">
        <v>2206</v>
      </c>
      <c r="C1589" s="5" t="s">
        <v>21</v>
      </c>
      <c r="K1589" s="5">
        <v>350.0</v>
      </c>
      <c r="N1589" s="8">
        <v>44589.0</v>
      </c>
    </row>
    <row r="1590">
      <c r="A1590" s="5">
        <v>1589.0</v>
      </c>
      <c r="B1590" s="5" t="s">
        <v>2207</v>
      </c>
      <c r="C1590" s="5" t="s">
        <v>21</v>
      </c>
      <c r="K1590" s="5">
        <v>1200.0</v>
      </c>
      <c r="N1590" s="8">
        <v>44295.0</v>
      </c>
    </row>
    <row r="1591">
      <c r="A1591" s="5">
        <v>1590.0</v>
      </c>
      <c r="B1591" s="5" t="s">
        <v>155</v>
      </c>
      <c r="C1591" s="5" t="s">
        <v>21</v>
      </c>
      <c r="K1591" s="5">
        <v>250.0</v>
      </c>
      <c r="N1591" s="8">
        <v>45232.0</v>
      </c>
    </row>
    <row r="1592">
      <c r="A1592" s="5">
        <v>1591.0</v>
      </c>
      <c r="B1592" s="5" t="s">
        <v>2208</v>
      </c>
      <c r="C1592" s="5" t="s">
        <v>21</v>
      </c>
      <c r="K1592" s="5">
        <v>150.0</v>
      </c>
      <c r="N1592" s="8">
        <v>45007.0</v>
      </c>
    </row>
    <row r="1593">
      <c r="A1593" s="5">
        <v>1592.0</v>
      </c>
      <c r="B1593" s="5" t="s">
        <v>2209</v>
      </c>
      <c r="C1593" s="5" t="s">
        <v>21</v>
      </c>
      <c r="K1593" s="5">
        <v>500.0</v>
      </c>
      <c r="N1593" s="8">
        <v>45046.0</v>
      </c>
    </row>
    <row r="1594">
      <c r="A1594" s="5">
        <v>1593.0</v>
      </c>
      <c r="B1594" s="5" t="s">
        <v>2210</v>
      </c>
      <c r="C1594" s="5" t="s">
        <v>21</v>
      </c>
      <c r="K1594" s="5">
        <v>250.0</v>
      </c>
      <c r="N1594" s="8">
        <v>44451.0</v>
      </c>
    </row>
    <row r="1595">
      <c r="A1595" s="5">
        <v>1594.0</v>
      </c>
      <c r="B1595" s="5" t="s">
        <v>2211</v>
      </c>
      <c r="C1595" s="5" t="s">
        <v>21</v>
      </c>
      <c r="K1595" s="5">
        <v>20.0</v>
      </c>
      <c r="N1595" s="8">
        <v>44622.0</v>
      </c>
    </row>
    <row r="1596">
      <c r="A1596" s="5">
        <v>1595.0</v>
      </c>
      <c r="B1596" s="5" t="s">
        <v>2212</v>
      </c>
      <c r="C1596" s="5" t="s">
        <v>21</v>
      </c>
      <c r="K1596" s="5">
        <v>700.0</v>
      </c>
      <c r="N1596" s="8">
        <v>45564.0</v>
      </c>
    </row>
    <row r="1597">
      <c r="A1597" s="5">
        <v>1596.0</v>
      </c>
      <c r="B1597" s="5" t="s">
        <v>2213</v>
      </c>
      <c r="C1597" s="5" t="s">
        <v>21</v>
      </c>
      <c r="K1597" s="5">
        <v>150.0</v>
      </c>
      <c r="N1597" s="8">
        <v>45173.0</v>
      </c>
    </row>
    <row r="1598">
      <c r="A1598" s="5">
        <v>1597.0</v>
      </c>
      <c r="B1598" s="5" t="s">
        <v>2214</v>
      </c>
      <c r="C1598" s="5" t="s">
        <v>21</v>
      </c>
      <c r="K1598" s="5">
        <v>250.0</v>
      </c>
      <c r="N1598" s="8">
        <v>45345.0</v>
      </c>
    </row>
    <row r="1599">
      <c r="A1599" s="5">
        <v>1598.0</v>
      </c>
      <c r="B1599" s="5" t="s">
        <v>2215</v>
      </c>
      <c r="C1599" s="5" t="s">
        <v>21</v>
      </c>
      <c r="K1599" s="5">
        <v>1000.0</v>
      </c>
      <c r="N1599" s="8">
        <v>43878.0</v>
      </c>
    </row>
    <row r="1600">
      <c r="A1600" s="5">
        <v>1599.0</v>
      </c>
      <c r="B1600" s="5" t="s">
        <v>2216</v>
      </c>
      <c r="C1600" s="5" t="s">
        <v>21</v>
      </c>
      <c r="K1600" s="5">
        <v>250.0</v>
      </c>
      <c r="N1600" s="8">
        <v>44161.0</v>
      </c>
    </row>
    <row r="1601">
      <c r="A1601" s="5">
        <v>1600.0</v>
      </c>
      <c r="B1601" s="5" t="s">
        <v>2217</v>
      </c>
      <c r="C1601" s="5" t="s">
        <v>21</v>
      </c>
      <c r="K1601" s="5">
        <v>60.0</v>
      </c>
      <c r="N1601" s="8">
        <v>44597.0</v>
      </c>
    </row>
    <row r="1602">
      <c r="A1602" s="5">
        <v>1601.0</v>
      </c>
      <c r="B1602" s="5" t="s">
        <v>2218</v>
      </c>
      <c r="C1602" s="5" t="s">
        <v>21</v>
      </c>
      <c r="K1602" s="5">
        <v>100.0</v>
      </c>
      <c r="N1602" s="8">
        <v>44542.0</v>
      </c>
    </row>
    <row r="1603">
      <c r="A1603" s="5">
        <v>1602.0</v>
      </c>
      <c r="B1603" s="5" t="s">
        <v>2219</v>
      </c>
      <c r="C1603" s="5" t="s">
        <v>21</v>
      </c>
      <c r="K1603" s="5">
        <v>700.0</v>
      </c>
      <c r="N1603" s="8">
        <v>44350.0</v>
      </c>
    </row>
    <row r="1604">
      <c r="A1604" s="5">
        <v>1603.0</v>
      </c>
      <c r="B1604" s="5" t="s">
        <v>2220</v>
      </c>
      <c r="C1604" s="5" t="s">
        <v>21</v>
      </c>
      <c r="K1604" s="5">
        <v>40.0</v>
      </c>
      <c r="N1604" s="8">
        <v>45232.0</v>
      </c>
    </row>
    <row r="1605">
      <c r="A1605" s="5">
        <v>1604.0</v>
      </c>
      <c r="B1605" s="5" t="s">
        <v>2221</v>
      </c>
      <c r="C1605" s="5" t="s">
        <v>21</v>
      </c>
      <c r="K1605" s="5">
        <v>200.0</v>
      </c>
      <c r="N1605" s="8">
        <v>44982.0</v>
      </c>
    </row>
    <row r="1606">
      <c r="A1606" s="5">
        <v>1605.0</v>
      </c>
      <c r="B1606" s="5" t="s">
        <v>2222</v>
      </c>
      <c r="C1606" s="5" t="s">
        <v>21</v>
      </c>
      <c r="K1606" s="5">
        <v>900.0</v>
      </c>
      <c r="N1606" s="8">
        <v>44532.0</v>
      </c>
    </row>
    <row r="1607">
      <c r="A1607" s="5">
        <v>1606.0</v>
      </c>
      <c r="B1607" s="5" t="s">
        <v>2223</v>
      </c>
      <c r="C1607" s="5" t="s">
        <v>21</v>
      </c>
      <c r="K1607" s="5">
        <v>400.0</v>
      </c>
      <c r="N1607" s="8">
        <v>44527.0</v>
      </c>
    </row>
    <row r="1608">
      <c r="A1608" s="5">
        <v>1607.0</v>
      </c>
      <c r="B1608" s="5" t="s">
        <v>2224</v>
      </c>
      <c r="C1608" s="5" t="s">
        <v>21</v>
      </c>
      <c r="K1608" s="5">
        <v>250.0</v>
      </c>
      <c r="N1608" s="8">
        <v>43840.0</v>
      </c>
    </row>
    <row r="1609">
      <c r="A1609" s="5">
        <v>1608.0</v>
      </c>
      <c r="B1609" s="5" t="s">
        <v>158</v>
      </c>
      <c r="C1609" s="5" t="s">
        <v>21</v>
      </c>
      <c r="K1609" s="5">
        <v>100.0</v>
      </c>
      <c r="N1609" s="8">
        <v>44077.0</v>
      </c>
    </row>
    <row r="1610">
      <c r="A1610" s="5">
        <v>1609.0</v>
      </c>
      <c r="B1610" s="5" t="s">
        <v>2225</v>
      </c>
      <c r="C1610" s="5" t="s">
        <v>21</v>
      </c>
      <c r="K1610" s="5">
        <v>800.0</v>
      </c>
      <c r="N1610" s="8">
        <v>43896.0</v>
      </c>
    </row>
    <row r="1611">
      <c r="A1611" s="5">
        <v>1610.0</v>
      </c>
      <c r="B1611" s="5" t="s">
        <v>2226</v>
      </c>
      <c r="C1611" s="5" t="s">
        <v>21</v>
      </c>
      <c r="K1611" s="5">
        <v>2000.0</v>
      </c>
      <c r="N1611" s="8">
        <v>45564.0</v>
      </c>
    </row>
    <row r="1612">
      <c r="A1612" s="5">
        <v>1611.0</v>
      </c>
      <c r="B1612" s="5" t="s">
        <v>2227</v>
      </c>
      <c r="C1612" s="5" t="s">
        <v>21</v>
      </c>
      <c r="K1612" s="5">
        <v>1100.0</v>
      </c>
      <c r="N1612" s="8">
        <v>44352.0</v>
      </c>
    </row>
    <row r="1613">
      <c r="A1613" s="5">
        <v>1612.0</v>
      </c>
      <c r="B1613" s="5" t="s">
        <v>2228</v>
      </c>
      <c r="C1613" s="5" t="s">
        <v>21</v>
      </c>
      <c r="K1613" s="5">
        <v>450.0</v>
      </c>
      <c r="N1613" s="8">
        <v>45154.0</v>
      </c>
    </row>
    <row r="1614">
      <c r="A1614" s="5">
        <v>1613.0</v>
      </c>
      <c r="B1614" s="5" t="s">
        <v>2229</v>
      </c>
      <c r="C1614" s="5" t="s">
        <v>21</v>
      </c>
      <c r="K1614" s="5">
        <v>300.0</v>
      </c>
      <c r="N1614" s="8">
        <v>44075.0</v>
      </c>
    </row>
    <row r="1615">
      <c r="A1615" s="5">
        <v>1614.0</v>
      </c>
      <c r="B1615" s="5" t="s">
        <v>2230</v>
      </c>
      <c r="C1615" s="5" t="s">
        <v>21</v>
      </c>
      <c r="K1615" s="5">
        <v>400.0</v>
      </c>
      <c r="N1615" s="8">
        <v>44954.0</v>
      </c>
    </row>
    <row r="1616">
      <c r="A1616" s="5">
        <v>1615.0</v>
      </c>
      <c r="B1616" s="5" t="s">
        <v>2231</v>
      </c>
      <c r="C1616" s="5" t="s">
        <v>21</v>
      </c>
      <c r="K1616" s="5">
        <v>70.0</v>
      </c>
      <c r="N1616" s="8">
        <v>44705.0</v>
      </c>
    </row>
    <row r="1617">
      <c r="A1617" s="5">
        <v>1616.0</v>
      </c>
      <c r="B1617" s="5" t="s">
        <v>2232</v>
      </c>
      <c r="C1617" s="5" t="s">
        <v>21</v>
      </c>
      <c r="K1617" s="5">
        <v>600.0</v>
      </c>
      <c r="N1617" s="8">
        <v>44591.0</v>
      </c>
    </row>
    <row r="1618">
      <c r="A1618" s="5">
        <v>1617.0</v>
      </c>
      <c r="B1618" s="5" t="s">
        <v>2233</v>
      </c>
      <c r="C1618" s="5" t="s">
        <v>21</v>
      </c>
      <c r="K1618" s="5">
        <v>1300.0</v>
      </c>
      <c r="N1618" s="8">
        <v>44041.0</v>
      </c>
    </row>
    <row r="1619">
      <c r="A1619" s="5">
        <v>1618.0</v>
      </c>
      <c r="B1619" s="5" t="s">
        <v>2234</v>
      </c>
      <c r="C1619" s="5" t="s">
        <v>21</v>
      </c>
      <c r="K1619" s="5">
        <v>350.0</v>
      </c>
      <c r="N1619" s="8">
        <v>44946.0</v>
      </c>
    </row>
    <row r="1620">
      <c r="A1620" s="5">
        <v>1619.0</v>
      </c>
      <c r="B1620" s="5" t="s">
        <v>2235</v>
      </c>
      <c r="C1620" s="5" t="s">
        <v>21</v>
      </c>
      <c r="K1620" s="5">
        <v>700.0</v>
      </c>
      <c r="N1620" s="8">
        <v>44327.0</v>
      </c>
    </row>
    <row r="1621">
      <c r="A1621" s="5">
        <v>1620.0</v>
      </c>
      <c r="B1621" s="5" t="s">
        <v>2236</v>
      </c>
      <c r="C1621" s="5" t="s">
        <v>21</v>
      </c>
      <c r="K1621" s="5">
        <v>250.0</v>
      </c>
      <c r="N1621" s="8">
        <v>44620.0</v>
      </c>
    </row>
    <row r="1622">
      <c r="A1622" s="5">
        <v>1621.0</v>
      </c>
      <c r="B1622" s="5" t="s">
        <v>2237</v>
      </c>
      <c r="C1622" s="5" t="s">
        <v>21</v>
      </c>
      <c r="K1622" s="5">
        <v>700.0</v>
      </c>
      <c r="N1622" s="8">
        <v>44569.0</v>
      </c>
    </row>
    <row r="1623">
      <c r="A1623" s="5">
        <v>1622.0</v>
      </c>
      <c r="B1623" s="5" t="s">
        <v>2238</v>
      </c>
      <c r="C1623" s="5" t="s">
        <v>21</v>
      </c>
      <c r="K1623" s="5">
        <v>250.0</v>
      </c>
      <c r="N1623" s="8">
        <v>44578.0</v>
      </c>
    </row>
    <row r="1624">
      <c r="A1624" s="5">
        <v>1623.0</v>
      </c>
      <c r="B1624" s="5" t="s">
        <v>2239</v>
      </c>
      <c r="C1624" s="5" t="s">
        <v>21</v>
      </c>
      <c r="K1624" s="5">
        <v>1600.0</v>
      </c>
      <c r="N1624" s="8">
        <v>44953.0</v>
      </c>
    </row>
    <row r="1625">
      <c r="A1625" s="5">
        <v>1624.0</v>
      </c>
      <c r="B1625" s="5" t="s">
        <v>2240</v>
      </c>
      <c r="C1625" s="5" t="s">
        <v>21</v>
      </c>
      <c r="K1625" s="5">
        <v>600.0</v>
      </c>
      <c r="N1625" s="8">
        <v>45186.0</v>
      </c>
    </row>
    <row r="1626">
      <c r="A1626" s="5">
        <v>1625.0</v>
      </c>
      <c r="B1626" s="5" t="s">
        <v>2241</v>
      </c>
      <c r="C1626" s="5" t="s">
        <v>21</v>
      </c>
      <c r="K1626" s="5">
        <v>200.0</v>
      </c>
      <c r="N1626" s="8">
        <v>44530.0</v>
      </c>
    </row>
    <row r="1627">
      <c r="A1627" s="5">
        <v>1626.0</v>
      </c>
      <c r="B1627" s="5" t="s">
        <v>2242</v>
      </c>
      <c r="C1627" s="5" t="s">
        <v>21</v>
      </c>
      <c r="K1627" s="5">
        <v>1100.0</v>
      </c>
      <c r="N1627" s="8">
        <v>44579.0</v>
      </c>
    </row>
    <row r="1628">
      <c r="A1628" s="5">
        <v>1627.0</v>
      </c>
      <c r="B1628" s="5" t="s">
        <v>2243</v>
      </c>
      <c r="C1628" s="5" t="s">
        <v>21</v>
      </c>
      <c r="K1628" s="5">
        <v>150.0</v>
      </c>
      <c r="N1628" s="8">
        <v>45522.0</v>
      </c>
    </row>
    <row r="1629">
      <c r="A1629" s="5">
        <v>1628.0</v>
      </c>
      <c r="B1629" s="5" t="s">
        <v>2244</v>
      </c>
      <c r="C1629" s="5" t="s">
        <v>21</v>
      </c>
      <c r="K1629" s="5">
        <v>400.0</v>
      </c>
      <c r="N1629" s="8">
        <v>44047.0</v>
      </c>
    </row>
    <row r="1630">
      <c r="A1630" s="5">
        <v>1629.0</v>
      </c>
      <c r="B1630" s="5" t="s">
        <v>2245</v>
      </c>
      <c r="C1630" s="5" t="s">
        <v>21</v>
      </c>
      <c r="K1630" s="5">
        <v>800.0</v>
      </c>
      <c r="N1630" s="8">
        <v>44787.0</v>
      </c>
    </row>
    <row r="1631">
      <c r="A1631" s="5">
        <v>1630.0</v>
      </c>
      <c r="B1631" s="5" t="s">
        <v>2246</v>
      </c>
      <c r="C1631" s="5" t="s">
        <v>21</v>
      </c>
      <c r="N1631" s="8">
        <v>42378.0</v>
      </c>
    </row>
    <row r="1632">
      <c r="A1632" s="5">
        <v>1631.0</v>
      </c>
      <c r="B1632" s="5" t="s">
        <v>2247</v>
      </c>
      <c r="C1632" s="5" t="s">
        <v>21</v>
      </c>
      <c r="K1632" s="5">
        <v>30.0</v>
      </c>
      <c r="N1632" s="8">
        <v>45579.0</v>
      </c>
    </row>
    <row r="1633">
      <c r="A1633" s="5">
        <v>1632.0</v>
      </c>
      <c r="B1633" s="5" t="s">
        <v>2248</v>
      </c>
      <c r="C1633" s="5" t="s">
        <v>21</v>
      </c>
      <c r="K1633" s="5">
        <v>100.0</v>
      </c>
      <c r="N1633" s="8">
        <v>44579.0</v>
      </c>
    </row>
    <row r="1634">
      <c r="A1634" s="5">
        <v>1633.0</v>
      </c>
      <c r="B1634" s="5" t="s">
        <v>2249</v>
      </c>
      <c r="C1634" s="5" t="s">
        <v>21</v>
      </c>
      <c r="K1634" s="5">
        <v>1600.0</v>
      </c>
      <c r="N1634" s="8">
        <v>44593.0</v>
      </c>
    </row>
    <row r="1635">
      <c r="A1635" s="5">
        <v>1634.0</v>
      </c>
      <c r="B1635" s="5" t="s">
        <v>2250</v>
      </c>
      <c r="C1635" s="5" t="s">
        <v>21</v>
      </c>
      <c r="K1635" s="5">
        <v>150.0</v>
      </c>
      <c r="N1635" s="8">
        <v>45457.0</v>
      </c>
    </row>
    <row r="1636">
      <c r="A1636" s="5">
        <v>1635.0</v>
      </c>
      <c r="B1636" s="5" t="s">
        <v>2251</v>
      </c>
      <c r="C1636" s="5" t="s">
        <v>21</v>
      </c>
      <c r="K1636" s="5">
        <v>900.0</v>
      </c>
      <c r="N1636" s="8">
        <v>44601.0</v>
      </c>
    </row>
    <row r="1637">
      <c r="A1637" s="5">
        <v>1636.0</v>
      </c>
      <c r="B1637" s="5" t="s">
        <v>161</v>
      </c>
      <c r="C1637" s="5" t="s">
        <v>21</v>
      </c>
      <c r="K1637" s="5">
        <v>400.0</v>
      </c>
      <c r="N1637" s="8">
        <v>45598.0</v>
      </c>
    </row>
    <row r="1638">
      <c r="A1638" s="5">
        <v>1637.0</v>
      </c>
      <c r="B1638" s="5" t="s">
        <v>2252</v>
      </c>
      <c r="C1638" s="5" t="s">
        <v>21</v>
      </c>
      <c r="K1638" s="5">
        <v>300.0</v>
      </c>
      <c r="N1638" s="8">
        <v>44856.0</v>
      </c>
    </row>
    <row r="1639">
      <c r="A1639" s="5">
        <v>1638.0</v>
      </c>
      <c r="B1639" s="5" t="s">
        <v>2253</v>
      </c>
      <c r="C1639" s="5" t="s">
        <v>21</v>
      </c>
      <c r="K1639" s="5">
        <v>6000.0</v>
      </c>
      <c r="N1639" s="8">
        <v>44551.0</v>
      </c>
    </row>
    <row r="1640">
      <c r="A1640" s="5">
        <v>1639.0</v>
      </c>
      <c r="B1640" s="5" t="s">
        <v>2254</v>
      </c>
      <c r="C1640" s="5" t="s">
        <v>21</v>
      </c>
      <c r="K1640" s="5">
        <v>250.0</v>
      </c>
      <c r="N1640" s="8">
        <v>44941.0</v>
      </c>
    </row>
    <row r="1641">
      <c r="A1641" s="5">
        <v>1640.0</v>
      </c>
      <c r="B1641" s="5" t="s">
        <v>2255</v>
      </c>
      <c r="C1641" s="5" t="s">
        <v>21</v>
      </c>
      <c r="K1641" s="5">
        <v>400.0</v>
      </c>
      <c r="N1641" s="8">
        <v>44701.0</v>
      </c>
    </row>
    <row r="1642">
      <c r="A1642" s="5">
        <v>1641.0</v>
      </c>
      <c r="B1642" s="5" t="s">
        <v>2256</v>
      </c>
      <c r="C1642" s="5" t="s">
        <v>21</v>
      </c>
      <c r="K1642" s="5">
        <v>100.0</v>
      </c>
      <c r="N1642" s="8">
        <v>44420.0</v>
      </c>
    </row>
    <row r="1643">
      <c r="A1643" s="5">
        <v>1642.0</v>
      </c>
      <c r="B1643" s="5" t="s">
        <v>2257</v>
      </c>
      <c r="C1643" s="5" t="s">
        <v>21</v>
      </c>
      <c r="K1643" s="5">
        <v>300.0</v>
      </c>
      <c r="N1643" s="8">
        <v>43843.0</v>
      </c>
    </row>
    <row r="1644">
      <c r="A1644" s="5">
        <v>1643.0</v>
      </c>
      <c r="B1644" s="5" t="s">
        <v>2258</v>
      </c>
      <c r="C1644" s="5" t="s">
        <v>21</v>
      </c>
      <c r="K1644" s="5">
        <v>200.0</v>
      </c>
      <c r="N1644" s="8">
        <v>45247.0</v>
      </c>
    </row>
    <row r="1645">
      <c r="A1645" s="5">
        <v>1644.0</v>
      </c>
      <c r="B1645" s="5" t="s">
        <v>2259</v>
      </c>
      <c r="C1645" s="5" t="s">
        <v>21</v>
      </c>
      <c r="K1645" s="5">
        <v>150.0</v>
      </c>
      <c r="N1645" s="8">
        <v>45166.0</v>
      </c>
    </row>
    <row r="1646">
      <c r="A1646" s="5">
        <v>1645.0</v>
      </c>
      <c r="B1646" s="5" t="s">
        <v>2260</v>
      </c>
      <c r="C1646" s="5" t="s">
        <v>21</v>
      </c>
      <c r="K1646" s="5">
        <v>800.0</v>
      </c>
      <c r="N1646" s="8">
        <v>43845.0</v>
      </c>
    </row>
    <row r="1647">
      <c r="A1647" s="5">
        <v>1646.0</v>
      </c>
      <c r="B1647" s="5" t="s">
        <v>2261</v>
      </c>
      <c r="C1647" s="5" t="s">
        <v>21</v>
      </c>
      <c r="K1647" s="5">
        <v>200.0</v>
      </c>
      <c r="N1647" s="8">
        <v>44399.0</v>
      </c>
    </row>
    <row r="1648">
      <c r="A1648" s="5">
        <v>1647.0</v>
      </c>
      <c r="B1648" s="5" t="s">
        <v>164</v>
      </c>
      <c r="C1648" s="5" t="s">
        <v>21</v>
      </c>
      <c r="K1648" s="5">
        <v>20.0</v>
      </c>
      <c r="N1648" s="8">
        <v>43965.0</v>
      </c>
    </row>
    <row r="1649">
      <c r="A1649" s="5">
        <v>1648.0</v>
      </c>
      <c r="B1649" s="5" t="s">
        <v>2262</v>
      </c>
      <c r="C1649" s="5" t="s">
        <v>21</v>
      </c>
      <c r="K1649" s="5">
        <v>100.0</v>
      </c>
      <c r="N1649" s="8">
        <v>44700.0</v>
      </c>
    </row>
    <row r="1650">
      <c r="A1650" s="5">
        <v>1649.0</v>
      </c>
      <c r="B1650" s="5" t="s">
        <v>2263</v>
      </c>
      <c r="C1650" s="5" t="s">
        <v>21</v>
      </c>
      <c r="K1650" s="5">
        <v>900.0</v>
      </c>
      <c r="N1650" s="8">
        <v>44442.0</v>
      </c>
    </row>
    <row r="1651">
      <c r="A1651" s="5">
        <v>1650.0</v>
      </c>
      <c r="B1651" s="5" t="s">
        <v>2264</v>
      </c>
      <c r="C1651" s="5" t="s">
        <v>21</v>
      </c>
      <c r="K1651" s="5">
        <v>250.0</v>
      </c>
      <c r="N1651" s="8">
        <v>44549.0</v>
      </c>
    </row>
    <row r="1652">
      <c r="A1652" s="5">
        <v>1651.0</v>
      </c>
      <c r="B1652" s="5" t="s">
        <v>2265</v>
      </c>
      <c r="C1652" s="5" t="s">
        <v>21</v>
      </c>
      <c r="K1652" s="5">
        <v>700.0</v>
      </c>
      <c r="N1652" s="8">
        <v>44234.0</v>
      </c>
    </row>
    <row r="1653">
      <c r="A1653" s="5">
        <v>1652.0</v>
      </c>
      <c r="B1653" s="5" t="s">
        <v>2266</v>
      </c>
      <c r="C1653" s="5" t="s">
        <v>21</v>
      </c>
      <c r="K1653" s="5">
        <v>10.0</v>
      </c>
      <c r="N1653" s="8">
        <v>44208.0</v>
      </c>
    </row>
    <row r="1654">
      <c r="A1654" s="5">
        <v>1653.0</v>
      </c>
      <c r="B1654" s="5" t="s">
        <v>2267</v>
      </c>
      <c r="C1654" s="5" t="s">
        <v>21</v>
      </c>
      <c r="K1654" s="5">
        <v>200.0</v>
      </c>
      <c r="N1654" s="8">
        <v>44537.0</v>
      </c>
    </row>
    <row r="1655">
      <c r="A1655" s="5">
        <v>1654.0</v>
      </c>
      <c r="B1655" s="5" t="s">
        <v>2268</v>
      </c>
      <c r="C1655" s="5" t="s">
        <v>21</v>
      </c>
      <c r="K1655" s="5">
        <v>40.0</v>
      </c>
      <c r="N1655" s="8">
        <v>44602.0</v>
      </c>
    </row>
    <row r="1656">
      <c r="A1656" s="5">
        <v>1655.0</v>
      </c>
      <c r="B1656" s="5" t="s">
        <v>167</v>
      </c>
      <c r="C1656" s="5" t="s">
        <v>21</v>
      </c>
      <c r="K1656" s="5">
        <v>60.0</v>
      </c>
      <c r="N1656" s="8">
        <v>44425.0</v>
      </c>
    </row>
    <row r="1657">
      <c r="A1657" s="5">
        <v>1656.0</v>
      </c>
      <c r="B1657" s="5" t="s">
        <v>2269</v>
      </c>
      <c r="C1657" s="5" t="s">
        <v>21</v>
      </c>
      <c r="K1657" s="5">
        <v>300.0</v>
      </c>
      <c r="N1657" s="8">
        <v>44528.0</v>
      </c>
    </row>
    <row r="1658">
      <c r="A1658" s="5">
        <v>1657.0</v>
      </c>
      <c r="B1658" s="5" t="s">
        <v>2270</v>
      </c>
      <c r="C1658" s="5" t="s">
        <v>21</v>
      </c>
      <c r="K1658" s="5">
        <v>30.0</v>
      </c>
      <c r="N1658" s="8">
        <v>43974.0</v>
      </c>
    </row>
    <row r="1659">
      <c r="A1659" s="5">
        <v>1658.0</v>
      </c>
      <c r="B1659" s="5" t="s">
        <v>2271</v>
      </c>
      <c r="C1659" s="5" t="s">
        <v>21</v>
      </c>
      <c r="K1659" s="5">
        <v>400.0</v>
      </c>
      <c r="N1659" s="8">
        <v>43854.0</v>
      </c>
    </row>
    <row r="1660">
      <c r="A1660" s="5">
        <v>1659.0</v>
      </c>
      <c r="B1660" s="5" t="s">
        <v>2272</v>
      </c>
      <c r="C1660" s="5" t="s">
        <v>21</v>
      </c>
      <c r="K1660" s="5">
        <v>150.0</v>
      </c>
      <c r="N1660" s="8">
        <v>45001.0</v>
      </c>
    </row>
    <row r="1661">
      <c r="A1661" s="5">
        <v>1660.0</v>
      </c>
      <c r="B1661" s="5" t="s">
        <v>2273</v>
      </c>
      <c r="C1661" s="5" t="s">
        <v>21</v>
      </c>
      <c r="N1661" s="8">
        <v>44596.0</v>
      </c>
    </row>
    <row r="1662">
      <c r="A1662" s="5">
        <v>1661.0</v>
      </c>
      <c r="B1662" s="5" t="s">
        <v>2274</v>
      </c>
      <c r="C1662" s="5" t="s">
        <v>21</v>
      </c>
      <c r="K1662" s="5">
        <v>4100.0</v>
      </c>
      <c r="N1662" s="8">
        <v>44309.0</v>
      </c>
    </row>
    <row r="1663">
      <c r="A1663" s="5">
        <v>1662.0</v>
      </c>
      <c r="B1663" s="5" t="s">
        <v>2275</v>
      </c>
      <c r="C1663" s="5" t="s">
        <v>21</v>
      </c>
      <c r="K1663" s="5">
        <v>200.0</v>
      </c>
      <c r="N1663" s="8">
        <v>44929.0</v>
      </c>
    </row>
    <row r="1664">
      <c r="A1664" s="5">
        <v>1663.0</v>
      </c>
      <c r="B1664" s="5" t="s">
        <v>160</v>
      </c>
      <c r="C1664" s="5" t="s">
        <v>21</v>
      </c>
      <c r="K1664" s="5">
        <v>500.0</v>
      </c>
      <c r="N1664" s="8">
        <v>45152.0</v>
      </c>
    </row>
    <row r="1665">
      <c r="A1665" s="5">
        <v>1664.0</v>
      </c>
      <c r="B1665" s="5" t="s">
        <v>2276</v>
      </c>
      <c r="C1665" s="5" t="s">
        <v>21</v>
      </c>
      <c r="K1665" s="5">
        <v>4200.0</v>
      </c>
      <c r="N1665" s="8">
        <v>44282.0</v>
      </c>
    </row>
    <row r="1666">
      <c r="A1666" s="5">
        <v>1665.0</v>
      </c>
      <c r="B1666" s="5" t="s">
        <v>2277</v>
      </c>
      <c r="C1666" s="5" t="s">
        <v>21</v>
      </c>
      <c r="K1666" s="5">
        <v>3000.0</v>
      </c>
      <c r="N1666" s="8">
        <v>43863.0</v>
      </c>
    </row>
    <row r="1667">
      <c r="A1667" s="5">
        <v>1666.0</v>
      </c>
      <c r="B1667" s="5" t="s">
        <v>2278</v>
      </c>
      <c r="C1667" s="5" t="s">
        <v>21</v>
      </c>
      <c r="K1667" s="5">
        <v>350.0</v>
      </c>
      <c r="N1667" s="8">
        <v>44111.0</v>
      </c>
    </row>
    <row r="1668">
      <c r="A1668" s="5">
        <v>1667.0</v>
      </c>
      <c r="B1668" s="5" t="s">
        <v>2279</v>
      </c>
      <c r="C1668" s="5" t="s">
        <v>21</v>
      </c>
      <c r="K1668" s="5">
        <v>800.0</v>
      </c>
      <c r="N1668" s="8">
        <v>44622.0</v>
      </c>
    </row>
    <row r="1669">
      <c r="A1669" s="5">
        <v>1668.0</v>
      </c>
      <c r="B1669" s="5" t="s">
        <v>2280</v>
      </c>
      <c r="C1669" s="5" t="s">
        <v>21</v>
      </c>
      <c r="K1669" s="5">
        <v>1800.0</v>
      </c>
      <c r="N1669" s="8">
        <v>44122.0</v>
      </c>
    </row>
    <row r="1670">
      <c r="A1670" s="5">
        <v>1669.0</v>
      </c>
      <c r="B1670" s="5" t="s">
        <v>2281</v>
      </c>
      <c r="C1670" s="5" t="s">
        <v>21</v>
      </c>
      <c r="K1670" s="5">
        <v>500.0</v>
      </c>
      <c r="N1670" s="8">
        <v>44659.0</v>
      </c>
    </row>
    <row r="1671">
      <c r="A1671" s="5">
        <v>1670.0</v>
      </c>
      <c r="B1671" s="5" t="s">
        <v>2282</v>
      </c>
      <c r="C1671" s="5" t="s">
        <v>21</v>
      </c>
      <c r="K1671" s="5">
        <v>50.0</v>
      </c>
      <c r="N1671" s="8">
        <v>44206.0</v>
      </c>
    </row>
    <row r="1672">
      <c r="A1672" s="5">
        <v>1671.0</v>
      </c>
      <c r="B1672" s="5" t="s">
        <v>2283</v>
      </c>
      <c r="C1672" s="5" t="s">
        <v>21</v>
      </c>
      <c r="K1672" s="5">
        <v>30.0</v>
      </c>
      <c r="N1672" s="8">
        <v>44950.0</v>
      </c>
    </row>
    <row r="1673">
      <c r="A1673" s="5">
        <v>1672.0</v>
      </c>
      <c r="B1673" s="5" t="s">
        <v>2284</v>
      </c>
      <c r="C1673" s="5" t="s">
        <v>21</v>
      </c>
      <c r="K1673" s="5">
        <v>1500.0</v>
      </c>
      <c r="N1673" s="8">
        <v>44038.0</v>
      </c>
    </row>
    <row r="1674">
      <c r="A1674" s="5">
        <v>1673.0</v>
      </c>
      <c r="B1674" s="5" t="s">
        <v>2285</v>
      </c>
      <c r="C1674" s="5" t="s">
        <v>21</v>
      </c>
      <c r="K1674" s="5">
        <v>1600.0</v>
      </c>
      <c r="N1674" s="8">
        <v>44052.0</v>
      </c>
    </row>
    <row r="1675">
      <c r="A1675" s="5">
        <v>1674.0</v>
      </c>
      <c r="B1675" s="5" t="s">
        <v>2286</v>
      </c>
      <c r="C1675" s="5" t="s">
        <v>21</v>
      </c>
      <c r="K1675" s="5">
        <v>700.0</v>
      </c>
      <c r="N1675" s="8">
        <v>44537.0</v>
      </c>
    </row>
    <row r="1676">
      <c r="A1676" s="5">
        <v>1675.0</v>
      </c>
      <c r="B1676" s="5" t="s">
        <v>2287</v>
      </c>
      <c r="C1676" s="5" t="s">
        <v>21</v>
      </c>
      <c r="K1676" s="5">
        <v>1400.0</v>
      </c>
      <c r="N1676" s="8">
        <v>44158.0</v>
      </c>
    </row>
    <row r="1677">
      <c r="A1677" s="5">
        <v>1676.0</v>
      </c>
      <c r="B1677" s="5" t="s">
        <v>2288</v>
      </c>
      <c r="C1677" s="5" t="s">
        <v>21</v>
      </c>
      <c r="K1677" s="5">
        <v>20.0</v>
      </c>
      <c r="N1677" s="8">
        <v>45368.0</v>
      </c>
    </row>
    <row r="1678">
      <c r="A1678" s="5">
        <v>1677.0</v>
      </c>
      <c r="B1678" s="5" t="s">
        <v>2289</v>
      </c>
      <c r="C1678" s="5" t="s">
        <v>21</v>
      </c>
      <c r="K1678" s="5">
        <v>80.0</v>
      </c>
      <c r="N1678" s="8">
        <v>44371.0</v>
      </c>
    </row>
    <row r="1679">
      <c r="A1679" s="5">
        <v>1678.0</v>
      </c>
      <c r="B1679" s="5" t="s">
        <v>2290</v>
      </c>
      <c r="C1679" s="5" t="s">
        <v>21</v>
      </c>
      <c r="K1679" s="5">
        <v>200.0</v>
      </c>
      <c r="N1679" s="8">
        <v>44623.0</v>
      </c>
    </row>
    <row r="1680">
      <c r="A1680" s="5">
        <v>1679.0</v>
      </c>
      <c r="B1680" s="5" t="s">
        <v>2291</v>
      </c>
      <c r="C1680" s="5" t="s">
        <v>21</v>
      </c>
      <c r="K1680" s="5">
        <v>30.0</v>
      </c>
      <c r="N1680" s="8">
        <v>44167.0</v>
      </c>
    </row>
    <row r="1681">
      <c r="A1681" s="5">
        <v>1680.0</v>
      </c>
      <c r="B1681" s="5" t="s">
        <v>2292</v>
      </c>
      <c r="C1681" s="5" t="s">
        <v>21</v>
      </c>
      <c r="K1681" s="5">
        <v>400.0</v>
      </c>
      <c r="N1681" s="8">
        <v>44712.0</v>
      </c>
    </row>
    <row r="1682">
      <c r="A1682" s="5">
        <v>1681.0</v>
      </c>
      <c r="B1682" s="5" t="s">
        <v>2293</v>
      </c>
      <c r="C1682" s="5" t="s">
        <v>21</v>
      </c>
      <c r="K1682" s="5">
        <v>600.0</v>
      </c>
      <c r="N1682" s="8">
        <v>43878.0</v>
      </c>
    </row>
    <row r="1683">
      <c r="A1683" s="5">
        <v>1682.0</v>
      </c>
      <c r="B1683" s="5" t="s">
        <v>2294</v>
      </c>
      <c r="C1683" s="5" t="s">
        <v>21</v>
      </c>
      <c r="K1683" s="5">
        <v>200.0</v>
      </c>
      <c r="N1683" s="8">
        <v>45120.0</v>
      </c>
    </row>
    <row r="1684">
      <c r="A1684" s="5">
        <v>1683.0</v>
      </c>
      <c r="B1684" s="5" t="s">
        <v>2295</v>
      </c>
      <c r="C1684" s="5" t="s">
        <v>21</v>
      </c>
      <c r="K1684" s="5">
        <v>1000.0</v>
      </c>
      <c r="N1684" s="8">
        <v>44478.0</v>
      </c>
    </row>
    <row r="1685">
      <c r="A1685" s="5">
        <v>1684.0</v>
      </c>
      <c r="B1685" s="5" t="s">
        <v>2296</v>
      </c>
      <c r="C1685" s="5" t="s">
        <v>21</v>
      </c>
      <c r="K1685" s="5">
        <v>3100.0</v>
      </c>
      <c r="N1685" s="8">
        <v>43862.0</v>
      </c>
    </row>
    <row r="1686">
      <c r="A1686" s="5">
        <v>1685.0</v>
      </c>
      <c r="B1686" s="5" t="s">
        <v>2297</v>
      </c>
      <c r="C1686" s="5" t="s">
        <v>21</v>
      </c>
      <c r="K1686" s="5">
        <v>150.0</v>
      </c>
      <c r="N1686" s="8">
        <v>44763.0</v>
      </c>
    </row>
    <row r="1687">
      <c r="A1687" s="5">
        <v>1686.0</v>
      </c>
      <c r="B1687" s="5" t="s">
        <v>2298</v>
      </c>
      <c r="C1687" s="5" t="s">
        <v>21</v>
      </c>
      <c r="K1687" s="5">
        <v>50.0</v>
      </c>
      <c r="N1687" s="8">
        <v>45004.0</v>
      </c>
    </row>
    <row r="1688">
      <c r="A1688" s="5">
        <v>1687.0</v>
      </c>
      <c r="B1688" s="5" t="s">
        <v>2299</v>
      </c>
      <c r="C1688" s="5" t="s">
        <v>21</v>
      </c>
      <c r="K1688" s="5">
        <v>350.0</v>
      </c>
      <c r="N1688" s="8">
        <v>44742.0</v>
      </c>
    </row>
    <row r="1689">
      <c r="A1689" s="5">
        <v>1688.0</v>
      </c>
      <c r="B1689" s="5" t="s">
        <v>2300</v>
      </c>
      <c r="C1689" s="5" t="s">
        <v>21</v>
      </c>
      <c r="K1689" s="5">
        <v>200.0</v>
      </c>
      <c r="N1689" s="8">
        <v>44637.0</v>
      </c>
    </row>
    <row r="1690">
      <c r="A1690" s="5">
        <v>1689.0</v>
      </c>
      <c r="B1690" s="5" t="s">
        <v>2301</v>
      </c>
      <c r="C1690" s="5" t="s">
        <v>21</v>
      </c>
      <c r="K1690" s="5">
        <v>70.0</v>
      </c>
      <c r="N1690" s="8">
        <v>45088.0</v>
      </c>
    </row>
    <row r="1691">
      <c r="A1691" s="5">
        <v>1690.0</v>
      </c>
      <c r="B1691" s="5" t="s">
        <v>2302</v>
      </c>
      <c r="C1691" s="5" t="s">
        <v>21</v>
      </c>
      <c r="K1691" s="5">
        <v>500.0</v>
      </c>
      <c r="N1691" s="8">
        <v>44605.0</v>
      </c>
    </row>
    <row r="1692">
      <c r="A1692" s="5">
        <v>1691.0</v>
      </c>
      <c r="B1692" s="5" t="s">
        <v>2303</v>
      </c>
      <c r="C1692" s="5" t="s">
        <v>21</v>
      </c>
      <c r="K1692" s="5">
        <v>150.0</v>
      </c>
      <c r="N1692" s="8">
        <v>43937.0</v>
      </c>
    </row>
    <row r="1693">
      <c r="A1693" s="5">
        <v>1692.0</v>
      </c>
      <c r="B1693" s="5" t="s">
        <v>2304</v>
      </c>
      <c r="C1693" s="5" t="s">
        <v>21</v>
      </c>
      <c r="K1693" s="5">
        <v>150.0</v>
      </c>
      <c r="N1693" s="8">
        <v>44535.0</v>
      </c>
    </row>
    <row r="1694">
      <c r="A1694" s="5">
        <v>1693.0</v>
      </c>
      <c r="B1694" s="5" t="s">
        <v>2305</v>
      </c>
      <c r="C1694" s="5" t="s">
        <v>21</v>
      </c>
      <c r="K1694" s="5">
        <v>450.0</v>
      </c>
      <c r="N1694" s="8">
        <v>45136.0</v>
      </c>
    </row>
    <row r="1695">
      <c r="A1695" s="5">
        <v>1694.0</v>
      </c>
      <c r="B1695" s="5" t="s">
        <v>2306</v>
      </c>
      <c r="C1695" s="5" t="s">
        <v>21</v>
      </c>
      <c r="K1695" s="5">
        <v>60.0</v>
      </c>
      <c r="N1695" s="8">
        <v>45084.0</v>
      </c>
    </row>
    <row r="1696">
      <c r="A1696" s="5">
        <v>1695.0</v>
      </c>
      <c r="B1696" s="5" t="s">
        <v>2307</v>
      </c>
      <c r="C1696" s="5" t="s">
        <v>21</v>
      </c>
      <c r="N1696" s="8">
        <v>44523.0</v>
      </c>
    </row>
    <row r="1697">
      <c r="A1697" s="5">
        <v>1696.0</v>
      </c>
      <c r="B1697" s="5" t="s">
        <v>2308</v>
      </c>
      <c r="C1697" s="5" t="s">
        <v>21</v>
      </c>
      <c r="K1697" s="5">
        <v>20.0</v>
      </c>
      <c r="N1697" s="8">
        <v>44334.0</v>
      </c>
    </row>
    <row r="1698">
      <c r="A1698" s="5">
        <v>1697.0</v>
      </c>
      <c r="B1698" s="5" t="s">
        <v>2309</v>
      </c>
      <c r="C1698" s="5" t="s">
        <v>21</v>
      </c>
      <c r="K1698" s="5">
        <v>300.0</v>
      </c>
      <c r="N1698" s="8">
        <v>44608.0</v>
      </c>
    </row>
    <row r="1699">
      <c r="A1699" s="5">
        <v>1698.0</v>
      </c>
      <c r="B1699" s="5" t="s">
        <v>2310</v>
      </c>
      <c r="C1699" s="5" t="s">
        <v>21</v>
      </c>
      <c r="K1699" s="5">
        <v>150.0</v>
      </c>
      <c r="N1699" s="8">
        <v>44622.0</v>
      </c>
    </row>
    <row r="1700">
      <c r="A1700" s="5">
        <v>1699.0</v>
      </c>
      <c r="B1700" s="5" t="s">
        <v>2311</v>
      </c>
      <c r="C1700" s="5" t="s">
        <v>21</v>
      </c>
      <c r="N1700" s="8">
        <v>44334.0</v>
      </c>
    </row>
    <row r="1701">
      <c r="A1701" s="5">
        <v>1700.0</v>
      </c>
      <c r="B1701" s="5" t="s">
        <v>2312</v>
      </c>
      <c r="C1701" s="5" t="s">
        <v>21</v>
      </c>
      <c r="N1701" s="8">
        <v>44518.0</v>
      </c>
    </row>
    <row r="1702">
      <c r="A1702" s="5">
        <v>1701.0</v>
      </c>
      <c r="B1702" s="5" t="s">
        <v>2313</v>
      </c>
      <c r="C1702" s="5" t="s">
        <v>21</v>
      </c>
      <c r="K1702" s="5">
        <v>1000.0</v>
      </c>
      <c r="N1702" s="8">
        <v>43967.0</v>
      </c>
    </row>
    <row r="1703">
      <c r="A1703" s="5">
        <v>1702.0</v>
      </c>
      <c r="B1703" s="5" t="s">
        <v>2314</v>
      </c>
      <c r="C1703" s="5" t="s">
        <v>21</v>
      </c>
      <c r="N1703" s="8">
        <v>44616.0</v>
      </c>
    </row>
    <row r="1704">
      <c r="A1704" s="5">
        <v>1703.0</v>
      </c>
      <c r="B1704" s="5" t="s">
        <v>2315</v>
      </c>
      <c r="C1704" s="5" t="s">
        <v>21</v>
      </c>
      <c r="K1704" s="5">
        <v>100.0</v>
      </c>
      <c r="N1704" s="8">
        <v>45092.0</v>
      </c>
    </row>
    <row r="1705">
      <c r="A1705" s="5">
        <v>1704.0</v>
      </c>
      <c r="B1705" s="5" t="s">
        <v>2316</v>
      </c>
      <c r="C1705" s="5" t="s">
        <v>21</v>
      </c>
      <c r="N1705" s="8">
        <v>44578.0</v>
      </c>
    </row>
    <row r="1706">
      <c r="A1706" s="5">
        <v>1705.0</v>
      </c>
      <c r="B1706" s="5" t="s">
        <v>2317</v>
      </c>
      <c r="C1706" s="5" t="s">
        <v>21</v>
      </c>
      <c r="K1706" s="5">
        <v>90.0</v>
      </c>
      <c r="N1706" s="8">
        <v>44572.0</v>
      </c>
    </row>
    <row r="1707">
      <c r="A1707" s="5">
        <v>1706.0</v>
      </c>
      <c r="B1707" s="5" t="s">
        <v>2318</v>
      </c>
      <c r="C1707" s="5" t="s">
        <v>21</v>
      </c>
      <c r="K1707" s="5">
        <v>700.0</v>
      </c>
      <c r="N1707" s="8">
        <v>42933.0</v>
      </c>
    </row>
    <row r="1708">
      <c r="A1708" s="5">
        <v>1707.0</v>
      </c>
      <c r="B1708" s="5" t="s">
        <v>2319</v>
      </c>
      <c r="C1708" s="5" t="s">
        <v>21</v>
      </c>
      <c r="K1708" s="5">
        <v>200.0</v>
      </c>
      <c r="N1708" s="8">
        <v>44791.0</v>
      </c>
    </row>
    <row r="1709">
      <c r="A1709" s="5">
        <v>1708.0</v>
      </c>
      <c r="B1709" s="5" t="s">
        <v>2320</v>
      </c>
      <c r="C1709" s="5" t="s">
        <v>21</v>
      </c>
      <c r="K1709" s="5">
        <v>300.0</v>
      </c>
      <c r="N1709" s="8">
        <v>44622.0</v>
      </c>
    </row>
    <row r="1710">
      <c r="A1710" s="5">
        <v>1709.0</v>
      </c>
      <c r="B1710" s="5" t="s">
        <v>2321</v>
      </c>
      <c r="C1710" s="5" t="s">
        <v>21</v>
      </c>
      <c r="K1710" s="5">
        <v>5300.0</v>
      </c>
      <c r="N1710" s="8">
        <v>43847.0</v>
      </c>
    </row>
    <row r="1711">
      <c r="A1711" s="5">
        <v>1710.0</v>
      </c>
      <c r="B1711" s="5" t="s">
        <v>2322</v>
      </c>
      <c r="C1711" s="5" t="s">
        <v>21</v>
      </c>
      <c r="K1711" s="5">
        <v>300.0</v>
      </c>
      <c r="N1711" s="8">
        <v>44529.0</v>
      </c>
    </row>
    <row r="1712">
      <c r="A1712" s="5">
        <v>1711.0</v>
      </c>
      <c r="B1712" s="5" t="s">
        <v>2323</v>
      </c>
      <c r="C1712" s="5" t="s">
        <v>21</v>
      </c>
      <c r="K1712" s="5">
        <v>20.0</v>
      </c>
      <c r="N1712" s="8">
        <v>44604.0</v>
      </c>
    </row>
    <row r="1713">
      <c r="A1713" s="5">
        <v>1712.0</v>
      </c>
      <c r="B1713" s="5" t="s">
        <v>2324</v>
      </c>
      <c r="C1713" s="5" t="s">
        <v>21</v>
      </c>
      <c r="K1713" s="5">
        <v>250.0</v>
      </c>
      <c r="N1713" s="8">
        <v>44068.0</v>
      </c>
    </row>
    <row r="1714">
      <c r="A1714" s="5">
        <v>1713.0</v>
      </c>
      <c r="B1714" s="5" t="s">
        <v>2325</v>
      </c>
      <c r="C1714" s="5" t="s">
        <v>21</v>
      </c>
      <c r="K1714" s="5">
        <v>800.0</v>
      </c>
      <c r="N1714" s="8">
        <v>44748.0</v>
      </c>
    </row>
    <row r="1715">
      <c r="A1715" s="5">
        <v>1714.0</v>
      </c>
      <c r="B1715" s="5" t="s">
        <v>2326</v>
      </c>
      <c r="C1715" s="5" t="s">
        <v>21</v>
      </c>
      <c r="K1715" s="5">
        <v>1100.0</v>
      </c>
      <c r="N1715" s="8">
        <v>44606.0</v>
      </c>
    </row>
    <row r="1716">
      <c r="A1716" s="5">
        <v>1715.0</v>
      </c>
      <c r="B1716" s="5" t="s">
        <v>2327</v>
      </c>
      <c r="C1716" s="5" t="s">
        <v>21</v>
      </c>
      <c r="K1716" s="5">
        <v>100.0</v>
      </c>
      <c r="N1716" s="8">
        <v>45147.0</v>
      </c>
    </row>
    <row r="1717">
      <c r="A1717" s="5">
        <v>1716.0</v>
      </c>
      <c r="B1717" s="5" t="s">
        <v>2328</v>
      </c>
      <c r="C1717" s="5" t="s">
        <v>21</v>
      </c>
      <c r="K1717" s="5">
        <v>200.0</v>
      </c>
      <c r="N1717" s="8">
        <v>44013.0</v>
      </c>
    </row>
    <row r="1718">
      <c r="A1718" s="5">
        <v>1717.0</v>
      </c>
      <c r="B1718" s="5" t="s">
        <v>2329</v>
      </c>
      <c r="C1718" s="5" t="s">
        <v>21</v>
      </c>
      <c r="K1718" s="5">
        <v>200.0</v>
      </c>
      <c r="N1718" s="8">
        <v>44552.0</v>
      </c>
    </row>
    <row r="1719">
      <c r="A1719" s="5">
        <v>1718.0</v>
      </c>
      <c r="B1719" s="5" t="s">
        <v>2330</v>
      </c>
      <c r="C1719" s="5" t="s">
        <v>21</v>
      </c>
      <c r="N1719" s="8">
        <v>45391.0</v>
      </c>
    </row>
    <row r="1720">
      <c r="A1720" s="5">
        <v>1719.0</v>
      </c>
      <c r="B1720" s="5" t="s">
        <v>2331</v>
      </c>
      <c r="C1720" s="5" t="s">
        <v>21</v>
      </c>
      <c r="K1720" s="5">
        <v>1000.0</v>
      </c>
      <c r="N1720" s="8">
        <v>45315.0</v>
      </c>
    </row>
    <row r="1721">
      <c r="A1721" s="5">
        <v>1720.0</v>
      </c>
      <c r="B1721" s="5" t="s">
        <v>2332</v>
      </c>
      <c r="C1721" s="5" t="s">
        <v>21</v>
      </c>
      <c r="K1721" s="5">
        <v>1300.0</v>
      </c>
      <c r="N1721" s="8">
        <v>45235.0</v>
      </c>
    </row>
    <row r="1722">
      <c r="A1722" s="5">
        <v>1721.0</v>
      </c>
      <c r="B1722" s="5" t="s">
        <v>170</v>
      </c>
      <c r="C1722" s="5" t="s">
        <v>21</v>
      </c>
      <c r="K1722" s="5">
        <v>200.0</v>
      </c>
      <c r="N1722" s="8">
        <v>45350.0</v>
      </c>
    </row>
    <row r="1723">
      <c r="A1723" s="5">
        <v>1722.0</v>
      </c>
      <c r="B1723" s="5" t="s">
        <v>2333</v>
      </c>
      <c r="C1723" s="5" t="s">
        <v>21</v>
      </c>
      <c r="K1723" s="5">
        <v>70.0</v>
      </c>
      <c r="N1723" s="8">
        <v>45087.0</v>
      </c>
    </row>
    <row r="1724">
      <c r="A1724" s="5">
        <v>1723.0</v>
      </c>
      <c r="B1724" s="5" t="s">
        <v>2334</v>
      </c>
      <c r="C1724" s="5" t="s">
        <v>21</v>
      </c>
      <c r="K1724" s="5">
        <v>150.0</v>
      </c>
      <c r="N1724" s="8">
        <v>44690.0</v>
      </c>
    </row>
    <row r="1725">
      <c r="A1725" s="5">
        <v>1724.0</v>
      </c>
      <c r="B1725" s="5" t="s">
        <v>2335</v>
      </c>
      <c r="C1725" s="5" t="s">
        <v>21</v>
      </c>
      <c r="K1725" s="5">
        <v>150.0</v>
      </c>
      <c r="N1725" s="8">
        <v>45067.0</v>
      </c>
    </row>
    <row r="1726">
      <c r="A1726" s="5">
        <v>1725.0</v>
      </c>
      <c r="B1726" s="5" t="s">
        <v>2336</v>
      </c>
      <c r="C1726" s="5" t="s">
        <v>21</v>
      </c>
      <c r="K1726" s="5">
        <v>450.0</v>
      </c>
      <c r="N1726" s="8">
        <v>45192.0</v>
      </c>
    </row>
    <row r="1727">
      <c r="A1727" s="5">
        <v>1726.0</v>
      </c>
      <c r="B1727" s="5" t="s">
        <v>2337</v>
      </c>
      <c r="C1727" s="5" t="s">
        <v>21</v>
      </c>
      <c r="K1727" s="5">
        <v>250.0</v>
      </c>
      <c r="N1727" s="8">
        <v>45518.0</v>
      </c>
    </row>
    <row r="1728">
      <c r="A1728" s="5">
        <v>1727.0</v>
      </c>
      <c r="B1728" s="5" t="s">
        <v>2338</v>
      </c>
      <c r="C1728" s="5" t="s">
        <v>21</v>
      </c>
      <c r="K1728" s="5">
        <v>2800.0</v>
      </c>
      <c r="N1728" s="8">
        <v>43882.0</v>
      </c>
    </row>
    <row r="1729">
      <c r="A1729" s="5">
        <v>1728.0</v>
      </c>
      <c r="B1729" s="5" t="s">
        <v>2339</v>
      </c>
      <c r="C1729" s="5" t="s">
        <v>21</v>
      </c>
      <c r="K1729" s="5">
        <v>80.0</v>
      </c>
      <c r="N1729" s="8">
        <v>44965.0</v>
      </c>
    </row>
    <row r="1730">
      <c r="A1730" s="5">
        <v>1729.0</v>
      </c>
      <c r="B1730" s="5" t="s">
        <v>2340</v>
      </c>
      <c r="C1730" s="5" t="s">
        <v>21</v>
      </c>
      <c r="K1730" s="5">
        <v>1700.0</v>
      </c>
      <c r="N1730" s="8">
        <v>43928.0</v>
      </c>
    </row>
    <row r="1731">
      <c r="A1731" s="5">
        <v>1730.0</v>
      </c>
      <c r="B1731" s="5" t="s">
        <v>2341</v>
      </c>
      <c r="C1731" s="5" t="s">
        <v>21</v>
      </c>
      <c r="K1731" s="5">
        <v>60.0</v>
      </c>
      <c r="N1731" s="8">
        <v>45381.0</v>
      </c>
    </row>
    <row r="1732">
      <c r="A1732" s="5">
        <v>1731.0</v>
      </c>
      <c r="B1732" s="5" t="s">
        <v>2342</v>
      </c>
      <c r="C1732" s="5" t="s">
        <v>21</v>
      </c>
      <c r="K1732" s="5">
        <v>40.0</v>
      </c>
      <c r="N1732" s="8">
        <v>44086.0</v>
      </c>
    </row>
    <row r="1733">
      <c r="A1733" s="5">
        <v>1732.0</v>
      </c>
      <c r="B1733" s="5" t="s">
        <v>2343</v>
      </c>
      <c r="C1733" s="5" t="s">
        <v>21</v>
      </c>
      <c r="N1733" s="8">
        <v>45270.0</v>
      </c>
    </row>
    <row r="1734">
      <c r="A1734" s="5">
        <v>1733.0</v>
      </c>
      <c r="B1734" s="5" t="s">
        <v>2344</v>
      </c>
      <c r="C1734" s="5" t="s">
        <v>21</v>
      </c>
      <c r="K1734" s="5">
        <v>400.0</v>
      </c>
      <c r="N1734" s="8">
        <v>43959.0</v>
      </c>
    </row>
    <row r="1735">
      <c r="A1735" s="5">
        <v>1734.0</v>
      </c>
      <c r="B1735" s="5" t="s">
        <v>2345</v>
      </c>
      <c r="C1735" s="5" t="s">
        <v>21</v>
      </c>
      <c r="K1735" s="5">
        <v>400.0</v>
      </c>
      <c r="N1735" s="8">
        <v>44383.0</v>
      </c>
    </row>
    <row r="1736">
      <c r="A1736" s="5">
        <v>1735.0</v>
      </c>
      <c r="B1736" s="5" t="s">
        <v>173</v>
      </c>
      <c r="C1736" s="5" t="s">
        <v>21</v>
      </c>
      <c r="K1736" s="5">
        <v>10.0</v>
      </c>
      <c r="N1736" s="8">
        <v>44541.0</v>
      </c>
    </row>
    <row r="1737">
      <c r="A1737" s="5">
        <v>1736.0</v>
      </c>
      <c r="B1737" s="5" t="s">
        <v>2346</v>
      </c>
      <c r="C1737" s="5" t="s">
        <v>21</v>
      </c>
      <c r="K1737" s="5">
        <v>1800.0</v>
      </c>
      <c r="N1737" s="8">
        <v>44335.0</v>
      </c>
    </row>
    <row r="1738">
      <c r="A1738" s="5">
        <v>1737.0</v>
      </c>
      <c r="B1738" s="5" t="s">
        <v>2347</v>
      </c>
      <c r="C1738" s="5" t="s">
        <v>21</v>
      </c>
      <c r="K1738" s="5">
        <v>1100.0</v>
      </c>
      <c r="N1738" s="8">
        <v>45476.0</v>
      </c>
    </row>
    <row r="1739">
      <c r="A1739" s="5">
        <v>1738.0</v>
      </c>
      <c r="B1739" s="5" t="s">
        <v>2348</v>
      </c>
      <c r="C1739" s="5" t="s">
        <v>21</v>
      </c>
      <c r="K1739" s="5">
        <v>150.0</v>
      </c>
      <c r="N1739" s="8">
        <v>44692.0</v>
      </c>
    </row>
    <row r="1740">
      <c r="A1740" s="5">
        <v>1739.0</v>
      </c>
      <c r="B1740" s="5" t="s">
        <v>2349</v>
      </c>
      <c r="C1740" s="5" t="s">
        <v>21</v>
      </c>
      <c r="K1740" s="5">
        <v>100.0</v>
      </c>
      <c r="N1740" s="8">
        <v>44564.0</v>
      </c>
    </row>
    <row r="1741">
      <c r="A1741" s="5">
        <v>1740.0</v>
      </c>
      <c r="B1741" s="5" t="s">
        <v>2350</v>
      </c>
      <c r="C1741" s="5" t="s">
        <v>21</v>
      </c>
      <c r="K1741" s="5">
        <v>100.0</v>
      </c>
      <c r="N1741" s="8">
        <v>45445.0</v>
      </c>
    </row>
    <row r="1742">
      <c r="A1742" s="5">
        <v>1741.0</v>
      </c>
      <c r="B1742" s="5" t="s">
        <v>2351</v>
      </c>
      <c r="C1742" s="5" t="s">
        <v>21</v>
      </c>
      <c r="K1742" s="5">
        <v>300.0</v>
      </c>
      <c r="N1742" s="8">
        <v>45137.0</v>
      </c>
    </row>
    <row r="1743">
      <c r="A1743" s="5">
        <v>1742.0</v>
      </c>
      <c r="B1743" s="5" t="s">
        <v>2352</v>
      </c>
      <c r="C1743" s="5" t="s">
        <v>21</v>
      </c>
      <c r="K1743" s="5">
        <v>1000.0</v>
      </c>
      <c r="N1743" s="8">
        <v>43853.0</v>
      </c>
    </row>
    <row r="1744">
      <c r="A1744" s="5">
        <v>1743.0</v>
      </c>
      <c r="B1744" s="5" t="s">
        <v>2353</v>
      </c>
      <c r="C1744" s="5" t="s">
        <v>21</v>
      </c>
      <c r="K1744" s="5">
        <v>350.0</v>
      </c>
      <c r="N1744" s="8">
        <v>44544.0</v>
      </c>
    </row>
    <row r="1745">
      <c r="A1745" s="5">
        <v>1744.0</v>
      </c>
      <c r="B1745" s="5" t="s">
        <v>2354</v>
      </c>
      <c r="C1745" s="5" t="s">
        <v>21</v>
      </c>
      <c r="K1745" s="5">
        <v>3900.0</v>
      </c>
      <c r="N1745" s="8">
        <v>43849.0</v>
      </c>
    </row>
    <row r="1746">
      <c r="A1746" s="5">
        <v>1745.0</v>
      </c>
      <c r="B1746" s="5" t="s">
        <v>2355</v>
      </c>
      <c r="C1746" s="5" t="s">
        <v>21</v>
      </c>
      <c r="K1746" s="5">
        <v>250.0</v>
      </c>
      <c r="N1746" s="8">
        <v>44503.0</v>
      </c>
    </row>
    <row r="1747">
      <c r="A1747" s="5">
        <v>1746.0</v>
      </c>
      <c r="B1747" s="5" t="s">
        <v>2356</v>
      </c>
      <c r="C1747" s="5" t="s">
        <v>21</v>
      </c>
      <c r="K1747" s="5">
        <v>600.0</v>
      </c>
      <c r="N1747" s="8">
        <v>44530.0</v>
      </c>
    </row>
    <row r="1748">
      <c r="A1748" s="5">
        <v>1747.0</v>
      </c>
      <c r="B1748" s="5" t="s">
        <v>2357</v>
      </c>
      <c r="C1748" s="5" t="s">
        <v>21</v>
      </c>
      <c r="K1748" s="5">
        <v>300.0</v>
      </c>
      <c r="N1748" s="8">
        <v>44522.0</v>
      </c>
    </row>
    <row r="1749">
      <c r="A1749" s="5">
        <v>1748.0</v>
      </c>
      <c r="B1749" s="5" t="s">
        <v>2358</v>
      </c>
      <c r="C1749" s="5" t="s">
        <v>21</v>
      </c>
      <c r="K1749" s="5">
        <v>3300.0</v>
      </c>
      <c r="N1749" s="8">
        <v>43933.0</v>
      </c>
    </row>
    <row r="1750">
      <c r="A1750" s="5">
        <v>1749.0</v>
      </c>
      <c r="B1750" s="5" t="s">
        <v>2359</v>
      </c>
      <c r="C1750" s="5" t="s">
        <v>21</v>
      </c>
      <c r="K1750" s="5">
        <v>400.0</v>
      </c>
      <c r="N1750" s="8">
        <v>45337.0</v>
      </c>
    </row>
    <row r="1751">
      <c r="A1751" s="5">
        <v>1750.0</v>
      </c>
      <c r="B1751" s="5" t="s">
        <v>2360</v>
      </c>
      <c r="C1751" s="5" t="s">
        <v>21</v>
      </c>
      <c r="K1751" s="5">
        <v>100.0</v>
      </c>
      <c r="N1751" s="8">
        <v>44430.0</v>
      </c>
    </row>
    <row r="1752">
      <c r="A1752" s="5">
        <v>1751.0</v>
      </c>
      <c r="B1752" s="5" t="s">
        <v>2361</v>
      </c>
      <c r="C1752" s="5" t="s">
        <v>21</v>
      </c>
      <c r="K1752" s="5">
        <v>1700.0</v>
      </c>
      <c r="N1752" s="8">
        <v>43903.0</v>
      </c>
    </row>
    <row r="1753">
      <c r="A1753" s="5">
        <v>1752.0</v>
      </c>
      <c r="B1753" s="5" t="s">
        <v>2362</v>
      </c>
      <c r="C1753" s="5" t="s">
        <v>21</v>
      </c>
      <c r="K1753" s="5">
        <v>100.0</v>
      </c>
      <c r="N1753" s="8">
        <v>44780.0</v>
      </c>
    </row>
    <row r="1754">
      <c r="A1754" s="5">
        <v>1753.0</v>
      </c>
      <c r="B1754" s="5" t="s">
        <v>2363</v>
      </c>
      <c r="C1754" s="5" t="s">
        <v>21</v>
      </c>
      <c r="K1754" s="5">
        <v>300.0</v>
      </c>
      <c r="N1754" s="8">
        <v>44683.0</v>
      </c>
    </row>
    <row r="1755">
      <c r="A1755" s="5">
        <v>1754.0</v>
      </c>
      <c r="B1755" s="5" t="s">
        <v>2364</v>
      </c>
      <c r="C1755" s="5" t="s">
        <v>21</v>
      </c>
      <c r="K1755" s="5">
        <v>350.0</v>
      </c>
      <c r="N1755" s="8">
        <v>44517.0</v>
      </c>
    </row>
    <row r="1756">
      <c r="A1756" s="5">
        <v>1755.0</v>
      </c>
      <c r="B1756" s="5" t="s">
        <v>2365</v>
      </c>
      <c r="C1756" s="5" t="s">
        <v>21</v>
      </c>
      <c r="K1756" s="5">
        <v>50.0</v>
      </c>
      <c r="N1756" s="8">
        <v>44848.0</v>
      </c>
    </row>
    <row r="1757">
      <c r="A1757" s="5">
        <v>1756.0</v>
      </c>
      <c r="B1757" s="5" t="s">
        <v>2366</v>
      </c>
      <c r="C1757" s="5" t="s">
        <v>21</v>
      </c>
      <c r="N1757" s="8">
        <v>44290.0</v>
      </c>
    </row>
    <row r="1758">
      <c r="A1758" s="5">
        <v>1757.0</v>
      </c>
      <c r="B1758" s="5" t="s">
        <v>2367</v>
      </c>
      <c r="C1758" s="5" t="s">
        <v>21</v>
      </c>
      <c r="K1758" s="5">
        <v>800.0</v>
      </c>
      <c r="N1758" s="8">
        <v>43843.0</v>
      </c>
    </row>
    <row r="1759">
      <c r="A1759" s="5">
        <v>1758.0</v>
      </c>
      <c r="B1759" s="5" t="s">
        <v>162</v>
      </c>
      <c r="C1759" s="5" t="s">
        <v>21</v>
      </c>
      <c r="K1759" s="5">
        <v>700.0</v>
      </c>
      <c r="N1759" s="8">
        <v>44632.0</v>
      </c>
    </row>
    <row r="1760">
      <c r="A1760" s="5">
        <v>1759.0</v>
      </c>
      <c r="B1760" s="5" t="s">
        <v>2368</v>
      </c>
      <c r="C1760" s="5" t="s">
        <v>21</v>
      </c>
      <c r="N1760" s="8">
        <v>44399.0</v>
      </c>
    </row>
    <row r="1761">
      <c r="A1761" s="5">
        <v>1760.0</v>
      </c>
      <c r="B1761" s="5" t="s">
        <v>2369</v>
      </c>
      <c r="C1761" s="5" t="s">
        <v>21</v>
      </c>
      <c r="K1761" s="5">
        <v>40.0</v>
      </c>
      <c r="N1761" s="8">
        <v>44465.0</v>
      </c>
    </row>
    <row r="1762">
      <c r="A1762" s="5">
        <v>1761.0</v>
      </c>
      <c r="B1762" s="5" t="s">
        <v>2370</v>
      </c>
      <c r="C1762" s="5" t="s">
        <v>21</v>
      </c>
      <c r="K1762" s="5">
        <v>100.0</v>
      </c>
      <c r="N1762" s="8">
        <v>45328.0</v>
      </c>
    </row>
    <row r="1763">
      <c r="A1763" s="5">
        <v>1762.0</v>
      </c>
      <c r="B1763" s="5" t="s">
        <v>2371</v>
      </c>
      <c r="C1763" s="5" t="s">
        <v>21</v>
      </c>
      <c r="K1763" s="5">
        <v>900.0</v>
      </c>
      <c r="N1763" s="8">
        <v>43843.0</v>
      </c>
    </row>
    <row r="1764">
      <c r="A1764" s="5">
        <v>1763.0</v>
      </c>
      <c r="B1764" s="5" t="s">
        <v>2372</v>
      </c>
      <c r="C1764" s="5" t="s">
        <v>21</v>
      </c>
      <c r="K1764" s="5">
        <v>350.0</v>
      </c>
      <c r="N1764" s="8">
        <v>44544.0</v>
      </c>
    </row>
    <row r="1765">
      <c r="A1765" s="5">
        <v>1764.0</v>
      </c>
      <c r="B1765" s="5" t="s">
        <v>2373</v>
      </c>
      <c r="C1765" s="5" t="s">
        <v>21</v>
      </c>
      <c r="K1765" s="5">
        <v>400.0</v>
      </c>
      <c r="N1765" s="8">
        <v>45380.0</v>
      </c>
    </row>
    <row r="1766">
      <c r="A1766" s="5">
        <v>1765.0</v>
      </c>
      <c r="B1766" s="5" t="s">
        <v>2374</v>
      </c>
      <c r="C1766" s="5" t="s">
        <v>21</v>
      </c>
      <c r="K1766" s="5">
        <v>150.0</v>
      </c>
      <c r="N1766" s="8">
        <v>44516.0</v>
      </c>
    </row>
    <row r="1767">
      <c r="A1767" s="5">
        <v>1766.0</v>
      </c>
      <c r="B1767" s="5" t="s">
        <v>2375</v>
      </c>
      <c r="C1767" s="5" t="s">
        <v>21</v>
      </c>
      <c r="K1767" s="5">
        <v>700.0</v>
      </c>
      <c r="N1767" s="8">
        <v>45150.0</v>
      </c>
    </row>
    <row r="1768">
      <c r="A1768" s="5">
        <v>1767.0</v>
      </c>
      <c r="B1768" s="5" t="s">
        <v>2376</v>
      </c>
      <c r="C1768" s="5" t="s">
        <v>21</v>
      </c>
      <c r="K1768" s="5">
        <v>30.0</v>
      </c>
      <c r="N1768" s="8">
        <v>43932.0</v>
      </c>
    </row>
    <row r="1769">
      <c r="A1769" s="5">
        <v>1768.0</v>
      </c>
      <c r="B1769" s="5" t="s">
        <v>2377</v>
      </c>
      <c r="C1769" s="5" t="s">
        <v>21</v>
      </c>
      <c r="K1769" s="5">
        <v>40.0</v>
      </c>
      <c r="N1769" s="8">
        <v>45021.0</v>
      </c>
    </row>
    <row r="1770">
      <c r="A1770" s="5">
        <v>1769.0</v>
      </c>
      <c r="B1770" s="5" t="s">
        <v>2378</v>
      </c>
      <c r="C1770" s="5" t="s">
        <v>21</v>
      </c>
      <c r="K1770" s="5">
        <v>80.0</v>
      </c>
      <c r="N1770" s="8">
        <v>44233.0</v>
      </c>
    </row>
    <row r="1771">
      <c r="A1771" s="5">
        <v>1770.0</v>
      </c>
      <c r="B1771" s="5" t="s">
        <v>2379</v>
      </c>
      <c r="C1771" s="5" t="s">
        <v>21</v>
      </c>
      <c r="K1771" s="5">
        <v>90.0</v>
      </c>
      <c r="N1771" s="8">
        <v>44980.0</v>
      </c>
    </row>
    <row r="1772">
      <c r="A1772" s="5">
        <v>1771.0</v>
      </c>
      <c r="B1772" s="5" t="s">
        <v>2380</v>
      </c>
      <c r="C1772" s="5" t="s">
        <v>21</v>
      </c>
      <c r="K1772" s="5">
        <v>50.0</v>
      </c>
      <c r="N1772" s="8">
        <v>44881.0</v>
      </c>
    </row>
    <row r="1773">
      <c r="A1773" s="5">
        <v>1772.0</v>
      </c>
      <c r="B1773" s="5" t="s">
        <v>2381</v>
      </c>
      <c r="C1773" s="5" t="s">
        <v>21</v>
      </c>
      <c r="K1773" s="5">
        <v>1400.0</v>
      </c>
      <c r="N1773" s="8">
        <v>43854.0</v>
      </c>
    </row>
    <row r="1774">
      <c r="A1774" s="5">
        <v>1773.0</v>
      </c>
      <c r="B1774" s="5" t="s">
        <v>2382</v>
      </c>
      <c r="C1774" s="5" t="s">
        <v>21</v>
      </c>
      <c r="K1774" s="5">
        <v>350.0</v>
      </c>
      <c r="N1774" s="8">
        <v>43975.0</v>
      </c>
    </row>
    <row r="1775">
      <c r="A1775" s="5">
        <v>1774.0</v>
      </c>
      <c r="B1775" s="5" t="s">
        <v>2383</v>
      </c>
      <c r="C1775" s="5" t="s">
        <v>21</v>
      </c>
      <c r="K1775" s="5">
        <v>900.0</v>
      </c>
      <c r="N1775" s="8">
        <v>44716.0</v>
      </c>
    </row>
    <row r="1776">
      <c r="A1776" s="5">
        <v>1775.0</v>
      </c>
      <c r="B1776" s="5" t="s">
        <v>2384</v>
      </c>
      <c r="C1776" s="5" t="s">
        <v>21</v>
      </c>
      <c r="K1776" s="5">
        <v>400.0</v>
      </c>
      <c r="N1776" s="8">
        <v>45039.0</v>
      </c>
    </row>
    <row r="1777">
      <c r="A1777" s="5">
        <v>1776.0</v>
      </c>
      <c r="B1777" s="5" t="s">
        <v>2385</v>
      </c>
      <c r="C1777" s="5" t="s">
        <v>21</v>
      </c>
      <c r="K1777" s="5">
        <v>800.0</v>
      </c>
      <c r="N1777" s="8">
        <v>43892.0</v>
      </c>
    </row>
    <row r="1778">
      <c r="A1778" s="5">
        <v>1777.0</v>
      </c>
      <c r="B1778" s="5" t="s">
        <v>2386</v>
      </c>
      <c r="C1778" s="5" t="s">
        <v>21</v>
      </c>
      <c r="K1778" s="5">
        <v>10.0</v>
      </c>
      <c r="N1778" s="8">
        <v>44380.0</v>
      </c>
    </row>
    <row r="1779">
      <c r="A1779" s="5">
        <v>1778.0</v>
      </c>
      <c r="B1779" s="5" t="s">
        <v>2387</v>
      </c>
      <c r="C1779" s="5" t="s">
        <v>21</v>
      </c>
      <c r="N1779" s="8">
        <v>43931.0</v>
      </c>
    </row>
    <row r="1780">
      <c r="A1780" s="5">
        <v>1779.0</v>
      </c>
      <c r="B1780" s="5" t="s">
        <v>2388</v>
      </c>
      <c r="C1780" s="5" t="s">
        <v>21</v>
      </c>
      <c r="K1780" s="5">
        <v>13000.0</v>
      </c>
      <c r="N1780" s="8">
        <v>43877.0</v>
      </c>
    </row>
    <row r="1781">
      <c r="A1781" s="5">
        <v>1780.0</v>
      </c>
      <c r="B1781" s="5" t="s">
        <v>2389</v>
      </c>
      <c r="C1781" s="5" t="s">
        <v>21</v>
      </c>
      <c r="K1781" s="5">
        <v>70.0</v>
      </c>
      <c r="N1781" s="8">
        <v>44948.0</v>
      </c>
    </row>
    <row r="1782">
      <c r="A1782" s="5">
        <v>1781.0</v>
      </c>
      <c r="B1782" s="5" t="s">
        <v>2390</v>
      </c>
      <c r="C1782" s="5" t="s">
        <v>21</v>
      </c>
      <c r="K1782" s="5">
        <v>100.0</v>
      </c>
      <c r="N1782" s="8">
        <v>44652.0</v>
      </c>
    </row>
    <row r="1783">
      <c r="A1783" s="5">
        <v>1782.0</v>
      </c>
      <c r="B1783" s="5" t="s">
        <v>2391</v>
      </c>
      <c r="C1783" s="5" t="s">
        <v>21</v>
      </c>
      <c r="K1783" s="5">
        <v>2300.0</v>
      </c>
      <c r="N1783" s="8">
        <v>44392.0</v>
      </c>
    </row>
    <row r="1784">
      <c r="A1784" s="5">
        <v>1783.0</v>
      </c>
      <c r="B1784" s="5" t="s">
        <v>2392</v>
      </c>
      <c r="C1784" s="5" t="s">
        <v>21</v>
      </c>
      <c r="K1784" s="5">
        <v>30.0</v>
      </c>
      <c r="N1784" s="8">
        <v>44602.0</v>
      </c>
    </row>
    <row r="1785">
      <c r="A1785" s="5">
        <v>1784.0</v>
      </c>
      <c r="B1785" s="5" t="s">
        <v>2393</v>
      </c>
      <c r="C1785" s="5" t="s">
        <v>21</v>
      </c>
      <c r="K1785" s="5">
        <v>400.0</v>
      </c>
      <c r="N1785" s="8">
        <v>44973.0</v>
      </c>
    </row>
    <row r="1786">
      <c r="A1786" s="5">
        <v>1785.0</v>
      </c>
      <c r="B1786" s="5" t="s">
        <v>2394</v>
      </c>
      <c r="C1786" s="5" t="s">
        <v>21</v>
      </c>
      <c r="K1786" s="5">
        <v>450.0</v>
      </c>
      <c r="N1786" s="8">
        <v>44690.0</v>
      </c>
    </row>
    <row r="1787">
      <c r="A1787" s="5">
        <v>1786.0</v>
      </c>
      <c r="B1787" s="5" t="s">
        <v>2395</v>
      </c>
      <c r="C1787" s="5" t="s">
        <v>21</v>
      </c>
      <c r="K1787" s="5">
        <v>100.0</v>
      </c>
      <c r="N1787" s="8">
        <v>44428.0</v>
      </c>
    </row>
    <row r="1788">
      <c r="A1788" s="5">
        <v>1787.0</v>
      </c>
      <c r="B1788" s="5" t="s">
        <v>2396</v>
      </c>
      <c r="C1788" s="5" t="s">
        <v>21</v>
      </c>
      <c r="K1788" s="5">
        <v>350.0</v>
      </c>
      <c r="N1788" s="8">
        <v>44975.0</v>
      </c>
    </row>
    <row r="1789">
      <c r="A1789" s="5">
        <v>1788.0</v>
      </c>
      <c r="B1789" s="5" t="s">
        <v>2397</v>
      </c>
      <c r="C1789" s="5" t="s">
        <v>21</v>
      </c>
      <c r="K1789" s="5">
        <v>800.0</v>
      </c>
      <c r="N1789" s="8">
        <v>44505.0</v>
      </c>
    </row>
    <row r="1790">
      <c r="A1790" s="5">
        <v>1789.0</v>
      </c>
      <c r="B1790" s="5" t="s">
        <v>2398</v>
      </c>
      <c r="C1790" s="5" t="s">
        <v>21</v>
      </c>
      <c r="K1790" s="5">
        <v>900.0</v>
      </c>
      <c r="N1790" s="8">
        <v>44267.0</v>
      </c>
    </row>
    <row r="1791">
      <c r="A1791" s="5">
        <v>1790.0</v>
      </c>
      <c r="B1791" s="5" t="s">
        <v>2399</v>
      </c>
      <c r="C1791" s="5" t="s">
        <v>21</v>
      </c>
      <c r="K1791" s="5">
        <v>10.0</v>
      </c>
      <c r="N1791" s="8">
        <v>44581.0</v>
      </c>
    </row>
    <row r="1792">
      <c r="A1792" s="5">
        <v>1791.0</v>
      </c>
      <c r="B1792" s="5" t="s">
        <v>2400</v>
      </c>
      <c r="C1792" s="5" t="s">
        <v>21</v>
      </c>
      <c r="K1792" s="5">
        <v>1300.0</v>
      </c>
      <c r="N1792" s="8">
        <v>44811.0</v>
      </c>
    </row>
    <row r="1793">
      <c r="A1793" s="5">
        <v>1792.0</v>
      </c>
      <c r="B1793" s="5" t="s">
        <v>2401</v>
      </c>
      <c r="C1793" s="5" t="s">
        <v>21</v>
      </c>
      <c r="K1793" s="5">
        <v>400.0</v>
      </c>
      <c r="N1793" s="8">
        <v>45208.0</v>
      </c>
    </row>
    <row r="1794">
      <c r="A1794" s="5">
        <v>1793.0</v>
      </c>
      <c r="B1794" s="5" t="s">
        <v>2402</v>
      </c>
      <c r="C1794" s="5" t="s">
        <v>21</v>
      </c>
      <c r="K1794" s="5">
        <v>200.0</v>
      </c>
      <c r="N1794" s="8">
        <v>44441.0</v>
      </c>
    </row>
    <row r="1795">
      <c r="A1795" s="5">
        <v>1794.0</v>
      </c>
      <c r="B1795" s="5" t="s">
        <v>2403</v>
      </c>
      <c r="C1795" s="5" t="s">
        <v>21</v>
      </c>
      <c r="K1795" s="5">
        <v>50.0</v>
      </c>
      <c r="N1795" s="8">
        <v>44855.0</v>
      </c>
    </row>
    <row r="1796">
      <c r="A1796" s="5">
        <v>1795.0</v>
      </c>
      <c r="B1796" s="5" t="s">
        <v>2404</v>
      </c>
      <c r="C1796" s="5" t="s">
        <v>21</v>
      </c>
      <c r="K1796" s="5">
        <v>600.0</v>
      </c>
      <c r="N1796" s="8">
        <v>44637.0</v>
      </c>
    </row>
    <row r="1797">
      <c r="A1797" s="5">
        <v>1796.0</v>
      </c>
      <c r="B1797" s="5" t="s">
        <v>2405</v>
      </c>
      <c r="C1797" s="5" t="s">
        <v>21</v>
      </c>
      <c r="K1797" s="5">
        <v>90.0</v>
      </c>
      <c r="N1797" s="8">
        <v>43937.0</v>
      </c>
    </row>
    <row r="1798">
      <c r="A1798" s="5">
        <v>1797.0</v>
      </c>
      <c r="B1798" s="5" t="s">
        <v>2406</v>
      </c>
      <c r="C1798" s="5" t="s">
        <v>21</v>
      </c>
      <c r="K1798" s="5">
        <v>900.0</v>
      </c>
      <c r="N1798" s="8">
        <v>43922.0</v>
      </c>
    </row>
    <row r="1799">
      <c r="A1799" s="5">
        <v>1798.0</v>
      </c>
      <c r="B1799" s="5" t="s">
        <v>2407</v>
      </c>
      <c r="C1799" s="5" t="s">
        <v>21</v>
      </c>
      <c r="K1799" s="5">
        <v>250.0</v>
      </c>
      <c r="N1799" s="8">
        <v>44550.0</v>
      </c>
    </row>
    <row r="1800">
      <c r="A1800" s="5">
        <v>1799.0</v>
      </c>
      <c r="B1800" s="5" t="s">
        <v>2408</v>
      </c>
      <c r="C1800" s="5" t="s">
        <v>21</v>
      </c>
      <c r="K1800" s="5">
        <v>350.0</v>
      </c>
      <c r="N1800" s="8">
        <v>44794.0</v>
      </c>
    </row>
    <row r="1801">
      <c r="A1801" s="5">
        <v>1800.0</v>
      </c>
      <c r="B1801" s="5" t="s">
        <v>2409</v>
      </c>
      <c r="C1801" s="5" t="s">
        <v>21</v>
      </c>
      <c r="K1801" s="5">
        <v>600.0</v>
      </c>
      <c r="N1801" s="8">
        <v>45312.0</v>
      </c>
    </row>
    <row r="1802">
      <c r="A1802" s="5">
        <v>1801.0</v>
      </c>
      <c r="B1802" s="5" t="s">
        <v>2410</v>
      </c>
      <c r="C1802" s="5" t="s">
        <v>21</v>
      </c>
      <c r="K1802" s="5">
        <v>40.0</v>
      </c>
      <c r="N1802" s="8">
        <v>45081.0</v>
      </c>
    </row>
    <row r="1803">
      <c r="A1803" s="5">
        <v>1802.0</v>
      </c>
      <c r="B1803" s="5" t="s">
        <v>2411</v>
      </c>
      <c r="C1803" s="5" t="s">
        <v>21</v>
      </c>
      <c r="K1803" s="5">
        <v>200.0</v>
      </c>
      <c r="N1803" s="8">
        <v>44399.0</v>
      </c>
    </row>
    <row r="1804">
      <c r="A1804" s="5">
        <v>1803.0</v>
      </c>
      <c r="B1804" s="5" t="s">
        <v>2412</v>
      </c>
      <c r="C1804" s="5" t="s">
        <v>21</v>
      </c>
      <c r="K1804" s="5">
        <v>150.0</v>
      </c>
      <c r="N1804" s="8">
        <v>44448.0</v>
      </c>
    </row>
    <row r="1805">
      <c r="A1805" s="5">
        <v>1804.0</v>
      </c>
      <c r="B1805" s="5" t="s">
        <v>2413</v>
      </c>
      <c r="C1805" s="5" t="s">
        <v>21</v>
      </c>
      <c r="K1805" s="5">
        <v>2300.0</v>
      </c>
      <c r="N1805" s="8">
        <v>44363.0</v>
      </c>
    </row>
    <row r="1806">
      <c r="A1806" s="5">
        <v>1805.0</v>
      </c>
      <c r="B1806" s="5" t="s">
        <v>2414</v>
      </c>
      <c r="C1806" s="5" t="s">
        <v>21</v>
      </c>
      <c r="K1806" s="5">
        <v>60.0</v>
      </c>
      <c r="N1806" s="8">
        <v>44824.0</v>
      </c>
    </row>
    <row r="1807">
      <c r="A1807" s="5">
        <v>1806.0</v>
      </c>
      <c r="B1807" s="5" t="s">
        <v>2415</v>
      </c>
      <c r="C1807" s="5" t="s">
        <v>21</v>
      </c>
      <c r="K1807" s="5">
        <v>800.0</v>
      </c>
      <c r="N1807" s="8">
        <v>44987.0</v>
      </c>
    </row>
    <row r="1808">
      <c r="A1808" s="5">
        <v>1807.0</v>
      </c>
      <c r="B1808" s="5" t="s">
        <v>2416</v>
      </c>
      <c r="C1808" s="5" t="s">
        <v>21</v>
      </c>
      <c r="K1808" s="5">
        <v>500.0</v>
      </c>
      <c r="N1808" s="8">
        <v>43856.0</v>
      </c>
    </row>
    <row r="1809">
      <c r="A1809" s="5">
        <v>1808.0</v>
      </c>
      <c r="B1809" s="5" t="s">
        <v>175</v>
      </c>
      <c r="C1809" s="5" t="s">
        <v>21</v>
      </c>
      <c r="K1809" s="5">
        <v>40.0</v>
      </c>
      <c r="N1809" s="8">
        <v>44777.0</v>
      </c>
    </row>
    <row r="1810">
      <c r="A1810" s="5">
        <v>1809.0</v>
      </c>
      <c r="B1810" s="5" t="s">
        <v>2417</v>
      </c>
      <c r="C1810" s="5" t="s">
        <v>21</v>
      </c>
      <c r="K1810" s="5">
        <v>400.0</v>
      </c>
      <c r="N1810" s="8">
        <v>45110.0</v>
      </c>
    </row>
    <row r="1811">
      <c r="A1811" s="5">
        <v>1810.0</v>
      </c>
      <c r="B1811" s="5" t="s">
        <v>2418</v>
      </c>
      <c r="C1811" s="5" t="s">
        <v>21</v>
      </c>
      <c r="K1811" s="5">
        <v>1300.0</v>
      </c>
      <c r="N1811" s="8">
        <v>44601.0</v>
      </c>
    </row>
    <row r="1812">
      <c r="A1812" s="5">
        <v>1811.0</v>
      </c>
      <c r="B1812" s="5" t="s">
        <v>2419</v>
      </c>
      <c r="C1812" s="5" t="s">
        <v>21</v>
      </c>
      <c r="K1812" s="5">
        <v>150.0</v>
      </c>
      <c r="N1812" s="8">
        <v>44040.0</v>
      </c>
    </row>
    <row r="1813">
      <c r="A1813" s="5">
        <v>1812.0</v>
      </c>
      <c r="B1813" s="5" t="s">
        <v>2420</v>
      </c>
      <c r="C1813" s="5" t="s">
        <v>21</v>
      </c>
      <c r="K1813" s="5">
        <v>300.0</v>
      </c>
      <c r="N1813" s="8">
        <v>44032.0</v>
      </c>
    </row>
    <row r="1814">
      <c r="A1814" s="5">
        <v>1813.0</v>
      </c>
      <c r="B1814" s="5" t="s">
        <v>2421</v>
      </c>
      <c r="C1814" s="5" t="s">
        <v>21</v>
      </c>
      <c r="K1814" s="5">
        <v>500.0</v>
      </c>
      <c r="N1814" s="8">
        <v>44652.0</v>
      </c>
    </row>
    <row r="1815">
      <c r="A1815" s="5">
        <v>1814.0</v>
      </c>
      <c r="B1815" s="5" t="s">
        <v>2422</v>
      </c>
      <c r="C1815" s="5" t="s">
        <v>21</v>
      </c>
      <c r="K1815" s="5">
        <v>1200.0</v>
      </c>
      <c r="N1815" s="8">
        <v>44047.0</v>
      </c>
    </row>
    <row r="1816">
      <c r="A1816" s="5">
        <v>1815.0</v>
      </c>
      <c r="B1816" s="5" t="s">
        <v>2423</v>
      </c>
      <c r="C1816" s="5" t="s">
        <v>21</v>
      </c>
      <c r="K1816" s="5">
        <v>400.0</v>
      </c>
      <c r="N1816" s="8">
        <v>44515.0</v>
      </c>
    </row>
    <row r="1817">
      <c r="A1817" s="5">
        <v>1816.0</v>
      </c>
      <c r="B1817" s="5" t="s">
        <v>2424</v>
      </c>
      <c r="C1817" s="5" t="s">
        <v>21</v>
      </c>
      <c r="K1817" s="5">
        <v>80.0</v>
      </c>
      <c r="N1817" s="8">
        <v>44627.0</v>
      </c>
    </row>
    <row r="1818">
      <c r="A1818" s="5">
        <v>1817.0</v>
      </c>
      <c r="B1818" s="5" t="s">
        <v>2425</v>
      </c>
      <c r="C1818" s="5" t="s">
        <v>21</v>
      </c>
      <c r="K1818" s="5">
        <v>3600.0</v>
      </c>
      <c r="N1818" s="8">
        <v>43868.0</v>
      </c>
    </row>
    <row r="1819">
      <c r="A1819" s="5">
        <v>1818.0</v>
      </c>
      <c r="B1819" s="5" t="s">
        <v>2426</v>
      </c>
      <c r="C1819" s="5" t="s">
        <v>21</v>
      </c>
      <c r="K1819" s="5">
        <v>3900.0</v>
      </c>
      <c r="N1819" s="8">
        <v>43938.0</v>
      </c>
    </row>
    <row r="1820">
      <c r="A1820" s="5">
        <v>1819.0</v>
      </c>
      <c r="B1820" s="5" t="s">
        <v>2427</v>
      </c>
      <c r="C1820" s="5" t="s">
        <v>21</v>
      </c>
      <c r="K1820" s="5">
        <v>400.0</v>
      </c>
      <c r="N1820" s="8">
        <v>44117.0</v>
      </c>
    </row>
    <row r="1821">
      <c r="A1821" s="5">
        <v>1820.0</v>
      </c>
      <c r="B1821" s="5" t="s">
        <v>2428</v>
      </c>
      <c r="C1821" s="5" t="s">
        <v>21</v>
      </c>
      <c r="K1821" s="5">
        <v>150.0</v>
      </c>
      <c r="N1821" s="8">
        <v>45101.0</v>
      </c>
    </row>
    <row r="1822">
      <c r="A1822" s="5">
        <v>1821.0</v>
      </c>
      <c r="B1822" s="5" t="s">
        <v>2429</v>
      </c>
      <c r="C1822" s="5" t="s">
        <v>21</v>
      </c>
      <c r="K1822" s="5">
        <v>150.0</v>
      </c>
      <c r="N1822" s="8">
        <v>44273.0</v>
      </c>
    </row>
    <row r="1823">
      <c r="A1823" s="5">
        <v>1822.0</v>
      </c>
      <c r="B1823" s="5" t="s">
        <v>2430</v>
      </c>
      <c r="C1823" s="5" t="s">
        <v>21</v>
      </c>
      <c r="K1823" s="5">
        <v>900.0</v>
      </c>
      <c r="N1823" s="8">
        <v>44582.0</v>
      </c>
    </row>
    <row r="1824">
      <c r="A1824" s="5">
        <v>1823.0</v>
      </c>
      <c r="B1824" s="5" t="s">
        <v>2431</v>
      </c>
      <c r="C1824" s="5" t="s">
        <v>21</v>
      </c>
      <c r="K1824" s="5">
        <v>100.0</v>
      </c>
      <c r="N1824" s="8">
        <v>45165.0</v>
      </c>
    </row>
    <row r="1825">
      <c r="A1825" s="5">
        <v>1824.0</v>
      </c>
      <c r="B1825" s="5" t="s">
        <v>2432</v>
      </c>
      <c r="C1825" s="5" t="s">
        <v>21</v>
      </c>
      <c r="K1825" s="5">
        <v>500.0</v>
      </c>
      <c r="N1825" s="8">
        <v>45321.0</v>
      </c>
    </row>
    <row r="1826">
      <c r="A1826" s="5">
        <v>1825.0</v>
      </c>
      <c r="B1826" s="5" t="s">
        <v>2433</v>
      </c>
      <c r="C1826" s="5" t="s">
        <v>21</v>
      </c>
      <c r="K1826" s="5">
        <v>1200.0</v>
      </c>
      <c r="N1826" s="8">
        <v>45438.0</v>
      </c>
    </row>
    <row r="1827">
      <c r="A1827" s="5">
        <v>1826.0</v>
      </c>
      <c r="B1827" s="5" t="s">
        <v>2434</v>
      </c>
      <c r="C1827" s="5" t="s">
        <v>21</v>
      </c>
      <c r="K1827" s="5">
        <v>100.0</v>
      </c>
      <c r="N1827" s="8">
        <v>45216.0</v>
      </c>
    </row>
    <row r="1828">
      <c r="A1828" s="5">
        <v>1827.0</v>
      </c>
      <c r="B1828" s="5" t="s">
        <v>2435</v>
      </c>
      <c r="C1828" s="5" t="s">
        <v>21</v>
      </c>
      <c r="K1828" s="5">
        <v>400.0</v>
      </c>
      <c r="N1828" s="8">
        <v>44543.0</v>
      </c>
    </row>
    <row r="1829">
      <c r="A1829" s="5">
        <v>1828.0</v>
      </c>
      <c r="B1829" s="5" t="s">
        <v>2436</v>
      </c>
      <c r="C1829" s="5" t="s">
        <v>21</v>
      </c>
      <c r="K1829" s="5">
        <v>500.0</v>
      </c>
      <c r="N1829" s="8">
        <v>44041.0</v>
      </c>
    </row>
    <row r="1830">
      <c r="A1830" s="5">
        <v>1829.0</v>
      </c>
      <c r="B1830" s="5" t="s">
        <v>2437</v>
      </c>
      <c r="C1830" s="5" t="s">
        <v>21</v>
      </c>
      <c r="K1830" s="5">
        <v>60.0</v>
      </c>
      <c r="N1830" s="8">
        <v>44615.0</v>
      </c>
    </row>
    <row r="1831">
      <c r="A1831" s="5">
        <v>1830.0</v>
      </c>
      <c r="B1831" s="5" t="s">
        <v>2438</v>
      </c>
      <c r="C1831" s="5" t="s">
        <v>21</v>
      </c>
      <c r="K1831" s="5">
        <v>10.0</v>
      </c>
      <c r="N1831" s="8">
        <v>45621.0</v>
      </c>
    </row>
    <row r="1832">
      <c r="A1832" s="5">
        <v>1831.0</v>
      </c>
      <c r="B1832" s="5" t="s">
        <v>2439</v>
      </c>
      <c r="C1832" s="5" t="s">
        <v>21</v>
      </c>
      <c r="K1832" s="5">
        <v>70.0</v>
      </c>
      <c r="N1832" s="8">
        <v>44291.0</v>
      </c>
    </row>
    <row r="1833">
      <c r="A1833" s="5">
        <v>1832.0</v>
      </c>
      <c r="B1833" s="5" t="s">
        <v>2440</v>
      </c>
      <c r="C1833" s="5" t="s">
        <v>21</v>
      </c>
      <c r="K1833" s="5">
        <v>350.0</v>
      </c>
      <c r="N1833" s="8">
        <v>44894.0</v>
      </c>
    </row>
    <row r="1834">
      <c r="A1834" s="5">
        <v>1833.0</v>
      </c>
      <c r="B1834" s="5" t="s">
        <v>2441</v>
      </c>
      <c r="C1834" s="5" t="s">
        <v>21</v>
      </c>
      <c r="K1834" s="5">
        <v>300.0</v>
      </c>
      <c r="N1834" s="8">
        <v>44390.0</v>
      </c>
    </row>
    <row r="1835">
      <c r="A1835" s="5">
        <v>1834.0</v>
      </c>
      <c r="B1835" s="5" t="s">
        <v>2442</v>
      </c>
      <c r="C1835" s="5" t="s">
        <v>21</v>
      </c>
      <c r="K1835" s="5">
        <v>250.0</v>
      </c>
      <c r="N1835" s="8">
        <v>44589.0</v>
      </c>
    </row>
    <row r="1836">
      <c r="A1836" s="5">
        <v>1835.0</v>
      </c>
      <c r="B1836" s="5" t="s">
        <v>2443</v>
      </c>
      <c r="C1836" s="5" t="s">
        <v>21</v>
      </c>
      <c r="K1836" s="5">
        <v>150.0</v>
      </c>
      <c r="N1836" s="8">
        <v>45340.0</v>
      </c>
    </row>
    <row r="1837">
      <c r="A1837" s="5">
        <v>1836.0</v>
      </c>
      <c r="B1837" s="5" t="s">
        <v>2444</v>
      </c>
      <c r="C1837" s="5" t="s">
        <v>21</v>
      </c>
      <c r="K1837" s="5">
        <v>50.0</v>
      </c>
      <c r="N1837" s="8">
        <v>44047.0</v>
      </c>
    </row>
    <row r="1838">
      <c r="A1838" s="5">
        <v>1837.0</v>
      </c>
      <c r="B1838" s="5" t="s">
        <v>2445</v>
      </c>
      <c r="C1838" s="5" t="s">
        <v>21</v>
      </c>
      <c r="N1838" s="8">
        <v>44519.0</v>
      </c>
    </row>
    <row r="1839">
      <c r="A1839" s="5">
        <v>1838.0</v>
      </c>
      <c r="B1839" s="5" t="s">
        <v>2446</v>
      </c>
      <c r="C1839" s="5" t="s">
        <v>21</v>
      </c>
      <c r="K1839" s="5">
        <v>400.0</v>
      </c>
      <c r="N1839" s="8">
        <v>44592.0</v>
      </c>
    </row>
    <row r="1840">
      <c r="A1840" s="5">
        <v>1839.0</v>
      </c>
      <c r="B1840" s="5" t="s">
        <v>2447</v>
      </c>
      <c r="C1840" s="5" t="s">
        <v>21</v>
      </c>
      <c r="K1840" s="5">
        <v>300.0</v>
      </c>
      <c r="N1840" s="8">
        <v>44548.0</v>
      </c>
    </row>
    <row r="1841">
      <c r="A1841" s="5">
        <v>1840.0</v>
      </c>
      <c r="B1841" s="5" t="s">
        <v>2448</v>
      </c>
      <c r="C1841" s="5" t="s">
        <v>21</v>
      </c>
      <c r="K1841" s="5">
        <v>90.0</v>
      </c>
      <c r="N1841" s="8">
        <v>44610.0</v>
      </c>
    </row>
    <row r="1842">
      <c r="A1842" s="5">
        <v>1841.0</v>
      </c>
      <c r="B1842" s="5" t="s">
        <v>2449</v>
      </c>
      <c r="C1842" s="5" t="s">
        <v>21</v>
      </c>
      <c r="K1842" s="5">
        <v>300.0</v>
      </c>
      <c r="N1842" s="8">
        <v>44773.0</v>
      </c>
    </row>
    <row r="1843">
      <c r="A1843" s="5">
        <v>1842.0</v>
      </c>
      <c r="B1843" s="5" t="s">
        <v>2450</v>
      </c>
      <c r="C1843" s="5" t="s">
        <v>21</v>
      </c>
      <c r="K1843" s="5">
        <v>250.0</v>
      </c>
      <c r="N1843" s="8">
        <v>45557.0</v>
      </c>
    </row>
    <row r="1844">
      <c r="A1844" s="5">
        <v>1843.0</v>
      </c>
      <c r="B1844" s="5" t="s">
        <v>2451</v>
      </c>
      <c r="C1844" s="5" t="s">
        <v>21</v>
      </c>
      <c r="K1844" s="5">
        <v>600.0</v>
      </c>
      <c r="N1844" s="8">
        <v>45020.0</v>
      </c>
    </row>
    <row r="1845">
      <c r="A1845" s="5">
        <v>1844.0</v>
      </c>
      <c r="B1845" s="5" t="s">
        <v>2452</v>
      </c>
      <c r="C1845" s="5" t="s">
        <v>21</v>
      </c>
      <c r="K1845" s="5">
        <v>100.0</v>
      </c>
      <c r="N1845" s="8">
        <v>45576.0</v>
      </c>
    </row>
    <row r="1846">
      <c r="A1846" s="5">
        <v>1845.0</v>
      </c>
      <c r="B1846" s="5" t="s">
        <v>2453</v>
      </c>
      <c r="C1846" s="5" t="s">
        <v>21</v>
      </c>
      <c r="K1846" s="5">
        <v>1600.0</v>
      </c>
      <c r="N1846" s="8">
        <v>43962.0</v>
      </c>
    </row>
    <row r="1847">
      <c r="A1847" s="5">
        <v>1846.0</v>
      </c>
      <c r="B1847" s="5" t="s">
        <v>2454</v>
      </c>
      <c r="C1847" s="5" t="s">
        <v>21</v>
      </c>
      <c r="K1847" s="5">
        <v>700.0</v>
      </c>
      <c r="N1847" s="8">
        <v>44127.0</v>
      </c>
    </row>
    <row r="1848">
      <c r="A1848" s="5">
        <v>1847.0</v>
      </c>
      <c r="B1848" s="5" t="s">
        <v>2455</v>
      </c>
      <c r="C1848" s="5" t="s">
        <v>21</v>
      </c>
      <c r="K1848" s="5">
        <v>150.0</v>
      </c>
      <c r="N1848" s="8">
        <v>44856.0</v>
      </c>
    </row>
    <row r="1849">
      <c r="A1849" s="5">
        <v>1848.0</v>
      </c>
      <c r="B1849" s="5" t="s">
        <v>2456</v>
      </c>
      <c r="C1849" s="5" t="s">
        <v>21</v>
      </c>
      <c r="K1849" s="5">
        <v>200.0</v>
      </c>
      <c r="N1849" s="8">
        <v>44518.0</v>
      </c>
    </row>
    <row r="1850">
      <c r="A1850" s="5">
        <v>1849.0</v>
      </c>
      <c r="B1850" s="5" t="s">
        <v>2457</v>
      </c>
      <c r="C1850" s="5" t="s">
        <v>21</v>
      </c>
      <c r="K1850" s="5">
        <v>600.0</v>
      </c>
      <c r="N1850" s="8">
        <v>44685.0</v>
      </c>
    </row>
    <row r="1851">
      <c r="A1851" s="5">
        <v>1850.0</v>
      </c>
      <c r="B1851" s="5" t="s">
        <v>2458</v>
      </c>
      <c r="C1851" s="5" t="s">
        <v>21</v>
      </c>
      <c r="K1851" s="5">
        <v>20.0</v>
      </c>
      <c r="N1851" s="8">
        <v>44510.0</v>
      </c>
    </row>
    <row r="1852">
      <c r="A1852" s="5">
        <v>1851.0</v>
      </c>
      <c r="B1852" s="5" t="s">
        <v>2459</v>
      </c>
      <c r="C1852" s="5" t="s">
        <v>21</v>
      </c>
      <c r="K1852" s="5">
        <v>40.0</v>
      </c>
      <c r="N1852" s="8">
        <v>44471.0</v>
      </c>
    </row>
    <row r="1853">
      <c r="A1853" s="5">
        <v>1852.0</v>
      </c>
      <c r="B1853" s="5" t="s">
        <v>2460</v>
      </c>
      <c r="C1853" s="5" t="s">
        <v>21</v>
      </c>
      <c r="K1853" s="5">
        <v>900.0</v>
      </c>
      <c r="N1853" s="8">
        <v>44534.0</v>
      </c>
    </row>
    <row r="1854">
      <c r="A1854" s="5">
        <v>1853.0</v>
      </c>
      <c r="B1854" s="5" t="s">
        <v>2461</v>
      </c>
      <c r="C1854" s="5" t="s">
        <v>21</v>
      </c>
      <c r="K1854" s="5">
        <v>200.0</v>
      </c>
      <c r="N1854" s="8">
        <v>45419.0</v>
      </c>
    </row>
    <row r="1855">
      <c r="A1855" s="5">
        <v>1854.0</v>
      </c>
      <c r="B1855" s="5" t="s">
        <v>2462</v>
      </c>
      <c r="C1855" s="5" t="s">
        <v>21</v>
      </c>
      <c r="N1855" s="8">
        <v>44693.0</v>
      </c>
    </row>
    <row r="1856">
      <c r="A1856" s="5">
        <v>1855.0</v>
      </c>
      <c r="B1856" s="5" t="s">
        <v>2463</v>
      </c>
      <c r="C1856" s="5" t="s">
        <v>21</v>
      </c>
      <c r="K1856" s="5">
        <v>30.0</v>
      </c>
      <c r="N1856" s="8">
        <v>44726.0</v>
      </c>
    </row>
    <row r="1857">
      <c r="A1857" s="5">
        <v>1856.0</v>
      </c>
      <c r="B1857" s="5" t="s">
        <v>2464</v>
      </c>
      <c r="C1857" s="5" t="s">
        <v>21</v>
      </c>
      <c r="K1857" s="5">
        <v>250.0</v>
      </c>
      <c r="N1857" s="8">
        <v>45082.0</v>
      </c>
    </row>
    <row r="1858">
      <c r="A1858" s="5">
        <v>1857.0</v>
      </c>
      <c r="B1858" s="5" t="s">
        <v>2465</v>
      </c>
      <c r="C1858" s="5" t="s">
        <v>21</v>
      </c>
      <c r="K1858" s="5">
        <v>30.0</v>
      </c>
      <c r="N1858" s="8">
        <v>44619.0</v>
      </c>
    </row>
    <row r="1859">
      <c r="A1859" s="5">
        <v>1858.0</v>
      </c>
      <c r="B1859" s="5" t="s">
        <v>2466</v>
      </c>
      <c r="C1859" s="5" t="s">
        <v>21</v>
      </c>
      <c r="K1859" s="5">
        <v>600.0</v>
      </c>
      <c r="N1859" s="8">
        <v>45307.0</v>
      </c>
    </row>
    <row r="1860">
      <c r="A1860" s="5">
        <v>1859.0</v>
      </c>
      <c r="B1860" s="5" t="s">
        <v>2467</v>
      </c>
      <c r="C1860" s="5" t="s">
        <v>21</v>
      </c>
      <c r="K1860" s="5">
        <v>10.0</v>
      </c>
      <c r="N1860" s="8">
        <v>44697.0</v>
      </c>
    </row>
    <row r="1861">
      <c r="A1861" s="5">
        <v>1860.0</v>
      </c>
      <c r="B1861" s="5" t="s">
        <v>2468</v>
      </c>
      <c r="C1861" s="5" t="s">
        <v>21</v>
      </c>
      <c r="K1861" s="5">
        <v>350.0</v>
      </c>
      <c r="N1861" s="8">
        <v>43918.0</v>
      </c>
    </row>
    <row r="1862">
      <c r="A1862" s="5">
        <v>1861.0</v>
      </c>
      <c r="B1862" s="5" t="s">
        <v>2469</v>
      </c>
      <c r="C1862" s="5" t="s">
        <v>21</v>
      </c>
      <c r="K1862" s="5">
        <v>100.0</v>
      </c>
      <c r="N1862" s="8">
        <v>44931.0</v>
      </c>
    </row>
    <row r="1863">
      <c r="A1863" s="5">
        <v>1862.0</v>
      </c>
      <c r="B1863" s="5" t="s">
        <v>2470</v>
      </c>
      <c r="C1863" s="5" t="s">
        <v>21</v>
      </c>
      <c r="K1863" s="5">
        <v>250.0</v>
      </c>
      <c r="N1863" s="8">
        <v>45042.0</v>
      </c>
    </row>
    <row r="1864">
      <c r="A1864" s="5">
        <v>1863.0</v>
      </c>
      <c r="B1864" s="5" t="s">
        <v>2471</v>
      </c>
      <c r="C1864" s="5" t="s">
        <v>21</v>
      </c>
      <c r="K1864" s="5">
        <v>10.0</v>
      </c>
      <c r="N1864" s="8">
        <v>44517.0</v>
      </c>
    </row>
    <row r="1865">
      <c r="A1865" s="5">
        <v>1864.0</v>
      </c>
      <c r="B1865" s="5" t="s">
        <v>2472</v>
      </c>
      <c r="C1865" s="5" t="s">
        <v>21</v>
      </c>
      <c r="K1865" s="5">
        <v>400.0</v>
      </c>
      <c r="N1865" s="8">
        <v>43881.0</v>
      </c>
    </row>
    <row r="1866">
      <c r="A1866" s="5">
        <v>1865.0</v>
      </c>
      <c r="B1866" s="5" t="s">
        <v>2473</v>
      </c>
      <c r="C1866" s="5" t="s">
        <v>21</v>
      </c>
      <c r="K1866" s="5">
        <v>400.0</v>
      </c>
      <c r="N1866" s="8">
        <v>45055.0</v>
      </c>
    </row>
    <row r="1867">
      <c r="A1867" s="5">
        <v>1866.0</v>
      </c>
      <c r="B1867" s="5" t="s">
        <v>2474</v>
      </c>
      <c r="C1867" s="5" t="s">
        <v>21</v>
      </c>
      <c r="K1867" s="5">
        <v>100.0</v>
      </c>
      <c r="N1867" s="8">
        <v>43838.0</v>
      </c>
    </row>
    <row r="1868">
      <c r="A1868" s="5">
        <v>1867.0</v>
      </c>
      <c r="B1868" s="5" t="s">
        <v>2475</v>
      </c>
      <c r="C1868" s="5" t="s">
        <v>21</v>
      </c>
      <c r="K1868" s="5">
        <v>1300.0</v>
      </c>
      <c r="N1868" s="8">
        <v>44538.0</v>
      </c>
    </row>
    <row r="1869">
      <c r="A1869" s="5">
        <v>1868.0</v>
      </c>
      <c r="B1869" s="5" t="s">
        <v>2476</v>
      </c>
      <c r="C1869" s="5" t="s">
        <v>21</v>
      </c>
      <c r="K1869" s="5">
        <v>400.0</v>
      </c>
      <c r="N1869" s="8">
        <v>44534.0</v>
      </c>
    </row>
    <row r="1870">
      <c r="A1870" s="5">
        <v>1869.0</v>
      </c>
      <c r="B1870" s="5" t="s">
        <v>2477</v>
      </c>
      <c r="C1870" s="5" t="s">
        <v>21</v>
      </c>
      <c r="K1870" s="5">
        <v>150.0</v>
      </c>
      <c r="N1870" s="8">
        <v>44472.0</v>
      </c>
    </row>
    <row r="1871">
      <c r="A1871" s="5">
        <v>1870.0</v>
      </c>
      <c r="B1871" s="5" t="s">
        <v>2478</v>
      </c>
      <c r="C1871" s="5" t="s">
        <v>21</v>
      </c>
      <c r="K1871" s="5">
        <v>350.0</v>
      </c>
      <c r="N1871" s="8">
        <v>44563.0</v>
      </c>
    </row>
    <row r="1872">
      <c r="A1872" s="5">
        <v>1871.0</v>
      </c>
      <c r="B1872" s="5" t="s">
        <v>2479</v>
      </c>
      <c r="C1872" s="5" t="s">
        <v>21</v>
      </c>
      <c r="K1872" s="5">
        <v>200.0</v>
      </c>
      <c r="N1872" s="8">
        <v>44833.0</v>
      </c>
    </row>
    <row r="1873">
      <c r="A1873" s="5">
        <v>1872.0</v>
      </c>
      <c r="B1873" s="5" t="s">
        <v>2480</v>
      </c>
      <c r="C1873" s="5" t="s">
        <v>21</v>
      </c>
      <c r="K1873" s="5">
        <v>200.0</v>
      </c>
      <c r="N1873" s="8">
        <v>44791.0</v>
      </c>
    </row>
    <row r="1874">
      <c r="A1874" s="5">
        <v>1873.0</v>
      </c>
      <c r="B1874" s="5" t="s">
        <v>2481</v>
      </c>
      <c r="C1874" s="5" t="s">
        <v>21</v>
      </c>
      <c r="K1874" s="5">
        <v>300.0</v>
      </c>
      <c r="N1874" s="8">
        <v>44344.0</v>
      </c>
    </row>
    <row r="1875">
      <c r="A1875" s="5">
        <v>1874.0</v>
      </c>
      <c r="B1875" s="5" t="s">
        <v>2482</v>
      </c>
      <c r="C1875" s="5" t="s">
        <v>21</v>
      </c>
      <c r="K1875" s="5">
        <v>1600.0</v>
      </c>
      <c r="N1875" s="8">
        <v>43888.0</v>
      </c>
    </row>
    <row r="1876">
      <c r="A1876" s="5">
        <v>1875.0</v>
      </c>
      <c r="B1876" s="5" t="s">
        <v>2483</v>
      </c>
      <c r="C1876" s="5" t="s">
        <v>21</v>
      </c>
      <c r="K1876" s="5">
        <v>200.0</v>
      </c>
      <c r="N1876" s="8">
        <v>44973.0</v>
      </c>
    </row>
    <row r="1877">
      <c r="A1877" s="5">
        <v>1876.0</v>
      </c>
      <c r="B1877" s="5" t="s">
        <v>2484</v>
      </c>
      <c r="C1877" s="5" t="s">
        <v>21</v>
      </c>
      <c r="K1877" s="5">
        <v>250.0</v>
      </c>
      <c r="N1877" s="8">
        <v>44132.0</v>
      </c>
    </row>
    <row r="1878">
      <c r="A1878" s="5">
        <v>1877.0</v>
      </c>
      <c r="B1878" s="5" t="s">
        <v>2485</v>
      </c>
      <c r="C1878" s="5" t="s">
        <v>21</v>
      </c>
      <c r="K1878" s="5">
        <v>400.0</v>
      </c>
      <c r="N1878" s="8">
        <v>44546.0</v>
      </c>
    </row>
    <row r="1879">
      <c r="A1879" s="5">
        <v>1878.0</v>
      </c>
      <c r="B1879" s="5" t="s">
        <v>2486</v>
      </c>
      <c r="C1879" s="5" t="s">
        <v>21</v>
      </c>
      <c r="K1879" s="5">
        <v>400.0</v>
      </c>
      <c r="N1879" s="8">
        <v>44798.0</v>
      </c>
    </row>
    <row r="1880">
      <c r="A1880" s="5">
        <v>1879.0</v>
      </c>
      <c r="B1880" s="5" t="s">
        <v>2487</v>
      </c>
      <c r="C1880" s="5" t="s">
        <v>21</v>
      </c>
      <c r="K1880" s="5">
        <v>60.0</v>
      </c>
      <c r="N1880" s="8">
        <v>45327.0</v>
      </c>
    </row>
    <row r="1881">
      <c r="A1881" s="5">
        <v>1880.0</v>
      </c>
      <c r="B1881" s="5" t="s">
        <v>2488</v>
      </c>
      <c r="C1881" s="5" t="s">
        <v>21</v>
      </c>
      <c r="N1881" s="8">
        <v>44985.0</v>
      </c>
    </row>
    <row r="1882">
      <c r="A1882" s="5">
        <v>1881.0</v>
      </c>
      <c r="B1882" s="5" t="s">
        <v>2489</v>
      </c>
      <c r="C1882" s="5" t="s">
        <v>21</v>
      </c>
      <c r="K1882" s="5">
        <v>40.0</v>
      </c>
      <c r="N1882" s="8">
        <v>43902.0</v>
      </c>
    </row>
    <row r="1883">
      <c r="A1883" s="5">
        <v>1882.0</v>
      </c>
      <c r="B1883" s="5" t="s">
        <v>2490</v>
      </c>
      <c r="C1883" s="5" t="s">
        <v>21</v>
      </c>
      <c r="K1883" s="5">
        <v>30.0</v>
      </c>
      <c r="N1883" s="8">
        <v>44252.0</v>
      </c>
    </row>
    <row r="1884">
      <c r="A1884" s="5">
        <v>1883.0</v>
      </c>
      <c r="B1884" s="5" t="s">
        <v>2491</v>
      </c>
      <c r="C1884" s="5" t="s">
        <v>21</v>
      </c>
      <c r="K1884" s="5">
        <v>900.0</v>
      </c>
      <c r="N1884" s="8">
        <v>44530.0</v>
      </c>
    </row>
    <row r="1885">
      <c r="A1885" s="5">
        <v>1884.0</v>
      </c>
      <c r="B1885" s="5" t="s">
        <v>2492</v>
      </c>
      <c r="C1885" s="5" t="s">
        <v>21</v>
      </c>
      <c r="K1885" s="5">
        <v>20.0</v>
      </c>
      <c r="N1885" s="8">
        <v>44937.0</v>
      </c>
    </row>
    <row r="1886">
      <c r="A1886" s="5">
        <v>1885.0</v>
      </c>
      <c r="B1886" s="5" t="s">
        <v>2493</v>
      </c>
      <c r="C1886" s="5" t="s">
        <v>21</v>
      </c>
      <c r="K1886" s="5">
        <v>600.0</v>
      </c>
      <c r="N1886" s="8">
        <v>44424.0</v>
      </c>
    </row>
    <row r="1887">
      <c r="A1887" s="5">
        <v>1886.0</v>
      </c>
      <c r="B1887" s="5" t="s">
        <v>2494</v>
      </c>
      <c r="C1887" s="5" t="s">
        <v>21</v>
      </c>
      <c r="K1887" s="5">
        <v>250.0</v>
      </c>
      <c r="N1887" s="8">
        <v>44544.0</v>
      </c>
    </row>
    <row r="1888">
      <c r="A1888" s="5">
        <v>1887.0</v>
      </c>
      <c r="B1888" s="5" t="s">
        <v>2495</v>
      </c>
      <c r="C1888" s="5" t="s">
        <v>21</v>
      </c>
      <c r="K1888" s="5">
        <v>150.0</v>
      </c>
      <c r="N1888" s="8">
        <v>44270.0</v>
      </c>
    </row>
    <row r="1889">
      <c r="A1889" s="5">
        <v>1888.0</v>
      </c>
      <c r="B1889" s="5" t="s">
        <v>2496</v>
      </c>
      <c r="C1889" s="5" t="s">
        <v>21</v>
      </c>
      <c r="K1889" s="5">
        <v>600.0</v>
      </c>
      <c r="N1889" s="8">
        <v>45354.0</v>
      </c>
    </row>
    <row r="1890">
      <c r="A1890" s="5">
        <v>1889.0</v>
      </c>
      <c r="B1890" s="5" t="s">
        <v>2497</v>
      </c>
      <c r="C1890" s="5" t="s">
        <v>21</v>
      </c>
      <c r="K1890" s="5">
        <v>250.0</v>
      </c>
      <c r="N1890" s="8">
        <v>44299.0</v>
      </c>
    </row>
    <row r="1891">
      <c r="A1891" s="5">
        <v>1890.0</v>
      </c>
      <c r="B1891" s="5" t="s">
        <v>2498</v>
      </c>
      <c r="C1891" s="5" t="s">
        <v>21</v>
      </c>
      <c r="K1891" s="5">
        <v>70.0</v>
      </c>
      <c r="N1891" s="8">
        <v>44909.0</v>
      </c>
    </row>
    <row r="1892">
      <c r="A1892" s="5">
        <v>1891.0</v>
      </c>
      <c r="B1892" s="5" t="s">
        <v>2499</v>
      </c>
      <c r="C1892" s="5" t="s">
        <v>21</v>
      </c>
      <c r="K1892" s="5">
        <v>1500.0</v>
      </c>
      <c r="N1892" s="8">
        <v>44544.0</v>
      </c>
    </row>
    <row r="1893">
      <c r="A1893" s="5">
        <v>1892.0</v>
      </c>
      <c r="B1893" s="5" t="s">
        <v>2500</v>
      </c>
      <c r="C1893" s="5" t="s">
        <v>21</v>
      </c>
      <c r="K1893" s="5">
        <v>70.0</v>
      </c>
      <c r="N1893" s="8">
        <v>44258.0</v>
      </c>
    </row>
    <row r="1894">
      <c r="A1894" s="5">
        <v>1893.0</v>
      </c>
      <c r="B1894" s="5" t="s">
        <v>2501</v>
      </c>
      <c r="C1894" s="5" t="s">
        <v>21</v>
      </c>
      <c r="K1894" s="5">
        <v>30.0</v>
      </c>
      <c r="N1894" s="8">
        <v>44673.0</v>
      </c>
    </row>
    <row r="1895">
      <c r="A1895" s="5">
        <v>1894.0</v>
      </c>
      <c r="B1895" s="5" t="s">
        <v>177</v>
      </c>
      <c r="C1895" s="5" t="s">
        <v>21</v>
      </c>
      <c r="K1895" s="5">
        <v>300.0</v>
      </c>
      <c r="N1895" s="8">
        <v>44811.0</v>
      </c>
    </row>
    <row r="1896">
      <c r="A1896" s="5">
        <v>1895.0</v>
      </c>
      <c r="B1896" s="5" t="s">
        <v>2502</v>
      </c>
      <c r="C1896" s="5" t="s">
        <v>21</v>
      </c>
      <c r="K1896" s="5">
        <v>600.0</v>
      </c>
      <c r="N1896" s="8">
        <v>44571.0</v>
      </c>
    </row>
    <row r="1897">
      <c r="A1897" s="5">
        <v>1896.0</v>
      </c>
      <c r="B1897" s="5" t="s">
        <v>2503</v>
      </c>
      <c r="C1897" s="5" t="s">
        <v>21</v>
      </c>
      <c r="K1897" s="5">
        <v>700.0</v>
      </c>
      <c r="N1897" s="8">
        <v>44529.0</v>
      </c>
    </row>
    <row r="1898">
      <c r="A1898" s="5">
        <v>1897.0</v>
      </c>
      <c r="B1898" s="5" t="s">
        <v>2504</v>
      </c>
      <c r="C1898" s="5" t="s">
        <v>21</v>
      </c>
      <c r="K1898" s="5">
        <v>10.0</v>
      </c>
      <c r="N1898" s="8">
        <v>44181.0</v>
      </c>
    </row>
    <row r="1899">
      <c r="A1899" s="5">
        <v>1898.0</v>
      </c>
      <c r="B1899" s="5" t="s">
        <v>2505</v>
      </c>
      <c r="C1899" s="5" t="s">
        <v>21</v>
      </c>
      <c r="K1899" s="5">
        <v>150.0</v>
      </c>
      <c r="N1899" s="8">
        <v>45192.0</v>
      </c>
    </row>
    <row r="1900">
      <c r="A1900" s="5">
        <v>1899.0</v>
      </c>
      <c r="B1900" s="5" t="s">
        <v>2506</v>
      </c>
      <c r="C1900" s="5" t="s">
        <v>21</v>
      </c>
      <c r="K1900" s="5">
        <v>350.0</v>
      </c>
      <c r="N1900" s="8">
        <v>43877.0</v>
      </c>
    </row>
    <row r="1901">
      <c r="A1901" s="5">
        <v>1900.0</v>
      </c>
      <c r="B1901" s="5" t="s">
        <v>165</v>
      </c>
      <c r="C1901" s="5" t="s">
        <v>21</v>
      </c>
      <c r="K1901" s="5">
        <v>3200.0</v>
      </c>
      <c r="N1901" s="8">
        <v>43888.0</v>
      </c>
    </row>
    <row r="1902">
      <c r="A1902" s="5">
        <v>1901.0</v>
      </c>
      <c r="B1902" s="5" t="s">
        <v>2507</v>
      </c>
      <c r="C1902" s="5" t="s">
        <v>21</v>
      </c>
      <c r="N1902" s="8">
        <v>46092.0</v>
      </c>
    </row>
    <row r="1903">
      <c r="A1903" s="5">
        <v>1902.0</v>
      </c>
      <c r="B1903" s="5" t="s">
        <v>2508</v>
      </c>
      <c r="C1903" s="5" t="s">
        <v>21</v>
      </c>
      <c r="K1903" s="5">
        <v>500.0</v>
      </c>
      <c r="N1903" s="8">
        <v>44595.0</v>
      </c>
    </row>
    <row r="1904">
      <c r="A1904" s="5">
        <v>1903.0</v>
      </c>
      <c r="B1904" s="5" t="s">
        <v>2509</v>
      </c>
      <c r="C1904" s="5" t="s">
        <v>21</v>
      </c>
      <c r="K1904" s="5">
        <v>400.0</v>
      </c>
      <c r="N1904" s="8">
        <v>44564.0</v>
      </c>
    </row>
    <row r="1905">
      <c r="A1905" s="5">
        <v>1904.0</v>
      </c>
      <c r="B1905" s="5" t="s">
        <v>2510</v>
      </c>
      <c r="C1905" s="5" t="s">
        <v>21</v>
      </c>
      <c r="K1905" s="5">
        <v>200.0</v>
      </c>
      <c r="N1905" s="8">
        <v>44537.0</v>
      </c>
    </row>
    <row r="1906">
      <c r="A1906" s="5">
        <v>1905.0</v>
      </c>
      <c r="B1906" s="5" t="s">
        <v>2511</v>
      </c>
      <c r="C1906" s="5" t="s">
        <v>21</v>
      </c>
      <c r="K1906" s="5">
        <v>250.0</v>
      </c>
      <c r="N1906" s="8">
        <v>44210.0</v>
      </c>
    </row>
    <row r="1907">
      <c r="A1907" s="5">
        <v>1906.0</v>
      </c>
      <c r="B1907" s="5" t="s">
        <v>2512</v>
      </c>
      <c r="C1907" s="5" t="s">
        <v>21</v>
      </c>
      <c r="K1907" s="5">
        <v>150.0</v>
      </c>
      <c r="N1907" s="8">
        <v>44648.0</v>
      </c>
    </row>
    <row r="1908">
      <c r="A1908" s="5">
        <v>1907.0</v>
      </c>
      <c r="B1908" s="5" t="s">
        <v>2513</v>
      </c>
      <c r="C1908" s="5" t="s">
        <v>21</v>
      </c>
      <c r="K1908" s="5">
        <v>70.0</v>
      </c>
      <c r="N1908" s="8">
        <v>44762.0</v>
      </c>
    </row>
    <row r="1909">
      <c r="A1909" s="5">
        <v>1908.0</v>
      </c>
      <c r="B1909" s="5" t="s">
        <v>2514</v>
      </c>
      <c r="C1909" s="5" t="s">
        <v>21</v>
      </c>
      <c r="K1909" s="5">
        <v>3700.0</v>
      </c>
      <c r="N1909" s="8">
        <v>44565.0</v>
      </c>
    </row>
    <row r="1910">
      <c r="A1910" s="5">
        <v>1909.0</v>
      </c>
      <c r="B1910" s="5" t="s">
        <v>2515</v>
      </c>
      <c r="C1910" s="5" t="s">
        <v>21</v>
      </c>
      <c r="K1910" s="5">
        <v>800.0</v>
      </c>
      <c r="N1910" s="8">
        <v>44524.0</v>
      </c>
    </row>
    <row r="1911">
      <c r="A1911" s="5">
        <v>1910.0</v>
      </c>
      <c r="B1911" s="5" t="s">
        <v>2516</v>
      </c>
      <c r="C1911" s="5" t="s">
        <v>21</v>
      </c>
      <c r="K1911" s="5">
        <v>100.0</v>
      </c>
      <c r="N1911" s="8">
        <v>44540.0</v>
      </c>
    </row>
    <row r="1912">
      <c r="A1912" s="5">
        <v>1911.0</v>
      </c>
      <c r="B1912" s="5" t="s">
        <v>2517</v>
      </c>
      <c r="C1912" s="5" t="s">
        <v>21</v>
      </c>
      <c r="K1912" s="5">
        <v>250.0</v>
      </c>
      <c r="N1912" s="8">
        <v>45300.0</v>
      </c>
    </row>
    <row r="1913">
      <c r="A1913" s="5">
        <v>1912.0</v>
      </c>
      <c r="B1913" s="5" t="s">
        <v>2518</v>
      </c>
      <c r="C1913" s="5" t="s">
        <v>21</v>
      </c>
      <c r="K1913" s="5">
        <v>100.0</v>
      </c>
      <c r="N1913" s="8">
        <v>45009.0</v>
      </c>
    </row>
    <row r="1914">
      <c r="A1914" s="5">
        <v>1913.0</v>
      </c>
      <c r="B1914" s="5" t="s">
        <v>2519</v>
      </c>
      <c r="C1914" s="5" t="s">
        <v>21</v>
      </c>
      <c r="K1914" s="5">
        <v>400.0</v>
      </c>
      <c r="N1914" s="8">
        <v>45542.0</v>
      </c>
    </row>
    <row r="1915">
      <c r="A1915" s="5">
        <v>1914.0</v>
      </c>
      <c r="B1915" s="5" t="s">
        <v>2520</v>
      </c>
      <c r="C1915" s="5" t="s">
        <v>21</v>
      </c>
      <c r="K1915" s="5">
        <v>800.0</v>
      </c>
      <c r="N1915" s="8">
        <v>44232.0</v>
      </c>
    </row>
    <row r="1916">
      <c r="A1916" s="5">
        <v>1915.0</v>
      </c>
      <c r="B1916" s="5" t="s">
        <v>168</v>
      </c>
      <c r="C1916" s="5" t="s">
        <v>21</v>
      </c>
      <c r="K1916" s="5">
        <v>90.0</v>
      </c>
      <c r="N1916" s="8">
        <v>45876.0</v>
      </c>
    </row>
    <row r="1917">
      <c r="A1917" s="5">
        <v>1916.0</v>
      </c>
      <c r="B1917" s="5" t="s">
        <v>2521</v>
      </c>
      <c r="C1917" s="5" t="s">
        <v>21</v>
      </c>
      <c r="K1917" s="5">
        <v>150.0</v>
      </c>
      <c r="N1917" s="8">
        <v>44518.0</v>
      </c>
    </row>
    <row r="1918">
      <c r="A1918" s="5">
        <v>1917.0</v>
      </c>
      <c r="B1918" s="5" t="s">
        <v>2522</v>
      </c>
      <c r="C1918" s="5" t="s">
        <v>21</v>
      </c>
      <c r="K1918" s="5">
        <v>20.0</v>
      </c>
      <c r="N1918" s="8">
        <v>44799.0</v>
      </c>
    </row>
    <row r="1919">
      <c r="A1919" s="5">
        <v>1918.0</v>
      </c>
      <c r="B1919" s="5" t="s">
        <v>2523</v>
      </c>
      <c r="C1919" s="5" t="s">
        <v>21</v>
      </c>
      <c r="K1919" s="5">
        <v>80.0</v>
      </c>
      <c r="N1919" s="8">
        <v>44655.0</v>
      </c>
    </row>
    <row r="1920">
      <c r="A1920" s="5">
        <v>1919.0</v>
      </c>
      <c r="B1920" s="5" t="s">
        <v>2524</v>
      </c>
      <c r="C1920" s="5" t="s">
        <v>21</v>
      </c>
      <c r="K1920" s="5">
        <v>200.0</v>
      </c>
      <c r="N1920" s="8">
        <v>45224.0</v>
      </c>
    </row>
    <row r="1921">
      <c r="A1921" s="5">
        <v>1920.0</v>
      </c>
      <c r="B1921" s="5" t="s">
        <v>2525</v>
      </c>
      <c r="C1921" s="5" t="s">
        <v>21</v>
      </c>
      <c r="K1921" s="5">
        <v>100.0</v>
      </c>
      <c r="N1921" s="8">
        <v>44332.0</v>
      </c>
    </row>
    <row r="1922">
      <c r="A1922" s="5">
        <v>1921.0</v>
      </c>
      <c r="B1922" s="5" t="s">
        <v>2526</v>
      </c>
      <c r="C1922" s="5" t="s">
        <v>21</v>
      </c>
      <c r="K1922" s="5">
        <v>400.0</v>
      </c>
      <c r="N1922" s="8">
        <v>44568.0</v>
      </c>
    </row>
    <row r="1923">
      <c r="A1923" s="5">
        <v>1922.0</v>
      </c>
      <c r="B1923" s="5" t="s">
        <v>2527</v>
      </c>
      <c r="C1923" s="5" t="s">
        <v>21</v>
      </c>
      <c r="K1923" s="5">
        <v>450.0</v>
      </c>
      <c r="N1923" s="8">
        <v>44424.0</v>
      </c>
    </row>
    <row r="1924">
      <c r="A1924" s="5">
        <v>1923.0</v>
      </c>
      <c r="B1924" s="5" t="s">
        <v>2528</v>
      </c>
      <c r="C1924" s="5" t="s">
        <v>21</v>
      </c>
      <c r="K1924" s="5">
        <v>60.0</v>
      </c>
      <c r="N1924" s="8">
        <v>44820.0</v>
      </c>
    </row>
    <row r="1925">
      <c r="A1925" s="5">
        <v>1924.0</v>
      </c>
      <c r="B1925" s="5" t="s">
        <v>2529</v>
      </c>
      <c r="C1925" s="5" t="s">
        <v>21</v>
      </c>
      <c r="K1925" s="5">
        <v>133000.0</v>
      </c>
      <c r="N1925" s="8">
        <v>45599.0</v>
      </c>
    </row>
    <row r="1926">
      <c r="A1926" s="5">
        <v>1925.0</v>
      </c>
      <c r="B1926" s="5" t="s">
        <v>2530</v>
      </c>
      <c r="C1926" s="5" t="s">
        <v>21</v>
      </c>
      <c r="K1926" s="5">
        <v>400.0</v>
      </c>
      <c r="N1926" s="8">
        <v>44528.0</v>
      </c>
    </row>
    <row r="1927">
      <c r="A1927" s="5">
        <v>1926.0</v>
      </c>
      <c r="B1927" s="5" t="s">
        <v>2531</v>
      </c>
      <c r="C1927" s="5" t="s">
        <v>21</v>
      </c>
      <c r="K1927" s="5">
        <v>60.0</v>
      </c>
      <c r="N1927" s="8">
        <v>44737.0</v>
      </c>
    </row>
    <row r="1928">
      <c r="A1928" s="5">
        <v>1927.0</v>
      </c>
      <c r="B1928" s="5" t="s">
        <v>2532</v>
      </c>
      <c r="C1928" s="5" t="s">
        <v>21</v>
      </c>
      <c r="K1928" s="5">
        <v>300.0</v>
      </c>
      <c r="N1928" s="8">
        <v>44314.0</v>
      </c>
    </row>
    <row r="1929">
      <c r="A1929" s="5">
        <v>1928.0</v>
      </c>
      <c r="B1929" s="5" t="s">
        <v>172</v>
      </c>
      <c r="C1929" s="5" t="s">
        <v>21</v>
      </c>
      <c r="K1929" s="5">
        <v>3200.0</v>
      </c>
      <c r="N1929" s="8">
        <v>43894.0</v>
      </c>
    </row>
    <row r="1930">
      <c r="A1930" s="5">
        <v>1929.0</v>
      </c>
      <c r="B1930" s="5" t="s">
        <v>2533</v>
      </c>
      <c r="C1930" s="5" t="s">
        <v>21</v>
      </c>
      <c r="K1930" s="5">
        <v>800.0</v>
      </c>
      <c r="N1930" s="8">
        <v>44682.0</v>
      </c>
    </row>
    <row r="1931">
      <c r="A1931" s="5">
        <v>1930.0</v>
      </c>
      <c r="B1931" s="5" t="s">
        <v>2534</v>
      </c>
      <c r="C1931" s="5" t="s">
        <v>21</v>
      </c>
      <c r="K1931" s="5">
        <v>1800.0</v>
      </c>
      <c r="N1931" s="8">
        <v>44059.0</v>
      </c>
    </row>
    <row r="1932">
      <c r="A1932" s="5">
        <v>1931.0</v>
      </c>
      <c r="B1932" s="5" t="s">
        <v>2535</v>
      </c>
      <c r="C1932" s="5" t="s">
        <v>21</v>
      </c>
      <c r="K1932" s="5">
        <v>700.0</v>
      </c>
      <c r="N1932" s="8">
        <v>44309.0</v>
      </c>
    </row>
    <row r="1933">
      <c r="A1933" s="5">
        <v>1932.0</v>
      </c>
      <c r="B1933" s="5" t="s">
        <v>2536</v>
      </c>
      <c r="C1933" s="5" t="s">
        <v>21</v>
      </c>
      <c r="K1933" s="5">
        <v>100.0</v>
      </c>
      <c r="N1933" s="8">
        <v>44348.0</v>
      </c>
    </row>
    <row r="1934">
      <c r="A1934" s="5">
        <v>1933.0</v>
      </c>
      <c r="B1934" s="5" t="s">
        <v>2537</v>
      </c>
      <c r="C1934" s="5" t="s">
        <v>21</v>
      </c>
      <c r="K1934" s="5">
        <v>200.0</v>
      </c>
      <c r="N1934" s="8">
        <v>44566.0</v>
      </c>
    </row>
    <row r="1935">
      <c r="A1935" s="5">
        <v>1934.0</v>
      </c>
      <c r="B1935" s="5" t="s">
        <v>2538</v>
      </c>
      <c r="C1935" s="5" t="s">
        <v>21</v>
      </c>
      <c r="K1935" s="5">
        <v>300.0</v>
      </c>
      <c r="N1935" s="8">
        <v>45508.0</v>
      </c>
    </row>
    <row r="1936">
      <c r="A1936" s="5">
        <v>1935.0</v>
      </c>
      <c r="B1936" s="5" t="s">
        <v>2539</v>
      </c>
      <c r="C1936" s="5" t="s">
        <v>21</v>
      </c>
      <c r="K1936" s="5">
        <v>100.0</v>
      </c>
      <c r="N1936" s="8">
        <v>45327.0</v>
      </c>
    </row>
    <row r="1937">
      <c r="A1937" s="5">
        <v>1936.0</v>
      </c>
      <c r="B1937" s="5" t="s">
        <v>2540</v>
      </c>
      <c r="C1937" s="5" t="s">
        <v>21</v>
      </c>
      <c r="K1937" s="5">
        <v>7700.0</v>
      </c>
      <c r="N1937" s="8">
        <v>44789.0</v>
      </c>
    </row>
    <row r="1938">
      <c r="A1938" s="5">
        <v>1937.0</v>
      </c>
      <c r="B1938" s="5" t="s">
        <v>2541</v>
      </c>
      <c r="C1938" s="5" t="s">
        <v>21</v>
      </c>
      <c r="K1938" s="5">
        <v>300.0</v>
      </c>
      <c r="N1938" s="8">
        <v>44532.0</v>
      </c>
    </row>
    <row r="1939">
      <c r="A1939" s="5">
        <v>1938.0</v>
      </c>
      <c r="B1939" s="5" t="s">
        <v>2542</v>
      </c>
      <c r="C1939" s="5" t="s">
        <v>21</v>
      </c>
      <c r="K1939" s="5">
        <v>200.0</v>
      </c>
      <c r="N1939" s="8">
        <v>45165.0</v>
      </c>
    </row>
    <row r="1940">
      <c r="A1940" s="5">
        <v>1939.0</v>
      </c>
      <c r="B1940" s="5" t="s">
        <v>2543</v>
      </c>
      <c r="C1940" s="5" t="s">
        <v>21</v>
      </c>
      <c r="K1940" s="5">
        <v>30.0</v>
      </c>
      <c r="N1940" s="8">
        <v>45580.0</v>
      </c>
    </row>
    <row r="1941">
      <c r="A1941" s="5">
        <v>1940.0</v>
      </c>
      <c r="B1941" s="5" t="s">
        <v>2544</v>
      </c>
      <c r="C1941" s="5" t="s">
        <v>21</v>
      </c>
      <c r="K1941" s="5">
        <v>16000.0</v>
      </c>
      <c r="N1941" s="8">
        <v>45637.0</v>
      </c>
    </row>
    <row r="1942">
      <c r="A1942" s="5">
        <v>1941.0</v>
      </c>
      <c r="B1942" s="5" t="s">
        <v>2545</v>
      </c>
      <c r="C1942" s="5" t="s">
        <v>21</v>
      </c>
      <c r="K1942" s="5">
        <v>20.0</v>
      </c>
      <c r="N1942" s="8">
        <v>44847.0</v>
      </c>
    </row>
    <row r="1943">
      <c r="A1943" s="5">
        <v>1942.0</v>
      </c>
      <c r="B1943" s="5" t="s">
        <v>2546</v>
      </c>
      <c r="C1943" s="5" t="s">
        <v>21</v>
      </c>
      <c r="K1943" s="5">
        <v>400.0</v>
      </c>
      <c r="N1943" s="8">
        <v>44943.0</v>
      </c>
    </row>
    <row r="1944">
      <c r="A1944" s="5">
        <v>1943.0</v>
      </c>
      <c r="B1944" s="5" t="s">
        <v>2547</v>
      </c>
      <c r="C1944" s="5" t="s">
        <v>21</v>
      </c>
      <c r="K1944" s="5">
        <v>50.0</v>
      </c>
      <c r="N1944" s="8">
        <v>44400.0</v>
      </c>
    </row>
    <row r="1945">
      <c r="A1945" s="5">
        <v>1944.0</v>
      </c>
      <c r="B1945" s="5" t="s">
        <v>2548</v>
      </c>
      <c r="C1945" s="5" t="s">
        <v>21</v>
      </c>
      <c r="K1945" s="5">
        <v>20.0</v>
      </c>
      <c r="N1945" s="8">
        <v>44562.0</v>
      </c>
    </row>
    <row r="1946">
      <c r="A1946" s="5">
        <v>1945.0</v>
      </c>
      <c r="B1946" s="5" t="s">
        <v>2549</v>
      </c>
      <c r="C1946" s="5" t="s">
        <v>21</v>
      </c>
      <c r="K1946" s="5">
        <v>300.0</v>
      </c>
      <c r="N1946" s="8">
        <v>45761.0</v>
      </c>
    </row>
    <row r="1947">
      <c r="A1947" s="5">
        <v>1946.0</v>
      </c>
      <c r="B1947" s="5" t="s">
        <v>2550</v>
      </c>
      <c r="C1947" s="5" t="s">
        <v>21</v>
      </c>
      <c r="N1947" s="8">
        <v>44605.0</v>
      </c>
    </row>
    <row r="1948">
      <c r="A1948" s="5">
        <v>1947.0</v>
      </c>
      <c r="B1948" s="5" t="s">
        <v>2551</v>
      </c>
      <c r="C1948" s="5" t="s">
        <v>21</v>
      </c>
      <c r="K1948" s="5">
        <v>1200.0</v>
      </c>
      <c r="N1948" s="8">
        <v>45297.0</v>
      </c>
    </row>
    <row r="1949">
      <c r="A1949" s="5">
        <v>1948.0</v>
      </c>
      <c r="B1949" s="5" t="s">
        <v>2552</v>
      </c>
      <c r="C1949" s="5" t="s">
        <v>21</v>
      </c>
      <c r="K1949" s="5">
        <v>300.0</v>
      </c>
      <c r="N1949" s="8">
        <v>44765.0</v>
      </c>
    </row>
    <row r="1950">
      <c r="A1950" s="5">
        <v>1949.0</v>
      </c>
      <c r="B1950" s="5" t="s">
        <v>2553</v>
      </c>
      <c r="C1950" s="5" t="s">
        <v>21</v>
      </c>
      <c r="K1950" s="5">
        <v>2300.0</v>
      </c>
      <c r="N1950" s="8">
        <v>44251.0</v>
      </c>
    </row>
    <row r="1951">
      <c r="A1951" s="5">
        <v>1950.0</v>
      </c>
      <c r="B1951" s="5" t="s">
        <v>2554</v>
      </c>
      <c r="C1951" s="5" t="s">
        <v>21</v>
      </c>
      <c r="N1951" s="8">
        <v>44510.0</v>
      </c>
    </row>
    <row r="1952">
      <c r="A1952" s="5">
        <v>1951.0</v>
      </c>
      <c r="B1952" s="5" t="s">
        <v>2555</v>
      </c>
      <c r="C1952" s="5" t="s">
        <v>21</v>
      </c>
      <c r="K1952" s="5">
        <v>1200.0</v>
      </c>
      <c r="N1952" s="8">
        <v>45203.0</v>
      </c>
    </row>
    <row r="1953">
      <c r="A1953" s="5">
        <v>1952.0</v>
      </c>
      <c r="B1953" s="5" t="s">
        <v>2556</v>
      </c>
      <c r="C1953" s="5" t="s">
        <v>21</v>
      </c>
      <c r="K1953" s="5">
        <v>700.0</v>
      </c>
      <c r="N1953" s="8">
        <v>43869.0</v>
      </c>
    </row>
    <row r="1954">
      <c r="A1954" s="5">
        <v>1953.0</v>
      </c>
      <c r="B1954" s="5" t="s">
        <v>2557</v>
      </c>
      <c r="C1954" s="5" t="s">
        <v>21</v>
      </c>
      <c r="K1954" s="5">
        <v>600.0</v>
      </c>
      <c r="N1954" s="8">
        <v>44530.0</v>
      </c>
    </row>
    <row r="1955">
      <c r="A1955" s="5">
        <v>1954.0</v>
      </c>
      <c r="B1955" s="5" t="s">
        <v>2558</v>
      </c>
      <c r="C1955" s="5" t="s">
        <v>21</v>
      </c>
      <c r="K1955" s="5">
        <v>50.0</v>
      </c>
      <c r="N1955" s="8">
        <v>44571.0</v>
      </c>
    </row>
    <row r="1956">
      <c r="A1956" s="5">
        <v>1955.0</v>
      </c>
      <c r="B1956" s="5" t="s">
        <v>2559</v>
      </c>
      <c r="C1956" s="5" t="s">
        <v>21</v>
      </c>
      <c r="K1956" s="5">
        <v>150.0</v>
      </c>
      <c r="N1956" s="8">
        <v>44950.0</v>
      </c>
    </row>
    <row r="1957">
      <c r="A1957" s="5">
        <v>1956.0</v>
      </c>
      <c r="B1957" s="5" t="s">
        <v>2560</v>
      </c>
      <c r="C1957" s="5" t="s">
        <v>21</v>
      </c>
      <c r="K1957" s="5">
        <v>800.0</v>
      </c>
      <c r="N1957" s="8">
        <v>44114.0</v>
      </c>
    </row>
    <row r="1958">
      <c r="A1958" s="5">
        <v>1957.0</v>
      </c>
      <c r="B1958" s="5" t="s">
        <v>2561</v>
      </c>
      <c r="C1958" s="5" t="s">
        <v>21</v>
      </c>
      <c r="K1958" s="5">
        <v>500.0</v>
      </c>
      <c r="N1958" s="8">
        <v>44803.0</v>
      </c>
    </row>
    <row r="1959">
      <c r="A1959" s="5">
        <v>1958.0</v>
      </c>
      <c r="B1959" s="5" t="s">
        <v>2562</v>
      </c>
      <c r="C1959" s="5" t="s">
        <v>21</v>
      </c>
      <c r="K1959" s="5">
        <v>100.0</v>
      </c>
      <c r="N1959" s="8">
        <v>44589.0</v>
      </c>
    </row>
    <row r="1960">
      <c r="A1960" s="5">
        <v>1959.0</v>
      </c>
      <c r="B1960" s="5" t="s">
        <v>2563</v>
      </c>
      <c r="C1960" s="5" t="s">
        <v>21</v>
      </c>
      <c r="K1960" s="5">
        <v>40.0</v>
      </c>
      <c r="N1960" s="8">
        <v>45075.0</v>
      </c>
    </row>
    <row r="1961">
      <c r="A1961" s="5">
        <v>1960.0</v>
      </c>
      <c r="B1961" s="5" t="s">
        <v>176</v>
      </c>
      <c r="C1961" s="5" t="s">
        <v>21</v>
      </c>
      <c r="K1961" s="5">
        <v>150.0</v>
      </c>
      <c r="N1961" s="8">
        <v>45067.0</v>
      </c>
    </row>
    <row r="1962">
      <c r="A1962" s="5">
        <v>1961.0</v>
      </c>
      <c r="B1962" s="5" t="s">
        <v>2564</v>
      </c>
      <c r="C1962" s="5" t="s">
        <v>21</v>
      </c>
      <c r="K1962" s="5">
        <v>450.0</v>
      </c>
      <c r="N1962" s="8">
        <v>42895.0</v>
      </c>
    </row>
    <row r="1963">
      <c r="A1963" s="5">
        <v>1962.0</v>
      </c>
      <c r="B1963" s="5" t="s">
        <v>2565</v>
      </c>
      <c r="C1963" s="5" t="s">
        <v>21</v>
      </c>
      <c r="K1963" s="5">
        <v>10.0</v>
      </c>
      <c r="N1963" s="8">
        <v>44904.0</v>
      </c>
    </row>
    <row r="1964">
      <c r="A1964" s="5">
        <v>1963.0</v>
      </c>
      <c r="B1964" s="5" t="s">
        <v>2566</v>
      </c>
      <c r="C1964" s="5" t="s">
        <v>21</v>
      </c>
      <c r="K1964" s="5">
        <v>250.0</v>
      </c>
      <c r="N1964" s="8">
        <v>44740.0</v>
      </c>
    </row>
    <row r="1965">
      <c r="A1965" s="5">
        <v>1964.0</v>
      </c>
      <c r="B1965" s="5" t="s">
        <v>2567</v>
      </c>
      <c r="C1965" s="5" t="s">
        <v>21</v>
      </c>
      <c r="K1965" s="5">
        <v>250.0</v>
      </c>
      <c r="N1965" s="8">
        <v>44701.0</v>
      </c>
    </row>
    <row r="1966">
      <c r="A1966" s="5">
        <v>1965.0</v>
      </c>
      <c r="B1966" s="5" t="s">
        <v>2568</v>
      </c>
      <c r="C1966" s="5" t="s">
        <v>21</v>
      </c>
      <c r="K1966" s="5">
        <v>20.0</v>
      </c>
      <c r="N1966" s="8">
        <v>44833.0</v>
      </c>
    </row>
    <row r="1967">
      <c r="A1967" s="5">
        <v>1966.0</v>
      </c>
      <c r="B1967" s="5" t="s">
        <v>2569</v>
      </c>
      <c r="C1967" s="5" t="s">
        <v>21</v>
      </c>
      <c r="K1967" s="5">
        <v>10.0</v>
      </c>
      <c r="N1967" s="8">
        <v>44685.0</v>
      </c>
    </row>
    <row r="1968">
      <c r="A1968" s="5">
        <v>1967.0</v>
      </c>
      <c r="B1968" s="5" t="s">
        <v>2570</v>
      </c>
      <c r="C1968" s="5" t="s">
        <v>21</v>
      </c>
      <c r="N1968" s="8">
        <v>44539.0</v>
      </c>
    </row>
    <row r="1969">
      <c r="A1969" s="5">
        <v>1968.0</v>
      </c>
      <c r="B1969" s="5" t="s">
        <v>2571</v>
      </c>
      <c r="C1969" s="5" t="s">
        <v>21</v>
      </c>
      <c r="K1969" s="5">
        <v>100.0</v>
      </c>
      <c r="N1969" s="8">
        <v>43881.0</v>
      </c>
    </row>
    <row r="1970">
      <c r="A1970" s="5">
        <v>1969.0</v>
      </c>
      <c r="B1970" s="5" t="s">
        <v>2572</v>
      </c>
      <c r="C1970" s="5" t="s">
        <v>21</v>
      </c>
      <c r="K1970" s="5">
        <v>250.0</v>
      </c>
      <c r="N1970" s="8">
        <v>45663.0</v>
      </c>
    </row>
    <row r="1971">
      <c r="A1971" s="5">
        <v>1970.0</v>
      </c>
      <c r="B1971" s="5" t="s">
        <v>2573</v>
      </c>
      <c r="C1971" s="5" t="s">
        <v>21</v>
      </c>
      <c r="K1971" s="5">
        <v>200.0</v>
      </c>
      <c r="N1971" s="8">
        <v>44685.0</v>
      </c>
    </row>
    <row r="1972">
      <c r="A1972" s="5">
        <v>1971.0</v>
      </c>
      <c r="B1972" s="5" t="s">
        <v>2574</v>
      </c>
      <c r="C1972" s="5" t="s">
        <v>21</v>
      </c>
      <c r="K1972" s="5">
        <v>400.0</v>
      </c>
      <c r="N1972" s="8">
        <v>44048.0</v>
      </c>
    </row>
    <row r="1973">
      <c r="A1973" s="5">
        <v>1972.0</v>
      </c>
      <c r="B1973" s="5" t="s">
        <v>2575</v>
      </c>
      <c r="C1973" s="5" t="s">
        <v>21</v>
      </c>
      <c r="K1973" s="5">
        <v>150.0</v>
      </c>
      <c r="N1973" s="8">
        <v>44544.0</v>
      </c>
    </row>
    <row r="1974">
      <c r="A1974" s="5">
        <v>1973.0</v>
      </c>
      <c r="B1974" s="5" t="s">
        <v>2576</v>
      </c>
      <c r="C1974" s="5" t="s">
        <v>21</v>
      </c>
      <c r="K1974" s="5">
        <v>2900.0</v>
      </c>
      <c r="N1974" s="8">
        <v>44443.0</v>
      </c>
    </row>
    <row r="1975">
      <c r="A1975" s="5">
        <v>1974.0</v>
      </c>
      <c r="B1975" s="5" t="s">
        <v>2577</v>
      </c>
      <c r="C1975" s="5" t="s">
        <v>21</v>
      </c>
      <c r="K1975" s="5">
        <v>100.0</v>
      </c>
      <c r="N1975" s="8">
        <v>44391.0</v>
      </c>
    </row>
    <row r="1976">
      <c r="A1976" s="5">
        <v>1975.0</v>
      </c>
      <c r="B1976" s="5" t="s">
        <v>2578</v>
      </c>
      <c r="C1976" s="5" t="s">
        <v>21</v>
      </c>
      <c r="K1976" s="5">
        <v>150.0</v>
      </c>
      <c r="N1976" s="8">
        <v>44267.0</v>
      </c>
    </row>
    <row r="1977">
      <c r="A1977" s="5">
        <v>1976.0</v>
      </c>
      <c r="B1977" s="5" t="s">
        <v>2579</v>
      </c>
      <c r="C1977" s="5" t="s">
        <v>21</v>
      </c>
      <c r="K1977" s="5">
        <v>1900.0</v>
      </c>
      <c r="N1977" s="8">
        <v>44457.0</v>
      </c>
    </row>
    <row r="1978">
      <c r="A1978" s="5">
        <v>1977.0</v>
      </c>
      <c r="B1978" s="5" t="s">
        <v>2580</v>
      </c>
      <c r="C1978" s="5" t="s">
        <v>21</v>
      </c>
      <c r="K1978" s="5">
        <v>900.0</v>
      </c>
      <c r="N1978" s="8">
        <v>44810.0</v>
      </c>
    </row>
    <row r="1979">
      <c r="A1979" s="5">
        <v>1978.0</v>
      </c>
      <c r="B1979" s="5" t="s">
        <v>2581</v>
      </c>
      <c r="C1979" s="5" t="s">
        <v>21</v>
      </c>
      <c r="K1979" s="5">
        <v>250.0</v>
      </c>
      <c r="N1979" s="8">
        <v>44561.0</v>
      </c>
    </row>
    <row r="1980">
      <c r="A1980" s="5">
        <v>1979.0</v>
      </c>
      <c r="B1980" s="5" t="s">
        <v>2582</v>
      </c>
      <c r="C1980" s="5" t="s">
        <v>21</v>
      </c>
      <c r="K1980" s="5">
        <v>200.0</v>
      </c>
      <c r="N1980" s="8">
        <v>44735.0</v>
      </c>
    </row>
    <row r="1981">
      <c r="A1981" s="5">
        <v>1980.0</v>
      </c>
      <c r="B1981" s="5" t="s">
        <v>2583</v>
      </c>
      <c r="C1981" s="5" t="s">
        <v>21</v>
      </c>
      <c r="K1981" s="5">
        <v>700.0</v>
      </c>
      <c r="N1981" s="8">
        <v>44592.0</v>
      </c>
    </row>
    <row r="1982">
      <c r="A1982" s="5">
        <v>1981.0</v>
      </c>
      <c r="B1982" s="5" t="s">
        <v>180</v>
      </c>
      <c r="C1982" s="5" t="s">
        <v>21</v>
      </c>
      <c r="K1982" s="5">
        <v>100.0</v>
      </c>
      <c r="N1982" s="8">
        <v>43978.0</v>
      </c>
    </row>
    <row r="1983">
      <c r="A1983" s="5">
        <v>1982.0</v>
      </c>
      <c r="B1983" s="5" t="s">
        <v>2584</v>
      </c>
      <c r="C1983" s="5" t="s">
        <v>21</v>
      </c>
      <c r="K1983" s="5">
        <v>100.0</v>
      </c>
      <c r="N1983" s="8">
        <v>45111.0</v>
      </c>
    </row>
    <row r="1984">
      <c r="A1984" s="5">
        <v>1983.0</v>
      </c>
      <c r="B1984" s="5" t="s">
        <v>2585</v>
      </c>
      <c r="C1984" s="5" t="s">
        <v>21</v>
      </c>
      <c r="K1984" s="5">
        <v>80.0</v>
      </c>
      <c r="N1984" s="8">
        <v>45435.0</v>
      </c>
    </row>
    <row r="1985">
      <c r="A1985" s="5">
        <v>1984.0</v>
      </c>
      <c r="B1985" s="5" t="s">
        <v>2586</v>
      </c>
      <c r="C1985" s="5" t="s">
        <v>21</v>
      </c>
      <c r="K1985" s="5">
        <v>150.0</v>
      </c>
      <c r="N1985" s="8">
        <v>44667.0</v>
      </c>
    </row>
    <row r="1986">
      <c r="A1986" s="5">
        <v>1985.0</v>
      </c>
      <c r="B1986" s="5" t="s">
        <v>2587</v>
      </c>
      <c r="C1986" s="5" t="s">
        <v>21</v>
      </c>
      <c r="K1986" s="5">
        <v>800.0</v>
      </c>
      <c r="N1986" s="8">
        <v>45241.0</v>
      </c>
    </row>
    <row r="1987">
      <c r="A1987" s="5">
        <v>1986.0</v>
      </c>
      <c r="B1987" s="5" t="s">
        <v>2588</v>
      </c>
      <c r="C1987" s="5" t="s">
        <v>21</v>
      </c>
      <c r="K1987" s="5">
        <v>1900.0</v>
      </c>
      <c r="N1987" s="8">
        <v>43993.0</v>
      </c>
    </row>
    <row r="1988">
      <c r="A1988" s="5">
        <v>1987.0</v>
      </c>
      <c r="B1988" s="5" t="s">
        <v>2589</v>
      </c>
      <c r="C1988" s="5" t="s">
        <v>21</v>
      </c>
      <c r="K1988" s="5">
        <v>10.0</v>
      </c>
      <c r="N1988" s="8">
        <v>44601.0</v>
      </c>
    </row>
    <row r="1989">
      <c r="A1989" s="5">
        <v>1988.0</v>
      </c>
      <c r="B1989" s="5" t="s">
        <v>2590</v>
      </c>
      <c r="C1989" s="5" t="s">
        <v>21</v>
      </c>
      <c r="K1989" s="5">
        <v>400.0</v>
      </c>
      <c r="N1989" s="8">
        <v>44585.0</v>
      </c>
    </row>
    <row r="1990">
      <c r="A1990" s="5">
        <v>1989.0</v>
      </c>
      <c r="B1990" s="5" t="s">
        <v>2591</v>
      </c>
      <c r="C1990" s="5" t="s">
        <v>21</v>
      </c>
      <c r="K1990" s="5">
        <v>20.0</v>
      </c>
      <c r="N1990" s="8">
        <v>43873.0</v>
      </c>
    </row>
    <row r="1991">
      <c r="A1991" s="5">
        <v>1990.0</v>
      </c>
      <c r="B1991" s="5" t="s">
        <v>2592</v>
      </c>
      <c r="C1991" s="5" t="s">
        <v>21</v>
      </c>
      <c r="K1991" s="5">
        <v>150.0</v>
      </c>
      <c r="N1991" s="8">
        <v>44553.0</v>
      </c>
    </row>
    <row r="1992">
      <c r="A1992" s="5">
        <v>1991.0</v>
      </c>
      <c r="B1992" s="5" t="s">
        <v>2593</v>
      </c>
      <c r="C1992" s="5" t="s">
        <v>21</v>
      </c>
      <c r="K1992" s="5">
        <v>1000.0</v>
      </c>
      <c r="N1992" s="8">
        <v>43884.0</v>
      </c>
    </row>
    <row r="1993">
      <c r="A1993" s="5">
        <v>1992.0</v>
      </c>
      <c r="B1993" s="5" t="s">
        <v>2594</v>
      </c>
      <c r="C1993" s="5" t="s">
        <v>21</v>
      </c>
      <c r="K1993" s="5">
        <v>900.0</v>
      </c>
      <c r="N1993" s="8">
        <v>44537.0</v>
      </c>
    </row>
    <row r="1994">
      <c r="A1994" s="5">
        <v>1993.0</v>
      </c>
      <c r="B1994" s="5" t="s">
        <v>2595</v>
      </c>
      <c r="C1994" s="5" t="s">
        <v>21</v>
      </c>
      <c r="K1994" s="5">
        <v>300.0</v>
      </c>
      <c r="N1994" s="8">
        <v>44947.0</v>
      </c>
    </row>
    <row r="1995">
      <c r="A1995" s="5">
        <v>1994.0</v>
      </c>
      <c r="B1995" s="5" t="s">
        <v>2596</v>
      </c>
      <c r="C1995" s="5" t="s">
        <v>21</v>
      </c>
      <c r="K1995" s="5">
        <v>100.0</v>
      </c>
      <c r="N1995" s="8">
        <v>44528.0</v>
      </c>
    </row>
    <row r="1996">
      <c r="A1996" s="5">
        <v>1995.0</v>
      </c>
      <c r="B1996" s="5" t="s">
        <v>2597</v>
      </c>
      <c r="C1996" s="5" t="s">
        <v>21</v>
      </c>
      <c r="K1996" s="5">
        <v>400.0</v>
      </c>
      <c r="N1996" s="8">
        <v>44815.0</v>
      </c>
    </row>
    <row r="1997">
      <c r="A1997" s="5">
        <v>1996.0</v>
      </c>
      <c r="B1997" s="5" t="s">
        <v>2598</v>
      </c>
      <c r="C1997" s="5" t="s">
        <v>21</v>
      </c>
      <c r="K1997" s="5">
        <v>60.0</v>
      </c>
      <c r="N1997" s="8">
        <v>44589.0</v>
      </c>
    </row>
    <row r="1998">
      <c r="A1998" s="5">
        <v>1997.0</v>
      </c>
      <c r="B1998" s="5" t="s">
        <v>2599</v>
      </c>
      <c r="C1998" s="5" t="s">
        <v>21</v>
      </c>
      <c r="K1998" s="5">
        <v>1100.0</v>
      </c>
      <c r="N1998" s="8">
        <v>44530.0</v>
      </c>
    </row>
    <row r="1999">
      <c r="A1999" s="5">
        <v>1998.0</v>
      </c>
      <c r="B1999" s="5" t="s">
        <v>2600</v>
      </c>
      <c r="C1999" s="5" t="s">
        <v>21</v>
      </c>
      <c r="K1999" s="5">
        <v>250.0</v>
      </c>
      <c r="N1999" s="8">
        <v>44676.0</v>
      </c>
    </row>
    <row r="2000">
      <c r="A2000" s="5">
        <v>1999.0</v>
      </c>
      <c r="B2000" s="5" t="s">
        <v>2601</v>
      </c>
      <c r="C2000" s="5" t="s">
        <v>21</v>
      </c>
      <c r="K2000" s="5">
        <v>800.0</v>
      </c>
      <c r="N2000" s="8">
        <v>44127.0</v>
      </c>
    </row>
    <row r="2001">
      <c r="A2001" s="5">
        <v>2000.0</v>
      </c>
      <c r="B2001" s="5" t="s">
        <v>2602</v>
      </c>
      <c r="C2001" s="5" t="s">
        <v>21</v>
      </c>
      <c r="K2001" s="5">
        <v>350.0</v>
      </c>
      <c r="N2001" s="8">
        <v>44786.0</v>
      </c>
    </row>
    <row r="2002">
      <c r="A2002" s="5">
        <v>2001.0</v>
      </c>
      <c r="B2002" s="5" t="s">
        <v>2603</v>
      </c>
      <c r="C2002" s="5" t="s">
        <v>21</v>
      </c>
      <c r="K2002" s="5">
        <v>200.0</v>
      </c>
      <c r="N2002" s="8">
        <v>44498.0</v>
      </c>
    </row>
    <row r="2003">
      <c r="A2003" s="5">
        <v>2002.0</v>
      </c>
      <c r="B2003" s="5" t="s">
        <v>2604</v>
      </c>
      <c r="C2003" s="5" t="s">
        <v>21</v>
      </c>
      <c r="K2003" s="5">
        <v>200.0</v>
      </c>
      <c r="N2003" s="8">
        <v>44931.0</v>
      </c>
    </row>
    <row r="2004">
      <c r="A2004" s="5">
        <v>2003.0</v>
      </c>
      <c r="B2004" s="5" t="s">
        <v>2605</v>
      </c>
      <c r="C2004" s="5" t="s">
        <v>21</v>
      </c>
      <c r="K2004" s="5">
        <v>5300.0</v>
      </c>
      <c r="N2004" s="8">
        <v>43861.0</v>
      </c>
    </row>
    <row r="2005">
      <c r="A2005" s="5">
        <v>2004.0</v>
      </c>
      <c r="B2005" s="5" t="s">
        <v>2606</v>
      </c>
      <c r="C2005" s="5" t="s">
        <v>21</v>
      </c>
      <c r="K2005" s="5">
        <v>4300.0</v>
      </c>
      <c r="N2005" s="8">
        <v>43895.0</v>
      </c>
    </row>
    <row r="2006">
      <c r="A2006" s="5">
        <v>2005.0</v>
      </c>
      <c r="B2006" s="5" t="s">
        <v>2607</v>
      </c>
      <c r="C2006" s="5" t="s">
        <v>21</v>
      </c>
      <c r="K2006" s="5">
        <v>90.0</v>
      </c>
      <c r="N2006" s="8">
        <v>44585.0</v>
      </c>
    </row>
    <row r="2007">
      <c r="A2007" s="5">
        <v>2006.0</v>
      </c>
      <c r="B2007" s="5" t="s">
        <v>2608</v>
      </c>
      <c r="C2007" s="5" t="s">
        <v>21</v>
      </c>
      <c r="K2007" s="5">
        <v>400.0</v>
      </c>
      <c r="N2007" s="8">
        <v>44763.0</v>
      </c>
    </row>
    <row r="2008">
      <c r="A2008" s="5">
        <v>2007.0</v>
      </c>
      <c r="B2008" s="5" t="s">
        <v>2609</v>
      </c>
      <c r="C2008" s="5" t="s">
        <v>21</v>
      </c>
      <c r="K2008" s="5">
        <v>30.0</v>
      </c>
      <c r="N2008" s="8">
        <v>45382.0</v>
      </c>
    </row>
    <row r="2009">
      <c r="A2009" s="5">
        <v>2008.0</v>
      </c>
      <c r="B2009" s="5" t="s">
        <v>2610</v>
      </c>
      <c r="C2009" s="5" t="s">
        <v>21</v>
      </c>
      <c r="K2009" s="5">
        <v>300.0</v>
      </c>
      <c r="N2009" s="8">
        <v>44143.0</v>
      </c>
    </row>
    <row r="2010">
      <c r="A2010" s="5">
        <v>2009.0</v>
      </c>
      <c r="B2010" s="5" t="s">
        <v>2611</v>
      </c>
      <c r="C2010" s="5" t="s">
        <v>21</v>
      </c>
      <c r="K2010" s="5">
        <v>150.0</v>
      </c>
      <c r="N2010" s="8">
        <v>44673.0</v>
      </c>
    </row>
    <row r="2011">
      <c r="A2011" s="5">
        <v>2010.0</v>
      </c>
      <c r="B2011" s="5" t="s">
        <v>2612</v>
      </c>
      <c r="C2011" s="5" t="s">
        <v>21</v>
      </c>
      <c r="K2011" s="5">
        <v>700.0</v>
      </c>
      <c r="N2011" s="8">
        <v>44856.0</v>
      </c>
    </row>
    <row r="2012">
      <c r="A2012" s="5">
        <v>2011.0</v>
      </c>
      <c r="B2012" s="5" t="s">
        <v>179</v>
      </c>
      <c r="C2012" s="5" t="s">
        <v>21</v>
      </c>
      <c r="K2012" s="5">
        <v>400.0</v>
      </c>
      <c r="N2012" s="8">
        <v>44402.0</v>
      </c>
    </row>
    <row r="2013">
      <c r="A2013" s="5">
        <v>2012.0</v>
      </c>
      <c r="B2013" s="5" t="s">
        <v>2613</v>
      </c>
      <c r="C2013" s="5" t="s">
        <v>21</v>
      </c>
      <c r="K2013" s="5">
        <v>1900.0</v>
      </c>
      <c r="N2013" s="8">
        <v>43995.0</v>
      </c>
    </row>
    <row r="2014">
      <c r="A2014" s="5">
        <v>2013.0</v>
      </c>
      <c r="B2014" s="5" t="s">
        <v>2614</v>
      </c>
      <c r="C2014" s="5" t="s">
        <v>21</v>
      </c>
      <c r="K2014" s="5">
        <v>1000.0</v>
      </c>
      <c r="N2014" s="8">
        <v>44481.0</v>
      </c>
    </row>
    <row r="2015">
      <c r="A2015" s="5">
        <v>2014.0</v>
      </c>
      <c r="B2015" s="5" t="s">
        <v>2615</v>
      </c>
      <c r="C2015" s="5" t="s">
        <v>21</v>
      </c>
      <c r="K2015" s="5">
        <v>350.0</v>
      </c>
      <c r="N2015" s="8">
        <v>44542.0</v>
      </c>
    </row>
    <row r="2016">
      <c r="A2016" s="5">
        <v>2015.0</v>
      </c>
      <c r="B2016" s="5" t="s">
        <v>2616</v>
      </c>
      <c r="C2016" s="5" t="s">
        <v>21</v>
      </c>
      <c r="K2016" s="5">
        <v>250.0</v>
      </c>
      <c r="N2016" s="8">
        <v>44555.0</v>
      </c>
    </row>
    <row r="2017">
      <c r="A2017" s="5">
        <v>2016.0</v>
      </c>
      <c r="B2017" s="5" t="s">
        <v>2617</v>
      </c>
      <c r="C2017" s="5" t="s">
        <v>21</v>
      </c>
      <c r="K2017" s="5">
        <v>350.0</v>
      </c>
      <c r="N2017" s="8">
        <v>44548.0</v>
      </c>
    </row>
    <row r="2018">
      <c r="A2018" s="5">
        <v>2017.0</v>
      </c>
      <c r="B2018" s="5" t="s">
        <v>182</v>
      </c>
      <c r="C2018" s="5" t="s">
        <v>21</v>
      </c>
      <c r="K2018" s="5">
        <v>900.0</v>
      </c>
      <c r="N2018" s="8">
        <v>44517.0</v>
      </c>
    </row>
    <row r="2019">
      <c r="A2019" s="5">
        <v>2018.0</v>
      </c>
      <c r="B2019" s="5" t="s">
        <v>2618</v>
      </c>
      <c r="C2019" s="5" t="s">
        <v>21</v>
      </c>
      <c r="K2019" s="5">
        <v>20.0</v>
      </c>
      <c r="N2019" s="8">
        <v>44581.0</v>
      </c>
    </row>
    <row r="2020">
      <c r="A2020" s="5">
        <v>2019.0</v>
      </c>
      <c r="B2020" s="5" t="s">
        <v>2619</v>
      </c>
      <c r="C2020" s="5" t="s">
        <v>21</v>
      </c>
      <c r="K2020" s="5">
        <v>150.0</v>
      </c>
      <c r="N2020" s="8">
        <v>44428.0</v>
      </c>
    </row>
    <row r="2021">
      <c r="A2021" s="5">
        <v>2020.0</v>
      </c>
      <c r="B2021" s="5" t="s">
        <v>2620</v>
      </c>
      <c r="C2021" s="5" t="s">
        <v>21</v>
      </c>
      <c r="K2021" s="5">
        <v>50.0</v>
      </c>
      <c r="N2021" s="8">
        <v>44822.0</v>
      </c>
    </row>
    <row r="2022">
      <c r="A2022" s="5">
        <v>2021.0</v>
      </c>
      <c r="B2022" s="5" t="s">
        <v>2621</v>
      </c>
      <c r="C2022" s="5" t="s">
        <v>21</v>
      </c>
      <c r="K2022" s="5">
        <v>700.0</v>
      </c>
      <c r="N2022" s="8">
        <v>45452.0</v>
      </c>
    </row>
    <row r="2023">
      <c r="A2023" s="5">
        <v>2022.0</v>
      </c>
      <c r="B2023" s="5" t="s">
        <v>2622</v>
      </c>
      <c r="C2023" s="5" t="s">
        <v>21</v>
      </c>
      <c r="K2023" s="5">
        <v>350.0</v>
      </c>
      <c r="N2023" s="8">
        <v>45611.0</v>
      </c>
    </row>
    <row r="2024">
      <c r="A2024" s="5">
        <v>2023.0</v>
      </c>
      <c r="B2024" s="5" t="s">
        <v>2623</v>
      </c>
      <c r="C2024" s="5" t="s">
        <v>21</v>
      </c>
      <c r="K2024" s="5">
        <v>90.0</v>
      </c>
      <c r="N2024" s="8">
        <v>45104.0</v>
      </c>
    </row>
    <row r="2025">
      <c r="A2025" s="5">
        <v>2024.0</v>
      </c>
      <c r="B2025" s="5" t="s">
        <v>2624</v>
      </c>
      <c r="C2025" s="5" t="s">
        <v>21</v>
      </c>
      <c r="K2025" s="5">
        <v>500.0</v>
      </c>
      <c r="N2025" s="8">
        <v>44684.0</v>
      </c>
    </row>
    <row r="2026">
      <c r="A2026" s="5">
        <v>2025.0</v>
      </c>
      <c r="B2026" s="5" t="s">
        <v>2625</v>
      </c>
      <c r="C2026" s="5" t="s">
        <v>21</v>
      </c>
      <c r="K2026" s="5">
        <v>350.0</v>
      </c>
      <c r="N2026" s="8">
        <v>44520.0</v>
      </c>
    </row>
    <row r="2027">
      <c r="A2027" s="5">
        <v>2026.0</v>
      </c>
      <c r="B2027" s="5" t="s">
        <v>2626</v>
      </c>
      <c r="C2027" s="5" t="s">
        <v>21</v>
      </c>
      <c r="K2027" s="5">
        <v>4600.0</v>
      </c>
      <c r="N2027" s="8">
        <v>44001.0</v>
      </c>
    </row>
    <row r="2028">
      <c r="A2028" s="5">
        <v>2027.0</v>
      </c>
      <c r="B2028" s="5" t="s">
        <v>2627</v>
      </c>
      <c r="C2028" s="5" t="s">
        <v>21</v>
      </c>
      <c r="K2028" s="5">
        <v>1800.0</v>
      </c>
      <c r="N2028" s="8">
        <v>44545.0</v>
      </c>
    </row>
    <row r="2029">
      <c r="A2029" s="5">
        <v>2028.0</v>
      </c>
      <c r="B2029" s="5" t="s">
        <v>2628</v>
      </c>
      <c r="C2029" s="5" t="s">
        <v>21</v>
      </c>
      <c r="K2029" s="5">
        <v>600.0</v>
      </c>
      <c r="N2029" s="8">
        <v>44478.0</v>
      </c>
    </row>
    <row r="2030">
      <c r="A2030" s="5">
        <v>2029.0</v>
      </c>
      <c r="B2030" s="5" t="s">
        <v>2629</v>
      </c>
      <c r="C2030" s="5" t="s">
        <v>21</v>
      </c>
      <c r="K2030" s="5">
        <v>200.0</v>
      </c>
      <c r="N2030" s="8">
        <v>45782.0</v>
      </c>
    </row>
    <row r="2031">
      <c r="A2031" s="5">
        <v>2030.0</v>
      </c>
      <c r="B2031" s="5" t="s">
        <v>2630</v>
      </c>
      <c r="C2031" s="5" t="s">
        <v>21</v>
      </c>
      <c r="K2031" s="5">
        <v>90.0</v>
      </c>
      <c r="N2031" s="8">
        <v>44784.0</v>
      </c>
    </row>
    <row r="2032">
      <c r="A2032" s="5">
        <v>2031.0</v>
      </c>
      <c r="B2032" s="5" t="s">
        <v>2631</v>
      </c>
      <c r="C2032" s="5" t="s">
        <v>21</v>
      </c>
      <c r="K2032" s="5">
        <v>70.0</v>
      </c>
      <c r="N2032" s="8">
        <v>43856.0</v>
      </c>
    </row>
    <row r="2033">
      <c r="A2033" s="5">
        <v>2032.0</v>
      </c>
      <c r="B2033" s="5" t="s">
        <v>2632</v>
      </c>
      <c r="C2033" s="5" t="s">
        <v>21</v>
      </c>
      <c r="N2033" s="8">
        <v>44552.0</v>
      </c>
    </row>
    <row r="2034">
      <c r="A2034" s="5">
        <v>2033.0</v>
      </c>
      <c r="B2034" s="5" t="s">
        <v>2633</v>
      </c>
      <c r="C2034" s="5" t="s">
        <v>21</v>
      </c>
      <c r="K2034" s="5">
        <v>1000.0</v>
      </c>
      <c r="N2034" s="8">
        <v>44517.0</v>
      </c>
    </row>
    <row r="2035">
      <c r="A2035" s="5">
        <v>2034.0</v>
      </c>
      <c r="B2035" s="5" t="s">
        <v>2634</v>
      </c>
      <c r="C2035" s="5" t="s">
        <v>21</v>
      </c>
      <c r="K2035" s="5">
        <v>100.0</v>
      </c>
      <c r="N2035" s="8">
        <v>44582.0</v>
      </c>
    </row>
    <row r="2036">
      <c r="A2036" s="5">
        <v>2035.0</v>
      </c>
      <c r="B2036" s="5" t="s">
        <v>2635</v>
      </c>
      <c r="C2036" s="5" t="s">
        <v>21</v>
      </c>
      <c r="K2036" s="5">
        <v>500.0</v>
      </c>
      <c r="N2036" s="8">
        <v>44646.0</v>
      </c>
    </row>
    <row r="2037">
      <c r="A2037" s="5">
        <v>2036.0</v>
      </c>
      <c r="B2037" s="5" t="s">
        <v>2636</v>
      </c>
      <c r="C2037" s="5" t="s">
        <v>21</v>
      </c>
      <c r="K2037" s="5">
        <v>250.0</v>
      </c>
      <c r="N2037" s="8">
        <v>45357.0</v>
      </c>
    </row>
    <row r="2038">
      <c r="A2038" s="5">
        <v>2037.0</v>
      </c>
      <c r="B2038" s="5" t="s">
        <v>2637</v>
      </c>
      <c r="C2038" s="5" t="s">
        <v>21</v>
      </c>
      <c r="K2038" s="5">
        <v>50.0</v>
      </c>
      <c r="N2038" s="8">
        <v>45000.0</v>
      </c>
    </row>
    <row r="2039">
      <c r="A2039" s="5">
        <v>2038.0</v>
      </c>
      <c r="B2039" s="5" t="s">
        <v>2638</v>
      </c>
      <c r="C2039" s="5" t="s">
        <v>21</v>
      </c>
      <c r="K2039" s="5">
        <v>250.0</v>
      </c>
      <c r="N2039" s="8">
        <v>45131.0</v>
      </c>
    </row>
    <row r="2040">
      <c r="A2040" s="5">
        <v>2039.0</v>
      </c>
      <c r="B2040" s="5" t="s">
        <v>2639</v>
      </c>
      <c r="C2040" s="5" t="s">
        <v>21</v>
      </c>
      <c r="K2040" s="5">
        <v>50.0</v>
      </c>
      <c r="N2040" s="8">
        <v>44136.0</v>
      </c>
    </row>
    <row r="2041">
      <c r="A2041" s="5">
        <v>2040.0</v>
      </c>
      <c r="B2041" s="5" t="s">
        <v>184</v>
      </c>
      <c r="C2041" s="5" t="s">
        <v>21</v>
      </c>
      <c r="K2041" s="5">
        <v>2000.0</v>
      </c>
      <c r="N2041" s="8">
        <v>43950.0</v>
      </c>
    </row>
    <row r="2042">
      <c r="A2042" s="5">
        <v>2041.0</v>
      </c>
      <c r="B2042" s="5" t="s">
        <v>2640</v>
      </c>
      <c r="C2042" s="5" t="s">
        <v>21</v>
      </c>
      <c r="K2042" s="5">
        <v>250.0</v>
      </c>
      <c r="N2042" s="8">
        <v>45468.0</v>
      </c>
    </row>
    <row r="2043">
      <c r="A2043" s="5">
        <v>2042.0</v>
      </c>
      <c r="B2043" s="5" t="s">
        <v>186</v>
      </c>
      <c r="C2043" s="5" t="s">
        <v>21</v>
      </c>
      <c r="K2043" s="5">
        <v>4600.0</v>
      </c>
      <c r="N2043" s="8">
        <v>44087.0</v>
      </c>
    </row>
    <row r="2044">
      <c r="A2044" s="5">
        <v>2043.0</v>
      </c>
      <c r="B2044" s="5" t="s">
        <v>2641</v>
      </c>
      <c r="C2044" s="5" t="s">
        <v>21</v>
      </c>
      <c r="K2044" s="5">
        <v>150.0</v>
      </c>
      <c r="N2044" s="8">
        <v>43862.0</v>
      </c>
    </row>
    <row r="2045">
      <c r="A2045" s="5">
        <v>2044.0</v>
      </c>
      <c r="B2045" s="5" t="s">
        <v>2642</v>
      </c>
      <c r="C2045" s="5" t="s">
        <v>21</v>
      </c>
      <c r="K2045" s="5">
        <v>700.0</v>
      </c>
      <c r="N2045" s="8">
        <v>44711.0</v>
      </c>
    </row>
    <row r="2046">
      <c r="A2046" s="5">
        <v>2045.0</v>
      </c>
      <c r="B2046" s="5" t="s">
        <v>189</v>
      </c>
      <c r="C2046" s="5" t="s">
        <v>21</v>
      </c>
      <c r="K2046" s="5">
        <v>1300.0</v>
      </c>
      <c r="N2046" s="8">
        <v>45265.0</v>
      </c>
    </row>
    <row r="2047">
      <c r="A2047" s="5">
        <v>2046.0</v>
      </c>
      <c r="B2047" s="5" t="s">
        <v>2643</v>
      </c>
      <c r="C2047" s="5" t="s">
        <v>21</v>
      </c>
      <c r="K2047" s="5">
        <v>1000.0</v>
      </c>
      <c r="N2047" s="8">
        <v>43665.0</v>
      </c>
    </row>
    <row r="2048">
      <c r="A2048" s="5">
        <v>2047.0</v>
      </c>
      <c r="B2048" s="5" t="s">
        <v>2644</v>
      </c>
      <c r="C2048" s="5" t="s">
        <v>21</v>
      </c>
      <c r="K2048" s="5">
        <v>150.0</v>
      </c>
      <c r="N2048" s="8">
        <v>44913.0</v>
      </c>
    </row>
    <row r="2049">
      <c r="A2049" s="5">
        <v>2048.0</v>
      </c>
      <c r="B2049" s="5" t="s">
        <v>2645</v>
      </c>
      <c r="C2049" s="5" t="s">
        <v>21</v>
      </c>
      <c r="K2049" s="5">
        <v>100.0</v>
      </c>
      <c r="N2049" s="8">
        <v>44916.0</v>
      </c>
    </row>
    <row r="2050">
      <c r="A2050" s="5">
        <v>2049.0</v>
      </c>
      <c r="B2050" s="5" t="s">
        <v>2646</v>
      </c>
      <c r="C2050" s="5" t="s">
        <v>21</v>
      </c>
      <c r="K2050" s="5">
        <v>70.0</v>
      </c>
      <c r="N2050" s="8">
        <v>44914.0</v>
      </c>
    </row>
    <row r="2051">
      <c r="A2051" s="5">
        <v>2050.0</v>
      </c>
      <c r="B2051" s="5" t="s">
        <v>2647</v>
      </c>
      <c r="C2051" s="5" t="s">
        <v>21</v>
      </c>
      <c r="K2051" s="5">
        <v>200.0</v>
      </c>
      <c r="N2051" s="8">
        <v>44552.0</v>
      </c>
    </row>
    <row r="2052">
      <c r="A2052" s="5">
        <v>2051.0</v>
      </c>
      <c r="B2052" s="5" t="s">
        <v>2648</v>
      </c>
      <c r="C2052" s="5" t="s">
        <v>21</v>
      </c>
      <c r="K2052" s="5">
        <v>400.0</v>
      </c>
      <c r="N2052" s="8">
        <v>44185.0</v>
      </c>
    </row>
    <row r="2053">
      <c r="A2053" s="5">
        <v>2052.0</v>
      </c>
      <c r="B2053" s="5" t="s">
        <v>2649</v>
      </c>
      <c r="C2053" s="5" t="s">
        <v>21</v>
      </c>
      <c r="K2053" s="5">
        <v>200.0</v>
      </c>
      <c r="N2053" s="8">
        <v>44989.0</v>
      </c>
    </row>
    <row r="2054">
      <c r="A2054" s="5">
        <v>2053.0</v>
      </c>
      <c r="B2054" s="5" t="s">
        <v>2650</v>
      </c>
      <c r="C2054" s="5" t="s">
        <v>21</v>
      </c>
      <c r="K2054" s="5">
        <v>700.0</v>
      </c>
      <c r="N2054" s="8">
        <v>44529.0</v>
      </c>
    </row>
    <row r="2055">
      <c r="A2055" s="5">
        <v>2054.0</v>
      </c>
      <c r="B2055" s="5" t="s">
        <v>185</v>
      </c>
      <c r="C2055" s="5" t="s">
        <v>21</v>
      </c>
      <c r="K2055" s="5">
        <v>350.0</v>
      </c>
      <c r="N2055" s="8">
        <v>44582.0</v>
      </c>
    </row>
    <row r="2056">
      <c r="A2056" s="5">
        <v>2055.0</v>
      </c>
      <c r="B2056" s="5" t="s">
        <v>2651</v>
      </c>
      <c r="C2056" s="5" t="s">
        <v>21</v>
      </c>
      <c r="N2056" s="8">
        <v>44582.0</v>
      </c>
    </row>
    <row r="2057">
      <c r="A2057" s="5">
        <v>2056.0</v>
      </c>
      <c r="B2057" s="5" t="s">
        <v>2652</v>
      </c>
      <c r="C2057" s="5" t="s">
        <v>21</v>
      </c>
      <c r="K2057" s="5">
        <v>200.0</v>
      </c>
      <c r="N2057" s="8">
        <v>44908.0</v>
      </c>
    </row>
    <row r="2058">
      <c r="A2058" s="5">
        <v>2057.0</v>
      </c>
      <c r="B2058" s="5" t="s">
        <v>2653</v>
      </c>
      <c r="C2058" s="5" t="s">
        <v>21</v>
      </c>
      <c r="K2058" s="5">
        <v>1000.0</v>
      </c>
      <c r="N2058" s="8">
        <v>44799.0</v>
      </c>
    </row>
    <row r="2059">
      <c r="A2059" s="5">
        <v>2058.0</v>
      </c>
      <c r="B2059" s="5" t="s">
        <v>2654</v>
      </c>
      <c r="C2059" s="5" t="s">
        <v>21</v>
      </c>
      <c r="K2059" s="5">
        <v>200.0</v>
      </c>
      <c r="N2059" s="8">
        <v>44883.0</v>
      </c>
    </row>
    <row r="2060">
      <c r="A2060" s="5">
        <v>2059.0</v>
      </c>
      <c r="B2060" s="5" t="s">
        <v>192</v>
      </c>
      <c r="C2060" s="5" t="s">
        <v>21</v>
      </c>
      <c r="K2060" s="5">
        <v>2500.0</v>
      </c>
      <c r="N2060" s="8">
        <v>45044.0</v>
      </c>
    </row>
    <row r="2061">
      <c r="A2061" s="5">
        <v>2060.0</v>
      </c>
      <c r="B2061" s="5" t="s">
        <v>2655</v>
      </c>
      <c r="C2061" s="5" t="s">
        <v>21</v>
      </c>
      <c r="K2061" s="5">
        <v>500.0</v>
      </c>
      <c r="N2061" s="8">
        <v>44832.0</v>
      </c>
    </row>
    <row r="2062">
      <c r="A2062" s="5">
        <v>2061.0</v>
      </c>
      <c r="B2062" s="5" t="s">
        <v>2656</v>
      </c>
      <c r="C2062" s="5" t="s">
        <v>21</v>
      </c>
      <c r="K2062" s="5">
        <v>80.0</v>
      </c>
      <c r="N2062" s="8">
        <v>43899.0</v>
      </c>
    </row>
    <row r="2063">
      <c r="A2063" s="5">
        <v>2062.0</v>
      </c>
      <c r="B2063" s="5" t="s">
        <v>2657</v>
      </c>
      <c r="C2063" s="5" t="s">
        <v>21</v>
      </c>
      <c r="K2063" s="5">
        <v>150.0</v>
      </c>
      <c r="N2063" s="8">
        <v>44975.0</v>
      </c>
    </row>
    <row r="2064">
      <c r="A2064" s="5">
        <v>2063.0</v>
      </c>
      <c r="B2064" s="5" t="s">
        <v>2658</v>
      </c>
      <c r="C2064" s="5" t="s">
        <v>21</v>
      </c>
      <c r="K2064" s="5">
        <v>300.0</v>
      </c>
      <c r="N2064" s="8">
        <v>45811.0</v>
      </c>
    </row>
    <row r="2065">
      <c r="A2065" s="5">
        <v>2064.0</v>
      </c>
      <c r="B2065" s="5" t="s">
        <v>2659</v>
      </c>
      <c r="C2065" s="5" t="s">
        <v>21</v>
      </c>
      <c r="K2065" s="5">
        <v>30.0</v>
      </c>
      <c r="N2065" s="8">
        <v>44238.0</v>
      </c>
    </row>
    <row r="2066">
      <c r="A2066" s="5">
        <v>2065.0</v>
      </c>
      <c r="B2066" s="5" t="s">
        <v>2660</v>
      </c>
      <c r="C2066" s="5" t="s">
        <v>21</v>
      </c>
      <c r="K2066" s="5">
        <v>70.0</v>
      </c>
      <c r="N2066" s="8">
        <v>44857.0</v>
      </c>
    </row>
    <row r="2067">
      <c r="A2067" s="5">
        <v>2066.0</v>
      </c>
      <c r="B2067" s="5" t="s">
        <v>2661</v>
      </c>
      <c r="C2067" s="5" t="s">
        <v>21</v>
      </c>
      <c r="K2067" s="5">
        <v>100.0</v>
      </c>
      <c r="N2067" s="8">
        <v>44587.0</v>
      </c>
    </row>
    <row r="2068">
      <c r="A2068" s="5">
        <v>2067.0</v>
      </c>
      <c r="B2068" s="5" t="s">
        <v>2662</v>
      </c>
      <c r="C2068" s="5" t="s">
        <v>21</v>
      </c>
      <c r="K2068" s="5">
        <v>350.0</v>
      </c>
      <c r="N2068" s="8">
        <v>44560.0</v>
      </c>
    </row>
    <row r="2069">
      <c r="A2069" s="5">
        <v>2068.0</v>
      </c>
      <c r="B2069" s="5" t="s">
        <v>2663</v>
      </c>
      <c r="C2069" s="5" t="s">
        <v>21</v>
      </c>
      <c r="K2069" s="5">
        <v>150.0</v>
      </c>
      <c r="N2069" s="8">
        <v>45168.0</v>
      </c>
    </row>
    <row r="2070">
      <c r="A2070" s="5">
        <v>2069.0</v>
      </c>
      <c r="B2070" s="5" t="s">
        <v>2664</v>
      </c>
      <c r="C2070" s="5" t="s">
        <v>21</v>
      </c>
      <c r="K2070" s="5">
        <v>50.0</v>
      </c>
      <c r="N2070" s="8">
        <v>45209.0</v>
      </c>
    </row>
    <row r="2071">
      <c r="A2071" s="5">
        <v>2070.0</v>
      </c>
      <c r="B2071" s="5" t="s">
        <v>2665</v>
      </c>
      <c r="C2071" s="5" t="s">
        <v>21</v>
      </c>
      <c r="K2071" s="5">
        <v>50.0</v>
      </c>
      <c r="N2071" s="8">
        <v>44608.0</v>
      </c>
    </row>
    <row r="2072">
      <c r="A2072" s="5">
        <v>2071.0</v>
      </c>
      <c r="B2072" s="5" t="s">
        <v>2666</v>
      </c>
      <c r="C2072" s="5" t="s">
        <v>21</v>
      </c>
      <c r="K2072" s="5">
        <v>30.0</v>
      </c>
      <c r="N2072" s="8">
        <v>44245.0</v>
      </c>
    </row>
    <row r="2073">
      <c r="A2073" s="5">
        <v>2072.0</v>
      </c>
      <c r="B2073" s="5" t="s">
        <v>2667</v>
      </c>
      <c r="C2073" s="5" t="s">
        <v>21</v>
      </c>
      <c r="K2073" s="5">
        <v>100.0</v>
      </c>
      <c r="N2073" s="8">
        <v>45487.0</v>
      </c>
    </row>
    <row r="2074">
      <c r="A2074" s="5">
        <v>2073.0</v>
      </c>
      <c r="B2074" s="5" t="s">
        <v>2668</v>
      </c>
      <c r="C2074" s="5" t="s">
        <v>21</v>
      </c>
      <c r="K2074" s="5">
        <v>300.0</v>
      </c>
      <c r="N2074" s="8">
        <v>45655.0</v>
      </c>
    </row>
    <row r="2075">
      <c r="A2075" s="5">
        <v>2074.0</v>
      </c>
      <c r="B2075" s="5" t="s">
        <v>2669</v>
      </c>
      <c r="C2075" s="5" t="s">
        <v>21</v>
      </c>
      <c r="K2075" s="5">
        <v>500.0</v>
      </c>
      <c r="N2075" s="8">
        <v>45556.0</v>
      </c>
    </row>
    <row r="2076">
      <c r="A2076" s="5">
        <v>2075.0</v>
      </c>
      <c r="B2076" s="5" t="s">
        <v>2670</v>
      </c>
      <c r="C2076" s="5" t="s">
        <v>21</v>
      </c>
      <c r="K2076" s="5">
        <v>40.0</v>
      </c>
      <c r="N2076" s="8">
        <v>44547.0</v>
      </c>
    </row>
    <row r="2077">
      <c r="A2077" s="5">
        <v>2076.0</v>
      </c>
      <c r="B2077" s="5" t="s">
        <v>2671</v>
      </c>
      <c r="C2077" s="5" t="s">
        <v>21</v>
      </c>
      <c r="K2077" s="5">
        <v>80.0</v>
      </c>
      <c r="N2077" s="8">
        <v>44529.0</v>
      </c>
    </row>
    <row r="2078">
      <c r="A2078" s="5">
        <v>2077.0</v>
      </c>
      <c r="B2078" s="5" t="s">
        <v>2672</v>
      </c>
      <c r="C2078" s="5" t="s">
        <v>21</v>
      </c>
      <c r="K2078" s="5">
        <v>2700.0</v>
      </c>
      <c r="N2078" s="8">
        <v>45614.0</v>
      </c>
    </row>
    <row r="2079">
      <c r="A2079" s="5">
        <v>2078.0</v>
      </c>
      <c r="B2079" s="5" t="s">
        <v>2673</v>
      </c>
      <c r="C2079" s="5" t="s">
        <v>21</v>
      </c>
      <c r="K2079" s="5">
        <v>80.0</v>
      </c>
      <c r="N2079" s="8">
        <v>44196.0</v>
      </c>
    </row>
    <row r="2080">
      <c r="A2080" s="5">
        <v>2079.0</v>
      </c>
      <c r="B2080" s="5" t="s">
        <v>2674</v>
      </c>
      <c r="C2080" s="5" t="s">
        <v>21</v>
      </c>
      <c r="K2080" s="5">
        <v>600.0</v>
      </c>
      <c r="N2080" s="8">
        <v>44060.0</v>
      </c>
    </row>
    <row r="2081">
      <c r="A2081" s="5">
        <v>2080.0</v>
      </c>
      <c r="B2081" s="5" t="s">
        <v>2675</v>
      </c>
      <c r="C2081" s="5" t="s">
        <v>21</v>
      </c>
      <c r="K2081" s="5">
        <v>600.0</v>
      </c>
      <c r="N2081" s="8">
        <v>44199.0</v>
      </c>
    </row>
    <row r="2082">
      <c r="A2082" s="5">
        <v>2081.0</v>
      </c>
      <c r="B2082" s="5" t="s">
        <v>2676</v>
      </c>
      <c r="C2082" s="5" t="s">
        <v>21</v>
      </c>
      <c r="K2082" s="5">
        <v>11000.0</v>
      </c>
      <c r="N2082" s="8">
        <v>43842.0</v>
      </c>
    </row>
    <row r="2083">
      <c r="A2083" s="5">
        <v>2082.0</v>
      </c>
      <c r="B2083" s="5" t="s">
        <v>2677</v>
      </c>
      <c r="C2083" s="5" t="s">
        <v>21</v>
      </c>
      <c r="K2083" s="5">
        <v>2800.0</v>
      </c>
      <c r="N2083" s="8">
        <v>44350.0</v>
      </c>
    </row>
    <row r="2084">
      <c r="A2084" s="5">
        <v>2083.0</v>
      </c>
      <c r="B2084" s="5" t="s">
        <v>2678</v>
      </c>
      <c r="C2084" s="5" t="s">
        <v>21</v>
      </c>
      <c r="K2084" s="5">
        <v>60.0</v>
      </c>
      <c r="N2084" s="8">
        <v>45559.0</v>
      </c>
    </row>
    <row r="2085">
      <c r="A2085" s="5">
        <v>2084.0</v>
      </c>
      <c r="B2085" s="5" t="s">
        <v>187</v>
      </c>
      <c r="C2085" s="5" t="s">
        <v>21</v>
      </c>
      <c r="K2085" s="5">
        <v>250.0</v>
      </c>
      <c r="N2085" s="8">
        <v>44699.0</v>
      </c>
    </row>
    <row r="2086">
      <c r="A2086" s="5">
        <v>2085.0</v>
      </c>
      <c r="B2086" s="5" t="s">
        <v>2679</v>
      </c>
      <c r="C2086" s="5" t="s">
        <v>21</v>
      </c>
      <c r="K2086" s="5">
        <v>150.0</v>
      </c>
      <c r="N2086" s="8">
        <v>44653.0</v>
      </c>
    </row>
    <row r="2087">
      <c r="A2087" s="5">
        <v>2086.0</v>
      </c>
      <c r="B2087" s="5" t="s">
        <v>2680</v>
      </c>
      <c r="C2087" s="5" t="s">
        <v>21</v>
      </c>
      <c r="K2087" s="5">
        <v>150.0</v>
      </c>
      <c r="N2087" s="8">
        <v>44778.0</v>
      </c>
    </row>
    <row r="2088">
      <c r="A2088" s="5">
        <v>2087.0</v>
      </c>
      <c r="B2088" s="5" t="s">
        <v>2681</v>
      </c>
      <c r="C2088" s="5" t="s">
        <v>21</v>
      </c>
      <c r="K2088" s="5">
        <v>150.0</v>
      </c>
      <c r="N2088" s="8">
        <v>44520.0</v>
      </c>
    </row>
    <row r="2089">
      <c r="A2089" s="5">
        <v>2088.0</v>
      </c>
      <c r="B2089" s="5" t="s">
        <v>2682</v>
      </c>
      <c r="C2089" s="5" t="s">
        <v>21</v>
      </c>
      <c r="K2089" s="5">
        <v>100.0</v>
      </c>
      <c r="N2089" s="8">
        <v>45528.0</v>
      </c>
    </row>
    <row r="2090">
      <c r="A2090" s="5">
        <v>2089.0</v>
      </c>
      <c r="B2090" s="5" t="s">
        <v>2683</v>
      </c>
      <c r="C2090" s="5" t="s">
        <v>21</v>
      </c>
      <c r="K2090" s="5">
        <v>250.0</v>
      </c>
      <c r="N2090" s="8">
        <v>44580.0</v>
      </c>
    </row>
    <row r="2091">
      <c r="A2091" s="5">
        <v>2090.0</v>
      </c>
      <c r="B2091" s="5" t="s">
        <v>2684</v>
      </c>
      <c r="C2091" s="5" t="s">
        <v>21</v>
      </c>
      <c r="K2091" s="5">
        <v>350.0</v>
      </c>
      <c r="N2091" s="8">
        <v>45659.0</v>
      </c>
    </row>
    <row r="2092">
      <c r="A2092" s="5">
        <v>2091.0</v>
      </c>
      <c r="B2092" s="5" t="s">
        <v>2685</v>
      </c>
      <c r="C2092" s="5" t="s">
        <v>21</v>
      </c>
      <c r="K2092" s="5">
        <v>400.0</v>
      </c>
      <c r="N2092" s="8">
        <v>44745.0</v>
      </c>
    </row>
    <row r="2093">
      <c r="A2093" s="5">
        <v>2092.0</v>
      </c>
      <c r="B2093" s="5" t="s">
        <v>2686</v>
      </c>
      <c r="C2093" s="5" t="s">
        <v>21</v>
      </c>
      <c r="K2093" s="5">
        <v>500.0</v>
      </c>
      <c r="N2093" s="8">
        <v>44561.0</v>
      </c>
    </row>
    <row r="2094">
      <c r="A2094" s="5">
        <v>2093.0</v>
      </c>
      <c r="B2094" s="5" t="s">
        <v>2687</v>
      </c>
      <c r="C2094" s="5" t="s">
        <v>21</v>
      </c>
      <c r="K2094" s="5">
        <v>1500.0</v>
      </c>
      <c r="N2094" s="8">
        <v>44511.0</v>
      </c>
    </row>
    <row r="2095">
      <c r="A2095" s="5">
        <v>2094.0</v>
      </c>
      <c r="B2095" s="5" t="s">
        <v>2688</v>
      </c>
      <c r="C2095" s="5" t="s">
        <v>21</v>
      </c>
      <c r="K2095" s="5">
        <v>10.0</v>
      </c>
      <c r="N2095" s="8">
        <v>44889.0</v>
      </c>
    </row>
    <row r="2096">
      <c r="A2096" s="5">
        <v>2095.0</v>
      </c>
      <c r="B2096" s="5" t="s">
        <v>2689</v>
      </c>
      <c r="C2096" s="5" t="s">
        <v>21</v>
      </c>
      <c r="K2096" s="5">
        <v>1000.0</v>
      </c>
      <c r="N2096" s="8">
        <v>44012.0</v>
      </c>
    </row>
    <row r="2097">
      <c r="A2097" s="5">
        <v>2096.0</v>
      </c>
      <c r="B2097" s="5" t="s">
        <v>2690</v>
      </c>
      <c r="C2097" s="5" t="s">
        <v>21</v>
      </c>
      <c r="K2097" s="5">
        <v>1200.0</v>
      </c>
      <c r="N2097" s="8">
        <v>44450.0</v>
      </c>
    </row>
    <row r="2098">
      <c r="A2098" s="5">
        <v>2097.0</v>
      </c>
      <c r="B2098" s="5" t="s">
        <v>2691</v>
      </c>
      <c r="C2098" s="5" t="s">
        <v>21</v>
      </c>
      <c r="K2098" s="5">
        <v>300.0</v>
      </c>
      <c r="N2098" s="8">
        <v>44828.0</v>
      </c>
    </row>
    <row r="2099">
      <c r="A2099" s="5">
        <v>2098.0</v>
      </c>
      <c r="B2099" s="5" t="s">
        <v>2692</v>
      </c>
      <c r="C2099" s="5" t="s">
        <v>21</v>
      </c>
      <c r="K2099" s="5">
        <v>200.0</v>
      </c>
      <c r="N2099" s="8">
        <v>44635.0</v>
      </c>
    </row>
    <row r="2100">
      <c r="A2100" s="5">
        <v>2099.0</v>
      </c>
      <c r="B2100" s="5" t="s">
        <v>2693</v>
      </c>
      <c r="C2100" s="5" t="s">
        <v>21</v>
      </c>
      <c r="K2100" s="5">
        <v>150.0</v>
      </c>
      <c r="N2100" s="8">
        <v>45670.0</v>
      </c>
    </row>
    <row r="2101">
      <c r="A2101" s="5">
        <v>2100.0</v>
      </c>
      <c r="B2101" s="5" t="s">
        <v>2694</v>
      </c>
      <c r="C2101" s="5" t="s">
        <v>21</v>
      </c>
      <c r="K2101" s="5">
        <v>250.0</v>
      </c>
      <c r="N2101" s="8">
        <v>44412.0</v>
      </c>
    </row>
    <row r="2102">
      <c r="A2102" s="5">
        <v>2101.0</v>
      </c>
      <c r="B2102" s="5" t="s">
        <v>2695</v>
      </c>
      <c r="C2102" s="5" t="s">
        <v>21</v>
      </c>
      <c r="K2102" s="5">
        <v>400.0</v>
      </c>
      <c r="N2102" s="8">
        <v>44294.0</v>
      </c>
    </row>
    <row r="2103">
      <c r="A2103" s="5">
        <v>2102.0</v>
      </c>
      <c r="B2103" s="5" t="s">
        <v>2696</v>
      </c>
      <c r="C2103" s="5" t="s">
        <v>21</v>
      </c>
      <c r="K2103" s="5">
        <v>30.0</v>
      </c>
      <c r="N2103" s="8">
        <v>45238.0</v>
      </c>
    </row>
    <row r="2104">
      <c r="A2104" s="5">
        <v>2103.0</v>
      </c>
      <c r="B2104" s="5" t="s">
        <v>2697</v>
      </c>
      <c r="C2104" s="5" t="s">
        <v>21</v>
      </c>
      <c r="K2104" s="5">
        <v>150.0</v>
      </c>
      <c r="N2104" s="8">
        <v>44438.0</v>
      </c>
    </row>
    <row r="2105">
      <c r="A2105" s="5">
        <v>2104.0</v>
      </c>
      <c r="B2105" s="5" t="s">
        <v>2698</v>
      </c>
      <c r="C2105" s="5" t="s">
        <v>21</v>
      </c>
      <c r="K2105" s="5">
        <v>60.0</v>
      </c>
      <c r="N2105" s="8">
        <v>44564.0</v>
      </c>
    </row>
    <row r="2106">
      <c r="A2106" s="5">
        <v>2105.0</v>
      </c>
      <c r="B2106" s="5" t="s">
        <v>193</v>
      </c>
      <c r="C2106" s="5" t="s">
        <v>21</v>
      </c>
      <c r="K2106" s="5">
        <v>6200.0</v>
      </c>
      <c r="N2106" s="8">
        <v>43952.0</v>
      </c>
    </row>
    <row r="2107">
      <c r="A2107" s="5">
        <v>2106.0</v>
      </c>
      <c r="B2107" s="5" t="s">
        <v>2699</v>
      </c>
      <c r="C2107" s="5" t="s">
        <v>21</v>
      </c>
      <c r="K2107" s="5">
        <v>200.0</v>
      </c>
      <c r="N2107" s="8">
        <v>44603.0</v>
      </c>
    </row>
    <row r="2108">
      <c r="A2108" s="5">
        <v>2107.0</v>
      </c>
      <c r="B2108" s="5" t="s">
        <v>2700</v>
      </c>
      <c r="C2108" s="5" t="s">
        <v>21</v>
      </c>
      <c r="K2108" s="5">
        <v>150.0</v>
      </c>
      <c r="N2108" s="8">
        <v>44573.0</v>
      </c>
    </row>
    <row r="2109">
      <c r="A2109" s="5">
        <v>2108.0</v>
      </c>
      <c r="B2109" s="5" t="s">
        <v>2701</v>
      </c>
      <c r="C2109" s="5" t="s">
        <v>21</v>
      </c>
      <c r="K2109" s="5">
        <v>1200.0</v>
      </c>
      <c r="N2109" s="8">
        <v>43913.0</v>
      </c>
    </row>
    <row r="2110">
      <c r="A2110" s="5">
        <v>2109.0</v>
      </c>
      <c r="B2110" s="5" t="s">
        <v>2702</v>
      </c>
      <c r="C2110" s="5" t="s">
        <v>21</v>
      </c>
      <c r="K2110" s="5">
        <v>150.0</v>
      </c>
      <c r="N2110" s="8">
        <v>44732.0</v>
      </c>
    </row>
    <row r="2111">
      <c r="A2111" s="5">
        <v>2110.0</v>
      </c>
      <c r="B2111" s="5" t="s">
        <v>2703</v>
      </c>
      <c r="C2111" s="5" t="s">
        <v>21</v>
      </c>
      <c r="K2111" s="5">
        <v>50.0</v>
      </c>
      <c r="N2111" s="8">
        <v>44944.0</v>
      </c>
    </row>
    <row r="2112">
      <c r="A2112" s="5">
        <v>2111.0</v>
      </c>
      <c r="B2112" s="5" t="s">
        <v>2704</v>
      </c>
      <c r="C2112" s="5" t="s">
        <v>21</v>
      </c>
      <c r="K2112" s="5">
        <v>150.0</v>
      </c>
      <c r="N2112" s="8">
        <v>44581.0</v>
      </c>
    </row>
    <row r="2113">
      <c r="A2113" s="5">
        <v>2112.0</v>
      </c>
      <c r="B2113" s="5" t="s">
        <v>2705</v>
      </c>
      <c r="C2113" s="5" t="s">
        <v>21</v>
      </c>
      <c r="K2113" s="5">
        <v>150.0</v>
      </c>
      <c r="N2113" s="8">
        <v>44296.0</v>
      </c>
    </row>
    <row r="2114">
      <c r="A2114" s="5">
        <v>2113.0</v>
      </c>
      <c r="B2114" s="5" t="s">
        <v>2706</v>
      </c>
      <c r="C2114" s="5" t="s">
        <v>21</v>
      </c>
      <c r="K2114" s="5">
        <v>100.0</v>
      </c>
      <c r="N2114" s="8">
        <v>45205.0</v>
      </c>
    </row>
    <row r="2115">
      <c r="A2115" s="5">
        <v>2114.0</v>
      </c>
      <c r="B2115" s="5" t="s">
        <v>2707</v>
      </c>
      <c r="C2115" s="5" t="s">
        <v>21</v>
      </c>
      <c r="K2115" s="5">
        <v>350.0</v>
      </c>
      <c r="N2115" s="8">
        <v>44682.0</v>
      </c>
    </row>
    <row r="2116">
      <c r="A2116" s="5">
        <v>2115.0</v>
      </c>
      <c r="B2116" s="5" t="s">
        <v>2708</v>
      </c>
      <c r="C2116" s="5" t="s">
        <v>21</v>
      </c>
      <c r="K2116" s="5">
        <v>350.0</v>
      </c>
      <c r="N2116" s="8">
        <v>44588.0</v>
      </c>
    </row>
    <row r="2117">
      <c r="A2117" s="5">
        <v>2116.0</v>
      </c>
      <c r="B2117" s="5" t="s">
        <v>2709</v>
      </c>
      <c r="C2117" s="5" t="s">
        <v>21</v>
      </c>
      <c r="K2117" s="5">
        <v>8500.0</v>
      </c>
      <c r="N2117" s="8">
        <v>45229.0</v>
      </c>
    </row>
    <row r="2118">
      <c r="A2118" s="5">
        <v>2117.0</v>
      </c>
      <c r="B2118" s="5" t="s">
        <v>2710</v>
      </c>
      <c r="C2118" s="5" t="s">
        <v>21</v>
      </c>
      <c r="K2118" s="5">
        <v>1000.0</v>
      </c>
      <c r="N2118" s="8">
        <v>44479.0</v>
      </c>
    </row>
    <row r="2119">
      <c r="A2119" s="5">
        <v>2118.0</v>
      </c>
      <c r="B2119" s="5" t="s">
        <v>2711</v>
      </c>
      <c r="C2119" s="5" t="s">
        <v>21</v>
      </c>
      <c r="K2119" s="5">
        <v>150.0</v>
      </c>
      <c r="N2119" s="8">
        <v>44440.0</v>
      </c>
    </row>
    <row r="2120">
      <c r="A2120" s="5">
        <v>2119.0</v>
      </c>
      <c r="B2120" s="5" t="s">
        <v>2712</v>
      </c>
      <c r="C2120" s="5" t="s">
        <v>21</v>
      </c>
      <c r="K2120" s="5">
        <v>20.0</v>
      </c>
      <c r="N2120" s="8">
        <v>44179.0</v>
      </c>
    </row>
    <row r="2121">
      <c r="A2121" s="5">
        <v>2120.0</v>
      </c>
      <c r="B2121" s="5" t="s">
        <v>2713</v>
      </c>
      <c r="C2121" s="5" t="s">
        <v>21</v>
      </c>
      <c r="K2121" s="5">
        <v>400.0</v>
      </c>
      <c r="N2121" s="8">
        <v>43885.0</v>
      </c>
    </row>
    <row r="2122">
      <c r="A2122" s="5">
        <v>2121.0</v>
      </c>
      <c r="B2122" s="5" t="s">
        <v>2714</v>
      </c>
      <c r="C2122" s="5" t="s">
        <v>21</v>
      </c>
      <c r="K2122" s="5">
        <v>350.0</v>
      </c>
      <c r="N2122" s="8">
        <v>44482.0</v>
      </c>
    </row>
    <row r="2123">
      <c r="A2123" s="5">
        <v>2122.0</v>
      </c>
      <c r="B2123" s="5" t="s">
        <v>2715</v>
      </c>
      <c r="C2123" s="5" t="s">
        <v>21</v>
      </c>
      <c r="K2123" s="5">
        <v>1000.0</v>
      </c>
      <c r="N2123" s="8">
        <v>43847.0</v>
      </c>
    </row>
    <row r="2124">
      <c r="A2124" s="5">
        <v>2123.0</v>
      </c>
      <c r="B2124" s="5" t="s">
        <v>2716</v>
      </c>
      <c r="C2124" s="5" t="s">
        <v>21</v>
      </c>
      <c r="K2124" s="5">
        <v>400.0</v>
      </c>
      <c r="N2124" s="8">
        <v>44519.0</v>
      </c>
    </row>
    <row r="2125">
      <c r="A2125" s="5">
        <v>2124.0</v>
      </c>
      <c r="B2125" s="5" t="s">
        <v>2717</v>
      </c>
      <c r="C2125" s="5" t="s">
        <v>21</v>
      </c>
      <c r="K2125" s="5">
        <v>100.0</v>
      </c>
      <c r="N2125" s="8">
        <v>44666.0</v>
      </c>
    </row>
    <row r="2126">
      <c r="A2126" s="5">
        <v>2125.0</v>
      </c>
      <c r="B2126" s="5" t="s">
        <v>2718</v>
      </c>
      <c r="C2126" s="5" t="s">
        <v>21</v>
      </c>
      <c r="K2126" s="5">
        <v>600.0</v>
      </c>
      <c r="N2126" s="8">
        <v>45079.0</v>
      </c>
    </row>
    <row r="2127">
      <c r="A2127" s="5">
        <v>2126.0</v>
      </c>
      <c r="B2127" s="5" t="s">
        <v>196</v>
      </c>
      <c r="C2127" s="5" t="s">
        <v>21</v>
      </c>
      <c r="K2127" s="5">
        <v>1600.0</v>
      </c>
      <c r="N2127" s="8">
        <v>44244.0</v>
      </c>
    </row>
    <row r="2128">
      <c r="A2128" s="5">
        <v>2127.0</v>
      </c>
      <c r="B2128" s="5" t="s">
        <v>2719</v>
      </c>
      <c r="C2128" s="5" t="s">
        <v>21</v>
      </c>
      <c r="K2128" s="5">
        <v>100.0</v>
      </c>
      <c r="N2128" s="8">
        <v>44829.0</v>
      </c>
    </row>
    <row r="2129">
      <c r="A2129" s="5">
        <v>2128.0</v>
      </c>
      <c r="B2129" s="5" t="s">
        <v>2720</v>
      </c>
      <c r="C2129" s="5" t="s">
        <v>21</v>
      </c>
      <c r="K2129" s="5">
        <v>700.0</v>
      </c>
      <c r="N2129" s="8">
        <v>44308.0</v>
      </c>
    </row>
    <row r="2130">
      <c r="A2130" s="5">
        <v>2129.0</v>
      </c>
      <c r="B2130" s="5" t="s">
        <v>2721</v>
      </c>
      <c r="C2130" s="5" t="s">
        <v>21</v>
      </c>
      <c r="K2130" s="5">
        <v>300.0</v>
      </c>
      <c r="N2130" s="8">
        <v>44731.0</v>
      </c>
    </row>
    <row r="2131">
      <c r="A2131" s="5">
        <v>2130.0</v>
      </c>
      <c r="B2131" s="5" t="s">
        <v>2722</v>
      </c>
      <c r="C2131" s="5" t="s">
        <v>21</v>
      </c>
      <c r="K2131" s="5">
        <v>4300.0</v>
      </c>
      <c r="N2131" s="8">
        <v>45499.0</v>
      </c>
    </row>
    <row r="2132">
      <c r="A2132" s="5">
        <v>2131.0</v>
      </c>
      <c r="B2132" s="5" t="s">
        <v>2723</v>
      </c>
      <c r="C2132" s="5" t="s">
        <v>21</v>
      </c>
      <c r="K2132" s="5">
        <v>900.0</v>
      </c>
      <c r="N2132" s="8">
        <v>44551.0</v>
      </c>
    </row>
    <row r="2133">
      <c r="A2133" s="5">
        <v>2132.0</v>
      </c>
      <c r="B2133" s="5" t="s">
        <v>2724</v>
      </c>
      <c r="C2133" s="5" t="s">
        <v>21</v>
      </c>
      <c r="K2133" s="5">
        <v>150.0</v>
      </c>
      <c r="N2133" s="8">
        <v>45231.0</v>
      </c>
    </row>
    <row r="2134">
      <c r="A2134" s="5">
        <v>2133.0</v>
      </c>
      <c r="B2134" s="5" t="s">
        <v>2725</v>
      </c>
      <c r="C2134" s="5" t="s">
        <v>21</v>
      </c>
      <c r="K2134" s="5">
        <v>400.0</v>
      </c>
      <c r="N2134" s="8">
        <v>44689.0</v>
      </c>
    </row>
    <row r="2135">
      <c r="A2135" s="5">
        <v>2134.0</v>
      </c>
      <c r="B2135" s="5" t="s">
        <v>2726</v>
      </c>
      <c r="C2135" s="5" t="s">
        <v>21</v>
      </c>
      <c r="K2135" s="5">
        <v>400.0</v>
      </c>
      <c r="N2135" s="8">
        <v>44045.0</v>
      </c>
    </row>
    <row r="2136">
      <c r="A2136" s="5">
        <v>2135.0</v>
      </c>
      <c r="B2136" s="5" t="s">
        <v>2727</v>
      </c>
      <c r="C2136" s="5" t="s">
        <v>21</v>
      </c>
      <c r="K2136" s="5">
        <v>1400.0</v>
      </c>
      <c r="N2136" s="8">
        <v>43933.0</v>
      </c>
    </row>
    <row r="2137">
      <c r="A2137" s="5">
        <v>2136.0</v>
      </c>
      <c r="B2137" s="5" t="s">
        <v>2728</v>
      </c>
      <c r="C2137" s="5" t="s">
        <v>21</v>
      </c>
      <c r="K2137" s="5">
        <v>350.0</v>
      </c>
      <c r="N2137" s="8">
        <v>44569.0</v>
      </c>
    </row>
    <row r="2138">
      <c r="A2138" s="5">
        <v>2137.0</v>
      </c>
      <c r="B2138" s="5" t="s">
        <v>2729</v>
      </c>
      <c r="C2138" s="5" t="s">
        <v>21</v>
      </c>
      <c r="K2138" s="5">
        <v>200.0</v>
      </c>
      <c r="N2138" s="8">
        <v>45098.0</v>
      </c>
    </row>
    <row r="2139">
      <c r="A2139" s="5">
        <v>2138.0</v>
      </c>
      <c r="B2139" s="5" t="s">
        <v>2730</v>
      </c>
      <c r="C2139" s="5" t="s">
        <v>21</v>
      </c>
      <c r="K2139" s="5">
        <v>20.0</v>
      </c>
      <c r="N2139" s="8">
        <v>44697.0</v>
      </c>
    </row>
    <row r="2140">
      <c r="A2140" s="5">
        <v>2139.0</v>
      </c>
      <c r="B2140" s="5" t="s">
        <v>2731</v>
      </c>
      <c r="C2140" s="5" t="s">
        <v>21</v>
      </c>
      <c r="K2140" s="5">
        <v>400.0</v>
      </c>
      <c r="N2140" s="8">
        <v>44522.0</v>
      </c>
    </row>
    <row r="2141">
      <c r="A2141" s="5">
        <v>2140.0</v>
      </c>
      <c r="B2141" s="5" t="s">
        <v>190</v>
      </c>
      <c r="C2141" s="5" t="s">
        <v>21</v>
      </c>
      <c r="K2141" s="5">
        <v>100.0</v>
      </c>
      <c r="N2141" s="8">
        <v>45283.0</v>
      </c>
    </row>
    <row r="2142">
      <c r="A2142" s="5">
        <v>2141.0</v>
      </c>
      <c r="B2142" s="5" t="s">
        <v>2732</v>
      </c>
      <c r="C2142" s="5" t="s">
        <v>21</v>
      </c>
      <c r="K2142" s="5">
        <v>90.0</v>
      </c>
      <c r="N2142" s="8">
        <v>44539.0</v>
      </c>
    </row>
    <row r="2143">
      <c r="A2143" s="5">
        <v>2142.0</v>
      </c>
      <c r="B2143" s="5" t="s">
        <v>194</v>
      </c>
      <c r="C2143" s="5" t="s">
        <v>21</v>
      </c>
      <c r="K2143" s="5">
        <v>10.0</v>
      </c>
      <c r="N2143" s="8">
        <v>44628.0</v>
      </c>
    </row>
    <row r="2144">
      <c r="A2144" s="5">
        <v>2143.0</v>
      </c>
      <c r="B2144" s="5" t="s">
        <v>2733</v>
      </c>
      <c r="C2144" s="5" t="s">
        <v>21</v>
      </c>
      <c r="K2144" s="5">
        <v>250.0</v>
      </c>
      <c r="N2144" s="8">
        <v>45476.0</v>
      </c>
    </row>
    <row r="2145">
      <c r="A2145" s="5">
        <v>2144.0</v>
      </c>
      <c r="B2145" s="5" t="s">
        <v>199</v>
      </c>
      <c r="C2145" s="5" t="s">
        <v>21</v>
      </c>
      <c r="K2145" s="5">
        <v>300.0</v>
      </c>
      <c r="N2145" s="8">
        <v>45465.0</v>
      </c>
    </row>
    <row r="2146">
      <c r="A2146" s="5">
        <v>2145.0</v>
      </c>
      <c r="B2146" s="5" t="s">
        <v>2734</v>
      </c>
      <c r="C2146" s="5" t="s">
        <v>21</v>
      </c>
      <c r="K2146" s="5">
        <v>1200.0</v>
      </c>
      <c r="N2146" s="8">
        <v>44066.0</v>
      </c>
    </row>
    <row r="2147">
      <c r="A2147" s="5">
        <v>2146.0</v>
      </c>
      <c r="B2147" s="5" t="s">
        <v>2735</v>
      </c>
      <c r="C2147" s="5" t="s">
        <v>21</v>
      </c>
      <c r="K2147" s="5">
        <v>1300.0</v>
      </c>
      <c r="N2147" s="8">
        <v>44050.0</v>
      </c>
    </row>
    <row r="2148">
      <c r="A2148" s="5">
        <v>2147.0</v>
      </c>
      <c r="B2148" s="5" t="s">
        <v>202</v>
      </c>
      <c r="C2148" s="5" t="s">
        <v>21</v>
      </c>
      <c r="K2148" s="5">
        <v>700.0</v>
      </c>
      <c r="N2148" s="8">
        <v>44523.0</v>
      </c>
    </row>
    <row r="2149">
      <c r="A2149" s="5">
        <v>2148.0</v>
      </c>
      <c r="B2149" s="5" t="s">
        <v>2736</v>
      </c>
      <c r="C2149" s="5" t="s">
        <v>21</v>
      </c>
      <c r="K2149" s="5">
        <v>1000.0</v>
      </c>
      <c r="N2149" s="8">
        <v>44238.0</v>
      </c>
    </row>
    <row r="2150">
      <c r="A2150" s="5">
        <v>2149.0</v>
      </c>
      <c r="B2150" s="5" t="s">
        <v>2737</v>
      </c>
      <c r="C2150" s="5" t="s">
        <v>21</v>
      </c>
      <c r="K2150" s="5">
        <v>350.0</v>
      </c>
      <c r="N2150" s="8">
        <v>44542.0</v>
      </c>
    </row>
    <row r="2151">
      <c r="A2151" s="5">
        <v>2150.0</v>
      </c>
      <c r="B2151" s="5" t="s">
        <v>2738</v>
      </c>
      <c r="C2151" s="5" t="s">
        <v>21</v>
      </c>
      <c r="K2151" s="5">
        <v>200.0</v>
      </c>
      <c r="N2151" s="8">
        <v>44097.0</v>
      </c>
    </row>
    <row r="2152">
      <c r="A2152" s="5">
        <v>2151.0</v>
      </c>
      <c r="B2152" s="5" t="s">
        <v>2739</v>
      </c>
      <c r="C2152" s="5" t="s">
        <v>21</v>
      </c>
      <c r="K2152" s="5">
        <v>20000.0</v>
      </c>
      <c r="N2152" s="8">
        <v>42632.0</v>
      </c>
    </row>
    <row r="2153">
      <c r="A2153" s="5">
        <v>2152.0</v>
      </c>
      <c r="B2153" s="5" t="s">
        <v>2740</v>
      </c>
      <c r="C2153" s="5" t="s">
        <v>21</v>
      </c>
      <c r="K2153" s="5">
        <v>350.0</v>
      </c>
      <c r="N2153" s="8">
        <v>44878.0</v>
      </c>
    </row>
    <row r="2154">
      <c r="A2154" s="5">
        <v>2153.0</v>
      </c>
      <c r="B2154" s="5" t="s">
        <v>2741</v>
      </c>
      <c r="C2154" s="5" t="s">
        <v>21</v>
      </c>
      <c r="K2154" s="5">
        <v>350.0</v>
      </c>
      <c r="N2154" s="8">
        <v>44530.0</v>
      </c>
    </row>
    <row r="2155">
      <c r="A2155" s="5">
        <v>2154.0</v>
      </c>
      <c r="B2155" s="5" t="s">
        <v>2742</v>
      </c>
      <c r="C2155" s="5" t="s">
        <v>21</v>
      </c>
      <c r="K2155" s="5">
        <v>500.0</v>
      </c>
      <c r="N2155" s="8">
        <v>44578.0</v>
      </c>
    </row>
    <row r="2156">
      <c r="A2156" s="5">
        <v>2155.0</v>
      </c>
      <c r="B2156" s="5" t="s">
        <v>2743</v>
      </c>
      <c r="C2156" s="5" t="s">
        <v>21</v>
      </c>
      <c r="K2156" s="5">
        <v>250.0</v>
      </c>
      <c r="N2156" s="8">
        <v>44360.0</v>
      </c>
    </row>
    <row r="2157">
      <c r="A2157" s="5">
        <v>2156.0</v>
      </c>
      <c r="B2157" s="5" t="s">
        <v>2744</v>
      </c>
      <c r="C2157" s="5" t="s">
        <v>21</v>
      </c>
      <c r="K2157" s="5">
        <v>300.0</v>
      </c>
      <c r="N2157" s="8">
        <v>44354.0</v>
      </c>
    </row>
    <row r="2158">
      <c r="A2158" s="5">
        <v>2157.0</v>
      </c>
      <c r="B2158" s="5" t="s">
        <v>2745</v>
      </c>
      <c r="C2158" s="5" t="s">
        <v>21</v>
      </c>
      <c r="K2158" s="5">
        <v>150.0</v>
      </c>
      <c r="N2158" s="8">
        <v>44920.0</v>
      </c>
    </row>
    <row r="2159">
      <c r="A2159" s="5">
        <v>2158.0</v>
      </c>
      <c r="B2159" s="5" t="s">
        <v>2746</v>
      </c>
      <c r="C2159" s="5" t="s">
        <v>21</v>
      </c>
      <c r="K2159" s="5">
        <v>350.0</v>
      </c>
      <c r="N2159" s="8">
        <v>44577.0</v>
      </c>
    </row>
    <row r="2160">
      <c r="A2160" s="5">
        <v>2159.0</v>
      </c>
      <c r="B2160" s="5" t="s">
        <v>2747</v>
      </c>
      <c r="C2160" s="5" t="s">
        <v>21</v>
      </c>
      <c r="K2160" s="5">
        <v>350.0</v>
      </c>
      <c r="N2160" s="8">
        <v>44477.0</v>
      </c>
    </row>
    <row r="2161">
      <c r="A2161" s="5">
        <v>2160.0</v>
      </c>
      <c r="B2161" s="5" t="s">
        <v>2748</v>
      </c>
      <c r="C2161" s="5" t="s">
        <v>21</v>
      </c>
      <c r="K2161" s="5">
        <v>600.0</v>
      </c>
      <c r="N2161" s="8">
        <v>44181.0</v>
      </c>
    </row>
    <row r="2162">
      <c r="A2162" s="5">
        <v>2161.0</v>
      </c>
      <c r="B2162" s="5" t="s">
        <v>2749</v>
      </c>
      <c r="C2162" s="5" t="s">
        <v>21</v>
      </c>
      <c r="K2162" s="5">
        <v>450.0</v>
      </c>
      <c r="N2162" s="8">
        <v>44533.0</v>
      </c>
    </row>
    <row r="2163">
      <c r="A2163" s="5">
        <v>2162.0</v>
      </c>
      <c r="B2163" s="5" t="s">
        <v>2750</v>
      </c>
      <c r="C2163" s="5" t="s">
        <v>21</v>
      </c>
      <c r="K2163" s="5">
        <v>200.0</v>
      </c>
      <c r="N2163" s="8">
        <v>45571.0</v>
      </c>
    </row>
    <row r="2164">
      <c r="A2164" s="5">
        <v>2163.0</v>
      </c>
      <c r="B2164" s="5" t="s">
        <v>2751</v>
      </c>
      <c r="C2164" s="5" t="s">
        <v>21</v>
      </c>
      <c r="K2164" s="5">
        <v>150.0</v>
      </c>
      <c r="N2164" s="8">
        <v>44531.0</v>
      </c>
    </row>
    <row r="2165">
      <c r="A2165" s="5">
        <v>2164.0</v>
      </c>
      <c r="B2165" s="5" t="s">
        <v>2752</v>
      </c>
      <c r="C2165" s="5" t="s">
        <v>21</v>
      </c>
      <c r="K2165" s="5">
        <v>450.0</v>
      </c>
      <c r="N2165" s="8">
        <v>43898.0</v>
      </c>
    </row>
    <row r="2166">
      <c r="A2166" s="5">
        <v>2165.0</v>
      </c>
      <c r="B2166" s="5" t="s">
        <v>2753</v>
      </c>
      <c r="C2166" s="5" t="s">
        <v>21</v>
      </c>
      <c r="K2166" s="5">
        <v>1300.0</v>
      </c>
      <c r="N2166" s="8">
        <v>44523.0</v>
      </c>
    </row>
    <row r="2167">
      <c r="A2167" s="5">
        <v>2166.0</v>
      </c>
      <c r="B2167" s="5" t="s">
        <v>2754</v>
      </c>
      <c r="C2167" s="5" t="s">
        <v>21</v>
      </c>
      <c r="K2167" s="5">
        <v>100.0</v>
      </c>
      <c r="N2167" s="8">
        <v>44665.0</v>
      </c>
    </row>
    <row r="2168">
      <c r="A2168" s="5">
        <v>2167.0</v>
      </c>
      <c r="B2168" s="5" t="s">
        <v>2755</v>
      </c>
      <c r="C2168" s="5" t="s">
        <v>21</v>
      </c>
      <c r="K2168" s="5">
        <v>10.0</v>
      </c>
      <c r="N2168" s="8">
        <v>44464.0</v>
      </c>
    </row>
    <row r="2169">
      <c r="A2169" s="5">
        <v>2168.0</v>
      </c>
      <c r="B2169" s="5" t="s">
        <v>2756</v>
      </c>
      <c r="C2169" s="5" t="s">
        <v>21</v>
      </c>
      <c r="K2169" s="5">
        <v>450.0</v>
      </c>
      <c r="N2169" s="8">
        <v>44702.0</v>
      </c>
    </row>
    <row r="2170">
      <c r="A2170" s="5">
        <v>2169.0</v>
      </c>
      <c r="B2170" s="5" t="s">
        <v>2757</v>
      </c>
      <c r="C2170" s="5" t="s">
        <v>21</v>
      </c>
      <c r="K2170" s="5">
        <v>900.0</v>
      </c>
      <c r="N2170" s="8">
        <v>44540.0</v>
      </c>
    </row>
    <row r="2171">
      <c r="A2171" s="5">
        <v>2170.0</v>
      </c>
      <c r="B2171" s="5" t="s">
        <v>2758</v>
      </c>
      <c r="C2171" s="5" t="s">
        <v>21</v>
      </c>
      <c r="K2171" s="5">
        <v>500.0</v>
      </c>
      <c r="N2171" s="8">
        <v>45502.0</v>
      </c>
    </row>
    <row r="2172">
      <c r="A2172" s="5">
        <v>2171.0</v>
      </c>
      <c r="B2172" s="5" t="s">
        <v>2759</v>
      </c>
      <c r="C2172" s="5" t="s">
        <v>21</v>
      </c>
      <c r="K2172" s="5">
        <v>450.0</v>
      </c>
      <c r="N2172" s="8">
        <v>44561.0</v>
      </c>
    </row>
    <row r="2173">
      <c r="A2173" s="5">
        <v>2172.0</v>
      </c>
      <c r="B2173" s="5" t="s">
        <v>2760</v>
      </c>
      <c r="C2173" s="5" t="s">
        <v>21</v>
      </c>
      <c r="K2173" s="5">
        <v>100.0</v>
      </c>
      <c r="N2173" s="8">
        <v>45258.0</v>
      </c>
    </row>
    <row r="2174">
      <c r="A2174" s="5">
        <v>2173.0</v>
      </c>
      <c r="B2174" s="5" t="s">
        <v>2761</v>
      </c>
      <c r="C2174" s="5" t="s">
        <v>21</v>
      </c>
      <c r="K2174" s="5">
        <v>350.0</v>
      </c>
      <c r="N2174" s="8">
        <v>44567.0</v>
      </c>
    </row>
    <row r="2175">
      <c r="A2175" s="5">
        <v>2174.0</v>
      </c>
      <c r="B2175" s="5" t="s">
        <v>2762</v>
      </c>
      <c r="C2175" s="5" t="s">
        <v>21</v>
      </c>
      <c r="K2175" s="5">
        <v>70.0</v>
      </c>
      <c r="N2175" s="8">
        <v>44523.0</v>
      </c>
    </row>
    <row r="2176">
      <c r="A2176" s="5">
        <v>2175.0</v>
      </c>
      <c r="B2176" s="5" t="s">
        <v>2763</v>
      </c>
      <c r="C2176" s="5" t="s">
        <v>21</v>
      </c>
      <c r="K2176" s="5">
        <v>250.0</v>
      </c>
      <c r="N2176" s="8">
        <v>44681.0</v>
      </c>
    </row>
    <row r="2177">
      <c r="A2177" s="5">
        <v>2176.0</v>
      </c>
      <c r="B2177" s="5" t="s">
        <v>2764</v>
      </c>
      <c r="C2177" s="5" t="s">
        <v>21</v>
      </c>
      <c r="K2177" s="5">
        <v>10.0</v>
      </c>
      <c r="N2177" s="8">
        <v>44137.0</v>
      </c>
    </row>
    <row r="2178">
      <c r="A2178" s="5">
        <v>2177.0</v>
      </c>
      <c r="B2178" s="5" t="s">
        <v>2765</v>
      </c>
      <c r="C2178" s="5" t="s">
        <v>21</v>
      </c>
      <c r="K2178" s="5">
        <v>100.0</v>
      </c>
      <c r="N2178" s="8">
        <v>44031.0</v>
      </c>
    </row>
    <row r="2179">
      <c r="A2179" s="5">
        <v>2178.0</v>
      </c>
      <c r="B2179" s="5" t="s">
        <v>2766</v>
      </c>
      <c r="C2179" s="5" t="s">
        <v>21</v>
      </c>
      <c r="K2179" s="5">
        <v>1300.0</v>
      </c>
      <c r="N2179" s="8">
        <v>44677.0</v>
      </c>
    </row>
    <row r="2180">
      <c r="A2180" s="5">
        <v>2179.0</v>
      </c>
      <c r="B2180" s="5" t="s">
        <v>2767</v>
      </c>
      <c r="C2180" s="5" t="s">
        <v>21</v>
      </c>
      <c r="K2180" s="5">
        <v>17000.0</v>
      </c>
      <c r="N2180" s="8">
        <v>45507.0</v>
      </c>
    </row>
    <row r="2181">
      <c r="A2181" s="5">
        <v>2180.0</v>
      </c>
      <c r="B2181" s="5" t="s">
        <v>2768</v>
      </c>
      <c r="C2181" s="5" t="s">
        <v>21</v>
      </c>
      <c r="K2181" s="5">
        <v>90.0</v>
      </c>
      <c r="N2181" s="8">
        <v>44538.0</v>
      </c>
    </row>
    <row r="2182">
      <c r="A2182" s="5">
        <v>2181.0</v>
      </c>
      <c r="B2182" s="5" t="s">
        <v>2769</v>
      </c>
      <c r="C2182" s="5" t="s">
        <v>21</v>
      </c>
      <c r="K2182" s="5">
        <v>24000.0</v>
      </c>
      <c r="N2182" s="8">
        <v>45160.0</v>
      </c>
    </row>
    <row r="2183">
      <c r="A2183" s="5">
        <v>2182.0</v>
      </c>
      <c r="B2183" s="5" t="s">
        <v>2770</v>
      </c>
      <c r="C2183" s="5" t="s">
        <v>21</v>
      </c>
      <c r="K2183" s="5">
        <v>200.0</v>
      </c>
      <c r="N2183" s="8">
        <v>45016.0</v>
      </c>
    </row>
    <row r="2184">
      <c r="A2184" s="5">
        <v>2183.0</v>
      </c>
      <c r="B2184" s="5" t="s">
        <v>2771</v>
      </c>
      <c r="C2184" s="5" t="s">
        <v>21</v>
      </c>
      <c r="K2184" s="5">
        <v>70.0</v>
      </c>
      <c r="N2184" s="8">
        <v>44538.0</v>
      </c>
    </row>
    <row r="2185">
      <c r="A2185" s="5">
        <v>2184.0</v>
      </c>
      <c r="B2185" s="5" t="s">
        <v>2772</v>
      </c>
      <c r="C2185" s="5" t="s">
        <v>21</v>
      </c>
      <c r="K2185" s="5">
        <v>8000.0</v>
      </c>
      <c r="N2185" s="8">
        <v>43934.0</v>
      </c>
    </row>
    <row r="2186">
      <c r="A2186" s="5">
        <v>2185.0</v>
      </c>
      <c r="B2186" s="5" t="s">
        <v>2773</v>
      </c>
      <c r="C2186" s="5" t="s">
        <v>21</v>
      </c>
      <c r="K2186" s="5">
        <v>350.0</v>
      </c>
      <c r="N2186" s="8">
        <v>45031.0</v>
      </c>
    </row>
    <row r="2187">
      <c r="A2187" s="5">
        <v>2186.0</v>
      </c>
      <c r="B2187" s="5" t="s">
        <v>2774</v>
      </c>
      <c r="C2187" s="5" t="s">
        <v>21</v>
      </c>
      <c r="K2187" s="5">
        <v>250.0</v>
      </c>
      <c r="N2187" s="8">
        <v>44718.0</v>
      </c>
    </row>
    <row r="2188">
      <c r="A2188" s="5">
        <v>2187.0</v>
      </c>
      <c r="B2188" s="5" t="s">
        <v>2775</v>
      </c>
      <c r="C2188" s="5" t="s">
        <v>21</v>
      </c>
      <c r="K2188" s="5">
        <v>700.0</v>
      </c>
      <c r="N2188" s="8">
        <v>44150.0</v>
      </c>
    </row>
    <row r="2189">
      <c r="A2189" s="5">
        <v>2188.0</v>
      </c>
      <c r="B2189" s="5" t="s">
        <v>2776</v>
      </c>
      <c r="C2189" s="5" t="s">
        <v>21</v>
      </c>
      <c r="K2189" s="5">
        <v>100.0</v>
      </c>
      <c r="N2189" s="8">
        <v>43931.0</v>
      </c>
    </row>
    <row r="2190">
      <c r="A2190" s="5">
        <v>2189.0</v>
      </c>
      <c r="B2190" s="5" t="s">
        <v>2777</v>
      </c>
      <c r="C2190" s="5" t="s">
        <v>21</v>
      </c>
      <c r="K2190" s="5">
        <v>60.0</v>
      </c>
      <c r="N2190" s="8">
        <v>44763.0</v>
      </c>
    </row>
    <row r="2191">
      <c r="A2191" s="5">
        <v>2190.0</v>
      </c>
      <c r="B2191" s="5" t="s">
        <v>2778</v>
      </c>
      <c r="C2191" s="5" t="s">
        <v>21</v>
      </c>
      <c r="K2191" s="5">
        <v>10.0</v>
      </c>
      <c r="N2191" s="8">
        <v>44761.0</v>
      </c>
    </row>
    <row r="2192">
      <c r="A2192" s="5">
        <v>2191.0</v>
      </c>
      <c r="B2192" s="5" t="s">
        <v>2779</v>
      </c>
      <c r="C2192" s="5" t="s">
        <v>21</v>
      </c>
      <c r="K2192" s="5">
        <v>150.0</v>
      </c>
      <c r="N2192" s="8">
        <v>45111.0</v>
      </c>
    </row>
    <row r="2193">
      <c r="A2193" s="5">
        <v>2192.0</v>
      </c>
      <c r="B2193" s="5" t="s">
        <v>2780</v>
      </c>
      <c r="C2193" s="5" t="s">
        <v>21</v>
      </c>
      <c r="K2193" s="5">
        <v>40.0</v>
      </c>
      <c r="N2193" s="8">
        <v>44790.0</v>
      </c>
    </row>
    <row r="2194">
      <c r="A2194" s="5">
        <v>2193.0</v>
      </c>
      <c r="B2194" s="5" t="s">
        <v>2781</v>
      </c>
      <c r="C2194" s="5" t="s">
        <v>21</v>
      </c>
      <c r="K2194" s="5">
        <v>20.0</v>
      </c>
      <c r="N2194" s="8">
        <v>42251.0</v>
      </c>
    </row>
    <row r="2195">
      <c r="A2195" s="5">
        <v>2194.0</v>
      </c>
      <c r="B2195" s="5" t="s">
        <v>2782</v>
      </c>
      <c r="C2195" s="5" t="s">
        <v>21</v>
      </c>
      <c r="K2195" s="5">
        <v>3500.0</v>
      </c>
      <c r="N2195" s="8">
        <v>44060.0</v>
      </c>
    </row>
    <row r="2196">
      <c r="A2196" s="5">
        <v>2195.0</v>
      </c>
      <c r="B2196" s="5" t="s">
        <v>2783</v>
      </c>
      <c r="C2196" s="5" t="s">
        <v>21</v>
      </c>
      <c r="K2196" s="5">
        <v>300.0</v>
      </c>
      <c r="N2196" s="8">
        <v>44309.0</v>
      </c>
    </row>
    <row r="2197">
      <c r="A2197" s="5">
        <v>2196.0</v>
      </c>
      <c r="B2197" s="5" t="s">
        <v>2784</v>
      </c>
      <c r="C2197" s="5" t="s">
        <v>21</v>
      </c>
      <c r="K2197" s="5">
        <v>300.0</v>
      </c>
      <c r="N2197" s="8">
        <v>43862.0</v>
      </c>
    </row>
    <row r="2198">
      <c r="A2198" s="5">
        <v>2197.0</v>
      </c>
      <c r="B2198" s="5" t="s">
        <v>2785</v>
      </c>
      <c r="C2198" s="5" t="s">
        <v>21</v>
      </c>
      <c r="K2198" s="5">
        <v>400.0</v>
      </c>
      <c r="N2198" s="8">
        <v>45107.0</v>
      </c>
    </row>
    <row r="2199">
      <c r="A2199" s="5">
        <v>2198.0</v>
      </c>
      <c r="B2199" s="5" t="s">
        <v>2786</v>
      </c>
      <c r="C2199" s="5" t="s">
        <v>21</v>
      </c>
      <c r="K2199" s="5">
        <v>90.0</v>
      </c>
      <c r="N2199" s="8">
        <v>44047.0</v>
      </c>
    </row>
    <row r="2200">
      <c r="A2200" s="5">
        <v>2199.0</v>
      </c>
      <c r="B2200" s="5" t="s">
        <v>2787</v>
      </c>
      <c r="C2200" s="5" t="s">
        <v>21</v>
      </c>
      <c r="K2200" s="5">
        <v>30.0</v>
      </c>
      <c r="N2200" s="8">
        <v>45040.0</v>
      </c>
    </row>
    <row r="2201">
      <c r="A2201" s="5">
        <v>2200.0</v>
      </c>
      <c r="B2201" s="5" t="s">
        <v>2788</v>
      </c>
      <c r="C2201" s="5" t="s">
        <v>21</v>
      </c>
      <c r="K2201" s="5">
        <v>300.0</v>
      </c>
      <c r="N2201" s="8">
        <v>44030.0</v>
      </c>
    </row>
    <row r="2202">
      <c r="A2202" s="5">
        <v>2201.0</v>
      </c>
      <c r="B2202" s="5" t="s">
        <v>2789</v>
      </c>
      <c r="C2202" s="5" t="s">
        <v>21</v>
      </c>
      <c r="K2202" s="5">
        <v>250.0</v>
      </c>
      <c r="N2202" s="8">
        <v>45027.0</v>
      </c>
    </row>
    <row r="2203">
      <c r="A2203" s="5">
        <v>2202.0</v>
      </c>
      <c r="B2203" s="5" t="s">
        <v>2790</v>
      </c>
      <c r="C2203" s="5" t="s">
        <v>21</v>
      </c>
      <c r="K2203" s="5">
        <v>200.0</v>
      </c>
      <c r="N2203" s="8">
        <v>44510.0</v>
      </c>
    </row>
    <row r="2204">
      <c r="A2204" s="5">
        <v>2203.0</v>
      </c>
      <c r="B2204" s="5" t="s">
        <v>2791</v>
      </c>
      <c r="C2204" s="5" t="s">
        <v>21</v>
      </c>
      <c r="K2204" s="5">
        <v>350.0</v>
      </c>
      <c r="N2204" s="8">
        <v>45107.0</v>
      </c>
    </row>
    <row r="2205">
      <c r="A2205" s="5">
        <v>2204.0</v>
      </c>
      <c r="B2205" s="5" t="s">
        <v>2792</v>
      </c>
      <c r="C2205" s="5" t="s">
        <v>21</v>
      </c>
      <c r="K2205" s="5">
        <v>200.0</v>
      </c>
      <c r="N2205" s="8">
        <v>44537.0</v>
      </c>
    </row>
    <row r="2206">
      <c r="A2206" s="5">
        <v>2205.0</v>
      </c>
      <c r="B2206" s="5" t="s">
        <v>2793</v>
      </c>
      <c r="C2206" s="5" t="s">
        <v>21</v>
      </c>
      <c r="N2206" s="8">
        <v>45391.0</v>
      </c>
    </row>
    <row r="2207">
      <c r="A2207" s="5">
        <v>2206.0</v>
      </c>
      <c r="B2207" s="5" t="s">
        <v>2794</v>
      </c>
      <c r="C2207" s="5" t="s">
        <v>21</v>
      </c>
      <c r="K2207" s="5">
        <v>700.0</v>
      </c>
      <c r="N2207" s="8">
        <v>44295.0</v>
      </c>
    </row>
    <row r="2208">
      <c r="A2208" s="5">
        <v>2207.0</v>
      </c>
      <c r="B2208" s="5" t="s">
        <v>2795</v>
      </c>
      <c r="C2208" s="5" t="s">
        <v>21</v>
      </c>
      <c r="K2208" s="5">
        <v>90.0</v>
      </c>
      <c r="N2208" s="8">
        <v>44029.0</v>
      </c>
    </row>
    <row r="2209">
      <c r="A2209" s="5">
        <v>2208.0</v>
      </c>
      <c r="B2209" s="5" t="s">
        <v>2796</v>
      </c>
      <c r="C2209" s="5" t="s">
        <v>21</v>
      </c>
      <c r="K2209" s="5">
        <v>200.0</v>
      </c>
      <c r="N2209" s="8">
        <v>44406.0</v>
      </c>
    </row>
    <row r="2210">
      <c r="A2210" s="5">
        <v>2209.0</v>
      </c>
      <c r="B2210" s="5" t="s">
        <v>2797</v>
      </c>
      <c r="C2210" s="5" t="s">
        <v>21</v>
      </c>
      <c r="K2210" s="5">
        <v>200.0</v>
      </c>
      <c r="N2210" s="8">
        <v>44585.0</v>
      </c>
    </row>
    <row r="2211">
      <c r="A2211" s="5">
        <v>2210.0</v>
      </c>
      <c r="B2211" s="5" t="s">
        <v>2798</v>
      </c>
      <c r="C2211" s="5" t="s">
        <v>21</v>
      </c>
      <c r="K2211" s="5">
        <v>90.0</v>
      </c>
      <c r="N2211" s="8">
        <v>44297.0</v>
      </c>
    </row>
    <row r="2212">
      <c r="A2212" s="5">
        <v>2211.0</v>
      </c>
      <c r="B2212" s="5" t="s">
        <v>2799</v>
      </c>
      <c r="C2212" s="5" t="s">
        <v>21</v>
      </c>
      <c r="K2212" s="5">
        <v>250.0</v>
      </c>
      <c r="N2212" s="8">
        <v>44804.0</v>
      </c>
    </row>
    <row r="2213">
      <c r="A2213" s="5">
        <v>2212.0</v>
      </c>
      <c r="B2213" s="5" t="s">
        <v>2800</v>
      </c>
      <c r="C2213" s="5" t="s">
        <v>21</v>
      </c>
      <c r="K2213" s="5">
        <v>100.0</v>
      </c>
      <c r="N2213" s="8">
        <v>45332.0</v>
      </c>
    </row>
    <row r="2214">
      <c r="A2214" s="5">
        <v>2213.0</v>
      </c>
      <c r="B2214" s="5" t="s">
        <v>2801</v>
      </c>
      <c r="C2214" s="5" t="s">
        <v>21</v>
      </c>
      <c r="K2214" s="5">
        <v>700.0</v>
      </c>
      <c r="N2214" s="8">
        <v>44740.0</v>
      </c>
    </row>
    <row r="2215">
      <c r="A2215" s="5">
        <v>2214.0</v>
      </c>
      <c r="B2215" s="5" t="s">
        <v>2802</v>
      </c>
      <c r="C2215" s="5" t="s">
        <v>21</v>
      </c>
      <c r="K2215" s="5">
        <v>200.0</v>
      </c>
      <c r="N2215" s="8">
        <v>44428.0</v>
      </c>
    </row>
    <row r="2216">
      <c r="A2216" s="5">
        <v>2215.0</v>
      </c>
      <c r="B2216" s="5" t="s">
        <v>198</v>
      </c>
      <c r="C2216" s="5" t="s">
        <v>21</v>
      </c>
      <c r="K2216" s="5">
        <v>200.0</v>
      </c>
      <c r="N2216" s="8">
        <v>44899.0</v>
      </c>
    </row>
    <row r="2217">
      <c r="A2217" s="5">
        <v>2216.0</v>
      </c>
      <c r="B2217" s="5" t="s">
        <v>2803</v>
      </c>
      <c r="C2217" s="5" t="s">
        <v>21</v>
      </c>
      <c r="K2217" s="5">
        <v>1600.0</v>
      </c>
      <c r="N2217" s="8">
        <v>44300.0</v>
      </c>
    </row>
    <row r="2218">
      <c r="A2218" s="5">
        <v>2217.0</v>
      </c>
      <c r="B2218" s="5" t="s">
        <v>2804</v>
      </c>
      <c r="C2218" s="5" t="s">
        <v>21</v>
      </c>
      <c r="K2218" s="5">
        <v>1600.0</v>
      </c>
      <c r="N2218" s="8">
        <v>45364.0</v>
      </c>
    </row>
    <row r="2219">
      <c r="A2219" s="5">
        <v>2218.0</v>
      </c>
      <c r="B2219" s="5" t="s">
        <v>2805</v>
      </c>
      <c r="C2219" s="5" t="s">
        <v>21</v>
      </c>
      <c r="K2219" s="5">
        <v>60.0</v>
      </c>
      <c r="N2219" s="8">
        <v>44464.0</v>
      </c>
    </row>
    <row r="2220">
      <c r="A2220" s="5">
        <v>2219.0</v>
      </c>
      <c r="B2220" s="5" t="s">
        <v>2806</v>
      </c>
      <c r="C2220" s="5" t="s">
        <v>21</v>
      </c>
      <c r="K2220" s="5">
        <v>20.0</v>
      </c>
      <c r="N2220" s="8">
        <v>44571.0</v>
      </c>
    </row>
    <row r="2221">
      <c r="A2221" s="5">
        <v>2220.0</v>
      </c>
      <c r="B2221" s="5" t="s">
        <v>2807</v>
      </c>
      <c r="C2221" s="5" t="s">
        <v>21</v>
      </c>
      <c r="K2221" s="5">
        <v>20.0</v>
      </c>
      <c r="N2221" s="8">
        <v>44633.0</v>
      </c>
    </row>
    <row r="2222">
      <c r="A2222" s="5">
        <v>2221.0</v>
      </c>
      <c r="B2222" s="5" t="s">
        <v>2808</v>
      </c>
      <c r="C2222" s="5" t="s">
        <v>21</v>
      </c>
      <c r="K2222" s="5">
        <v>150.0</v>
      </c>
      <c r="N2222" s="8">
        <v>44950.0</v>
      </c>
    </row>
    <row r="2223">
      <c r="A2223" s="5">
        <v>2222.0</v>
      </c>
      <c r="B2223" s="5" t="s">
        <v>2809</v>
      </c>
      <c r="C2223" s="5" t="s">
        <v>21</v>
      </c>
      <c r="K2223" s="5">
        <v>100.0</v>
      </c>
      <c r="N2223" s="8">
        <v>44614.0</v>
      </c>
    </row>
    <row r="2224">
      <c r="A2224" s="5">
        <v>2223.0</v>
      </c>
      <c r="B2224" s="5" t="s">
        <v>2810</v>
      </c>
      <c r="C2224" s="5" t="s">
        <v>21</v>
      </c>
      <c r="K2224" s="5">
        <v>60.0</v>
      </c>
      <c r="N2224" s="8">
        <v>44527.0</v>
      </c>
    </row>
    <row r="2225">
      <c r="A2225" s="5">
        <v>2224.0</v>
      </c>
      <c r="B2225" s="5" t="s">
        <v>2811</v>
      </c>
      <c r="C2225" s="5" t="s">
        <v>21</v>
      </c>
      <c r="K2225" s="5">
        <v>500.0</v>
      </c>
      <c r="N2225" s="8">
        <v>44637.0</v>
      </c>
    </row>
    <row r="2226">
      <c r="A2226" s="5">
        <v>2225.0</v>
      </c>
      <c r="B2226" s="5" t="s">
        <v>2812</v>
      </c>
      <c r="C2226" s="5" t="s">
        <v>21</v>
      </c>
      <c r="K2226" s="5">
        <v>200.0</v>
      </c>
      <c r="N2226" s="8">
        <v>45233.0</v>
      </c>
    </row>
    <row r="2227">
      <c r="A2227" s="5">
        <v>2226.0</v>
      </c>
      <c r="B2227" s="5" t="s">
        <v>2813</v>
      </c>
      <c r="C2227" s="5" t="s">
        <v>21</v>
      </c>
      <c r="K2227" s="5">
        <v>20.0</v>
      </c>
      <c r="N2227" s="8">
        <v>43858.0</v>
      </c>
    </row>
    <row r="2228">
      <c r="A2228" s="5">
        <v>2227.0</v>
      </c>
      <c r="B2228" s="5" t="s">
        <v>2814</v>
      </c>
      <c r="C2228" s="5" t="s">
        <v>21</v>
      </c>
      <c r="K2228" s="5">
        <v>50.0</v>
      </c>
      <c r="N2228" s="8">
        <v>43851.0</v>
      </c>
    </row>
    <row r="2229">
      <c r="A2229" s="5">
        <v>2228.0</v>
      </c>
      <c r="B2229" s="5" t="s">
        <v>2815</v>
      </c>
      <c r="C2229" s="5" t="s">
        <v>21</v>
      </c>
      <c r="K2229" s="5">
        <v>450.0</v>
      </c>
      <c r="N2229" s="8">
        <v>45411.0</v>
      </c>
    </row>
    <row r="2230">
      <c r="A2230" s="5">
        <v>2229.0</v>
      </c>
      <c r="B2230" s="5" t="s">
        <v>2816</v>
      </c>
      <c r="C2230" s="5" t="s">
        <v>21</v>
      </c>
      <c r="K2230" s="5">
        <v>400.0</v>
      </c>
      <c r="N2230" s="8">
        <v>45566.0</v>
      </c>
    </row>
    <row r="2231">
      <c r="A2231" s="5">
        <v>2230.0</v>
      </c>
      <c r="B2231" s="5" t="s">
        <v>2817</v>
      </c>
      <c r="C2231" s="5" t="s">
        <v>21</v>
      </c>
      <c r="N2231" s="8">
        <v>44103.0</v>
      </c>
    </row>
    <row r="2232">
      <c r="A2232" s="5">
        <v>2231.0</v>
      </c>
      <c r="B2232" s="5" t="s">
        <v>2818</v>
      </c>
      <c r="C2232" s="5" t="s">
        <v>21</v>
      </c>
      <c r="K2232" s="5">
        <v>350.0</v>
      </c>
      <c r="N2232" s="8">
        <v>44597.0</v>
      </c>
    </row>
    <row r="2233">
      <c r="A2233" s="5">
        <v>2232.0</v>
      </c>
      <c r="B2233" s="5" t="s">
        <v>2819</v>
      </c>
      <c r="C2233" s="5" t="s">
        <v>21</v>
      </c>
      <c r="K2233" s="5">
        <v>150.0</v>
      </c>
      <c r="N2233" s="8">
        <v>43843.0</v>
      </c>
    </row>
    <row r="2234">
      <c r="A2234" s="5">
        <v>2233.0</v>
      </c>
      <c r="B2234" s="5" t="s">
        <v>2820</v>
      </c>
      <c r="C2234" s="5" t="s">
        <v>21</v>
      </c>
      <c r="N2234" s="8">
        <v>44730.0</v>
      </c>
    </row>
    <row r="2235">
      <c r="A2235" s="5">
        <v>2234.0</v>
      </c>
      <c r="B2235" s="5" t="s">
        <v>2821</v>
      </c>
      <c r="C2235" s="5" t="s">
        <v>21</v>
      </c>
      <c r="K2235" s="5">
        <v>2200.0</v>
      </c>
      <c r="N2235" s="8">
        <v>43961.0</v>
      </c>
    </row>
    <row r="2236">
      <c r="A2236" s="5">
        <v>2235.0</v>
      </c>
      <c r="B2236" s="5" t="s">
        <v>2822</v>
      </c>
      <c r="C2236" s="5" t="s">
        <v>21</v>
      </c>
      <c r="K2236" s="5">
        <v>350.0</v>
      </c>
      <c r="N2236" s="8">
        <v>44136.0</v>
      </c>
    </row>
    <row r="2237">
      <c r="A2237" s="5">
        <v>2236.0</v>
      </c>
      <c r="B2237" s="5" t="s">
        <v>2823</v>
      </c>
      <c r="C2237" s="5" t="s">
        <v>21</v>
      </c>
      <c r="K2237" s="5">
        <v>100.0</v>
      </c>
      <c r="N2237" s="8">
        <v>45155.0</v>
      </c>
    </row>
    <row r="2238">
      <c r="A2238" s="5">
        <v>2237.0</v>
      </c>
      <c r="B2238" s="5" t="s">
        <v>2824</v>
      </c>
      <c r="C2238" s="5" t="s">
        <v>21</v>
      </c>
      <c r="K2238" s="5">
        <v>1000.0</v>
      </c>
      <c r="N2238" s="8">
        <v>44530.0</v>
      </c>
    </row>
    <row r="2239">
      <c r="A2239" s="5">
        <v>2238.0</v>
      </c>
      <c r="B2239" s="5" t="s">
        <v>2825</v>
      </c>
      <c r="C2239" s="5" t="s">
        <v>21</v>
      </c>
      <c r="K2239" s="5">
        <v>150.0</v>
      </c>
      <c r="N2239" s="8">
        <v>45049.0</v>
      </c>
    </row>
    <row r="2240">
      <c r="A2240" s="5">
        <v>2239.0</v>
      </c>
      <c r="B2240" s="5" t="s">
        <v>2826</v>
      </c>
      <c r="C2240" s="5" t="s">
        <v>21</v>
      </c>
      <c r="K2240" s="5">
        <v>250.0</v>
      </c>
      <c r="N2240" s="8">
        <v>44507.0</v>
      </c>
    </row>
    <row r="2241">
      <c r="A2241" s="5">
        <v>2240.0</v>
      </c>
      <c r="B2241" s="5" t="s">
        <v>2827</v>
      </c>
      <c r="C2241" s="5" t="s">
        <v>21</v>
      </c>
      <c r="K2241" s="5">
        <v>30.0</v>
      </c>
      <c r="N2241" s="8">
        <v>44338.0</v>
      </c>
    </row>
    <row r="2242">
      <c r="A2242" s="5">
        <v>2241.0</v>
      </c>
      <c r="B2242" s="5" t="s">
        <v>2828</v>
      </c>
      <c r="C2242" s="5" t="s">
        <v>21</v>
      </c>
      <c r="K2242" s="5">
        <v>14000.0</v>
      </c>
      <c r="N2242" s="8">
        <v>44686.0</v>
      </c>
    </row>
    <row r="2243">
      <c r="A2243" s="5">
        <v>2242.0</v>
      </c>
      <c r="B2243" s="5" t="s">
        <v>2829</v>
      </c>
      <c r="C2243" s="5" t="s">
        <v>21</v>
      </c>
      <c r="K2243" s="5">
        <v>700.0</v>
      </c>
      <c r="N2243" s="8">
        <v>44531.0</v>
      </c>
    </row>
    <row r="2244">
      <c r="A2244" s="5">
        <v>2243.0</v>
      </c>
      <c r="B2244" s="5" t="s">
        <v>2830</v>
      </c>
      <c r="C2244" s="5" t="s">
        <v>21</v>
      </c>
      <c r="K2244" s="5">
        <v>150.0</v>
      </c>
      <c r="N2244" s="8">
        <v>45106.0</v>
      </c>
    </row>
    <row r="2245">
      <c r="A2245" s="5">
        <v>2244.0</v>
      </c>
      <c r="B2245" s="5" t="s">
        <v>2831</v>
      </c>
      <c r="C2245" s="5" t="s">
        <v>21</v>
      </c>
      <c r="K2245" s="5">
        <v>150.0</v>
      </c>
      <c r="N2245" s="8">
        <v>45318.0</v>
      </c>
    </row>
    <row r="2246">
      <c r="A2246" s="5">
        <v>2245.0</v>
      </c>
      <c r="B2246" s="5" t="s">
        <v>2832</v>
      </c>
      <c r="C2246" s="5" t="s">
        <v>21</v>
      </c>
      <c r="K2246" s="5">
        <v>150.0</v>
      </c>
      <c r="N2246" s="8">
        <v>45146.0</v>
      </c>
    </row>
    <row r="2247">
      <c r="A2247" s="5">
        <v>2246.0</v>
      </c>
      <c r="B2247" s="5" t="s">
        <v>2833</v>
      </c>
      <c r="C2247" s="5" t="s">
        <v>21</v>
      </c>
      <c r="K2247" s="5">
        <v>1000.0</v>
      </c>
      <c r="N2247" s="8">
        <v>44233.0</v>
      </c>
    </row>
    <row r="2248">
      <c r="A2248" s="5">
        <v>2247.0</v>
      </c>
      <c r="B2248" s="5" t="s">
        <v>2834</v>
      </c>
      <c r="C2248" s="5" t="s">
        <v>21</v>
      </c>
      <c r="K2248" s="5">
        <v>90.0</v>
      </c>
      <c r="N2248" s="8">
        <v>44727.0</v>
      </c>
    </row>
    <row r="2249">
      <c r="A2249" s="5">
        <v>2248.0</v>
      </c>
      <c r="B2249" s="5" t="s">
        <v>2835</v>
      </c>
      <c r="C2249" s="5" t="s">
        <v>21</v>
      </c>
      <c r="K2249" s="5">
        <v>10.0</v>
      </c>
      <c r="N2249" s="8">
        <v>44771.0</v>
      </c>
    </row>
    <row r="2250">
      <c r="A2250" s="5">
        <v>2249.0</v>
      </c>
      <c r="B2250" s="5" t="s">
        <v>2836</v>
      </c>
      <c r="C2250" s="5" t="s">
        <v>21</v>
      </c>
      <c r="K2250" s="5">
        <v>250.0</v>
      </c>
      <c r="N2250" s="8">
        <v>45202.0</v>
      </c>
    </row>
    <row r="2251">
      <c r="A2251" s="5">
        <v>2250.0</v>
      </c>
      <c r="B2251" s="5" t="s">
        <v>2837</v>
      </c>
      <c r="C2251" s="5" t="s">
        <v>21</v>
      </c>
      <c r="K2251" s="5">
        <v>200.0</v>
      </c>
      <c r="N2251" s="8">
        <v>44198.0</v>
      </c>
    </row>
    <row r="2252">
      <c r="A2252" s="5">
        <v>2251.0</v>
      </c>
      <c r="B2252" s="5" t="s">
        <v>2838</v>
      </c>
      <c r="C2252" s="5" t="s">
        <v>21</v>
      </c>
      <c r="N2252" s="8">
        <v>45322.0</v>
      </c>
    </row>
    <row r="2253">
      <c r="A2253" s="5">
        <v>2252.0</v>
      </c>
      <c r="B2253" s="5" t="s">
        <v>2839</v>
      </c>
      <c r="C2253" s="5" t="s">
        <v>21</v>
      </c>
      <c r="K2253" s="5">
        <v>500.0</v>
      </c>
      <c r="N2253" s="8">
        <v>45242.0</v>
      </c>
    </row>
    <row r="2254">
      <c r="A2254" s="5">
        <v>2253.0</v>
      </c>
      <c r="B2254" s="5" t="s">
        <v>2840</v>
      </c>
      <c r="C2254" s="5" t="s">
        <v>21</v>
      </c>
      <c r="K2254" s="5">
        <v>600.0</v>
      </c>
      <c r="N2254" s="8">
        <v>44991.0</v>
      </c>
    </row>
    <row r="2255">
      <c r="A2255" s="5">
        <v>2254.0</v>
      </c>
      <c r="B2255" s="5" t="s">
        <v>2841</v>
      </c>
      <c r="C2255" s="5" t="s">
        <v>21</v>
      </c>
      <c r="K2255" s="5">
        <v>200.0</v>
      </c>
      <c r="N2255" s="8">
        <v>44601.0</v>
      </c>
    </row>
    <row r="2256">
      <c r="A2256" s="5">
        <v>2255.0</v>
      </c>
      <c r="B2256" s="5" t="s">
        <v>2842</v>
      </c>
      <c r="C2256" s="5" t="s">
        <v>21</v>
      </c>
      <c r="K2256" s="5">
        <v>50.0</v>
      </c>
      <c r="N2256" s="8">
        <v>45074.0</v>
      </c>
    </row>
    <row r="2257">
      <c r="A2257" s="5">
        <v>2256.0</v>
      </c>
      <c r="B2257" s="5" t="s">
        <v>2843</v>
      </c>
      <c r="C2257" s="5" t="s">
        <v>21</v>
      </c>
      <c r="K2257" s="5">
        <v>250.0</v>
      </c>
      <c r="N2257" s="8">
        <v>44582.0</v>
      </c>
    </row>
    <row r="2258">
      <c r="A2258" s="5">
        <v>2257.0</v>
      </c>
      <c r="B2258" s="5" t="s">
        <v>2844</v>
      </c>
      <c r="C2258" s="5" t="s">
        <v>21</v>
      </c>
      <c r="K2258" s="5">
        <v>150.0</v>
      </c>
      <c r="N2258" s="8">
        <v>44935.0</v>
      </c>
    </row>
    <row r="2259">
      <c r="A2259" s="5">
        <v>2258.0</v>
      </c>
      <c r="B2259" s="5" t="s">
        <v>2845</v>
      </c>
      <c r="C2259" s="5" t="s">
        <v>21</v>
      </c>
      <c r="N2259" s="8">
        <v>45298.0</v>
      </c>
    </row>
    <row r="2260">
      <c r="A2260" s="5">
        <v>2259.0</v>
      </c>
      <c r="B2260" s="5" t="s">
        <v>2846</v>
      </c>
      <c r="C2260" s="5" t="s">
        <v>21</v>
      </c>
      <c r="K2260" s="5">
        <v>20.0</v>
      </c>
      <c r="N2260" s="8">
        <v>44690.0</v>
      </c>
    </row>
    <row r="2261">
      <c r="A2261" s="5">
        <v>2260.0</v>
      </c>
      <c r="B2261" s="5" t="s">
        <v>2847</v>
      </c>
      <c r="C2261" s="5" t="s">
        <v>21</v>
      </c>
      <c r="K2261" s="5">
        <v>100.0</v>
      </c>
      <c r="N2261" s="8">
        <v>44910.0</v>
      </c>
    </row>
    <row r="2262">
      <c r="A2262" s="5">
        <v>2261.0</v>
      </c>
      <c r="B2262" s="5" t="s">
        <v>2848</v>
      </c>
      <c r="C2262" s="5" t="s">
        <v>21</v>
      </c>
      <c r="K2262" s="5">
        <v>250.0</v>
      </c>
      <c r="N2262" s="8">
        <v>44532.0</v>
      </c>
    </row>
    <row r="2263">
      <c r="A2263" s="5">
        <v>2262.0</v>
      </c>
      <c r="B2263" s="5" t="s">
        <v>2849</v>
      </c>
      <c r="C2263" s="5" t="s">
        <v>21</v>
      </c>
      <c r="K2263" s="5">
        <v>600.0</v>
      </c>
      <c r="N2263" s="8">
        <v>45177.0</v>
      </c>
    </row>
    <row r="2264">
      <c r="A2264" s="5">
        <v>2263.0</v>
      </c>
      <c r="B2264" s="5" t="s">
        <v>2850</v>
      </c>
      <c r="C2264" s="5" t="s">
        <v>21</v>
      </c>
      <c r="K2264" s="5">
        <v>70.0</v>
      </c>
      <c r="N2264" s="8">
        <v>44189.0</v>
      </c>
    </row>
    <row r="2265">
      <c r="A2265" s="5">
        <v>2264.0</v>
      </c>
      <c r="B2265" s="5" t="s">
        <v>2851</v>
      </c>
      <c r="C2265" s="5" t="s">
        <v>21</v>
      </c>
      <c r="K2265" s="5">
        <v>3800.0</v>
      </c>
      <c r="N2265" s="8">
        <v>43986.0</v>
      </c>
    </row>
    <row r="2266">
      <c r="A2266" s="5">
        <v>2265.0</v>
      </c>
      <c r="B2266" s="5" t="s">
        <v>2852</v>
      </c>
      <c r="C2266" s="5" t="s">
        <v>21</v>
      </c>
      <c r="K2266" s="5">
        <v>60.0</v>
      </c>
      <c r="N2266" s="8">
        <v>44375.0</v>
      </c>
    </row>
    <row r="2267">
      <c r="A2267" s="5">
        <v>2266.0</v>
      </c>
      <c r="B2267" s="5" t="s">
        <v>2853</v>
      </c>
      <c r="C2267" s="5" t="s">
        <v>21</v>
      </c>
      <c r="K2267" s="5">
        <v>70.0</v>
      </c>
      <c r="N2267" s="8">
        <v>44566.0</v>
      </c>
    </row>
    <row r="2268">
      <c r="A2268" s="5">
        <v>2267.0</v>
      </c>
      <c r="B2268" s="5" t="s">
        <v>2854</v>
      </c>
      <c r="C2268" s="5" t="s">
        <v>21</v>
      </c>
      <c r="K2268" s="5">
        <v>450.0</v>
      </c>
      <c r="N2268" s="8">
        <v>44790.0</v>
      </c>
    </row>
    <row r="2269">
      <c r="A2269" s="5">
        <v>2268.0</v>
      </c>
      <c r="B2269" s="5" t="s">
        <v>2855</v>
      </c>
      <c r="C2269" s="5" t="s">
        <v>21</v>
      </c>
      <c r="K2269" s="5">
        <v>2000.0</v>
      </c>
      <c r="N2269" s="8">
        <v>44544.0</v>
      </c>
    </row>
    <row r="2270">
      <c r="A2270" s="5">
        <v>2269.0</v>
      </c>
      <c r="B2270" s="5" t="s">
        <v>2856</v>
      </c>
      <c r="C2270" s="5" t="s">
        <v>21</v>
      </c>
      <c r="K2270" s="5">
        <v>150.0</v>
      </c>
      <c r="N2270" s="8">
        <v>44564.0</v>
      </c>
    </row>
    <row r="2271">
      <c r="A2271" s="5">
        <v>2270.0</v>
      </c>
      <c r="B2271" s="5" t="s">
        <v>2857</v>
      </c>
      <c r="C2271" s="5" t="s">
        <v>21</v>
      </c>
      <c r="K2271" s="5">
        <v>600.0</v>
      </c>
      <c r="N2271" s="8">
        <v>44725.0</v>
      </c>
    </row>
    <row r="2272">
      <c r="A2272" s="5">
        <v>2271.0</v>
      </c>
      <c r="B2272" s="5" t="s">
        <v>2858</v>
      </c>
      <c r="C2272" s="5" t="s">
        <v>21</v>
      </c>
      <c r="K2272" s="5">
        <v>200.0</v>
      </c>
      <c r="N2272" s="8">
        <v>45664.0</v>
      </c>
    </row>
    <row r="2273">
      <c r="A2273" s="5">
        <v>2272.0</v>
      </c>
      <c r="B2273" s="5" t="s">
        <v>2859</v>
      </c>
      <c r="C2273" s="5" t="s">
        <v>21</v>
      </c>
      <c r="K2273" s="5">
        <v>20.0</v>
      </c>
      <c r="N2273" s="8">
        <v>44593.0</v>
      </c>
    </row>
    <row r="2274">
      <c r="A2274" s="5">
        <v>2273.0</v>
      </c>
      <c r="B2274" s="5" t="s">
        <v>2860</v>
      </c>
      <c r="C2274" s="5" t="s">
        <v>21</v>
      </c>
      <c r="K2274" s="5">
        <v>300.0</v>
      </c>
      <c r="N2274" s="8">
        <v>45195.0</v>
      </c>
    </row>
    <row r="2275">
      <c r="A2275" s="5">
        <v>2274.0</v>
      </c>
      <c r="B2275" s="5" t="s">
        <v>2861</v>
      </c>
      <c r="C2275" s="5" t="s">
        <v>21</v>
      </c>
      <c r="K2275" s="5">
        <v>400.0</v>
      </c>
      <c r="N2275" s="8">
        <v>43903.0</v>
      </c>
    </row>
    <row r="2276">
      <c r="A2276" s="5">
        <v>2275.0</v>
      </c>
      <c r="B2276" s="5" t="s">
        <v>2862</v>
      </c>
      <c r="C2276" s="5" t="s">
        <v>21</v>
      </c>
      <c r="K2276" s="5">
        <v>250.0</v>
      </c>
      <c r="N2276" s="8">
        <v>44397.0</v>
      </c>
    </row>
    <row r="2277">
      <c r="A2277" s="5">
        <v>2276.0</v>
      </c>
      <c r="B2277" s="5" t="s">
        <v>2863</v>
      </c>
      <c r="C2277" s="5" t="s">
        <v>21</v>
      </c>
      <c r="K2277" s="5">
        <v>100.0</v>
      </c>
      <c r="N2277" s="8">
        <v>45065.0</v>
      </c>
    </row>
    <row r="2278">
      <c r="A2278" s="5">
        <v>2277.0</v>
      </c>
      <c r="B2278" s="5" t="s">
        <v>2864</v>
      </c>
      <c r="C2278" s="5" t="s">
        <v>21</v>
      </c>
      <c r="K2278" s="5">
        <v>60.0</v>
      </c>
      <c r="N2278" s="8">
        <v>44661.0</v>
      </c>
    </row>
    <row r="2279">
      <c r="A2279" s="5">
        <v>2278.0</v>
      </c>
      <c r="B2279" s="5" t="s">
        <v>2865</v>
      </c>
      <c r="C2279" s="5" t="s">
        <v>21</v>
      </c>
      <c r="K2279" s="5">
        <v>800.0</v>
      </c>
      <c r="N2279" s="8">
        <v>44156.0</v>
      </c>
    </row>
    <row r="2280">
      <c r="A2280" s="5">
        <v>2279.0</v>
      </c>
      <c r="B2280" s="5" t="s">
        <v>2866</v>
      </c>
      <c r="C2280" s="5" t="s">
        <v>21</v>
      </c>
      <c r="K2280" s="5">
        <v>5400.0</v>
      </c>
      <c r="N2280" s="8">
        <v>44184.0</v>
      </c>
    </row>
    <row r="2281">
      <c r="A2281" s="5">
        <v>2280.0</v>
      </c>
      <c r="B2281" s="5" t="s">
        <v>2867</v>
      </c>
      <c r="C2281" s="5" t="s">
        <v>21</v>
      </c>
      <c r="K2281" s="5">
        <v>100.0</v>
      </c>
      <c r="N2281" s="8">
        <v>45293.0</v>
      </c>
    </row>
    <row r="2282">
      <c r="A2282" s="5">
        <v>2281.0</v>
      </c>
      <c r="B2282" s="5" t="s">
        <v>2868</v>
      </c>
      <c r="C2282" s="5" t="s">
        <v>21</v>
      </c>
      <c r="K2282" s="5">
        <v>20.0</v>
      </c>
      <c r="N2282" s="8">
        <v>45455.0</v>
      </c>
    </row>
    <row r="2283">
      <c r="A2283" s="5">
        <v>2282.0</v>
      </c>
      <c r="B2283" s="5" t="s">
        <v>2869</v>
      </c>
      <c r="C2283" s="5" t="s">
        <v>21</v>
      </c>
      <c r="K2283" s="5">
        <v>150.0</v>
      </c>
      <c r="N2283" s="8">
        <v>44838.0</v>
      </c>
    </row>
    <row r="2284">
      <c r="A2284" s="5">
        <v>2283.0</v>
      </c>
      <c r="B2284" s="5" t="s">
        <v>2870</v>
      </c>
      <c r="C2284" s="5" t="s">
        <v>21</v>
      </c>
      <c r="K2284" s="5">
        <v>500.0</v>
      </c>
      <c r="N2284" s="8">
        <v>44273.0</v>
      </c>
    </row>
    <row r="2285">
      <c r="A2285" s="5">
        <v>2284.0</v>
      </c>
      <c r="B2285" s="5" t="s">
        <v>2871</v>
      </c>
      <c r="C2285" s="5" t="s">
        <v>21</v>
      </c>
      <c r="K2285" s="5">
        <v>1100.0</v>
      </c>
      <c r="N2285" s="8">
        <v>44256.0</v>
      </c>
    </row>
    <row r="2286">
      <c r="A2286" s="5">
        <v>2285.0</v>
      </c>
      <c r="B2286" s="5" t="s">
        <v>2872</v>
      </c>
      <c r="C2286" s="5" t="s">
        <v>21</v>
      </c>
      <c r="K2286" s="5">
        <v>900.0</v>
      </c>
      <c r="N2286" s="8">
        <v>44075.0</v>
      </c>
    </row>
    <row r="2287">
      <c r="A2287" s="5">
        <v>2286.0</v>
      </c>
      <c r="B2287" s="5" t="s">
        <v>2873</v>
      </c>
      <c r="C2287" s="5" t="s">
        <v>21</v>
      </c>
      <c r="K2287" s="5">
        <v>300.0</v>
      </c>
      <c r="N2287" s="8">
        <v>45123.0</v>
      </c>
    </row>
    <row r="2288">
      <c r="A2288" s="5">
        <v>2287.0</v>
      </c>
      <c r="B2288" s="5" t="s">
        <v>204</v>
      </c>
      <c r="C2288" s="5" t="s">
        <v>21</v>
      </c>
      <c r="K2288" s="5">
        <v>3500.0</v>
      </c>
      <c r="N2288" s="8">
        <v>44044.0</v>
      </c>
    </row>
    <row r="2289">
      <c r="A2289" s="5">
        <v>2288.0</v>
      </c>
      <c r="B2289" s="5" t="s">
        <v>2874</v>
      </c>
      <c r="C2289" s="5" t="s">
        <v>21</v>
      </c>
      <c r="K2289" s="5">
        <v>600.0</v>
      </c>
      <c r="N2289" s="8">
        <v>44589.0</v>
      </c>
    </row>
    <row r="2290">
      <c r="A2290" s="5">
        <v>2289.0</v>
      </c>
      <c r="B2290" s="5" t="s">
        <v>200</v>
      </c>
      <c r="C2290" s="5" t="s">
        <v>21</v>
      </c>
      <c r="K2290" s="5">
        <v>300.0</v>
      </c>
      <c r="N2290" s="8">
        <v>44110.0</v>
      </c>
    </row>
    <row r="2291">
      <c r="A2291" s="5">
        <v>2290.0</v>
      </c>
      <c r="B2291" s="5" t="s">
        <v>2875</v>
      </c>
      <c r="C2291" s="5" t="s">
        <v>21</v>
      </c>
      <c r="K2291" s="5">
        <v>300.0</v>
      </c>
      <c r="N2291" s="8">
        <v>44520.0</v>
      </c>
    </row>
    <row r="2292">
      <c r="A2292" s="5">
        <v>2291.0</v>
      </c>
      <c r="B2292" s="5" t="s">
        <v>2876</v>
      </c>
      <c r="C2292" s="5" t="s">
        <v>21</v>
      </c>
      <c r="K2292" s="5">
        <v>250.0</v>
      </c>
      <c r="N2292" s="8">
        <v>45183.0</v>
      </c>
    </row>
    <row r="2293">
      <c r="A2293" s="5">
        <v>2292.0</v>
      </c>
      <c r="B2293" s="5" t="s">
        <v>2877</v>
      </c>
      <c r="C2293" s="5" t="s">
        <v>21</v>
      </c>
      <c r="K2293" s="5">
        <v>150.0</v>
      </c>
      <c r="N2293" s="8">
        <v>44684.0</v>
      </c>
    </row>
    <row r="2294">
      <c r="A2294" s="5">
        <v>2293.0</v>
      </c>
      <c r="B2294" s="5" t="s">
        <v>2878</v>
      </c>
      <c r="C2294" s="5" t="s">
        <v>21</v>
      </c>
      <c r="K2294" s="5">
        <v>800.0</v>
      </c>
      <c r="N2294" s="8">
        <v>43912.0</v>
      </c>
    </row>
    <row r="2295">
      <c r="A2295" s="5">
        <v>2294.0</v>
      </c>
      <c r="B2295" s="5" t="s">
        <v>2879</v>
      </c>
      <c r="C2295" s="5" t="s">
        <v>21</v>
      </c>
      <c r="K2295" s="5">
        <v>100.0</v>
      </c>
      <c r="N2295" s="8">
        <v>44617.0</v>
      </c>
    </row>
    <row r="2296">
      <c r="A2296" s="5">
        <v>2295.0</v>
      </c>
      <c r="B2296" s="5" t="s">
        <v>2880</v>
      </c>
      <c r="C2296" s="5" t="s">
        <v>21</v>
      </c>
      <c r="K2296" s="5">
        <v>150.0</v>
      </c>
      <c r="N2296" s="8">
        <v>44529.0</v>
      </c>
    </row>
    <row r="2297">
      <c r="A2297" s="5">
        <v>2296.0</v>
      </c>
      <c r="B2297" s="5" t="s">
        <v>2881</v>
      </c>
      <c r="C2297" s="5" t="s">
        <v>21</v>
      </c>
      <c r="K2297" s="5">
        <v>200.0</v>
      </c>
      <c r="N2297" s="8">
        <v>44509.0</v>
      </c>
    </row>
    <row r="2298">
      <c r="A2298" s="5">
        <v>2297.0</v>
      </c>
      <c r="B2298" s="5" t="s">
        <v>2882</v>
      </c>
      <c r="C2298" s="5" t="s">
        <v>21</v>
      </c>
      <c r="K2298" s="5">
        <v>300.0</v>
      </c>
      <c r="N2298" s="8">
        <v>44857.0</v>
      </c>
    </row>
    <row r="2299">
      <c r="A2299" s="5">
        <v>2298.0</v>
      </c>
      <c r="B2299" s="5" t="s">
        <v>2883</v>
      </c>
      <c r="C2299" s="5" t="s">
        <v>21</v>
      </c>
      <c r="K2299" s="5">
        <v>350.0</v>
      </c>
      <c r="N2299" s="8">
        <v>44646.0</v>
      </c>
    </row>
    <row r="2300">
      <c r="A2300" s="5">
        <v>2299.0</v>
      </c>
      <c r="B2300" s="5" t="s">
        <v>2884</v>
      </c>
      <c r="C2300" s="5" t="s">
        <v>21</v>
      </c>
      <c r="K2300" s="5">
        <v>30.0</v>
      </c>
      <c r="N2300" s="8">
        <v>44676.0</v>
      </c>
    </row>
    <row r="2301">
      <c r="A2301" s="5">
        <v>2300.0</v>
      </c>
      <c r="B2301" s="5" t="s">
        <v>2885</v>
      </c>
      <c r="C2301" s="5" t="s">
        <v>21</v>
      </c>
      <c r="K2301" s="5">
        <v>400.0</v>
      </c>
      <c r="N2301" s="8">
        <v>44614.0</v>
      </c>
    </row>
    <row r="2302">
      <c r="A2302" s="5">
        <v>2301.0</v>
      </c>
      <c r="B2302" s="5" t="s">
        <v>2886</v>
      </c>
      <c r="C2302" s="5" t="s">
        <v>21</v>
      </c>
      <c r="K2302" s="5">
        <v>150.0</v>
      </c>
      <c r="N2302" s="8">
        <v>44026.0</v>
      </c>
    </row>
    <row r="2303">
      <c r="A2303" s="5">
        <v>2302.0</v>
      </c>
      <c r="B2303" s="5" t="s">
        <v>2887</v>
      </c>
      <c r="C2303" s="5" t="s">
        <v>21</v>
      </c>
      <c r="K2303" s="5">
        <v>100.0</v>
      </c>
      <c r="N2303" s="8">
        <v>44595.0</v>
      </c>
    </row>
    <row r="2304">
      <c r="A2304" s="5">
        <v>2303.0</v>
      </c>
      <c r="B2304" s="5" t="s">
        <v>2888</v>
      </c>
      <c r="C2304" s="5" t="s">
        <v>21</v>
      </c>
      <c r="K2304" s="5">
        <v>600.0</v>
      </c>
      <c r="N2304" s="8">
        <v>44742.0</v>
      </c>
    </row>
    <row r="2305">
      <c r="A2305" s="5">
        <v>2304.0</v>
      </c>
      <c r="B2305" s="5" t="s">
        <v>2889</v>
      </c>
      <c r="C2305" s="5" t="s">
        <v>21</v>
      </c>
      <c r="N2305" s="8">
        <v>43903.0</v>
      </c>
    </row>
    <row r="2306">
      <c r="A2306" s="5">
        <v>2305.0</v>
      </c>
      <c r="B2306" s="5" t="s">
        <v>2890</v>
      </c>
      <c r="C2306" s="5" t="s">
        <v>21</v>
      </c>
      <c r="K2306" s="5">
        <v>250.0</v>
      </c>
      <c r="N2306" s="8">
        <v>44518.0</v>
      </c>
    </row>
    <row r="2307">
      <c r="A2307" s="5">
        <v>2306.0</v>
      </c>
      <c r="B2307" s="5" t="s">
        <v>2891</v>
      </c>
      <c r="C2307" s="5" t="s">
        <v>21</v>
      </c>
      <c r="K2307" s="5">
        <v>250.0</v>
      </c>
      <c r="N2307" s="8">
        <v>44533.0</v>
      </c>
    </row>
    <row r="2308">
      <c r="A2308" s="5">
        <v>2307.0</v>
      </c>
      <c r="B2308" s="5" t="s">
        <v>2892</v>
      </c>
      <c r="C2308" s="5" t="s">
        <v>21</v>
      </c>
      <c r="K2308" s="5">
        <v>800.0</v>
      </c>
      <c r="N2308" s="8">
        <v>44569.0</v>
      </c>
    </row>
    <row r="2309">
      <c r="A2309" s="5">
        <v>2308.0</v>
      </c>
      <c r="B2309" s="5" t="s">
        <v>2893</v>
      </c>
      <c r="C2309" s="5" t="s">
        <v>21</v>
      </c>
      <c r="K2309" s="5">
        <v>60.0</v>
      </c>
      <c r="N2309" s="8">
        <v>44909.0</v>
      </c>
    </row>
    <row r="2310">
      <c r="A2310" s="5">
        <v>2309.0</v>
      </c>
      <c r="B2310" s="5" t="s">
        <v>2894</v>
      </c>
      <c r="C2310" s="5" t="s">
        <v>21</v>
      </c>
      <c r="K2310" s="5">
        <v>20.0</v>
      </c>
      <c r="N2310" s="8">
        <v>44586.0</v>
      </c>
    </row>
    <row r="2311">
      <c r="A2311" s="5">
        <v>2310.0</v>
      </c>
      <c r="B2311" s="5" t="s">
        <v>2895</v>
      </c>
      <c r="C2311" s="5" t="s">
        <v>21</v>
      </c>
      <c r="K2311" s="5">
        <v>700.0</v>
      </c>
      <c r="N2311" s="8">
        <v>44371.0</v>
      </c>
    </row>
    <row r="2312">
      <c r="A2312" s="5">
        <v>2311.0</v>
      </c>
      <c r="B2312" s="5" t="s">
        <v>2896</v>
      </c>
      <c r="C2312" s="5" t="s">
        <v>21</v>
      </c>
      <c r="K2312" s="5">
        <v>450.0</v>
      </c>
      <c r="N2312" s="8">
        <v>44921.0</v>
      </c>
    </row>
    <row r="2313">
      <c r="A2313" s="5">
        <v>2312.0</v>
      </c>
      <c r="B2313" s="5" t="s">
        <v>203</v>
      </c>
      <c r="C2313" s="5" t="s">
        <v>21</v>
      </c>
      <c r="K2313" s="5">
        <v>10.0</v>
      </c>
      <c r="N2313" s="8">
        <v>44331.0</v>
      </c>
    </row>
    <row r="2314">
      <c r="A2314" s="5">
        <v>2313.0</v>
      </c>
      <c r="B2314" s="5" t="s">
        <v>2897</v>
      </c>
      <c r="C2314" s="5" t="s">
        <v>21</v>
      </c>
      <c r="K2314" s="5">
        <v>40.0</v>
      </c>
      <c r="N2314" s="8">
        <v>44851.0</v>
      </c>
    </row>
    <row r="2315">
      <c r="A2315" s="5">
        <v>2314.0</v>
      </c>
      <c r="B2315" s="5" t="s">
        <v>2898</v>
      </c>
      <c r="C2315" s="5" t="s">
        <v>21</v>
      </c>
      <c r="K2315" s="5">
        <v>600.0</v>
      </c>
      <c r="N2315" s="8">
        <v>44582.0</v>
      </c>
    </row>
    <row r="2316">
      <c r="A2316" s="5">
        <v>2315.0</v>
      </c>
      <c r="B2316" s="5" t="s">
        <v>2899</v>
      </c>
      <c r="C2316" s="5" t="s">
        <v>21</v>
      </c>
      <c r="K2316" s="5">
        <v>150.0</v>
      </c>
      <c r="N2316" s="8">
        <v>44970.0</v>
      </c>
    </row>
    <row r="2317">
      <c r="A2317" s="5">
        <v>2316.0</v>
      </c>
      <c r="B2317" s="5" t="s">
        <v>2900</v>
      </c>
      <c r="C2317" s="5" t="s">
        <v>21</v>
      </c>
      <c r="K2317" s="5">
        <v>250.0</v>
      </c>
      <c r="N2317" s="8">
        <v>44223.0</v>
      </c>
    </row>
    <row r="2318">
      <c r="A2318" s="5">
        <v>2317.0</v>
      </c>
      <c r="B2318" s="5" t="s">
        <v>2901</v>
      </c>
      <c r="C2318" s="5" t="s">
        <v>21</v>
      </c>
      <c r="K2318" s="5">
        <v>5400.0</v>
      </c>
      <c r="N2318" s="8">
        <v>44133.0</v>
      </c>
    </row>
    <row r="2319">
      <c r="A2319" s="5">
        <v>2318.0</v>
      </c>
      <c r="B2319" s="5" t="s">
        <v>2902</v>
      </c>
      <c r="C2319" s="5" t="s">
        <v>21</v>
      </c>
      <c r="K2319" s="5">
        <v>150.0</v>
      </c>
      <c r="N2319" s="8">
        <v>44621.0</v>
      </c>
    </row>
    <row r="2320">
      <c r="A2320" s="5">
        <v>2319.0</v>
      </c>
      <c r="B2320" s="5" t="s">
        <v>2903</v>
      </c>
      <c r="C2320" s="5" t="s">
        <v>21</v>
      </c>
      <c r="K2320" s="5">
        <v>55000.0</v>
      </c>
      <c r="N2320" s="8">
        <v>45544.0</v>
      </c>
    </row>
    <row r="2321">
      <c r="A2321" s="5">
        <v>2320.0</v>
      </c>
      <c r="B2321" s="5" t="s">
        <v>2904</v>
      </c>
      <c r="C2321" s="5" t="s">
        <v>21</v>
      </c>
      <c r="K2321" s="5">
        <v>60.0</v>
      </c>
      <c r="N2321" s="8">
        <v>44413.0</v>
      </c>
    </row>
    <row r="2322">
      <c r="A2322" s="5">
        <v>2321.0</v>
      </c>
      <c r="B2322" s="5" t="s">
        <v>2905</v>
      </c>
      <c r="C2322" s="5" t="s">
        <v>21</v>
      </c>
      <c r="K2322" s="5">
        <v>500.0</v>
      </c>
      <c r="N2322" s="8">
        <v>44187.0</v>
      </c>
    </row>
    <row r="2323">
      <c r="A2323" s="5">
        <v>2322.0</v>
      </c>
      <c r="B2323" s="5" t="s">
        <v>2906</v>
      </c>
      <c r="C2323" s="5" t="s">
        <v>21</v>
      </c>
      <c r="K2323" s="5">
        <v>150.0</v>
      </c>
      <c r="N2323" s="8">
        <v>44631.0</v>
      </c>
    </row>
    <row r="2324">
      <c r="A2324" s="5">
        <v>2323.0</v>
      </c>
      <c r="B2324" s="5" t="s">
        <v>2907</v>
      </c>
      <c r="C2324" s="5" t="s">
        <v>21</v>
      </c>
      <c r="K2324" s="5">
        <v>100.0</v>
      </c>
      <c r="N2324" s="8">
        <v>45558.0</v>
      </c>
    </row>
    <row r="2325">
      <c r="A2325" s="5">
        <v>2324.0</v>
      </c>
      <c r="B2325" s="5" t="s">
        <v>2908</v>
      </c>
      <c r="C2325" s="5" t="s">
        <v>21</v>
      </c>
      <c r="K2325" s="5">
        <v>350.0</v>
      </c>
      <c r="N2325" s="8">
        <v>44375.0</v>
      </c>
    </row>
    <row r="2326">
      <c r="A2326" s="5">
        <v>2325.0</v>
      </c>
      <c r="B2326" s="5" t="s">
        <v>2909</v>
      </c>
      <c r="C2326" s="5" t="s">
        <v>21</v>
      </c>
      <c r="K2326" s="5">
        <v>150.0</v>
      </c>
      <c r="N2326" s="8">
        <v>44372.0</v>
      </c>
    </row>
    <row r="2327">
      <c r="A2327" s="5">
        <v>2326.0</v>
      </c>
      <c r="B2327" s="5" t="s">
        <v>210</v>
      </c>
      <c r="C2327" s="5" t="s">
        <v>21</v>
      </c>
      <c r="K2327" s="5">
        <v>1700.0</v>
      </c>
      <c r="N2327" s="8">
        <v>45240.0</v>
      </c>
    </row>
    <row r="2328">
      <c r="A2328" s="5">
        <v>2327.0</v>
      </c>
      <c r="B2328" s="5" t="s">
        <v>2910</v>
      </c>
      <c r="C2328" s="5" t="s">
        <v>21</v>
      </c>
      <c r="K2328" s="5">
        <v>1200.0</v>
      </c>
      <c r="N2328" s="8">
        <v>44671.0</v>
      </c>
    </row>
    <row r="2329">
      <c r="A2329" s="5">
        <v>2328.0</v>
      </c>
      <c r="B2329" s="5" t="s">
        <v>2911</v>
      </c>
      <c r="C2329" s="5" t="s">
        <v>21</v>
      </c>
      <c r="K2329" s="5">
        <v>1000.0</v>
      </c>
      <c r="N2329" s="8">
        <v>45440.0</v>
      </c>
    </row>
    <row r="2330">
      <c r="A2330" s="5">
        <v>2329.0</v>
      </c>
      <c r="B2330" s="5" t="s">
        <v>2912</v>
      </c>
      <c r="C2330" s="5" t="s">
        <v>21</v>
      </c>
      <c r="K2330" s="5">
        <v>100.0</v>
      </c>
      <c r="N2330" s="8">
        <v>44612.0</v>
      </c>
    </row>
    <row r="2331">
      <c r="A2331" s="5">
        <v>2330.0</v>
      </c>
      <c r="B2331" s="5" t="s">
        <v>2913</v>
      </c>
      <c r="C2331" s="5" t="s">
        <v>21</v>
      </c>
      <c r="K2331" s="5">
        <v>100.0</v>
      </c>
      <c r="N2331" s="8">
        <v>44287.0</v>
      </c>
    </row>
    <row r="2332">
      <c r="A2332" s="5">
        <v>2331.0</v>
      </c>
      <c r="B2332" s="5" t="s">
        <v>2914</v>
      </c>
      <c r="C2332" s="5" t="s">
        <v>21</v>
      </c>
      <c r="N2332" s="8">
        <v>44959.0</v>
      </c>
    </row>
    <row r="2333">
      <c r="A2333" s="5">
        <v>2332.0</v>
      </c>
      <c r="B2333" s="5" t="s">
        <v>2915</v>
      </c>
      <c r="C2333" s="5" t="s">
        <v>21</v>
      </c>
      <c r="K2333" s="5">
        <v>20.0</v>
      </c>
      <c r="N2333" s="8">
        <v>45402.0</v>
      </c>
    </row>
    <row r="2334">
      <c r="A2334" s="5">
        <v>2333.0</v>
      </c>
      <c r="B2334" s="5" t="s">
        <v>2916</v>
      </c>
      <c r="C2334" s="5" t="s">
        <v>21</v>
      </c>
      <c r="K2334" s="5">
        <v>50.0</v>
      </c>
      <c r="N2334" s="8">
        <v>44705.0</v>
      </c>
    </row>
    <row r="2335">
      <c r="A2335" s="5">
        <v>2334.0</v>
      </c>
      <c r="B2335" s="5" t="s">
        <v>2917</v>
      </c>
      <c r="C2335" s="5" t="s">
        <v>21</v>
      </c>
      <c r="K2335" s="5">
        <v>600.0</v>
      </c>
      <c r="N2335" s="8">
        <v>45364.0</v>
      </c>
    </row>
    <row r="2336">
      <c r="A2336" s="5">
        <v>2335.0</v>
      </c>
      <c r="B2336" s="5" t="s">
        <v>2918</v>
      </c>
      <c r="C2336" s="5" t="s">
        <v>21</v>
      </c>
      <c r="K2336" s="5">
        <v>5000.0</v>
      </c>
      <c r="N2336" s="8">
        <v>43875.0</v>
      </c>
    </row>
    <row r="2337">
      <c r="A2337" s="5">
        <v>2336.0</v>
      </c>
      <c r="B2337" s="5" t="s">
        <v>2919</v>
      </c>
      <c r="C2337" s="5" t="s">
        <v>21</v>
      </c>
      <c r="K2337" s="5">
        <v>400.0</v>
      </c>
      <c r="N2337" s="8">
        <v>44530.0</v>
      </c>
    </row>
    <row r="2338">
      <c r="A2338" s="5">
        <v>2337.0</v>
      </c>
      <c r="B2338" s="5" t="s">
        <v>2920</v>
      </c>
      <c r="C2338" s="5" t="s">
        <v>21</v>
      </c>
      <c r="K2338" s="5">
        <v>450.0</v>
      </c>
      <c r="N2338" s="8">
        <v>44629.0</v>
      </c>
    </row>
    <row r="2339">
      <c r="A2339" s="5">
        <v>2338.0</v>
      </c>
      <c r="B2339" s="5" t="s">
        <v>2921</v>
      </c>
      <c r="C2339" s="5" t="s">
        <v>21</v>
      </c>
      <c r="K2339" s="5">
        <v>250.0</v>
      </c>
      <c r="N2339" s="8">
        <v>44610.0</v>
      </c>
    </row>
    <row r="2340">
      <c r="A2340" s="5">
        <v>2339.0</v>
      </c>
      <c r="B2340" s="5" t="s">
        <v>2922</v>
      </c>
      <c r="C2340" s="5" t="s">
        <v>21</v>
      </c>
      <c r="K2340" s="5">
        <v>1300.0</v>
      </c>
      <c r="N2340" s="8">
        <v>44545.0</v>
      </c>
    </row>
    <row r="2341">
      <c r="A2341" s="5">
        <v>2340.0</v>
      </c>
      <c r="B2341" s="5" t="s">
        <v>2923</v>
      </c>
      <c r="C2341" s="5" t="s">
        <v>21</v>
      </c>
      <c r="K2341" s="5">
        <v>400.0</v>
      </c>
      <c r="N2341" s="8">
        <v>44561.0</v>
      </c>
    </row>
    <row r="2342">
      <c r="A2342" s="5">
        <v>2341.0</v>
      </c>
      <c r="B2342" s="5" t="s">
        <v>2924</v>
      </c>
      <c r="C2342" s="5" t="s">
        <v>21</v>
      </c>
      <c r="K2342" s="5">
        <v>2200.0</v>
      </c>
      <c r="N2342" s="8">
        <v>44237.0</v>
      </c>
    </row>
    <row r="2343">
      <c r="A2343" s="5">
        <v>2342.0</v>
      </c>
      <c r="B2343" s="5" t="s">
        <v>2925</v>
      </c>
      <c r="C2343" s="5" t="s">
        <v>21</v>
      </c>
      <c r="K2343" s="5">
        <v>10.0</v>
      </c>
      <c r="N2343" s="8">
        <v>45625.0</v>
      </c>
    </row>
    <row r="2344">
      <c r="A2344" s="5">
        <v>2343.0</v>
      </c>
      <c r="B2344" s="5" t="s">
        <v>2926</v>
      </c>
      <c r="C2344" s="5" t="s">
        <v>21</v>
      </c>
      <c r="K2344" s="5">
        <v>70.0</v>
      </c>
      <c r="N2344" s="8">
        <v>44825.0</v>
      </c>
    </row>
    <row r="2345">
      <c r="A2345" s="5">
        <v>2344.0</v>
      </c>
      <c r="B2345" s="5" t="s">
        <v>2927</v>
      </c>
      <c r="C2345" s="5" t="s">
        <v>21</v>
      </c>
      <c r="K2345" s="5">
        <v>150.0</v>
      </c>
      <c r="N2345" s="8">
        <v>45054.0</v>
      </c>
    </row>
    <row r="2346">
      <c r="A2346" s="5">
        <v>2345.0</v>
      </c>
      <c r="B2346" s="5" t="s">
        <v>2928</v>
      </c>
      <c r="C2346" s="5" t="s">
        <v>21</v>
      </c>
      <c r="K2346" s="5">
        <v>150.0</v>
      </c>
      <c r="N2346" s="8">
        <v>44550.0</v>
      </c>
    </row>
    <row r="2347">
      <c r="A2347" s="5">
        <v>2346.0</v>
      </c>
      <c r="B2347" s="5" t="s">
        <v>2929</v>
      </c>
      <c r="C2347" s="5" t="s">
        <v>21</v>
      </c>
      <c r="K2347" s="5">
        <v>800.0</v>
      </c>
      <c r="N2347" s="8">
        <v>44721.0</v>
      </c>
    </row>
    <row r="2348">
      <c r="A2348" s="5">
        <v>2347.0</v>
      </c>
      <c r="B2348" s="5" t="s">
        <v>2930</v>
      </c>
      <c r="C2348" s="5" t="s">
        <v>21</v>
      </c>
      <c r="K2348" s="5">
        <v>900.0</v>
      </c>
      <c r="N2348" s="8">
        <v>44304.0</v>
      </c>
    </row>
    <row r="2349">
      <c r="A2349" s="5">
        <v>2348.0</v>
      </c>
      <c r="B2349" s="5" t="s">
        <v>2931</v>
      </c>
      <c r="C2349" s="5" t="s">
        <v>21</v>
      </c>
      <c r="K2349" s="5">
        <v>600.0</v>
      </c>
      <c r="N2349" s="8">
        <v>45031.0</v>
      </c>
    </row>
    <row r="2350">
      <c r="A2350" s="5">
        <v>2349.0</v>
      </c>
      <c r="B2350" s="5" t="s">
        <v>2932</v>
      </c>
      <c r="C2350" s="5" t="s">
        <v>21</v>
      </c>
      <c r="K2350" s="5">
        <v>200.0</v>
      </c>
      <c r="N2350" s="8">
        <v>44676.0</v>
      </c>
    </row>
    <row r="2351">
      <c r="A2351" s="5">
        <v>2350.0</v>
      </c>
      <c r="B2351" s="5" t="s">
        <v>2933</v>
      </c>
      <c r="C2351" s="5" t="s">
        <v>21</v>
      </c>
      <c r="F2351" s="5">
        <v>0.4</v>
      </c>
      <c r="N2351" s="8">
        <v>43918.0</v>
      </c>
    </row>
    <row r="2352">
      <c r="A2352" s="5">
        <v>2351.0</v>
      </c>
      <c r="B2352" s="5" t="s">
        <v>2934</v>
      </c>
      <c r="C2352" s="5" t="s">
        <v>21</v>
      </c>
      <c r="K2352" s="5">
        <v>600.0</v>
      </c>
      <c r="N2352" s="8">
        <v>44132.0</v>
      </c>
    </row>
    <row r="2353">
      <c r="A2353" s="5">
        <v>2352.0</v>
      </c>
      <c r="B2353" s="5" t="s">
        <v>2935</v>
      </c>
      <c r="C2353" s="5" t="s">
        <v>21</v>
      </c>
      <c r="K2353" s="5">
        <v>400.0</v>
      </c>
      <c r="N2353" s="8">
        <v>43912.0</v>
      </c>
    </row>
    <row r="2354">
      <c r="A2354" s="5">
        <v>2353.0</v>
      </c>
      <c r="B2354" s="5" t="s">
        <v>2936</v>
      </c>
      <c r="C2354" s="5" t="s">
        <v>21</v>
      </c>
      <c r="K2354" s="5">
        <v>200.0</v>
      </c>
      <c r="N2354" s="8">
        <v>44062.0</v>
      </c>
    </row>
    <row r="2355">
      <c r="A2355" s="5">
        <v>2354.0</v>
      </c>
      <c r="B2355" s="5" t="s">
        <v>2937</v>
      </c>
      <c r="C2355" s="5" t="s">
        <v>21</v>
      </c>
      <c r="K2355" s="5">
        <v>350.0</v>
      </c>
      <c r="N2355" s="8">
        <v>44683.0</v>
      </c>
    </row>
    <row r="2356">
      <c r="A2356" s="5">
        <v>2355.0</v>
      </c>
      <c r="B2356" s="5" t="s">
        <v>2938</v>
      </c>
      <c r="C2356" s="5" t="s">
        <v>21</v>
      </c>
      <c r="K2356" s="5">
        <v>450.0</v>
      </c>
      <c r="N2356" s="8">
        <v>44148.0</v>
      </c>
    </row>
    <row r="2357">
      <c r="A2357" s="5">
        <v>2356.0</v>
      </c>
      <c r="B2357" s="5" t="s">
        <v>2939</v>
      </c>
      <c r="C2357" s="5" t="s">
        <v>21</v>
      </c>
      <c r="K2357" s="5">
        <v>30.0</v>
      </c>
      <c r="N2357" s="8">
        <v>45070.0</v>
      </c>
    </row>
    <row r="2358">
      <c r="A2358" s="5">
        <v>2357.0</v>
      </c>
      <c r="B2358" s="5" t="s">
        <v>2940</v>
      </c>
      <c r="C2358" s="5" t="s">
        <v>21</v>
      </c>
      <c r="K2358" s="5">
        <v>900.0</v>
      </c>
      <c r="N2358" s="8">
        <v>45759.0</v>
      </c>
    </row>
    <row r="2359">
      <c r="A2359" s="5">
        <v>2358.0</v>
      </c>
      <c r="B2359" s="5" t="s">
        <v>2941</v>
      </c>
      <c r="C2359" s="5" t="s">
        <v>21</v>
      </c>
      <c r="K2359" s="5">
        <v>90.0</v>
      </c>
      <c r="N2359" s="8">
        <v>44608.0</v>
      </c>
    </row>
    <row r="2360">
      <c r="A2360" s="5">
        <v>2359.0</v>
      </c>
      <c r="B2360" s="5" t="s">
        <v>2942</v>
      </c>
      <c r="C2360" s="5" t="s">
        <v>21</v>
      </c>
      <c r="K2360" s="5">
        <v>500.0</v>
      </c>
      <c r="N2360" s="8">
        <v>44397.0</v>
      </c>
    </row>
    <row r="2361">
      <c r="A2361" s="5">
        <v>2360.0</v>
      </c>
      <c r="B2361" s="5" t="s">
        <v>2943</v>
      </c>
      <c r="C2361" s="5" t="s">
        <v>21</v>
      </c>
      <c r="K2361" s="5">
        <v>600.0</v>
      </c>
      <c r="N2361" s="8">
        <v>45071.0</v>
      </c>
    </row>
    <row r="2362">
      <c r="A2362" s="5">
        <v>2361.0</v>
      </c>
      <c r="B2362" s="5" t="s">
        <v>2944</v>
      </c>
      <c r="C2362" s="5" t="s">
        <v>21</v>
      </c>
      <c r="K2362" s="5">
        <v>3500.0</v>
      </c>
      <c r="N2362" s="8">
        <v>45538.0</v>
      </c>
    </row>
    <row r="2363">
      <c r="A2363" s="5">
        <v>2362.0</v>
      </c>
      <c r="B2363" s="5" t="s">
        <v>2945</v>
      </c>
      <c r="C2363" s="5" t="s">
        <v>21</v>
      </c>
      <c r="K2363" s="5">
        <v>450.0</v>
      </c>
      <c r="N2363" s="8">
        <v>44615.0</v>
      </c>
    </row>
    <row r="2364">
      <c r="A2364" s="5">
        <v>2363.0</v>
      </c>
      <c r="B2364" s="5" t="s">
        <v>2946</v>
      </c>
      <c r="C2364" s="5" t="s">
        <v>21</v>
      </c>
      <c r="K2364" s="5">
        <v>450.0</v>
      </c>
      <c r="N2364" s="8">
        <v>44316.0</v>
      </c>
    </row>
    <row r="2365">
      <c r="A2365" s="5">
        <v>2364.0</v>
      </c>
      <c r="B2365" s="5" t="s">
        <v>211</v>
      </c>
      <c r="C2365" s="5" t="s">
        <v>21</v>
      </c>
      <c r="K2365" s="5">
        <v>250.0</v>
      </c>
      <c r="N2365" s="8">
        <v>44526.0</v>
      </c>
    </row>
    <row r="2366">
      <c r="A2366" s="5">
        <v>2365.0</v>
      </c>
      <c r="B2366" s="5" t="s">
        <v>2947</v>
      </c>
      <c r="C2366" s="5" t="s">
        <v>21</v>
      </c>
      <c r="K2366" s="5">
        <v>800.0</v>
      </c>
      <c r="N2366" s="8">
        <v>44503.0</v>
      </c>
    </row>
    <row r="2367">
      <c r="A2367" s="5">
        <v>2366.0</v>
      </c>
      <c r="B2367" s="5" t="s">
        <v>2948</v>
      </c>
      <c r="C2367" s="5" t="s">
        <v>21</v>
      </c>
      <c r="K2367" s="5">
        <v>10.0</v>
      </c>
      <c r="N2367" s="8">
        <v>45245.0</v>
      </c>
    </row>
    <row r="2368">
      <c r="A2368" s="5">
        <v>2367.0</v>
      </c>
      <c r="B2368" s="5" t="s">
        <v>2949</v>
      </c>
      <c r="C2368" s="5" t="s">
        <v>21</v>
      </c>
      <c r="K2368" s="5">
        <v>600.0</v>
      </c>
      <c r="N2368" s="8">
        <v>44396.0</v>
      </c>
    </row>
    <row r="2369">
      <c r="A2369" s="5">
        <v>2368.0</v>
      </c>
      <c r="B2369" s="5" t="s">
        <v>2950</v>
      </c>
      <c r="C2369" s="5" t="s">
        <v>21</v>
      </c>
      <c r="K2369" s="5">
        <v>350.0</v>
      </c>
      <c r="N2369" s="8">
        <v>44452.0</v>
      </c>
    </row>
    <row r="2370">
      <c r="A2370" s="5">
        <v>2369.0</v>
      </c>
      <c r="B2370" s="5" t="s">
        <v>206</v>
      </c>
      <c r="C2370" s="5" t="s">
        <v>21</v>
      </c>
      <c r="K2370" s="5">
        <v>20.0</v>
      </c>
      <c r="N2370" s="8">
        <v>44143.0</v>
      </c>
    </row>
    <row r="2371">
      <c r="A2371" s="5">
        <v>2370.0</v>
      </c>
      <c r="B2371" s="5" t="s">
        <v>2951</v>
      </c>
      <c r="C2371" s="5" t="s">
        <v>21</v>
      </c>
      <c r="K2371" s="5">
        <v>90.0</v>
      </c>
      <c r="N2371" s="8">
        <v>45064.0</v>
      </c>
    </row>
    <row r="2372">
      <c r="A2372" s="5">
        <v>2371.0</v>
      </c>
      <c r="B2372" s="5" t="s">
        <v>2952</v>
      </c>
      <c r="C2372" s="5" t="s">
        <v>21</v>
      </c>
      <c r="K2372" s="5">
        <v>200.0</v>
      </c>
      <c r="N2372" s="8">
        <v>43952.0</v>
      </c>
    </row>
    <row r="2373">
      <c r="A2373" s="5">
        <v>2372.0</v>
      </c>
      <c r="B2373" s="5" t="s">
        <v>2953</v>
      </c>
      <c r="C2373" s="5" t="s">
        <v>21</v>
      </c>
      <c r="K2373" s="5">
        <v>10.0</v>
      </c>
      <c r="N2373" s="8">
        <v>44565.0</v>
      </c>
    </row>
    <row r="2374">
      <c r="A2374" s="5">
        <v>2373.0</v>
      </c>
      <c r="B2374" s="5" t="s">
        <v>2954</v>
      </c>
      <c r="C2374" s="5" t="s">
        <v>21</v>
      </c>
      <c r="K2374" s="5">
        <v>200.0</v>
      </c>
      <c r="N2374" s="8">
        <v>44721.0</v>
      </c>
    </row>
    <row r="2375">
      <c r="A2375" s="5">
        <v>2374.0</v>
      </c>
      <c r="B2375" s="5" t="s">
        <v>2955</v>
      </c>
      <c r="C2375" s="5" t="s">
        <v>21</v>
      </c>
      <c r="K2375" s="5">
        <v>60.0</v>
      </c>
      <c r="N2375" s="8">
        <v>45326.0</v>
      </c>
    </row>
    <row r="2376">
      <c r="A2376" s="5">
        <v>2375.0</v>
      </c>
      <c r="B2376" s="5" t="s">
        <v>2956</v>
      </c>
      <c r="C2376" s="5" t="s">
        <v>21</v>
      </c>
      <c r="K2376" s="5">
        <v>40.0</v>
      </c>
      <c r="N2376" s="8">
        <v>45308.0</v>
      </c>
    </row>
    <row r="2377">
      <c r="A2377" s="5">
        <v>2376.0</v>
      </c>
      <c r="B2377" s="5" t="s">
        <v>2957</v>
      </c>
      <c r="C2377" s="5" t="s">
        <v>21</v>
      </c>
      <c r="K2377" s="5">
        <v>200.0</v>
      </c>
      <c r="N2377" s="8">
        <v>45320.0</v>
      </c>
    </row>
    <row r="2378">
      <c r="A2378" s="5">
        <v>2377.0</v>
      </c>
      <c r="B2378" s="5" t="s">
        <v>216</v>
      </c>
      <c r="C2378" s="5" t="s">
        <v>21</v>
      </c>
      <c r="K2378" s="5">
        <v>900.0</v>
      </c>
      <c r="N2378" s="8">
        <v>45570.0</v>
      </c>
    </row>
    <row r="2379">
      <c r="A2379" s="5">
        <v>2378.0</v>
      </c>
      <c r="B2379" s="5" t="s">
        <v>2958</v>
      </c>
      <c r="C2379" s="5" t="s">
        <v>21</v>
      </c>
      <c r="K2379" s="5">
        <v>150.0</v>
      </c>
      <c r="N2379" s="8">
        <v>43912.0</v>
      </c>
    </row>
    <row r="2380">
      <c r="A2380" s="5">
        <v>2379.0</v>
      </c>
      <c r="B2380" s="5" t="s">
        <v>2959</v>
      </c>
      <c r="C2380" s="5" t="s">
        <v>21</v>
      </c>
      <c r="N2380" s="8">
        <v>44614.0</v>
      </c>
    </row>
    <row r="2381">
      <c r="A2381" s="5">
        <v>2380.0</v>
      </c>
      <c r="B2381" s="5" t="s">
        <v>2960</v>
      </c>
      <c r="C2381" s="5" t="s">
        <v>21</v>
      </c>
      <c r="K2381" s="5">
        <v>300.0</v>
      </c>
      <c r="N2381" s="8">
        <v>44408.0</v>
      </c>
    </row>
    <row r="2382">
      <c r="A2382" s="5">
        <v>2381.0</v>
      </c>
      <c r="B2382" s="5" t="s">
        <v>2961</v>
      </c>
      <c r="C2382" s="5" t="s">
        <v>21</v>
      </c>
      <c r="K2382" s="5">
        <v>300.0</v>
      </c>
      <c r="N2382" s="8">
        <v>44571.0</v>
      </c>
    </row>
    <row r="2383">
      <c r="A2383" s="5">
        <v>2382.0</v>
      </c>
      <c r="B2383" s="5" t="s">
        <v>2962</v>
      </c>
      <c r="C2383" s="5" t="s">
        <v>21</v>
      </c>
      <c r="K2383" s="5">
        <v>100.0</v>
      </c>
      <c r="N2383" s="8">
        <v>44821.0</v>
      </c>
    </row>
    <row r="2384">
      <c r="A2384" s="5">
        <v>2383.0</v>
      </c>
      <c r="B2384" s="5" t="s">
        <v>2963</v>
      </c>
      <c r="C2384" s="5" t="s">
        <v>21</v>
      </c>
      <c r="K2384" s="5">
        <v>150.0</v>
      </c>
      <c r="N2384" s="8">
        <v>45104.0</v>
      </c>
    </row>
    <row r="2385">
      <c r="A2385" s="5">
        <v>2384.0</v>
      </c>
      <c r="B2385" s="5" t="s">
        <v>2964</v>
      </c>
      <c r="C2385" s="5" t="s">
        <v>21</v>
      </c>
      <c r="K2385" s="5">
        <v>250.0</v>
      </c>
      <c r="N2385" s="8">
        <v>44422.0</v>
      </c>
    </row>
    <row r="2386">
      <c r="A2386" s="5">
        <v>2385.0</v>
      </c>
      <c r="B2386" s="5" t="s">
        <v>2965</v>
      </c>
      <c r="C2386" s="5" t="s">
        <v>21</v>
      </c>
      <c r="N2386" s="8">
        <v>44540.0</v>
      </c>
    </row>
    <row r="2387">
      <c r="A2387" s="5">
        <v>2386.0</v>
      </c>
      <c r="B2387" s="5" t="s">
        <v>2966</v>
      </c>
      <c r="C2387" s="5" t="s">
        <v>21</v>
      </c>
      <c r="K2387" s="5">
        <v>300.0</v>
      </c>
      <c r="N2387" s="8">
        <v>44558.0</v>
      </c>
    </row>
    <row r="2388">
      <c r="A2388" s="5">
        <v>2387.0</v>
      </c>
      <c r="B2388" s="5" t="s">
        <v>2967</v>
      </c>
      <c r="C2388" s="5" t="s">
        <v>21</v>
      </c>
      <c r="K2388" s="5">
        <v>10000.0</v>
      </c>
      <c r="N2388" s="8">
        <v>43881.0</v>
      </c>
    </row>
    <row r="2389">
      <c r="A2389" s="5">
        <v>2388.0</v>
      </c>
      <c r="B2389" s="5" t="s">
        <v>2968</v>
      </c>
      <c r="C2389" s="5" t="s">
        <v>21</v>
      </c>
      <c r="K2389" s="5">
        <v>3900.0</v>
      </c>
      <c r="N2389" s="8">
        <v>45307.0</v>
      </c>
    </row>
    <row r="2390">
      <c r="A2390" s="5">
        <v>2389.0</v>
      </c>
      <c r="B2390" s="5" t="s">
        <v>2969</v>
      </c>
      <c r="C2390" s="5" t="s">
        <v>21</v>
      </c>
      <c r="K2390" s="5">
        <v>500.0</v>
      </c>
      <c r="N2390" s="8">
        <v>43906.0</v>
      </c>
    </row>
    <row r="2391">
      <c r="A2391" s="5">
        <v>2390.0</v>
      </c>
      <c r="B2391" s="5" t="s">
        <v>2970</v>
      </c>
      <c r="C2391" s="5" t="s">
        <v>21</v>
      </c>
      <c r="K2391" s="5">
        <v>300.0</v>
      </c>
      <c r="N2391" s="8">
        <v>45021.0</v>
      </c>
    </row>
    <row r="2392">
      <c r="A2392" s="5">
        <v>2391.0</v>
      </c>
      <c r="B2392" s="5" t="s">
        <v>2971</v>
      </c>
      <c r="C2392" s="5" t="s">
        <v>21</v>
      </c>
      <c r="K2392" s="5">
        <v>350.0</v>
      </c>
      <c r="N2392" s="8">
        <v>44725.0</v>
      </c>
    </row>
    <row r="2393">
      <c r="A2393" s="5">
        <v>2392.0</v>
      </c>
      <c r="B2393" s="5" t="s">
        <v>2972</v>
      </c>
      <c r="C2393" s="5" t="s">
        <v>21</v>
      </c>
      <c r="K2393" s="5">
        <v>450.0</v>
      </c>
      <c r="N2393" s="8">
        <v>45130.0</v>
      </c>
    </row>
    <row r="2394">
      <c r="A2394" s="5">
        <v>2393.0</v>
      </c>
      <c r="B2394" s="5" t="s">
        <v>2973</v>
      </c>
      <c r="C2394" s="5" t="s">
        <v>21</v>
      </c>
      <c r="K2394" s="5">
        <v>100.0</v>
      </c>
      <c r="N2394" s="8">
        <v>44599.0</v>
      </c>
    </row>
    <row r="2395">
      <c r="A2395" s="5">
        <v>2394.0</v>
      </c>
      <c r="B2395" s="5" t="s">
        <v>2974</v>
      </c>
      <c r="C2395" s="5" t="s">
        <v>21</v>
      </c>
      <c r="K2395" s="5">
        <v>350.0</v>
      </c>
      <c r="N2395" s="8">
        <v>44108.0</v>
      </c>
    </row>
    <row r="2396">
      <c r="A2396" s="5">
        <v>2395.0</v>
      </c>
      <c r="B2396" s="5" t="s">
        <v>2975</v>
      </c>
      <c r="C2396" s="5" t="s">
        <v>21</v>
      </c>
      <c r="K2396" s="5">
        <v>60.0</v>
      </c>
      <c r="N2396" s="8">
        <v>44699.0</v>
      </c>
    </row>
    <row r="2397">
      <c r="A2397" s="5">
        <v>2396.0</v>
      </c>
      <c r="B2397" s="5" t="s">
        <v>2976</v>
      </c>
      <c r="C2397" s="5" t="s">
        <v>21</v>
      </c>
      <c r="K2397" s="5">
        <v>10.0</v>
      </c>
      <c r="N2397" s="8">
        <v>44256.0</v>
      </c>
    </row>
    <row r="2398">
      <c r="A2398" s="5">
        <v>2397.0</v>
      </c>
      <c r="B2398" s="5" t="s">
        <v>2977</v>
      </c>
      <c r="C2398" s="5" t="s">
        <v>21</v>
      </c>
      <c r="K2398" s="5">
        <v>250.0</v>
      </c>
      <c r="N2398" s="8">
        <v>44599.0</v>
      </c>
    </row>
    <row r="2399">
      <c r="A2399" s="5">
        <v>2398.0</v>
      </c>
      <c r="B2399" s="5" t="s">
        <v>2978</v>
      </c>
      <c r="C2399" s="5" t="s">
        <v>21</v>
      </c>
      <c r="K2399" s="5">
        <v>40.0</v>
      </c>
      <c r="N2399" s="8">
        <v>44516.0</v>
      </c>
    </row>
    <row r="2400">
      <c r="A2400" s="5">
        <v>2399.0</v>
      </c>
      <c r="B2400" s="5" t="s">
        <v>2979</v>
      </c>
      <c r="C2400" s="5" t="s">
        <v>21</v>
      </c>
      <c r="K2400" s="5">
        <v>350.0</v>
      </c>
      <c r="N2400" s="8">
        <v>45714.0</v>
      </c>
    </row>
    <row r="2401">
      <c r="A2401" s="5">
        <v>2400.0</v>
      </c>
      <c r="B2401" s="5" t="s">
        <v>2980</v>
      </c>
      <c r="C2401" s="5" t="s">
        <v>21</v>
      </c>
      <c r="K2401" s="5">
        <v>250.0</v>
      </c>
      <c r="N2401" s="8">
        <v>44828.0</v>
      </c>
    </row>
    <row r="2402">
      <c r="A2402" s="5">
        <v>2401.0</v>
      </c>
      <c r="B2402" s="5" t="s">
        <v>2981</v>
      </c>
      <c r="C2402" s="5" t="s">
        <v>21</v>
      </c>
      <c r="K2402" s="5">
        <v>1000.0</v>
      </c>
      <c r="N2402" s="8">
        <v>44351.0</v>
      </c>
    </row>
    <row r="2403">
      <c r="A2403" s="5">
        <v>2402.0</v>
      </c>
      <c r="B2403" s="5" t="s">
        <v>2982</v>
      </c>
      <c r="C2403" s="5" t="s">
        <v>21</v>
      </c>
      <c r="K2403" s="5">
        <v>2300.0</v>
      </c>
      <c r="N2403" s="8">
        <v>44237.0</v>
      </c>
    </row>
    <row r="2404">
      <c r="A2404" s="5">
        <v>2403.0</v>
      </c>
      <c r="B2404" s="5" t="s">
        <v>2983</v>
      </c>
      <c r="C2404" s="5" t="s">
        <v>21</v>
      </c>
      <c r="K2404" s="5">
        <v>2200.0</v>
      </c>
      <c r="N2404" s="8">
        <v>44542.0</v>
      </c>
    </row>
    <row r="2405">
      <c r="A2405" s="5">
        <v>2404.0</v>
      </c>
      <c r="B2405" s="5" t="s">
        <v>2984</v>
      </c>
      <c r="C2405" s="5" t="s">
        <v>21</v>
      </c>
      <c r="K2405" s="5">
        <v>200.0</v>
      </c>
      <c r="N2405" s="8">
        <v>45151.0</v>
      </c>
    </row>
    <row r="2406">
      <c r="A2406" s="5">
        <v>2405.0</v>
      </c>
      <c r="B2406" s="5" t="s">
        <v>2985</v>
      </c>
      <c r="C2406" s="5" t="s">
        <v>21</v>
      </c>
      <c r="K2406" s="5">
        <v>400.0</v>
      </c>
      <c r="N2406" s="8">
        <v>44330.0</v>
      </c>
    </row>
    <row r="2407">
      <c r="A2407" s="5">
        <v>2406.0</v>
      </c>
      <c r="B2407" s="5" t="s">
        <v>209</v>
      </c>
      <c r="C2407" s="5" t="s">
        <v>21</v>
      </c>
      <c r="K2407" s="5">
        <v>900.0</v>
      </c>
      <c r="N2407" s="8">
        <v>45057.0</v>
      </c>
    </row>
    <row r="2408">
      <c r="A2408" s="5">
        <v>2407.0</v>
      </c>
      <c r="B2408" s="5" t="s">
        <v>2986</v>
      </c>
      <c r="C2408" s="5" t="s">
        <v>21</v>
      </c>
      <c r="K2408" s="5">
        <v>40.0</v>
      </c>
      <c r="N2408" s="8">
        <v>44596.0</v>
      </c>
    </row>
    <row r="2409">
      <c r="A2409" s="5">
        <v>2408.0</v>
      </c>
      <c r="B2409" s="5" t="s">
        <v>2987</v>
      </c>
      <c r="C2409" s="5" t="s">
        <v>21</v>
      </c>
      <c r="K2409" s="5">
        <v>600.0</v>
      </c>
      <c r="N2409" s="8">
        <v>44366.0</v>
      </c>
    </row>
    <row r="2410">
      <c r="A2410" s="5">
        <v>2409.0</v>
      </c>
      <c r="B2410" s="5" t="s">
        <v>2988</v>
      </c>
      <c r="C2410" s="5" t="s">
        <v>21</v>
      </c>
      <c r="K2410" s="5">
        <v>100.0</v>
      </c>
      <c r="N2410" s="8">
        <v>45632.0</v>
      </c>
    </row>
    <row r="2411">
      <c r="A2411" s="5">
        <v>2410.0</v>
      </c>
      <c r="B2411" s="5" t="s">
        <v>2989</v>
      </c>
      <c r="C2411" s="5" t="s">
        <v>21</v>
      </c>
      <c r="K2411" s="5">
        <v>70.0</v>
      </c>
      <c r="N2411" s="8">
        <v>44611.0</v>
      </c>
    </row>
    <row r="2412">
      <c r="A2412" s="5">
        <v>2411.0</v>
      </c>
      <c r="B2412" s="5" t="s">
        <v>2990</v>
      </c>
      <c r="C2412" s="5" t="s">
        <v>21</v>
      </c>
      <c r="K2412" s="5">
        <v>20.0</v>
      </c>
      <c r="N2412" s="8">
        <v>44537.0</v>
      </c>
    </row>
    <row r="2413">
      <c r="A2413" s="5">
        <v>2412.0</v>
      </c>
      <c r="B2413" s="5" t="s">
        <v>2991</v>
      </c>
      <c r="C2413" s="5" t="s">
        <v>21</v>
      </c>
      <c r="K2413" s="5">
        <v>200.0</v>
      </c>
      <c r="N2413" s="8">
        <v>45716.0</v>
      </c>
    </row>
    <row r="2414">
      <c r="A2414" s="5">
        <v>2413.0</v>
      </c>
      <c r="B2414" s="5" t="s">
        <v>2992</v>
      </c>
      <c r="C2414" s="5" t="s">
        <v>21</v>
      </c>
      <c r="K2414" s="5">
        <v>1300.0</v>
      </c>
      <c r="N2414" s="8">
        <v>45741.0</v>
      </c>
    </row>
    <row r="2415">
      <c r="A2415" s="5">
        <v>2414.0</v>
      </c>
      <c r="B2415" s="5" t="s">
        <v>2993</v>
      </c>
      <c r="C2415" s="5" t="s">
        <v>21</v>
      </c>
      <c r="K2415" s="5">
        <v>4300.0</v>
      </c>
      <c r="N2415" s="8">
        <v>44259.0</v>
      </c>
    </row>
    <row r="2416">
      <c r="A2416" s="5">
        <v>2415.0</v>
      </c>
      <c r="B2416" s="5" t="s">
        <v>2994</v>
      </c>
      <c r="C2416" s="5" t="s">
        <v>21</v>
      </c>
      <c r="K2416" s="5">
        <v>700.0</v>
      </c>
      <c r="N2416" s="8">
        <v>43866.0</v>
      </c>
    </row>
    <row r="2417">
      <c r="A2417" s="5">
        <v>2416.0</v>
      </c>
      <c r="B2417" s="5" t="s">
        <v>2995</v>
      </c>
      <c r="C2417" s="5" t="s">
        <v>21</v>
      </c>
      <c r="K2417" s="5">
        <v>1100.0</v>
      </c>
      <c r="N2417" s="8">
        <v>44137.0</v>
      </c>
    </row>
    <row r="2418">
      <c r="A2418" s="5">
        <v>2417.0</v>
      </c>
      <c r="B2418" s="5" t="s">
        <v>2996</v>
      </c>
      <c r="C2418" s="5" t="s">
        <v>21</v>
      </c>
      <c r="K2418" s="5">
        <v>1700.0</v>
      </c>
      <c r="N2418" s="8">
        <v>45608.0</v>
      </c>
    </row>
    <row r="2419">
      <c r="A2419" s="5">
        <v>2418.0</v>
      </c>
      <c r="B2419" s="5" t="s">
        <v>215</v>
      </c>
      <c r="C2419" s="5" t="s">
        <v>21</v>
      </c>
      <c r="K2419" s="5">
        <v>40.0</v>
      </c>
      <c r="N2419" s="8">
        <v>43946.0</v>
      </c>
    </row>
    <row r="2420">
      <c r="A2420" s="5">
        <v>2419.0</v>
      </c>
      <c r="B2420" s="5" t="s">
        <v>2997</v>
      </c>
      <c r="C2420" s="5" t="s">
        <v>21</v>
      </c>
      <c r="K2420" s="5">
        <v>800.0</v>
      </c>
      <c r="N2420" s="8">
        <v>43943.0</v>
      </c>
    </row>
    <row r="2421">
      <c r="A2421" s="5">
        <v>2420.0</v>
      </c>
      <c r="B2421" s="5" t="s">
        <v>2998</v>
      </c>
      <c r="C2421" s="5" t="s">
        <v>21</v>
      </c>
      <c r="K2421" s="5">
        <v>1400.0</v>
      </c>
      <c r="N2421" s="8">
        <v>44258.0</v>
      </c>
    </row>
    <row r="2422">
      <c r="A2422" s="5">
        <v>2421.0</v>
      </c>
      <c r="B2422" s="5" t="s">
        <v>219</v>
      </c>
      <c r="C2422" s="5" t="s">
        <v>21</v>
      </c>
      <c r="K2422" s="5">
        <v>5300.0</v>
      </c>
      <c r="N2422" s="8">
        <v>43998.0</v>
      </c>
    </row>
    <row r="2423">
      <c r="A2423" s="5">
        <v>2422.0</v>
      </c>
      <c r="B2423" s="5" t="s">
        <v>2999</v>
      </c>
      <c r="C2423" s="5" t="s">
        <v>21</v>
      </c>
      <c r="K2423" s="5">
        <v>10.0</v>
      </c>
      <c r="N2423" s="8">
        <v>44420.0</v>
      </c>
    </row>
    <row r="2424">
      <c r="A2424" s="5">
        <v>2423.0</v>
      </c>
      <c r="B2424" s="5" t="s">
        <v>3000</v>
      </c>
      <c r="C2424" s="5" t="s">
        <v>21</v>
      </c>
      <c r="K2424" s="5">
        <v>150.0</v>
      </c>
      <c r="N2424" s="8">
        <v>44458.0</v>
      </c>
    </row>
    <row r="2425">
      <c r="A2425" s="5">
        <v>2424.0</v>
      </c>
      <c r="B2425" s="5" t="s">
        <v>3001</v>
      </c>
      <c r="C2425" s="5" t="s">
        <v>21</v>
      </c>
      <c r="K2425" s="5">
        <v>450.0</v>
      </c>
      <c r="N2425" s="8">
        <v>44556.0</v>
      </c>
    </row>
    <row r="2426">
      <c r="A2426" s="5">
        <v>2425.0</v>
      </c>
      <c r="B2426" s="5" t="s">
        <v>3002</v>
      </c>
      <c r="C2426" s="5" t="s">
        <v>21</v>
      </c>
      <c r="K2426" s="5">
        <v>700.0</v>
      </c>
      <c r="N2426" s="8">
        <v>44769.0</v>
      </c>
    </row>
    <row r="2427">
      <c r="A2427" s="5">
        <v>2426.0</v>
      </c>
      <c r="B2427" s="5" t="s">
        <v>3003</v>
      </c>
      <c r="C2427" s="5" t="s">
        <v>21</v>
      </c>
      <c r="K2427" s="5">
        <v>250.0</v>
      </c>
      <c r="N2427" s="8">
        <v>44203.0</v>
      </c>
    </row>
    <row r="2428">
      <c r="A2428" s="5">
        <v>2427.0</v>
      </c>
      <c r="B2428" s="5" t="s">
        <v>3004</v>
      </c>
      <c r="C2428" s="5" t="s">
        <v>21</v>
      </c>
      <c r="K2428" s="5">
        <v>350.0</v>
      </c>
      <c r="N2428" s="8">
        <v>44378.0</v>
      </c>
    </row>
    <row r="2429">
      <c r="A2429" s="5">
        <v>2428.0</v>
      </c>
      <c r="B2429" s="5" t="s">
        <v>3005</v>
      </c>
      <c r="C2429" s="5" t="s">
        <v>21</v>
      </c>
      <c r="K2429" s="5">
        <v>700.0</v>
      </c>
      <c r="N2429" s="8">
        <v>44520.0</v>
      </c>
    </row>
    <row r="2430">
      <c r="A2430" s="5">
        <v>2429.0</v>
      </c>
      <c r="B2430" s="5" t="s">
        <v>3006</v>
      </c>
      <c r="C2430" s="5" t="s">
        <v>21</v>
      </c>
      <c r="K2430" s="5">
        <v>1400.0</v>
      </c>
      <c r="N2430" s="8">
        <v>43889.0</v>
      </c>
    </row>
    <row r="2431">
      <c r="A2431" s="5">
        <v>2430.0</v>
      </c>
      <c r="B2431" s="5" t="s">
        <v>3007</v>
      </c>
      <c r="C2431" s="5" t="s">
        <v>21</v>
      </c>
      <c r="K2431" s="5">
        <v>50.0</v>
      </c>
      <c r="N2431" s="8">
        <v>44635.0</v>
      </c>
    </row>
    <row r="2432">
      <c r="A2432" s="5">
        <v>2431.0</v>
      </c>
      <c r="B2432" s="5" t="s">
        <v>3008</v>
      </c>
      <c r="C2432" s="5" t="s">
        <v>21</v>
      </c>
      <c r="N2432" s="8">
        <v>44519.0</v>
      </c>
    </row>
    <row r="2433">
      <c r="A2433" s="5">
        <v>2432.0</v>
      </c>
      <c r="B2433" s="5" t="s">
        <v>3009</v>
      </c>
      <c r="C2433" s="5" t="s">
        <v>21</v>
      </c>
      <c r="N2433" s="8">
        <v>44533.0</v>
      </c>
    </row>
    <row r="2434">
      <c r="A2434" s="5">
        <v>2433.0</v>
      </c>
      <c r="B2434" s="5" t="s">
        <v>3010</v>
      </c>
      <c r="C2434" s="5" t="s">
        <v>21</v>
      </c>
      <c r="K2434" s="5">
        <v>250.0</v>
      </c>
      <c r="N2434" s="8">
        <v>45973.0</v>
      </c>
    </row>
    <row r="2435">
      <c r="A2435" s="5">
        <v>2434.0</v>
      </c>
      <c r="B2435" s="5" t="s">
        <v>218</v>
      </c>
      <c r="C2435" s="5" t="s">
        <v>21</v>
      </c>
      <c r="K2435" s="5">
        <v>40.0</v>
      </c>
      <c r="N2435" s="8">
        <v>44022.0</v>
      </c>
    </row>
    <row r="2436">
      <c r="A2436" s="5">
        <v>2435.0</v>
      </c>
      <c r="B2436" s="5" t="s">
        <v>3011</v>
      </c>
      <c r="C2436" s="5" t="s">
        <v>21</v>
      </c>
      <c r="N2436" s="8">
        <v>45043.0</v>
      </c>
    </row>
    <row r="2437">
      <c r="A2437" s="5">
        <v>2436.0</v>
      </c>
      <c r="B2437" s="5" t="s">
        <v>3012</v>
      </c>
      <c r="C2437" s="5" t="s">
        <v>21</v>
      </c>
      <c r="K2437" s="5">
        <v>250.0</v>
      </c>
      <c r="N2437" s="8">
        <v>44397.0</v>
      </c>
    </row>
    <row r="2438">
      <c r="A2438" s="5">
        <v>2437.0</v>
      </c>
      <c r="B2438" s="5" t="s">
        <v>3013</v>
      </c>
      <c r="C2438" s="5" t="s">
        <v>21</v>
      </c>
      <c r="K2438" s="5">
        <v>200.0</v>
      </c>
      <c r="N2438" s="8">
        <v>45087.0</v>
      </c>
    </row>
    <row r="2439">
      <c r="A2439" s="5">
        <v>2438.0</v>
      </c>
      <c r="B2439" s="5" t="s">
        <v>3014</v>
      </c>
      <c r="C2439" s="5" t="s">
        <v>21</v>
      </c>
      <c r="K2439" s="5">
        <v>10.0</v>
      </c>
      <c r="N2439" s="8">
        <v>44759.0</v>
      </c>
    </row>
    <row r="2440">
      <c r="A2440" s="5">
        <v>2439.0</v>
      </c>
      <c r="B2440" s="5" t="s">
        <v>3015</v>
      </c>
      <c r="C2440" s="5" t="s">
        <v>21</v>
      </c>
      <c r="K2440" s="5">
        <v>30.0</v>
      </c>
      <c r="N2440" s="8">
        <v>44694.0</v>
      </c>
    </row>
    <row r="2441">
      <c r="A2441" s="5">
        <v>2440.0</v>
      </c>
      <c r="B2441" s="5" t="s">
        <v>3016</v>
      </c>
      <c r="C2441" s="5" t="s">
        <v>21</v>
      </c>
      <c r="K2441" s="5">
        <v>1700.0</v>
      </c>
      <c r="N2441" s="8">
        <v>45042.0</v>
      </c>
    </row>
    <row r="2442">
      <c r="A2442" s="5">
        <v>2441.0</v>
      </c>
      <c r="B2442" s="5" t="s">
        <v>3017</v>
      </c>
      <c r="C2442" s="5" t="s">
        <v>21</v>
      </c>
      <c r="K2442" s="5">
        <v>200.0</v>
      </c>
      <c r="N2442" s="8">
        <v>44094.0</v>
      </c>
    </row>
    <row r="2443">
      <c r="A2443" s="5">
        <v>2442.0</v>
      </c>
      <c r="B2443" s="5" t="s">
        <v>3018</v>
      </c>
      <c r="C2443" s="5" t="s">
        <v>21</v>
      </c>
      <c r="K2443" s="5">
        <v>250.0</v>
      </c>
      <c r="N2443" s="8">
        <v>44924.0</v>
      </c>
    </row>
    <row r="2444">
      <c r="A2444" s="5">
        <v>2443.0</v>
      </c>
      <c r="B2444" s="5" t="s">
        <v>3019</v>
      </c>
      <c r="C2444" s="5" t="s">
        <v>21</v>
      </c>
      <c r="K2444" s="5">
        <v>900.0</v>
      </c>
      <c r="N2444" s="8">
        <v>44577.0</v>
      </c>
    </row>
    <row r="2445">
      <c r="A2445" s="5">
        <v>2444.0</v>
      </c>
      <c r="B2445" s="5" t="s">
        <v>3020</v>
      </c>
      <c r="C2445" s="5" t="s">
        <v>21</v>
      </c>
      <c r="K2445" s="5">
        <v>450.0</v>
      </c>
      <c r="N2445" s="8">
        <v>45620.0</v>
      </c>
    </row>
    <row r="2446">
      <c r="A2446" s="5">
        <v>2445.0</v>
      </c>
      <c r="B2446" s="5" t="s">
        <v>3021</v>
      </c>
      <c r="C2446" s="5" t="s">
        <v>21</v>
      </c>
      <c r="K2446" s="5">
        <v>1500.0</v>
      </c>
      <c r="N2446" s="8">
        <v>44570.0</v>
      </c>
    </row>
    <row r="2447">
      <c r="A2447" s="5">
        <v>2446.0</v>
      </c>
      <c r="B2447" s="5" t="s">
        <v>3022</v>
      </c>
      <c r="C2447" s="5" t="s">
        <v>21</v>
      </c>
      <c r="K2447" s="5">
        <v>20.0</v>
      </c>
      <c r="N2447" s="8">
        <v>45239.0</v>
      </c>
    </row>
    <row r="2448">
      <c r="A2448" s="5">
        <v>2447.0</v>
      </c>
      <c r="B2448" s="5" t="s">
        <v>3023</v>
      </c>
      <c r="C2448" s="5" t="s">
        <v>21</v>
      </c>
      <c r="K2448" s="5">
        <v>10.0</v>
      </c>
      <c r="N2448" s="8">
        <v>44572.0</v>
      </c>
    </row>
    <row r="2449">
      <c r="A2449" s="5">
        <v>2448.0</v>
      </c>
      <c r="B2449" s="5" t="s">
        <v>3024</v>
      </c>
      <c r="C2449" s="5" t="s">
        <v>21</v>
      </c>
      <c r="K2449" s="5">
        <v>200.0</v>
      </c>
      <c r="N2449" s="8">
        <v>45558.0</v>
      </c>
    </row>
    <row r="2450">
      <c r="A2450" s="5">
        <v>2449.0</v>
      </c>
      <c r="B2450" s="5" t="s">
        <v>3025</v>
      </c>
      <c r="C2450" s="5" t="s">
        <v>21</v>
      </c>
      <c r="K2450" s="5">
        <v>80.0</v>
      </c>
      <c r="N2450" s="8">
        <v>44729.0</v>
      </c>
    </row>
    <row r="2451">
      <c r="A2451" s="5">
        <v>2450.0</v>
      </c>
      <c r="B2451" s="5" t="s">
        <v>3026</v>
      </c>
      <c r="C2451" s="5" t="s">
        <v>21</v>
      </c>
      <c r="K2451" s="5">
        <v>400.0</v>
      </c>
      <c r="N2451" s="8">
        <v>44337.0</v>
      </c>
    </row>
    <row r="2452">
      <c r="A2452" s="5">
        <v>2451.0</v>
      </c>
      <c r="B2452" s="5" t="s">
        <v>3027</v>
      </c>
      <c r="C2452" s="5" t="s">
        <v>21</v>
      </c>
      <c r="K2452" s="5">
        <v>400.0</v>
      </c>
      <c r="N2452" s="8">
        <v>44701.0</v>
      </c>
    </row>
    <row r="2453">
      <c r="A2453" s="5">
        <v>2452.0</v>
      </c>
      <c r="B2453" s="5" t="s">
        <v>3028</v>
      </c>
      <c r="C2453" s="5" t="s">
        <v>21</v>
      </c>
      <c r="K2453" s="5">
        <v>20.0</v>
      </c>
      <c r="N2453" s="8">
        <v>45024.0</v>
      </c>
    </row>
    <row r="2454">
      <c r="A2454" s="5">
        <v>2453.0</v>
      </c>
      <c r="B2454" s="5" t="s">
        <v>3029</v>
      </c>
      <c r="C2454" s="5" t="s">
        <v>21</v>
      </c>
      <c r="K2454" s="5">
        <v>30.0</v>
      </c>
      <c r="N2454" s="8">
        <v>44608.0</v>
      </c>
    </row>
    <row r="2455">
      <c r="A2455" s="5">
        <v>2454.0</v>
      </c>
      <c r="B2455" s="5" t="s">
        <v>3030</v>
      </c>
      <c r="C2455" s="5" t="s">
        <v>21</v>
      </c>
      <c r="N2455" s="8">
        <v>44216.0</v>
      </c>
    </row>
    <row r="2456">
      <c r="A2456" s="5">
        <v>2455.0</v>
      </c>
      <c r="B2456" s="5" t="s">
        <v>3031</v>
      </c>
      <c r="C2456" s="5" t="s">
        <v>21</v>
      </c>
      <c r="K2456" s="5">
        <v>3200.0</v>
      </c>
      <c r="N2456" s="8">
        <v>44074.0</v>
      </c>
    </row>
    <row r="2457">
      <c r="A2457" s="5">
        <v>2456.0</v>
      </c>
      <c r="B2457" s="5" t="s">
        <v>3032</v>
      </c>
      <c r="C2457" s="5" t="s">
        <v>21</v>
      </c>
      <c r="K2457" s="5">
        <v>250.0</v>
      </c>
      <c r="N2457" s="8">
        <v>44985.0</v>
      </c>
    </row>
    <row r="2458">
      <c r="A2458" s="5">
        <v>2457.0</v>
      </c>
      <c r="B2458" s="5" t="s">
        <v>3033</v>
      </c>
      <c r="C2458" s="5" t="s">
        <v>21</v>
      </c>
      <c r="K2458" s="5">
        <v>1000.0</v>
      </c>
      <c r="N2458" s="8">
        <v>45502.0</v>
      </c>
    </row>
    <row r="2459">
      <c r="A2459" s="5">
        <v>2458.0</v>
      </c>
      <c r="B2459" s="5" t="s">
        <v>3034</v>
      </c>
      <c r="C2459" s="5" t="s">
        <v>21</v>
      </c>
      <c r="K2459" s="5">
        <v>20.0</v>
      </c>
      <c r="N2459" s="8">
        <v>44589.0</v>
      </c>
    </row>
    <row r="2460">
      <c r="A2460" s="5">
        <v>2459.0</v>
      </c>
      <c r="B2460" s="5" t="s">
        <v>3035</v>
      </c>
      <c r="C2460" s="5" t="s">
        <v>21</v>
      </c>
      <c r="K2460" s="5">
        <v>60.0</v>
      </c>
      <c r="N2460" s="8">
        <v>44451.0</v>
      </c>
    </row>
    <row r="2461">
      <c r="A2461" s="5">
        <v>2460.0</v>
      </c>
      <c r="B2461" s="5" t="s">
        <v>3036</v>
      </c>
      <c r="C2461" s="5" t="s">
        <v>21</v>
      </c>
      <c r="K2461" s="5">
        <v>30.0</v>
      </c>
      <c r="N2461" s="8">
        <v>44352.0</v>
      </c>
    </row>
    <row r="2462">
      <c r="A2462" s="5">
        <v>2461.0</v>
      </c>
      <c r="B2462" s="5" t="s">
        <v>3037</v>
      </c>
      <c r="C2462" s="5" t="s">
        <v>21</v>
      </c>
      <c r="K2462" s="5">
        <v>90.0</v>
      </c>
      <c r="N2462" s="8">
        <v>44568.0</v>
      </c>
    </row>
    <row r="2463">
      <c r="A2463" s="5">
        <v>2462.0</v>
      </c>
      <c r="B2463" s="5" t="s">
        <v>3038</v>
      </c>
      <c r="C2463" s="5" t="s">
        <v>21</v>
      </c>
      <c r="N2463" s="8">
        <v>45314.0</v>
      </c>
    </row>
    <row r="2464">
      <c r="A2464" s="5">
        <v>2463.0</v>
      </c>
      <c r="B2464" s="5" t="s">
        <v>3039</v>
      </c>
      <c r="C2464" s="5" t="s">
        <v>21</v>
      </c>
      <c r="K2464" s="5">
        <v>200.0</v>
      </c>
      <c r="N2464" s="8">
        <v>44559.0</v>
      </c>
    </row>
    <row r="2465">
      <c r="A2465" s="5">
        <v>2464.0</v>
      </c>
      <c r="B2465" s="5" t="s">
        <v>3040</v>
      </c>
      <c r="C2465" s="5" t="s">
        <v>21</v>
      </c>
      <c r="K2465" s="5">
        <v>350.0</v>
      </c>
      <c r="N2465" s="8">
        <v>45087.0</v>
      </c>
    </row>
    <row r="2466">
      <c r="A2466" s="5">
        <v>2465.0</v>
      </c>
      <c r="B2466" s="5" t="s">
        <v>3041</v>
      </c>
      <c r="C2466" s="5" t="s">
        <v>21</v>
      </c>
      <c r="K2466" s="5">
        <v>150.0</v>
      </c>
      <c r="N2466" s="8">
        <v>44535.0</v>
      </c>
    </row>
    <row r="2467">
      <c r="A2467" s="5">
        <v>2466.0</v>
      </c>
      <c r="B2467" s="5" t="s">
        <v>3042</v>
      </c>
      <c r="C2467" s="5" t="s">
        <v>21</v>
      </c>
      <c r="K2467" s="5">
        <v>300.0</v>
      </c>
      <c r="N2467" s="8">
        <v>45183.0</v>
      </c>
    </row>
    <row r="2468">
      <c r="A2468" s="5">
        <v>2467.0</v>
      </c>
      <c r="B2468" s="5" t="s">
        <v>3043</v>
      </c>
      <c r="C2468" s="5" t="s">
        <v>21</v>
      </c>
      <c r="K2468" s="5">
        <v>150.0</v>
      </c>
      <c r="N2468" s="8">
        <v>44654.0</v>
      </c>
    </row>
    <row r="2469">
      <c r="A2469" s="5">
        <v>2468.0</v>
      </c>
      <c r="B2469" s="5" t="s">
        <v>3044</v>
      </c>
      <c r="C2469" s="5" t="s">
        <v>21</v>
      </c>
      <c r="K2469" s="5">
        <v>250.0</v>
      </c>
      <c r="N2469" s="8">
        <v>45321.0</v>
      </c>
    </row>
    <row r="2470">
      <c r="A2470" s="5">
        <v>2469.0</v>
      </c>
      <c r="B2470" s="5" t="s">
        <v>3045</v>
      </c>
      <c r="C2470" s="5" t="s">
        <v>21</v>
      </c>
      <c r="K2470" s="5">
        <v>2400.0</v>
      </c>
      <c r="N2470" s="8">
        <v>44385.0</v>
      </c>
    </row>
    <row r="2471">
      <c r="A2471" s="5">
        <v>2470.0</v>
      </c>
      <c r="B2471" s="5" t="s">
        <v>3046</v>
      </c>
      <c r="C2471" s="5" t="s">
        <v>21</v>
      </c>
      <c r="K2471" s="5">
        <v>350.0</v>
      </c>
      <c r="N2471" s="8">
        <v>44814.0</v>
      </c>
    </row>
    <row r="2472">
      <c r="A2472" s="5">
        <v>2471.0</v>
      </c>
      <c r="B2472" s="5" t="s">
        <v>3047</v>
      </c>
      <c r="C2472" s="5" t="s">
        <v>21</v>
      </c>
      <c r="K2472" s="5">
        <v>80.0</v>
      </c>
      <c r="N2472" s="8">
        <v>44473.0</v>
      </c>
    </row>
    <row r="2473">
      <c r="A2473" s="5">
        <v>2472.0</v>
      </c>
      <c r="B2473" s="5" t="s">
        <v>3048</v>
      </c>
      <c r="C2473" s="5" t="s">
        <v>21</v>
      </c>
      <c r="K2473" s="5">
        <v>1200.0</v>
      </c>
      <c r="N2473" s="8">
        <v>44062.0</v>
      </c>
    </row>
    <row r="2474">
      <c r="A2474" s="5">
        <v>2473.0</v>
      </c>
      <c r="B2474" s="5" t="s">
        <v>3049</v>
      </c>
      <c r="C2474" s="5" t="s">
        <v>21</v>
      </c>
      <c r="K2474" s="5">
        <v>600.0</v>
      </c>
      <c r="N2474" s="8">
        <v>44543.0</v>
      </c>
    </row>
    <row r="2475">
      <c r="A2475" s="5">
        <v>2474.0</v>
      </c>
      <c r="B2475" s="5" t="s">
        <v>3050</v>
      </c>
      <c r="C2475" s="5" t="s">
        <v>21</v>
      </c>
      <c r="K2475" s="5">
        <v>3800.0</v>
      </c>
      <c r="N2475" s="8">
        <v>43966.0</v>
      </c>
    </row>
    <row r="2476">
      <c r="A2476" s="5">
        <v>2475.0</v>
      </c>
      <c r="B2476" s="5" t="s">
        <v>3051</v>
      </c>
      <c r="C2476" s="5" t="s">
        <v>21</v>
      </c>
      <c r="K2476" s="5">
        <v>400.0</v>
      </c>
      <c r="N2476" s="8">
        <v>44730.0</v>
      </c>
    </row>
    <row r="2477">
      <c r="A2477" s="5">
        <v>2476.0</v>
      </c>
      <c r="B2477" s="5" t="s">
        <v>3052</v>
      </c>
      <c r="C2477" s="5" t="s">
        <v>21</v>
      </c>
      <c r="K2477" s="5">
        <v>30.0</v>
      </c>
      <c r="N2477" s="8">
        <v>44977.0</v>
      </c>
    </row>
    <row r="2478">
      <c r="A2478" s="5">
        <v>2477.0</v>
      </c>
      <c r="B2478" s="5" t="s">
        <v>3053</v>
      </c>
      <c r="C2478" s="5" t="s">
        <v>21</v>
      </c>
      <c r="K2478" s="5">
        <v>450.0</v>
      </c>
      <c r="N2478" s="8">
        <v>44637.0</v>
      </c>
    </row>
    <row r="2479">
      <c r="A2479" s="5">
        <v>2478.0</v>
      </c>
      <c r="B2479" s="5" t="s">
        <v>3054</v>
      </c>
      <c r="C2479" s="5" t="s">
        <v>21</v>
      </c>
      <c r="K2479" s="5">
        <v>50.0</v>
      </c>
      <c r="N2479" s="8">
        <v>45367.0</v>
      </c>
    </row>
    <row r="2480">
      <c r="A2480" s="5">
        <v>2479.0</v>
      </c>
      <c r="B2480" s="5" t="s">
        <v>3055</v>
      </c>
      <c r="C2480" s="5" t="s">
        <v>21</v>
      </c>
      <c r="K2480" s="5">
        <v>250.0</v>
      </c>
      <c r="N2480" s="8">
        <v>45457.0</v>
      </c>
    </row>
    <row r="2481">
      <c r="A2481" s="5">
        <v>2480.0</v>
      </c>
      <c r="B2481" s="5" t="s">
        <v>3056</v>
      </c>
      <c r="C2481" s="5" t="s">
        <v>21</v>
      </c>
      <c r="K2481" s="5">
        <v>200.0</v>
      </c>
      <c r="N2481" s="8">
        <v>44519.0</v>
      </c>
    </row>
    <row r="2482">
      <c r="A2482" s="5">
        <v>2481.0</v>
      </c>
      <c r="B2482" s="5" t="s">
        <v>222</v>
      </c>
      <c r="C2482" s="5" t="s">
        <v>21</v>
      </c>
      <c r="K2482" s="5">
        <v>20000.0</v>
      </c>
      <c r="N2482" s="8">
        <v>43841.0</v>
      </c>
    </row>
    <row r="2483">
      <c r="A2483" s="5">
        <v>2482.0</v>
      </c>
      <c r="B2483" s="5" t="s">
        <v>3057</v>
      </c>
      <c r="C2483" s="5" t="s">
        <v>21</v>
      </c>
      <c r="K2483" s="5">
        <v>800.0</v>
      </c>
      <c r="N2483" s="8">
        <v>43624.0</v>
      </c>
    </row>
    <row r="2484">
      <c r="A2484" s="5">
        <v>2483.0</v>
      </c>
      <c r="B2484" s="5" t="s">
        <v>3058</v>
      </c>
      <c r="C2484" s="5" t="s">
        <v>21</v>
      </c>
      <c r="K2484" s="5">
        <v>20.0</v>
      </c>
      <c r="N2484" s="8">
        <v>44007.0</v>
      </c>
    </row>
    <row r="2485">
      <c r="A2485" s="5">
        <v>2484.0</v>
      </c>
      <c r="B2485" s="5" t="s">
        <v>3059</v>
      </c>
      <c r="C2485" s="5" t="s">
        <v>21</v>
      </c>
      <c r="K2485" s="5">
        <v>100.0</v>
      </c>
      <c r="N2485" s="8">
        <v>44531.0</v>
      </c>
    </row>
    <row r="2486">
      <c r="A2486" s="5">
        <v>2485.0</v>
      </c>
      <c r="B2486" s="5" t="s">
        <v>3060</v>
      </c>
      <c r="C2486" s="5" t="s">
        <v>21</v>
      </c>
      <c r="K2486" s="5">
        <v>250.0</v>
      </c>
      <c r="N2486" s="8">
        <v>45347.0</v>
      </c>
    </row>
    <row r="2487">
      <c r="A2487" s="5">
        <v>2486.0</v>
      </c>
      <c r="B2487" s="5" t="s">
        <v>3061</v>
      </c>
      <c r="C2487" s="5" t="s">
        <v>21</v>
      </c>
      <c r="K2487" s="5">
        <v>250.0</v>
      </c>
      <c r="N2487" s="8">
        <v>45677.0</v>
      </c>
    </row>
    <row r="2488">
      <c r="A2488" s="5">
        <v>2487.0</v>
      </c>
      <c r="B2488" s="5" t="s">
        <v>3062</v>
      </c>
      <c r="C2488" s="5" t="s">
        <v>21</v>
      </c>
      <c r="K2488" s="5">
        <v>400.0</v>
      </c>
      <c r="N2488" s="8">
        <v>43898.0</v>
      </c>
    </row>
    <row r="2489">
      <c r="A2489" s="5">
        <v>2488.0</v>
      </c>
      <c r="B2489" s="5" t="s">
        <v>3063</v>
      </c>
      <c r="C2489" s="5" t="s">
        <v>21</v>
      </c>
      <c r="K2489" s="5">
        <v>40.0</v>
      </c>
      <c r="N2489" s="8">
        <v>44557.0</v>
      </c>
    </row>
    <row r="2490">
      <c r="A2490" s="5">
        <v>2489.0</v>
      </c>
      <c r="B2490" s="5" t="s">
        <v>3064</v>
      </c>
      <c r="C2490" s="5" t="s">
        <v>21</v>
      </c>
      <c r="K2490" s="5">
        <v>500.0</v>
      </c>
      <c r="N2490" s="8">
        <v>44471.0</v>
      </c>
    </row>
    <row r="2491">
      <c r="A2491" s="5">
        <v>2490.0</v>
      </c>
      <c r="B2491" s="5" t="s">
        <v>3065</v>
      </c>
      <c r="C2491" s="5" t="s">
        <v>21</v>
      </c>
      <c r="K2491" s="5">
        <v>200.0</v>
      </c>
      <c r="N2491" s="8">
        <v>44515.0</v>
      </c>
    </row>
    <row r="2492">
      <c r="A2492" s="5">
        <v>2491.0</v>
      </c>
      <c r="B2492" s="5" t="s">
        <v>3066</v>
      </c>
      <c r="C2492" s="5" t="s">
        <v>21</v>
      </c>
      <c r="K2492" s="5">
        <v>200.0</v>
      </c>
      <c r="N2492" s="8">
        <v>44604.0</v>
      </c>
    </row>
    <row r="2493">
      <c r="A2493" s="5">
        <v>2492.0</v>
      </c>
      <c r="B2493" s="5" t="s">
        <v>3067</v>
      </c>
      <c r="C2493" s="5" t="s">
        <v>21</v>
      </c>
      <c r="K2493" s="5">
        <v>200.0</v>
      </c>
      <c r="N2493" s="8">
        <v>44524.0</v>
      </c>
    </row>
    <row r="2494">
      <c r="A2494" s="5">
        <v>2493.0</v>
      </c>
      <c r="B2494" s="5" t="s">
        <v>3068</v>
      </c>
      <c r="C2494" s="5" t="s">
        <v>21</v>
      </c>
      <c r="K2494" s="5">
        <v>1200.0</v>
      </c>
      <c r="N2494" s="8">
        <v>43888.0</v>
      </c>
    </row>
    <row r="2495">
      <c r="A2495" s="5">
        <v>2494.0</v>
      </c>
      <c r="B2495" s="5" t="s">
        <v>3069</v>
      </c>
      <c r="C2495" s="5" t="s">
        <v>21</v>
      </c>
      <c r="K2495" s="5">
        <v>200.0</v>
      </c>
      <c r="N2495" s="8">
        <v>44356.0</v>
      </c>
    </row>
    <row r="2496">
      <c r="A2496" s="5">
        <v>2495.0</v>
      </c>
      <c r="B2496" s="5" t="s">
        <v>3070</v>
      </c>
      <c r="C2496" s="5" t="s">
        <v>21</v>
      </c>
      <c r="K2496" s="5">
        <v>700.0</v>
      </c>
      <c r="N2496" s="8">
        <v>45369.0</v>
      </c>
    </row>
    <row r="2497">
      <c r="A2497" s="5">
        <v>2496.0</v>
      </c>
      <c r="B2497" s="5" t="s">
        <v>3071</v>
      </c>
      <c r="C2497" s="5" t="s">
        <v>21</v>
      </c>
      <c r="K2497" s="5">
        <v>200.0</v>
      </c>
      <c r="N2497" s="8">
        <v>45565.0</v>
      </c>
    </row>
    <row r="2498">
      <c r="A2498" s="5">
        <v>2497.0</v>
      </c>
      <c r="B2498" s="5" t="s">
        <v>3072</v>
      </c>
      <c r="C2498" s="5" t="s">
        <v>21</v>
      </c>
      <c r="K2498" s="5">
        <v>1500.0</v>
      </c>
      <c r="N2498" s="8">
        <v>43984.0</v>
      </c>
    </row>
    <row r="2499">
      <c r="A2499" s="5">
        <v>2498.0</v>
      </c>
      <c r="B2499" s="5" t="s">
        <v>3073</v>
      </c>
      <c r="C2499" s="5" t="s">
        <v>21</v>
      </c>
      <c r="K2499" s="5">
        <v>10.0</v>
      </c>
      <c r="N2499" s="8">
        <v>45011.0</v>
      </c>
    </row>
    <row r="2500">
      <c r="A2500" s="5">
        <v>2499.0</v>
      </c>
      <c r="B2500" s="5" t="s">
        <v>3074</v>
      </c>
      <c r="C2500" s="5" t="s">
        <v>21</v>
      </c>
      <c r="K2500" s="5">
        <v>70.0</v>
      </c>
      <c r="N2500" s="8">
        <v>44563.0</v>
      </c>
    </row>
    <row r="2501">
      <c r="A2501" s="5">
        <v>2500.0</v>
      </c>
      <c r="B2501" s="5" t="s">
        <v>3075</v>
      </c>
      <c r="C2501" s="5" t="s">
        <v>21</v>
      </c>
      <c r="K2501" s="5">
        <v>200.0</v>
      </c>
      <c r="N2501" s="8">
        <v>44676.0</v>
      </c>
    </row>
    <row r="2502">
      <c r="A2502" s="5">
        <v>2501.0</v>
      </c>
      <c r="B2502" s="5" t="s">
        <v>3076</v>
      </c>
      <c r="C2502" s="5" t="s">
        <v>21</v>
      </c>
      <c r="K2502" s="5">
        <v>50.0</v>
      </c>
      <c r="N2502" s="8">
        <v>44618.0</v>
      </c>
    </row>
    <row r="2503">
      <c r="A2503" s="5">
        <v>2502.0</v>
      </c>
      <c r="B2503" s="5" t="s">
        <v>3077</v>
      </c>
      <c r="C2503" s="5" t="s">
        <v>21</v>
      </c>
      <c r="K2503" s="5">
        <v>500.0</v>
      </c>
      <c r="N2503" s="8">
        <v>44047.0</v>
      </c>
    </row>
    <row r="2504">
      <c r="A2504" s="5">
        <v>2503.0</v>
      </c>
      <c r="B2504" s="5" t="s">
        <v>3078</v>
      </c>
      <c r="C2504" s="5" t="s">
        <v>21</v>
      </c>
      <c r="K2504" s="5">
        <v>250.0</v>
      </c>
      <c r="N2504" s="8">
        <v>44679.0</v>
      </c>
    </row>
    <row r="2505">
      <c r="A2505" s="5">
        <v>2504.0</v>
      </c>
      <c r="B2505" s="5" t="s">
        <v>3079</v>
      </c>
      <c r="C2505" s="5" t="s">
        <v>21</v>
      </c>
      <c r="K2505" s="5">
        <v>1200.0</v>
      </c>
      <c r="N2505" s="8">
        <v>44696.0</v>
      </c>
    </row>
    <row r="2506">
      <c r="A2506" s="5">
        <v>2505.0</v>
      </c>
      <c r="B2506" s="5" t="s">
        <v>3080</v>
      </c>
      <c r="C2506" s="5" t="s">
        <v>21</v>
      </c>
      <c r="K2506" s="5">
        <v>150.0</v>
      </c>
      <c r="N2506" s="8">
        <v>44326.0</v>
      </c>
    </row>
    <row r="2507">
      <c r="A2507" s="5">
        <v>2506.0</v>
      </c>
      <c r="B2507" s="5" t="s">
        <v>3081</v>
      </c>
      <c r="C2507" s="5" t="s">
        <v>21</v>
      </c>
      <c r="K2507" s="5">
        <v>300.0</v>
      </c>
      <c r="N2507" s="8">
        <v>43974.0</v>
      </c>
    </row>
    <row r="2508">
      <c r="A2508" s="5">
        <v>2507.0</v>
      </c>
      <c r="B2508" s="5" t="s">
        <v>3082</v>
      </c>
      <c r="C2508" s="5" t="s">
        <v>21</v>
      </c>
      <c r="K2508" s="5">
        <v>350.0</v>
      </c>
      <c r="N2508" s="8">
        <v>44238.0</v>
      </c>
    </row>
    <row r="2509">
      <c r="A2509" s="5">
        <v>2508.0</v>
      </c>
      <c r="B2509" s="5" t="s">
        <v>3083</v>
      </c>
      <c r="C2509" s="5" t="s">
        <v>21</v>
      </c>
      <c r="K2509" s="5">
        <v>350.0</v>
      </c>
      <c r="N2509" s="8">
        <v>44282.0</v>
      </c>
    </row>
    <row r="2510">
      <c r="A2510" s="5">
        <v>2509.0</v>
      </c>
      <c r="B2510" s="5" t="s">
        <v>225</v>
      </c>
      <c r="C2510" s="5" t="s">
        <v>21</v>
      </c>
      <c r="K2510" s="5">
        <v>400.0</v>
      </c>
      <c r="N2510" s="8">
        <v>44547.0</v>
      </c>
    </row>
    <row r="2511">
      <c r="A2511" s="5">
        <v>2510.0</v>
      </c>
      <c r="B2511" s="5" t="s">
        <v>3084</v>
      </c>
      <c r="C2511" s="5" t="s">
        <v>21</v>
      </c>
      <c r="K2511" s="5">
        <v>250.0</v>
      </c>
      <c r="N2511" s="8">
        <v>44521.0</v>
      </c>
    </row>
    <row r="2512">
      <c r="A2512" s="5">
        <v>2511.0</v>
      </c>
      <c r="B2512" s="5" t="s">
        <v>3085</v>
      </c>
      <c r="C2512" s="5" t="s">
        <v>21</v>
      </c>
      <c r="K2512" s="5">
        <v>600.0</v>
      </c>
      <c r="N2512" s="8">
        <v>43881.0</v>
      </c>
    </row>
    <row r="2513">
      <c r="A2513" s="5">
        <v>2512.0</v>
      </c>
      <c r="B2513" s="5" t="s">
        <v>3086</v>
      </c>
      <c r="C2513" s="5" t="s">
        <v>21</v>
      </c>
      <c r="K2513" s="5">
        <v>1800.0</v>
      </c>
      <c r="N2513" s="8">
        <v>44229.0</v>
      </c>
    </row>
    <row r="2514">
      <c r="A2514" s="5">
        <v>2513.0</v>
      </c>
      <c r="B2514" s="5" t="s">
        <v>3087</v>
      </c>
      <c r="C2514" s="5" t="s">
        <v>21</v>
      </c>
      <c r="K2514" s="5">
        <v>300.0</v>
      </c>
      <c r="N2514" s="8">
        <v>43965.0</v>
      </c>
    </row>
    <row r="2515">
      <c r="A2515" s="5">
        <v>2514.0</v>
      </c>
      <c r="B2515" s="5" t="s">
        <v>3088</v>
      </c>
      <c r="C2515" s="5" t="s">
        <v>21</v>
      </c>
      <c r="K2515" s="5">
        <v>250.0</v>
      </c>
      <c r="N2515" s="8">
        <v>44471.0</v>
      </c>
    </row>
    <row r="2516">
      <c r="A2516" s="5">
        <v>2515.0</v>
      </c>
      <c r="B2516" s="5" t="s">
        <v>3089</v>
      </c>
      <c r="C2516" s="5" t="s">
        <v>21</v>
      </c>
      <c r="K2516" s="5">
        <v>100.0</v>
      </c>
      <c r="N2516" s="8">
        <v>44669.0</v>
      </c>
    </row>
    <row r="2517">
      <c r="A2517" s="5">
        <v>2516.0</v>
      </c>
      <c r="B2517" s="5" t="s">
        <v>3090</v>
      </c>
      <c r="C2517" s="5" t="s">
        <v>21</v>
      </c>
      <c r="K2517" s="5">
        <v>500.0</v>
      </c>
      <c r="N2517" s="8">
        <v>43987.0</v>
      </c>
    </row>
    <row r="2518">
      <c r="A2518" s="5">
        <v>2517.0</v>
      </c>
      <c r="B2518" s="5" t="s">
        <v>3091</v>
      </c>
      <c r="C2518" s="5" t="s">
        <v>21</v>
      </c>
      <c r="K2518" s="5">
        <v>400.0</v>
      </c>
      <c r="N2518" s="8">
        <v>44120.0</v>
      </c>
    </row>
    <row r="2519">
      <c r="A2519" s="5">
        <v>2518.0</v>
      </c>
      <c r="B2519" s="5" t="s">
        <v>3092</v>
      </c>
      <c r="C2519" s="5" t="s">
        <v>21</v>
      </c>
      <c r="K2519" s="5">
        <v>2200.0</v>
      </c>
      <c r="N2519" s="8">
        <v>42862.0</v>
      </c>
    </row>
    <row r="2520">
      <c r="A2520" s="5">
        <v>2519.0</v>
      </c>
      <c r="B2520" s="5" t="s">
        <v>3093</v>
      </c>
      <c r="C2520" s="5" t="s">
        <v>21</v>
      </c>
      <c r="K2520" s="5">
        <v>70.0</v>
      </c>
      <c r="N2520" s="8">
        <v>44602.0</v>
      </c>
    </row>
    <row r="2521">
      <c r="A2521" s="5">
        <v>2520.0</v>
      </c>
      <c r="B2521" s="5" t="s">
        <v>3094</v>
      </c>
      <c r="C2521" s="5" t="s">
        <v>21</v>
      </c>
      <c r="K2521" s="5">
        <v>20.0</v>
      </c>
      <c r="N2521" s="8">
        <v>44716.0</v>
      </c>
    </row>
    <row r="2522">
      <c r="A2522" s="5">
        <v>2521.0</v>
      </c>
      <c r="B2522" s="5" t="s">
        <v>221</v>
      </c>
      <c r="C2522" s="5" t="s">
        <v>21</v>
      </c>
      <c r="K2522" s="5">
        <v>10.0</v>
      </c>
      <c r="N2522" s="8">
        <v>44672.0</v>
      </c>
    </row>
    <row r="2523">
      <c r="A2523" s="5">
        <v>2522.0</v>
      </c>
      <c r="B2523" s="5" t="s">
        <v>3095</v>
      </c>
      <c r="C2523" s="5" t="s">
        <v>21</v>
      </c>
      <c r="K2523" s="5">
        <v>150.0</v>
      </c>
      <c r="N2523" s="8">
        <v>44618.0</v>
      </c>
    </row>
    <row r="2524">
      <c r="A2524" s="5">
        <v>2523.0</v>
      </c>
      <c r="B2524" s="5" t="s">
        <v>3096</v>
      </c>
      <c r="C2524" s="5" t="s">
        <v>21</v>
      </c>
      <c r="K2524" s="5">
        <v>200.0</v>
      </c>
      <c r="N2524" s="8">
        <v>45134.0</v>
      </c>
    </row>
    <row r="2525">
      <c r="A2525" s="5">
        <v>2524.0</v>
      </c>
      <c r="B2525" s="5" t="s">
        <v>3097</v>
      </c>
      <c r="C2525" s="5" t="s">
        <v>21</v>
      </c>
      <c r="K2525" s="5">
        <v>200.0</v>
      </c>
      <c r="N2525" s="8">
        <v>44100.0</v>
      </c>
    </row>
    <row r="2526">
      <c r="A2526" s="5">
        <v>2525.0</v>
      </c>
      <c r="B2526" s="5" t="s">
        <v>3098</v>
      </c>
      <c r="C2526" s="5" t="s">
        <v>21</v>
      </c>
      <c r="K2526" s="5">
        <v>10.0</v>
      </c>
      <c r="N2526" s="8">
        <v>44568.0</v>
      </c>
    </row>
    <row r="2527">
      <c r="A2527" s="5">
        <v>2526.0</v>
      </c>
      <c r="B2527" s="5" t="s">
        <v>3099</v>
      </c>
      <c r="C2527" s="5" t="s">
        <v>21</v>
      </c>
      <c r="K2527" s="5">
        <v>80.0</v>
      </c>
      <c r="N2527" s="8">
        <v>42955.0</v>
      </c>
    </row>
    <row r="2528">
      <c r="A2528" s="5">
        <v>2527.0</v>
      </c>
      <c r="B2528" s="5" t="s">
        <v>3100</v>
      </c>
      <c r="C2528" s="5" t="s">
        <v>21</v>
      </c>
      <c r="K2528" s="5">
        <v>600.0</v>
      </c>
      <c r="N2528" s="8">
        <v>44559.0</v>
      </c>
    </row>
    <row r="2529">
      <c r="A2529" s="5">
        <v>2528.0</v>
      </c>
      <c r="B2529" s="5" t="s">
        <v>3101</v>
      </c>
      <c r="C2529" s="5" t="s">
        <v>21</v>
      </c>
      <c r="K2529" s="5">
        <v>200.0</v>
      </c>
      <c r="N2529" s="8">
        <v>44545.0</v>
      </c>
    </row>
    <row r="2530">
      <c r="A2530" s="5">
        <v>2529.0</v>
      </c>
      <c r="B2530" s="5" t="s">
        <v>3102</v>
      </c>
      <c r="C2530" s="5" t="s">
        <v>21</v>
      </c>
      <c r="K2530" s="5">
        <v>1700.0</v>
      </c>
      <c r="N2530" s="8">
        <v>44972.0</v>
      </c>
    </row>
    <row r="2531">
      <c r="A2531" s="5">
        <v>2530.0</v>
      </c>
      <c r="B2531" s="5" t="s">
        <v>3103</v>
      </c>
      <c r="C2531" s="5" t="s">
        <v>21</v>
      </c>
      <c r="K2531" s="5">
        <v>1300.0</v>
      </c>
      <c r="N2531" s="8">
        <v>44010.0</v>
      </c>
    </row>
    <row r="2532">
      <c r="A2532" s="5">
        <v>2531.0</v>
      </c>
      <c r="B2532" s="5" t="s">
        <v>3104</v>
      </c>
      <c r="C2532" s="5" t="s">
        <v>21</v>
      </c>
      <c r="K2532" s="5">
        <v>60.0</v>
      </c>
      <c r="N2532" s="8">
        <v>44586.0</v>
      </c>
    </row>
    <row r="2533">
      <c r="A2533" s="5">
        <v>2532.0</v>
      </c>
      <c r="B2533" s="5" t="s">
        <v>3105</v>
      </c>
      <c r="C2533" s="5" t="s">
        <v>21</v>
      </c>
      <c r="K2533" s="5">
        <v>150.0</v>
      </c>
      <c r="N2533" s="8">
        <v>44538.0</v>
      </c>
    </row>
    <row r="2534">
      <c r="A2534" s="5">
        <v>2533.0</v>
      </c>
      <c r="B2534" s="5" t="s">
        <v>3106</v>
      </c>
      <c r="C2534" s="5" t="s">
        <v>21</v>
      </c>
      <c r="K2534" s="5">
        <v>100.0</v>
      </c>
      <c r="N2534" s="8">
        <v>44475.0</v>
      </c>
    </row>
    <row r="2535">
      <c r="A2535" s="5">
        <v>2534.0</v>
      </c>
      <c r="B2535" s="5" t="s">
        <v>3107</v>
      </c>
      <c r="C2535" s="5" t="s">
        <v>21</v>
      </c>
      <c r="K2535" s="5">
        <v>10.0</v>
      </c>
      <c r="N2535" s="8">
        <v>45445.0</v>
      </c>
    </row>
    <row r="2536">
      <c r="A2536" s="5">
        <v>2535.0</v>
      </c>
      <c r="B2536" s="5" t="s">
        <v>3108</v>
      </c>
      <c r="C2536" s="5" t="s">
        <v>21</v>
      </c>
      <c r="K2536" s="5">
        <v>100.0</v>
      </c>
      <c r="N2536" s="8">
        <v>44334.0</v>
      </c>
    </row>
    <row r="2537">
      <c r="A2537" s="5">
        <v>2536.0</v>
      </c>
      <c r="B2537" s="5" t="s">
        <v>3109</v>
      </c>
      <c r="C2537" s="5" t="s">
        <v>21</v>
      </c>
      <c r="K2537" s="5">
        <v>250.0</v>
      </c>
      <c r="N2537" s="8">
        <v>45675.0</v>
      </c>
    </row>
    <row r="2538">
      <c r="A2538" s="5">
        <v>2537.0</v>
      </c>
      <c r="B2538" s="5" t="s">
        <v>3110</v>
      </c>
      <c r="C2538" s="5" t="s">
        <v>21</v>
      </c>
      <c r="N2538" s="8">
        <v>44479.0</v>
      </c>
    </row>
    <row r="2539">
      <c r="A2539" s="5">
        <v>2538.0</v>
      </c>
      <c r="B2539" s="5" t="s">
        <v>3111</v>
      </c>
      <c r="C2539" s="5" t="s">
        <v>21</v>
      </c>
      <c r="K2539" s="5">
        <v>200.0</v>
      </c>
      <c r="N2539" s="8">
        <v>44429.0</v>
      </c>
    </row>
    <row r="2540">
      <c r="A2540" s="5">
        <v>2539.0</v>
      </c>
      <c r="B2540" s="5" t="s">
        <v>3112</v>
      </c>
      <c r="C2540" s="5" t="s">
        <v>21</v>
      </c>
      <c r="K2540" s="5">
        <v>150.0</v>
      </c>
      <c r="N2540" s="8">
        <v>45373.0</v>
      </c>
    </row>
    <row r="2541">
      <c r="A2541" s="5">
        <v>2540.0</v>
      </c>
      <c r="B2541" s="5" t="s">
        <v>3113</v>
      </c>
      <c r="C2541" s="5" t="s">
        <v>21</v>
      </c>
      <c r="K2541" s="5">
        <v>2800.0</v>
      </c>
      <c r="N2541" s="8">
        <v>44047.0</v>
      </c>
    </row>
    <row r="2542">
      <c r="A2542" s="5">
        <v>2541.0</v>
      </c>
      <c r="B2542" s="5" t="s">
        <v>3114</v>
      </c>
      <c r="C2542" s="5" t="s">
        <v>21</v>
      </c>
      <c r="K2542" s="5">
        <v>200.0</v>
      </c>
      <c r="N2542" s="8">
        <v>44515.0</v>
      </c>
    </row>
    <row r="2543">
      <c r="A2543" s="5">
        <v>2542.0</v>
      </c>
      <c r="B2543" s="5" t="s">
        <v>3115</v>
      </c>
      <c r="C2543" s="5" t="s">
        <v>21</v>
      </c>
      <c r="K2543" s="5">
        <v>250.0</v>
      </c>
      <c r="N2543" s="8">
        <v>44432.0</v>
      </c>
    </row>
    <row r="2544">
      <c r="A2544" s="5">
        <v>2543.0</v>
      </c>
      <c r="B2544" s="5" t="s">
        <v>3116</v>
      </c>
      <c r="C2544" s="5" t="s">
        <v>21</v>
      </c>
      <c r="K2544" s="5">
        <v>20.0</v>
      </c>
      <c r="N2544" s="8">
        <v>44622.0</v>
      </c>
    </row>
    <row r="2545">
      <c r="A2545" s="5">
        <v>2544.0</v>
      </c>
      <c r="B2545" s="5" t="s">
        <v>3117</v>
      </c>
      <c r="C2545" s="5" t="s">
        <v>21</v>
      </c>
      <c r="K2545" s="5">
        <v>250.0</v>
      </c>
      <c r="N2545" s="8">
        <v>44615.0</v>
      </c>
    </row>
    <row r="2546">
      <c r="A2546" s="5">
        <v>2545.0</v>
      </c>
      <c r="B2546" s="5" t="s">
        <v>3118</v>
      </c>
      <c r="C2546" s="5" t="s">
        <v>21</v>
      </c>
      <c r="K2546" s="5">
        <v>100.0</v>
      </c>
      <c r="N2546" s="8">
        <v>45087.0</v>
      </c>
    </row>
    <row r="2547">
      <c r="A2547" s="5">
        <v>2546.0</v>
      </c>
      <c r="B2547" s="5" t="s">
        <v>3119</v>
      </c>
      <c r="C2547" s="5" t="s">
        <v>21</v>
      </c>
      <c r="K2547" s="5">
        <v>250.0</v>
      </c>
      <c r="N2547" s="8">
        <v>45121.0</v>
      </c>
    </row>
    <row r="2548">
      <c r="A2548" s="5">
        <v>2547.0</v>
      </c>
      <c r="B2548" s="5" t="s">
        <v>3120</v>
      </c>
      <c r="C2548" s="5" t="s">
        <v>21</v>
      </c>
      <c r="K2548" s="5">
        <v>6400.0</v>
      </c>
      <c r="N2548" s="8">
        <v>45627.0</v>
      </c>
    </row>
    <row r="2549">
      <c r="A2549" s="5">
        <v>2548.0</v>
      </c>
      <c r="B2549" s="5" t="s">
        <v>3121</v>
      </c>
      <c r="C2549" s="5" t="s">
        <v>21</v>
      </c>
      <c r="K2549" s="5">
        <v>100.0</v>
      </c>
      <c r="N2549" s="8">
        <v>45191.0</v>
      </c>
    </row>
    <row r="2550">
      <c r="A2550" s="5">
        <v>2549.0</v>
      </c>
      <c r="B2550" s="5" t="s">
        <v>3122</v>
      </c>
      <c r="C2550" s="5" t="s">
        <v>21</v>
      </c>
      <c r="K2550" s="5">
        <v>500.0</v>
      </c>
      <c r="N2550" s="8">
        <v>44632.0</v>
      </c>
    </row>
    <row r="2551">
      <c r="A2551" s="5">
        <v>2550.0</v>
      </c>
      <c r="B2551" s="5" t="s">
        <v>3123</v>
      </c>
      <c r="C2551" s="5" t="s">
        <v>21</v>
      </c>
      <c r="K2551" s="5">
        <v>600.0</v>
      </c>
      <c r="N2551" s="8">
        <v>44472.0</v>
      </c>
    </row>
    <row r="2552">
      <c r="A2552" s="5">
        <v>2551.0</v>
      </c>
      <c r="B2552" s="5" t="s">
        <v>3124</v>
      </c>
      <c r="C2552" s="5" t="s">
        <v>21</v>
      </c>
      <c r="K2552" s="5">
        <v>250.0</v>
      </c>
      <c r="N2552" s="8">
        <v>45280.0</v>
      </c>
    </row>
    <row r="2553">
      <c r="A2553" s="5">
        <v>2552.0</v>
      </c>
      <c r="B2553" s="5" t="s">
        <v>3125</v>
      </c>
      <c r="C2553" s="5" t="s">
        <v>21</v>
      </c>
      <c r="K2553" s="5">
        <v>90.0</v>
      </c>
      <c r="N2553" s="8">
        <v>45219.0</v>
      </c>
    </row>
    <row r="2554">
      <c r="A2554" s="5">
        <v>2553.0</v>
      </c>
      <c r="B2554" s="5" t="s">
        <v>228</v>
      </c>
      <c r="C2554" s="5" t="s">
        <v>21</v>
      </c>
      <c r="K2554" s="5">
        <v>900.0</v>
      </c>
      <c r="N2554" s="8">
        <v>44004.0</v>
      </c>
    </row>
    <row r="2555">
      <c r="A2555" s="5">
        <v>2554.0</v>
      </c>
      <c r="B2555" s="5" t="s">
        <v>3126</v>
      </c>
      <c r="C2555" s="5" t="s">
        <v>21</v>
      </c>
      <c r="K2555" s="5">
        <v>600.0</v>
      </c>
      <c r="N2555" s="8">
        <v>44541.0</v>
      </c>
    </row>
    <row r="2556">
      <c r="A2556" s="5">
        <v>2555.0</v>
      </c>
      <c r="B2556" s="5" t="s">
        <v>3127</v>
      </c>
      <c r="C2556" s="5" t="s">
        <v>21</v>
      </c>
      <c r="K2556" s="5">
        <v>800.0</v>
      </c>
      <c r="N2556" s="8">
        <v>44346.0</v>
      </c>
    </row>
    <row r="2557">
      <c r="A2557" s="5">
        <v>2556.0</v>
      </c>
      <c r="B2557" s="5" t="s">
        <v>3128</v>
      </c>
      <c r="C2557" s="5" t="s">
        <v>21</v>
      </c>
      <c r="K2557" s="5">
        <v>250.0</v>
      </c>
      <c r="N2557" s="8">
        <v>44047.0</v>
      </c>
    </row>
    <row r="2558">
      <c r="A2558" s="5">
        <v>2557.0</v>
      </c>
      <c r="B2558" s="5" t="s">
        <v>224</v>
      </c>
      <c r="C2558" s="5" t="s">
        <v>21</v>
      </c>
      <c r="K2558" s="5">
        <v>300.0</v>
      </c>
      <c r="N2558" s="8">
        <v>44599.0</v>
      </c>
    </row>
    <row r="2559">
      <c r="A2559" s="5">
        <v>2558.0</v>
      </c>
      <c r="B2559" s="5" t="s">
        <v>3129</v>
      </c>
      <c r="C2559" s="5" t="s">
        <v>21</v>
      </c>
      <c r="K2559" s="5">
        <v>350.0</v>
      </c>
      <c r="N2559" s="8">
        <v>44600.0</v>
      </c>
    </row>
    <row r="2560">
      <c r="A2560" s="5">
        <v>2559.0</v>
      </c>
      <c r="B2560" s="5" t="s">
        <v>3130</v>
      </c>
      <c r="C2560" s="5" t="s">
        <v>21</v>
      </c>
      <c r="K2560" s="5">
        <v>150.0</v>
      </c>
      <c r="N2560" s="8">
        <v>45092.0</v>
      </c>
    </row>
    <row r="2561">
      <c r="A2561" s="5">
        <v>2560.0</v>
      </c>
      <c r="B2561" s="5" t="s">
        <v>3131</v>
      </c>
      <c r="C2561" s="5" t="s">
        <v>21</v>
      </c>
      <c r="K2561" s="5">
        <v>1000.0</v>
      </c>
      <c r="N2561" s="8">
        <v>44335.0</v>
      </c>
    </row>
    <row r="2562">
      <c r="A2562" s="5">
        <v>2561.0</v>
      </c>
      <c r="B2562" s="5" t="s">
        <v>3132</v>
      </c>
      <c r="C2562" s="5" t="s">
        <v>21</v>
      </c>
      <c r="K2562" s="5">
        <v>20.0</v>
      </c>
      <c r="N2562" s="8">
        <v>45087.0</v>
      </c>
    </row>
    <row r="2563">
      <c r="A2563" s="5">
        <v>2562.0</v>
      </c>
      <c r="B2563" s="5" t="s">
        <v>227</v>
      </c>
      <c r="C2563" s="5" t="s">
        <v>21</v>
      </c>
      <c r="K2563" s="5">
        <v>1200.0</v>
      </c>
      <c r="N2563" s="8">
        <v>43921.0</v>
      </c>
    </row>
    <row r="2564">
      <c r="A2564" s="5">
        <v>2563.0</v>
      </c>
      <c r="B2564" s="5" t="s">
        <v>232</v>
      </c>
      <c r="C2564" s="5" t="s">
        <v>21</v>
      </c>
      <c r="N2564" s="8">
        <v>44805.0</v>
      </c>
    </row>
    <row r="2565">
      <c r="A2565" s="5">
        <v>2564.0</v>
      </c>
      <c r="B2565" s="5" t="s">
        <v>3133</v>
      </c>
      <c r="C2565" s="5" t="s">
        <v>21</v>
      </c>
      <c r="K2565" s="5">
        <v>600.0</v>
      </c>
      <c r="N2565" s="8">
        <v>44547.0</v>
      </c>
    </row>
    <row r="2566">
      <c r="A2566" s="5">
        <v>2565.0</v>
      </c>
      <c r="B2566" s="5" t="s">
        <v>3134</v>
      </c>
      <c r="C2566" s="5" t="s">
        <v>21</v>
      </c>
      <c r="K2566" s="5">
        <v>200.0</v>
      </c>
      <c r="N2566" s="8">
        <v>44478.0</v>
      </c>
    </row>
    <row r="2567">
      <c r="A2567" s="5">
        <v>2566.0</v>
      </c>
      <c r="B2567" s="5" t="s">
        <v>3135</v>
      </c>
      <c r="C2567" s="5" t="s">
        <v>21</v>
      </c>
      <c r="K2567" s="5">
        <v>1400.0</v>
      </c>
      <c r="N2567" s="8">
        <v>44539.0</v>
      </c>
    </row>
    <row r="2568">
      <c r="A2568" s="5">
        <v>2567.0</v>
      </c>
      <c r="B2568" s="5" t="s">
        <v>3136</v>
      </c>
      <c r="C2568" s="5" t="s">
        <v>21</v>
      </c>
      <c r="K2568" s="5">
        <v>150.0</v>
      </c>
      <c r="N2568" s="8">
        <v>45044.0</v>
      </c>
    </row>
    <row r="2569">
      <c r="A2569" s="5">
        <v>2568.0</v>
      </c>
      <c r="B2569" s="5" t="s">
        <v>3137</v>
      </c>
      <c r="C2569" s="5" t="s">
        <v>21</v>
      </c>
      <c r="K2569" s="5">
        <v>800.0</v>
      </c>
      <c r="N2569" s="8">
        <v>44564.0</v>
      </c>
    </row>
    <row r="2570">
      <c r="A2570" s="5">
        <v>2569.0</v>
      </c>
      <c r="B2570" s="5" t="s">
        <v>3138</v>
      </c>
      <c r="C2570" s="5" t="s">
        <v>21</v>
      </c>
      <c r="N2570" s="8">
        <v>44519.0</v>
      </c>
    </row>
    <row r="2571">
      <c r="A2571" s="5">
        <v>2570.0</v>
      </c>
      <c r="B2571" s="5" t="s">
        <v>3139</v>
      </c>
      <c r="C2571" s="5" t="s">
        <v>21</v>
      </c>
      <c r="K2571" s="5">
        <v>100.0</v>
      </c>
      <c r="N2571" s="8">
        <v>45096.0</v>
      </c>
    </row>
    <row r="2572">
      <c r="A2572" s="5">
        <v>2571.0</v>
      </c>
      <c r="B2572" s="5" t="s">
        <v>3140</v>
      </c>
      <c r="C2572" s="5" t="s">
        <v>21</v>
      </c>
      <c r="K2572" s="5">
        <v>80.0</v>
      </c>
      <c r="N2572" s="8">
        <v>45785.0</v>
      </c>
    </row>
    <row r="2573">
      <c r="A2573" s="5">
        <v>2572.0</v>
      </c>
      <c r="B2573" s="5" t="s">
        <v>3141</v>
      </c>
      <c r="C2573" s="5" t="s">
        <v>21</v>
      </c>
      <c r="K2573" s="5">
        <v>400.0</v>
      </c>
      <c r="N2573" s="8">
        <v>44518.0</v>
      </c>
    </row>
    <row r="2574">
      <c r="A2574" s="5">
        <v>2573.0</v>
      </c>
      <c r="B2574" s="5" t="s">
        <v>3142</v>
      </c>
      <c r="C2574" s="5" t="s">
        <v>21</v>
      </c>
      <c r="K2574" s="5">
        <v>9000.0</v>
      </c>
      <c r="N2574" s="8">
        <v>45074.0</v>
      </c>
    </row>
    <row r="2575">
      <c r="A2575" s="5">
        <v>2574.0</v>
      </c>
      <c r="B2575" s="5" t="s">
        <v>3143</v>
      </c>
      <c r="C2575" s="5" t="s">
        <v>21</v>
      </c>
      <c r="K2575" s="5">
        <v>150.0</v>
      </c>
      <c r="N2575" s="8">
        <v>44767.0</v>
      </c>
    </row>
    <row r="2576">
      <c r="A2576" s="5">
        <v>2575.0</v>
      </c>
      <c r="B2576" s="5" t="s">
        <v>3144</v>
      </c>
      <c r="C2576" s="5" t="s">
        <v>21</v>
      </c>
      <c r="K2576" s="5">
        <v>1900.0</v>
      </c>
      <c r="N2576" s="8">
        <v>43964.0</v>
      </c>
    </row>
    <row r="2577">
      <c r="A2577" s="5">
        <v>2576.0</v>
      </c>
      <c r="B2577" s="5" t="s">
        <v>3145</v>
      </c>
      <c r="C2577" s="5" t="s">
        <v>21</v>
      </c>
      <c r="K2577" s="5">
        <v>100.0</v>
      </c>
      <c r="N2577" s="8">
        <v>44789.0</v>
      </c>
    </row>
    <row r="2578">
      <c r="A2578" s="5">
        <v>2577.0</v>
      </c>
      <c r="B2578" s="5" t="s">
        <v>3146</v>
      </c>
      <c r="C2578" s="5" t="s">
        <v>21</v>
      </c>
      <c r="K2578" s="5">
        <v>109000.0</v>
      </c>
      <c r="N2578" s="8">
        <v>44605.0</v>
      </c>
    </row>
    <row r="2579">
      <c r="A2579" s="5">
        <v>2578.0</v>
      </c>
      <c r="B2579" s="5" t="s">
        <v>3147</v>
      </c>
      <c r="C2579" s="5" t="s">
        <v>21</v>
      </c>
      <c r="K2579" s="5">
        <v>150.0</v>
      </c>
      <c r="N2579" s="8">
        <v>44319.0</v>
      </c>
    </row>
    <row r="2580">
      <c r="A2580" s="5">
        <v>2579.0</v>
      </c>
      <c r="B2580" s="5" t="s">
        <v>3148</v>
      </c>
      <c r="C2580" s="5" t="s">
        <v>21</v>
      </c>
      <c r="K2580" s="5">
        <v>450.0</v>
      </c>
      <c r="N2580" s="8">
        <v>44817.0</v>
      </c>
    </row>
    <row r="2581">
      <c r="A2581" s="5">
        <v>2580.0</v>
      </c>
      <c r="B2581" s="5" t="s">
        <v>3149</v>
      </c>
      <c r="C2581" s="5" t="s">
        <v>21</v>
      </c>
      <c r="K2581" s="5">
        <v>1000.0</v>
      </c>
      <c r="N2581" s="8">
        <v>44064.0</v>
      </c>
    </row>
    <row r="2582">
      <c r="A2582" s="5">
        <v>2581.0</v>
      </c>
      <c r="B2582" s="5" t="s">
        <v>3150</v>
      </c>
      <c r="C2582" s="5" t="s">
        <v>21</v>
      </c>
      <c r="K2582" s="5">
        <v>70.0</v>
      </c>
      <c r="N2582" s="8">
        <v>45161.0</v>
      </c>
    </row>
    <row r="2583">
      <c r="A2583" s="5">
        <v>2582.0</v>
      </c>
      <c r="B2583" s="5" t="s">
        <v>3151</v>
      </c>
      <c r="C2583" s="5" t="s">
        <v>21</v>
      </c>
      <c r="N2583" s="8">
        <v>44584.0</v>
      </c>
    </row>
    <row r="2584">
      <c r="A2584" s="5">
        <v>2583.0</v>
      </c>
      <c r="B2584" s="5" t="s">
        <v>3152</v>
      </c>
      <c r="C2584" s="5" t="s">
        <v>21</v>
      </c>
      <c r="K2584" s="5">
        <v>100.0</v>
      </c>
      <c r="N2584" s="8">
        <v>44078.0</v>
      </c>
    </row>
    <row r="2585">
      <c r="A2585" s="5">
        <v>2584.0</v>
      </c>
      <c r="B2585" s="5" t="s">
        <v>235</v>
      </c>
      <c r="C2585" s="5" t="s">
        <v>21</v>
      </c>
      <c r="K2585" s="5">
        <v>150.0</v>
      </c>
      <c r="N2585" s="8">
        <v>44126.0</v>
      </c>
    </row>
    <row r="2586">
      <c r="A2586" s="5">
        <v>2585.0</v>
      </c>
      <c r="B2586" s="5" t="s">
        <v>3153</v>
      </c>
      <c r="C2586" s="5" t="s">
        <v>21</v>
      </c>
      <c r="K2586" s="5">
        <v>50.0</v>
      </c>
      <c r="N2586" s="8">
        <v>44954.0</v>
      </c>
    </row>
    <row r="2587">
      <c r="A2587" s="5">
        <v>2586.0</v>
      </c>
      <c r="B2587" s="5" t="s">
        <v>3154</v>
      </c>
      <c r="C2587" s="5" t="s">
        <v>21</v>
      </c>
      <c r="K2587" s="5">
        <v>5000.0</v>
      </c>
      <c r="N2587" s="8">
        <v>43882.0</v>
      </c>
    </row>
    <row r="2588">
      <c r="A2588" s="5">
        <v>2587.0</v>
      </c>
      <c r="B2588" s="5" t="s">
        <v>3155</v>
      </c>
      <c r="C2588" s="5" t="s">
        <v>21</v>
      </c>
      <c r="K2588" s="5">
        <v>150.0</v>
      </c>
      <c r="N2588" s="8">
        <v>44624.0</v>
      </c>
    </row>
    <row r="2589">
      <c r="A2589" s="5">
        <v>2588.0</v>
      </c>
      <c r="B2589" s="5" t="s">
        <v>3156</v>
      </c>
      <c r="C2589" s="5" t="s">
        <v>21</v>
      </c>
      <c r="N2589" s="8">
        <v>44115.0</v>
      </c>
    </row>
    <row r="2590">
      <c r="A2590" s="5">
        <v>2589.0</v>
      </c>
      <c r="B2590" s="5" t="s">
        <v>3157</v>
      </c>
      <c r="C2590" s="5" t="s">
        <v>21</v>
      </c>
      <c r="K2590" s="5">
        <v>250.0</v>
      </c>
      <c r="N2590" s="8">
        <v>44190.0</v>
      </c>
    </row>
    <row r="2591">
      <c r="A2591" s="5">
        <v>2590.0</v>
      </c>
      <c r="B2591" s="5" t="s">
        <v>237</v>
      </c>
      <c r="C2591" s="5" t="s">
        <v>21</v>
      </c>
      <c r="K2591" s="5">
        <v>500.0</v>
      </c>
      <c r="N2591" s="8">
        <v>43872.0</v>
      </c>
    </row>
    <row r="2592">
      <c r="A2592" s="5">
        <v>2591.0</v>
      </c>
      <c r="B2592" s="5" t="s">
        <v>3158</v>
      </c>
      <c r="C2592" s="5" t="s">
        <v>21</v>
      </c>
      <c r="K2592" s="5">
        <v>700.0</v>
      </c>
      <c r="N2592" s="8">
        <v>44593.0</v>
      </c>
    </row>
    <row r="2593">
      <c r="A2593" s="5">
        <v>2592.0</v>
      </c>
      <c r="B2593" s="5" t="s">
        <v>3159</v>
      </c>
      <c r="C2593" s="5" t="s">
        <v>21</v>
      </c>
      <c r="K2593" s="5">
        <v>400.0</v>
      </c>
      <c r="N2593" s="8">
        <v>45021.0</v>
      </c>
    </row>
    <row r="2594">
      <c r="A2594" s="5">
        <v>2593.0</v>
      </c>
      <c r="B2594" s="5" t="s">
        <v>3160</v>
      </c>
      <c r="C2594" s="5" t="s">
        <v>21</v>
      </c>
      <c r="K2594" s="5">
        <v>350.0</v>
      </c>
      <c r="N2594" s="8">
        <v>44825.0</v>
      </c>
    </row>
    <row r="2595">
      <c r="A2595" s="5">
        <v>2594.0</v>
      </c>
      <c r="B2595" s="5" t="s">
        <v>3161</v>
      </c>
      <c r="C2595" s="5" t="s">
        <v>21</v>
      </c>
      <c r="K2595" s="5">
        <v>1100.0</v>
      </c>
      <c r="N2595" s="8">
        <v>44623.0</v>
      </c>
    </row>
    <row r="2596">
      <c r="A2596" s="5">
        <v>2595.0</v>
      </c>
      <c r="B2596" s="5" t="s">
        <v>3162</v>
      </c>
      <c r="C2596" s="5" t="s">
        <v>21</v>
      </c>
      <c r="K2596" s="5">
        <v>450.0</v>
      </c>
      <c r="N2596" s="8">
        <v>43989.0</v>
      </c>
    </row>
    <row r="2597">
      <c r="A2597" s="5">
        <v>2596.0</v>
      </c>
      <c r="B2597" s="5" t="s">
        <v>3163</v>
      </c>
      <c r="C2597" s="5" t="s">
        <v>21</v>
      </c>
      <c r="K2597" s="5">
        <v>500.0</v>
      </c>
      <c r="N2597" s="8">
        <v>44279.0</v>
      </c>
    </row>
    <row r="2598">
      <c r="A2598" s="5">
        <v>2597.0</v>
      </c>
      <c r="B2598" s="5" t="s">
        <v>230</v>
      </c>
      <c r="C2598" s="5" t="s">
        <v>21</v>
      </c>
      <c r="K2598" s="5">
        <v>90.0</v>
      </c>
      <c r="N2598" s="8">
        <v>44850.0</v>
      </c>
    </row>
    <row r="2599">
      <c r="A2599" s="5">
        <v>2598.0</v>
      </c>
      <c r="B2599" s="5" t="s">
        <v>3164</v>
      </c>
      <c r="C2599" s="5" t="s">
        <v>21</v>
      </c>
      <c r="K2599" s="5">
        <v>250.0</v>
      </c>
      <c r="N2599" s="8">
        <v>44787.0</v>
      </c>
    </row>
    <row r="2600">
      <c r="A2600" s="5">
        <v>2599.0</v>
      </c>
      <c r="B2600" s="5" t="s">
        <v>3165</v>
      </c>
      <c r="C2600" s="5" t="s">
        <v>21</v>
      </c>
      <c r="K2600" s="5">
        <v>3800.0</v>
      </c>
      <c r="N2600" s="8">
        <v>43886.0</v>
      </c>
    </row>
    <row r="2601">
      <c r="A2601" s="5">
        <v>2600.0</v>
      </c>
      <c r="B2601" s="5" t="s">
        <v>3166</v>
      </c>
      <c r="C2601" s="5" t="s">
        <v>21</v>
      </c>
      <c r="K2601" s="5">
        <v>2000.0</v>
      </c>
      <c r="N2601" s="8">
        <v>44894.0</v>
      </c>
    </row>
    <row r="2602">
      <c r="A2602" s="5">
        <v>2601.0</v>
      </c>
      <c r="B2602" s="5" t="s">
        <v>233</v>
      </c>
      <c r="C2602" s="5" t="s">
        <v>21</v>
      </c>
      <c r="K2602" s="5">
        <v>20.0</v>
      </c>
      <c r="N2602" s="8">
        <v>45031.0</v>
      </c>
    </row>
    <row r="2603">
      <c r="A2603" s="5">
        <v>2602.0</v>
      </c>
      <c r="B2603" s="5" t="s">
        <v>3167</v>
      </c>
      <c r="C2603" s="5" t="s">
        <v>21</v>
      </c>
      <c r="K2603" s="5">
        <v>50.0</v>
      </c>
      <c r="N2603" s="8">
        <v>44796.0</v>
      </c>
    </row>
    <row r="2604">
      <c r="A2604" s="5">
        <v>2603.0</v>
      </c>
      <c r="B2604" s="5" t="s">
        <v>3168</v>
      </c>
      <c r="C2604" s="5" t="s">
        <v>21</v>
      </c>
      <c r="K2604" s="5">
        <v>40.0</v>
      </c>
      <c r="N2604" s="8">
        <v>45078.0</v>
      </c>
    </row>
    <row r="2605">
      <c r="A2605" s="5">
        <v>2604.0</v>
      </c>
      <c r="B2605" s="5" t="s">
        <v>3169</v>
      </c>
      <c r="C2605" s="5" t="s">
        <v>21</v>
      </c>
      <c r="K2605" s="5">
        <v>90.0</v>
      </c>
      <c r="N2605" s="8">
        <v>44599.0</v>
      </c>
    </row>
    <row r="2606">
      <c r="A2606" s="5">
        <v>2605.0</v>
      </c>
      <c r="B2606" s="5" t="s">
        <v>3170</v>
      </c>
      <c r="C2606" s="5" t="s">
        <v>21</v>
      </c>
      <c r="K2606" s="5">
        <v>200.0</v>
      </c>
      <c r="N2606" s="8">
        <v>44481.0</v>
      </c>
    </row>
    <row r="2607">
      <c r="A2607" s="5">
        <v>2606.0</v>
      </c>
      <c r="B2607" s="5" t="s">
        <v>3171</v>
      </c>
      <c r="C2607" s="5" t="s">
        <v>21</v>
      </c>
      <c r="K2607" s="5">
        <v>2000.0</v>
      </c>
      <c r="N2607" s="8">
        <v>45379.0</v>
      </c>
    </row>
    <row r="2608">
      <c r="A2608" s="5">
        <v>2607.0</v>
      </c>
      <c r="B2608" s="5" t="s">
        <v>3172</v>
      </c>
      <c r="C2608" s="5" t="s">
        <v>21</v>
      </c>
      <c r="K2608" s="5">
        <v>3100.0</v>
      </c>
      <c r="N2608" s="8">
        <v>45285.0</v>
      </c>
    </row>
    <row r="2609">
      <c r="A2609" s="5">
        <v>2608.0</v>
      </c>
      <c r="B2609" s="5" t="s">
        <v>3173</v>
      </c>
      <c r="C2609" s="5" t="s">
        <v>21</v>
      </c>
      <c r="K2609" s="5">
        <v>350.0</v>
      </c>
      <c r="N2609" s="8">
        <v>44569.0</v>
      </c>
    </row>
    <row r="2610">
      <c r="A2610" s="5">
        <v>2609.0</v>
      </c>
      <c r="B2610" s="5" t="s">
        <v>3174</v>
      </c>
      <c r="C2610" s="5" t="s">
        <v>21</v>
      </c>
      <c r="K2610" s="5">
        <v>1400.0</v>
      </c>
      <c r="N2610" s="8">
        <v>44373.0</v>
      </c>
    </row>
    <row r="2611">
      <c r="A2611" s="5">
        <v>2610.0</v>
      </c>
      <c r="B2611" s="5" t="s">
        <v>3175</v>
      </c>
      <c r="C2611" s="5" t="s">
        <v>21</v>
      </c>
      <c r="K2611" s="5">
        <v>1300.0</v>
      </c>
      <c r="N2611" s="8">
        <v>44046.0</v>
      </c>
    </row>
    <row r="2612">
      <c r="A2612" s="5">
        <v>2611.0</v>
      </c>
      <c r="B2612" s="5" t="s">
        <v>3176</v>
      </c>
      <c r="C2612" s="5" t="s">
        <v>21</v>
      </c>
      <c r="K2612" s="5">
        <v>150.0</v>
      </c>
      <c r="N2612" s="8">
        <v>43867.0</v>
      </c>
    </row>
    <row r="2613">
      <c r="A2613" s="5">
        <v>2612.0</v>
      </c>
      <c r="B2613" s="5" t="s">
        <v>3177</v>
      </c>
      <c r="C2613" s="5" t="s">
        <v>21</v>
      </c>
      <c r="K2613" s="5">
        <v>700.0</v>
      </c>
      <c r="N2613" s="8">
        <v>42358.0</v>
      </c>
    </row>
    <row r="2614">
      <c r="A2614" s="5">
        <v>2613.0</v>
      </c>
      <c r="B2614" s="5" t="s">
        <v>3178</v>
      </c>
      <c r="C2614" s="5" t="s">
        <v>21</v>
      </c>
      <c r="N2614" s="8">
        <v>44586.0</v>
      </c>
    </row>
    <row r="2615">
      <c r="A2615" s="5">
        <v>2614.0</v>
      </c>
      <c r="B2615" s="5" t="s">
        <v>240</v>
      </c>
      <c r="C2615" s="5" t="s">
        <v>21</v>
      </c>
      <c r="K2615" s="5">
        <v>20000.0</v>
      </c>
      <c r="N2615" s="8">
        <v>44011.0</v>
      </c>
    </row>
    <row r="2616">
      <c r="A2616" s="5">
        <v>2615.0</v>
      </c>
      <c r="B2616" s="5" t="s">
        <v>3179</v>
      </c>
      <c r="C2616" s="5" t="s">
        <v>21</v>
      </c>
      <c r="K2616" s="5">
        <v>150.0</v>
      </c>
      <c r="N2616" s="8">
        <v>45158.0</v>
      </c>
    </row>
    <row r="2617">
      <c r="A2617" s="5">
        <v>2616.0</v>
      </c>
      <c r="B2617" s="5" t="s">
        <v>3180</v>
      </c>
      <c r="C2617" s="5" t="s">
        <v>21</v>
      </c>
      <c r="K2617" s="5">
        <v>150.0</v>
      </c>
      <c r="N2617" s="8">
        <v>45399.0</v>
      </c>
    </row>
    <row r="2618">
      <c r="A2618" s="5">
        <v>2617.0</v>
      </c>
      <c r="B2618" s="5" t="s">
        <v>3181</v>
      </c>
      <c r="C2618" s="5" t="s">
        <v>21</v>
      </c>
      <c r="K2618" s="5">
        <v>200.0</v>
      </c>
      <c r="N2618" s="8">
        <v>45007.0</v>
      </c>
    </row>
    <row r="2619">
      <c r="A2619" s="5">
        <v>2618.0</v>
      </c>
      <c r="B2619" s="5" t="s">
        <v>3182</v>
      </c>
      <c r="C2619" s="5" t="s">
        <v>21</v>
      </c>
      <c r="K2619" s="5">
        <v>100.0</v>
      </c>
      <c r="N2619" s="8">
        <v>44517.0</v>
      </c>
    </row>
    <row r="2620">
      <c r="A2620" s="5">
        <v>2619.0</v>
      </c>
      <c r="B2620" s="5" t="s">
        <v>3183</v>
      </c>
      <c r="C2620" s="5" t="s">
        <v>21</v>
      </c>
      <c r="N2620" s="8">
        <v>45207.0</v>
      </c>
    </row>
    <row r="2621">
      <c r="A2621" s="5">
        <v>2620.0</v>
      </c>
      <c r="B2621" s="5" t="s">
        <v>3184</v>
      </c>
      <c r="C2621" s="5" t="s">
        <v>21</v>
      </c>
      <c r="K2621" s="5">
        <v>70.0</v>
      </c>
      <c r="N2621" s="8">
        <v>44991.0</v>
      </c>
    </row>
    <row r="2622">
      <c r="A2622" s="5">
        <v>2621.0</v>
      </c>
      <c r="B2622" s="5" t="s">
        <v>241</v>
      </c>
      <c r="C2622" s="5" t="s">
        <v>21</v>
      </c>
      <c r="K2622" s="5">
        <v>900.0</v>
      </c>
      <c r="N2622" s="8">
        <v>43855.0</v>
      </c>
    </row>
    <row r="2623">
      <c r="A2623" s="5">
        <v>2622.0</v>
      </c>
      <c r="B2623" s="5" t="s">
        <v>3185</v>
      </c>
      <c r="C2623" s="5" t="s">
        <v>21</v>
      </c>
      <c r="K2623" s="5">
        <v>200.0</v>
      </c>
      <c r="N2623" s="8">
        <v>44685.0</v>
      </c>
    </row>
    <row r="2624">
      <c r="A2624" s="5">
        <v>2623.0</v>
      </c>
      <c r="B2624" s="5" t="s">
        <v>3186</v>
      </c>
      <c r="C2624" s="5" t="s">
        <v>21</v>
      </c>
      <c r="K2624" s="5">
        <v>250.0</v>
      </c>
      <c r="N2624" s="8">
        <v>45638.0</v>
      </c>
    </row>
    <row r="2625">
      <c r="A2625" s="5">
        <v>2624.0</v>
      </c>
      <c r="B2625" s="5" t="s">
        <v>3187</v>
      </c>
      <c r="C2625" s="5" t="s">
        <v>21</v>
      </c>
      <c r="K2625" s="5">
        <v>80.0</v>
      </c>
      <c r="N2625" s="8">
        <v>44566.0</v>
      </c>
    </row>
    <row r="2626">
      <c r="A2626" s="5">
        <v>2625.0</v>
      </c>
      <c r="B2626" s="5" t="s">
        <v>3188</v>
      </c>
      <c r="C2626" s="5" t="s">
        <v>21</v>
      </c>
      <c r="K2626" s="5">
        <v>1300.0</v>
      </c>
      <c r="N2626" s="8">
        <v>44549.0</v>
      </c>
    </row>
    <row r="2627">
      <c r="A2627" s="5">
        <v>2626.0</v>
      </c>
      <c r="B2627" s="5" t="s">
        <v>3189</v>
      </c>
      <c r="C2627" s="5" t="s">
        <v>21</v>
      </c>
      <c r="K2627" s="5">
        <v>250.0</v>
      </c>
      <c r="N2627" s="8">
        <v>44744.0</v>
      </c>
    </row>
    <row r="2628">
      <c r="A2628" s="5">
        <v>2627.0</v>
      </c>
      <c r="B2628" s="5" t="s">
        <v>3190</v>
      </c>
      <c r="C2628" s="5" t="s">
        <v>21</v>
      </c>
      <c r="K2628" s="5">
        <v>700.0</v>
      </c>
      <c r="N2628" s="8">
        <v>44282.0</v>
      </c>
    </row>
    <row r="2629">
      <c r="A2629" s="5">
        <v>2628.0</v>
      </c>
      <c r="B2629" s="5" t="s">
        <v>3191</v>
      </c>
      <c r="C2629" s="5" t="s">
        <v>21</v>
      </c>
      <c r="K2629" s="5">
        <v>70.0</v>
      </c>
      <c r="N2629" s="8">
        <v>45555.0</v>
      </c>
    </row>
    <row r="2630">
      <c r="A2630" s="5">
        <v>2629.0</v>
      </c>
      <c r="B2630" s="5" t="s">
        <v>3192</v>
      </c>
      <c r="C2630" s="5" t="s">
        <v>21</v>
      </c>
      <c r="K2630" s="5">
        <v>350.0</v>
      </c>
      <c r="N2630" s="8">
        <v>45092.0</v>
      </c>
    </row>
    <row r="2631">
      <c r="A2631" s="5">
        <v>2630.0</v>
      </c>
      <c r="B2631" s="5" t="s">
        <v>3193</v>
      </c>
      <c r="C2631" s="5" t="s">
        <v>21</v>
      </c>
      <c r="K2631" s="5">
        <v>1400.0</v>
      </c>
      <c r="N2631" s="8">
        <v>44514.0</v>
      </c>
    </row>
    <row r="2632">
      <c r="A2632" s="5">
        <v>2631.0</v>
      </c>
      <c r="B2632" s="5" t="s">
        <v>3194</v>
      </c>
      <c r="C2632" s="5" t="s">
        <v>21</v>
      </c>
      <c r="K2632" s="5">
        <v>60.0</v>
      </c>
      <c r="N2632" s="8">
        <v>44693.0</v>
      </c>
    </row>
    <row r="2633">
      <c r="A2633" s="5">
        <v>2632.0</v>
      </c>
      <c r="B2633" s="5" t="s">
        <v>3195</v>
      </c>
      <c r="C2633" s="5" t="s">
        <v>21</v>
      </c>
      <c r="K2633" s="5">
        <v>20.0</v>
      </c>
      <c r="N2633" s="8">
        <v>44037.0</v>
      </c>
    </row>
    <row r="2634">
      <c r="A2634" s="5">
        <v>2633.0</v>
      </c>
      <c r="B2634" s="5" t="s">
        <v>3196</v>
      </c>
      <c r="C2634" s="5" t="s">
        <v>21</v>
      </c>
      <c r="K2634" s="5">
        <v>60.0</v>
      </c>
      <c r="N2634" s="8">
        <v>43972.0</v>
      </c>
    </row>
    <row r="2635">
      <c r="A2635" s="5">
        <v>2634.0</v>
      </c>
      <c r="B2635" s="5" t="s">
        <v>3197</v>
      </c>
      <c r="C2635" s="5" t="s">
        <v>21</v>
      </c>
      <c r="K2635" s="5">
        <v>350.0</v>
      </c>
      <c r="N2635" s="8">
        <v>44104.0</v>
      </c>
    </row>
    <row r="2636">
      <c r="A2636" s="5">
        <v>2635.0</v>
      </c>
      <c r="B2636" s="5" t="s">
        <v>3198</v>
      </c>
      <c r="C2636" s="5" t="s">
        <v>21</v>
      </c>
      <c r="K2636" s="5">
        <v>400.0</v>
      </c>
      <c r="N2636" s="8">
        <v>45221.0</v>
      </c>
    </row>
    <row r="2637">
      <c r="A2637" s="5">
        <v>2636.0</v>
      </c>
      <c r="B2637" s="5" t="s">
        <v>3199</v>
      </c>
      <c r="C2637" s="5" t="s">
        <v>21</v>
      </c>
      <c r="K2637" s="5">
        <v>300.0</v>
      </c>
      <c r="N2637" s="8">
        <v>45643.0</v>
      </c>
    </row>
    <row r="2638">
      <c r="A2638" s="5">
        <v>2637.0</v>
      </c>
      <c r="B2638" s="5" t="s">
        <v>3200</v>
      </c>
      <c r="C2638" s="5" t="s">
        <v>21</v>
      </c>
      <c r="K2638" s="5">
        <v>1500.0</v>
      </c>
      <c r="N2638" s="8">
        <v>45677.0</v>
      </c>
    </row>
    <row r="2639">
      <c r="A2639" s="5">
        <v>2638.0</v>
      </c>
      <c r="B2639" s="5" t="s">
        <v>3201</v>
      </c>
      <c r="C2639" s="5" t="s">
        <v>21</v>
      </c>
      <c r="K2639" s="5">
        <v>350.0</v>
      </c>
      <c r="N2639" s="8">
        <v>44557.0</v>
      </c>
    </row>
    <row r="2640">
      <c r="A2640" s="5">
        <v>2639.0</v>
      </c>
      <c r="B2640" s="5" t="s">
        <v>3202</v>
      </c>
      <c r="C2640" s="5" t="s">
        <v>21</v>
      </c>
      <c r="K2640" s="5">
        <v>300.0</v>
      </c>
      <c r="N2640" s="8">
        <v>45169.0</v>
      </c>
    </row>
    <row r="2641">
      <c r="A2641" s="5">
        <v>2640.0</v>
      </c>
      <c r="B2641" s="5" t="s">
        <v>3203</v>
      </c>
      <c r="C2641" s="5" t="s">
        <v>21</v>
      </c>
      <c r="K2641" s="5">
        <v>300.0</v>
      </c>
      <c r="N2641" s="8">
        <v>44531.0</v>
      </c>
    </row>
    <row r="2642">
      <c r="A2642" s="5">
        <v>2641.0</v>
      </c>
      <c r="B2642" s="5" t="s">
        <v>3204</v>
      </c>
      <c r="C2642" s="5" t="s">
        <v>21</v>
      </c>
      <c r="K2642" s="5">
        <v>250.0</v>
      </c>
      <c r="N2642" s="8">
        <v>44833.0</v>
      </c>
    </row>
    <row r="2643">
      <c r="A2643" s="5">
        <v>2642.0</v>
      </c>
      <c r="B2643" s="5" t="s">
        <v>3205</v>
      </c>
      <c r="C2643" s="5" t="s">
        <v>21</v>
      </c>
      <c r="K2643" s="5">
        <v>1000.0</v>
      </c>
      <c r="N2643" s="8">
        <v>43875.0</v>
      </c>
    </row>
    <row r="2644">
      <c r="A2644" s="5">
        <v>2643.0</v>
      </c>
      <c r="B2644" s="5" t="s">
        <v>3206</v>
      </c>
      <c r="C2644" s="5" t="s">
        <v>21</v>
      </c>
      <c r="K2644" s="5">
        <v>600.0</v>
      </c>
      <c r="N2644" s="8">
        <v>43886.0</v>
      </c>
    </row>
    <row r="2645">
      <c r="A2645" s="5">
        <v>2644.0</v>
      </c>
      <c r="B2645" s="5" t="s">
        <v>3207</v>
      </c>
      <c r="C2645" s="5" t="s">
        <v>21</v>
      </c>
      <c r="K2645" s="5">
        <v>450.0</v>
      </c>
      <c r="N2645" s="8">
        <v>44086.0</v>
      </c>
    </row>
    <row r="2646">
      <c r="A2646" s="5">
        <v>2645.0</v>
      </c>
      <c r="B2646" s="5" t="s">
        <v>3208</v>
      </c>
      <c r="C2646" s="5" t="s">
        <v>21</v>
      </c>
      <c r="K2646" s="5">
        <v>250.0</v>
      </c>
      <c r="N2646" s="8">
        <v>45718.0</v>
      </c>
    </row>
    <row r="2647">
      <c r="A2647" s="5">
        <v>2646.0</v>
      </c>
      <c r="B2647" s="5" t="s">
        <v>3209</v>
      </c>
      <c r="C2647" s="5" t="s">
        <v>21</v>
      </c>
      <c r="N2647" s="8">
        <v>44829.0</v>
      </c>
    </row>
    <row r="2648">
      <c r="A2648" s="5">
        <v>2647.0</v>
      </c>
      <c r="B2648" s="5" t="s">
        <v>3210</v>
      </c>
      <c r="C2648" s="5" t="s">
        <v>21</v>
      </c>
      <c r="N2648" s="8">
        <v>45075.0</v>
      </c>
    </row>
    <row r="2649">
      <c r="A2649" s="5">
        <v>2648.0</v>
      </c>
      <c r="B2649" s="5" t="s">
        <v>3211</v>
      </c>
      <c r="C2649" s="5" t="s">
        <v>21</v>
      </c>
      <c r="K2649" s="5">
        <v>700.0</v>
      </c>
      <c r="N2649" s="8">
        <v>45196.0</v>
      </c>
    </row>
    <row r="2650">
      <c r="A2650" s="5">
        <v>2649.0</v>
      </c>
      <c r="B2650" s="5" t="s">
        <v>3212</v>
      </c>
      <c r="C2650" s="5" t="s">
        <v>21</v>
      </c>
      <c r="K2650" s="5">
        <v>1100.0</v>
      </c>
      <c r="N2650" s="8">
        <v>44047.0</v>
      </c>
    </row>
    <row r="2651">
      <c r="A2651" s="5">
        <v>2650.0</v>
      </c>
      <c r="B2651" s="5" t="s">
        <v>3213</v>
      </c>
      <c r="C2651" s="5" t="s">
        <v>21</v>
      </c>
      <c r="K2651" s="5">
        <v>150.0</v>
      </c>
      <c r="N2651" s="8">
        <v>45430.0</v>
      </c>
    </row>
    <row r="2652">
      <c r="A2652" s="5">
        <v>2651.0</v>
      </c>
      <c r="B2652" s="5" t="s">
        <v>3214</v>
      </c>
      <c r="C2652" s="5" t="s">
        <v>21</v>
      </c>
      <c r="K2652" s="5">
        <v>7200.0</v>
      </c>
      <c r="N2652" s="8">
        <v>45293.0</v>
      </c>
    </row>
    <row r="2653">
      <c r="A2653" s="5">
        <v>2652.0</v>
      </c>
      <c r="B2653" s="5" t="s">
        <v>3215</v>
      </c>
      <c r="C2653" s="5" t="s">
        <v>21</v>
      </c>
      <c r="K2653" s="5">
        <v>300.0</v>
      </c>
      <c r="N2653" s="8">
        <v>44708.0</v>
      </c>
    </row>
    <row r="2654">
      <c r="A2654" s="5">
        <v>2653.0</v>
      </c>
      <c r="B2654" s="5" t="s">
        <v>3216</v>
      </c>
      <c r="C2654" s="5" t="s">
        <v>21</v>
      </c>
      <c r="K2654" s="5">
        <v>1900.0</v>
      </c>
      <c r="N2654" s="8">
        <v>43839.0</v>
      </c>
    </row>
    <row r="2655">
      <c r="A2655" s="5">
        <v>2654.0</v>
      </c>
      <c r="B2655" s="5" t="s">
        <v>3217</v>
      </c>
      <c r="C2655" s="5" t="s">
        <v>21</v>
      </c>
      <c r="K2655" s="5">
        <v>350.0</v>
      </c>
      <c r="N2655" s="8">
        <v>44546.0</v>
      </c>
    </row>
    <row r="2656">
      <c r="A2656" s="5">
        <v>2655.0</v>
      </c>
      <c r="B2656" s="5" t="s">
        <v>3218</v>
      </c>
      <c r="C2656" s="5" t="s">
        <v>21</v>
      </c>
      <c r="K2656" s="5">
        <v>300.0</v>
      </c>
      <c r="N2656" s="8">
        <v>44521.0</v>
      </c>
    </row>
    <row r="2657">
      <c r="A2657" s="5">
        <v>2656.0</v>
      </c>
      <c r="B2657" s="5" t="s">
        <v>3219</v>
      </c>
      <c r="C2657" s="5" t="s">
        <v>21</v>
      </c>
      <c r="K2657" s="5">
        <v>250.0</v>
      </c>
      <c r="N2657" s="8">
        <v>43851.0</v>
      </c>
    </row>
    <row r="2658">
      <c r="A2658" s="5">
        <v>2657.0</v>
      </c>
      <c r="B2658" s="5" t="s">
        <v>244</v>
      </c>
      <c r="C2658" s="5" t="s">
        <v>21</v>
      </c>
      <c r="K2658" s="5">
        <v>400.0</v>
      </c>
      <c r="N2658" s="8">
        <v>44160.0</v>
      </c>
    </row>
    <row r="2659">
      <c r="A2659" s="5">
        <v>2658.0</v>
      </c>
      <c r="B2659" s="5" t="s">
        <v>3220</v>
      </c>
      <c r="C2659" s="5" t="s">
        <v>21</v>
      </c>
      <c r="K2659" s="5">
        <v>350.0</v>
      </c>
      <c r="N2659" s="8">
        <v>45364.0</v>
      </c>
    </row>
    <row r="2660">
      <c r="A2660" s="5">
        <v>2659.0</v>
      </c>
      <c r="B2660" s="5" t="s">
        <v>3221</v>
      </c>
      <c r="C2660" s="5" t="s">
        <v>21</v>
      </c>
      <c r="K2660" s="5">
        <v>30.0</v>
      </c>
      <c r="N2660" s="8">
        <v>45353.0</v>
      </c>
    </row>
    <row r="2661">
      <c r="A2661" s="5">
        <v>2660.0</v>
      </c>
      <c r="B2661" s="5" t="s">
        <v>3222</v>
      </c>
      <c r="C2661" s="5" t="s">
        <v>21</v>
      </c>
      <c r="K2661" s="5">
        <v>400.0</v>
      </c>
      <c r="N2661" s="8">
        <v>44703.0</v>
      </c>
    </row>
    <row r="2662">
      <c r="A2662" s="5">
        <v>2661.0</v>
      </c>
      <c r="B2662" s="5" t="s">
        <v>3223</v>
      </c>
      <c r="C2662" s="5" t="s">
        <v>21</v>
      </c>
      <c r="K2662" s="5">
        <v>60.0</v>
      </c>
      <c r="N2662" s="8">
        <v>44221.0</v>
      </c>
    </row>
    <row r="2663">
      <c r="A2663" s="5">
        <v>2662.0</v>
      </c>
      <c r="B2663" s="5" t="s">
        <v>3224</v>
      </c>
      <c r="C2663" s="5" t="s">
        <v>21</v>
      </c>
      <c r="K2663" s="5">
        <v>400.0</v>
      </c>
      <c r="N2663" s="8">
        <v>44356.0</v>
      </c>
    </row>
    <row r="2664">
      <c r="A2664" s="5">
        <v>2663.0</v>
      </c>
      <c r="B2664" s="5" t="s">
        <v>3225</v>
      </c>
      <c r="C2664" s="5" t="s">
        <v>21</v>
      </c>
      <c r="K2664" s="5">
        <v>150.0</v>
      </c>
      <c r="N2664" s="8">
        <v>44577.0</v>
      </c>
    </row>
    <row r="2665">
      <c r="A2665" s="5">
        <v>2664.0</v>
      </c>
      <c r="B2665" s="5" t="s">
        <v>3226</v>
      </c>
      <c r="C2665" s="5" t="s">
        <v>21</v>
      </c>
      <c r="K2665" s="5">
        <v>300.0</v>
      </c>
      <c r="N2665" s="8">
        <v>44579.0</v>
      </c>
    </row>
    <row r="2666">
      <c r="A2666" s="5">
        <v>2665.0</v>
      </c>
      <c r="B2666" s="5" t="s">
        <v>3227</v>
      </c>
      <c r="C2666" s="5" t="s">
        <v>21</v>
      </c>
      <c r="K2666" s="5">
        <v>150.0</v>
      </c>
      <c r="N2666" s="8">
        <v>45324.0</v>
      </c>
    </row>
    <row r="2667">
      <c r="A2667" s="5">
        <v>2666.0</v>
      </c>
      <c r="B2667" s="5" t="s">
        <v>3228</v>
      </c>
      <c r="C2667" s="5" t="s">
        <v>21</v>
      </c>
      <c r="K2667" s="5">
        <v>10.0</v>
      </c>
      <c r="N2667" s="8">
        <v>44885.0</v>
      </c>
    </row>
    <row r="2668">
      <c r="A2668" s="5">
        <v>2667.0</v>
      </c>
      <c r="B2668" s="5" t="s">
        <v>3229</v>
      </c>
      <c r="C2668" s="5" t="s">
        <v>21</v>
      </c>
      <c r="K2668" s="5">
        <v>250.0</v>
      </c>
      <c r="N2668" s="8">
        <v>44677.0</v>
      </c>
    </row>
    <row r="2669">
      <c r="A2669" s="5">
        <v>2668.0</v>
      </c>
      <c r="B2669" s="5" t="s">
        <v>3230</v>
      </c>
      <c r="C2669" s="5" t="s">
        <v>21</v>
      </c>
      <c r="K2669" s="5">
        <v>500.0</v>
      </c>
      <c r="N2669" s="8">
        <v>44475.0</v>
      </c>
    </row>
    <row r="2670">
      <c r="A2670" s="5">
        <v>2669.0</v>
      </c>
      <c r="B2670" s="5" t="s">
        <v>3231</v>
      </c>
      <c r="C2670" s="5" t="s">
        <v>21</v>
      </c>
      <c r="K2670" s="5">
        <v>250.0</v>
      </c>
      <c r="N2670" s="8">
        <v>44191.0</v>
      </c>
    </row>
    <row r="2671">
      <c r="A2671" s="5">
        <v>2670.0</v>
      </c>
      <c r="B2671" s="5" t="s">
        <v>3232</v>
      </c>
      <c r="C2671" s="5" t="s">
        <v>21</v>
      </c>
      <c r="K2671" s="5">
        <v>600.0</v>
      </c>
      <c r="N2671" s="8">
        <v>44591.0</v>
      </c>
    </row>
    <row r="2672">
      <c r="A2672" s="5">
        <v>2671.0</v>
      </c>
      <c r="B2672" s="5" t="s">
        <v>3233</v>
      </c>
      <c r="C2672" s="5" t="s">
        <v>21</v>
      </c>
      <c r="K2672" s="5">
        <v>150.0</v>
      </c>
      <c r="N2672" s="8">
        <v>44615.0</v>
      </c>
    </row>
    <row r="2673">
      <c r="A2673" s="5">
        <v>2672.0</v>
      </c>
      <c r="B2673" s="5" t="s">
        <v>3234</v>
      </c>
      <c r="C2673" s="5" t="s">
        <v>21</v>
      </c>
      <c r="K2673" s="5">
        <v>600.0</v>
      </c>
      <c r="N2673" s="8">
        <v>44606.0</v>
      </c>
    </row>
    <row r="2674">
      <c r="A2674" s="5">
        <v>2673.0</v>
      </c>
      <c r="B2674" s="5" t="s">
        <v>3235</v>
      </c>
      <c r="C2674" s="5" t="s">
        <v>21</v>
      </c>
      <c r="K2674" s="5">
        <v>300.0</v>
      </c>
      <c r="N2674" s="8">
        <v>44788.0</v>
      </c>
    </row>
    <row r="2675">
      <c r="A2675" s="5">
        <v>2674.0</v>
      </c>
      <c r="B2675" s="5" t="s">
        <v>3236</v>
      </c>
      <c r="C2675" s="5" t="s">
        <v>21</v>
      </c>
      <c r="K2675" s="5">
        <v>450.0</v>
      </c>
      <c r="N2675" s="8">
        <v>45592.0</v>
      </c>
    </row>
    <row r="2676">
      <c r="A2676" s="5">
        <v>2675.0</v>
      </c>
      <c r="B2676" s="5" t="s">
        <v>246</v>
      </c>
      <c r="C2676" s="5" t="s">
        <v>21</v>
      </c>
      <c r="K2676" s="5">
        <v>400.0</v>
      </c>
      <c r="N2676" s="8">
        <v>44698.0</v>
      </c>
    </row>
    <row r="2677">
      <c r="A2677" s="5">
        <v>2676.0</v>
      </c>
      <c r="B2677" s="5" t="s">
        <v>3237</v>
      </c>
      <c r="C2677" s="5" t="s">
        <v>21</v>
      </c>
      <c r="K2677" s="5">
        <v>150.0</v>
      </c>
      <c r="N2677" s="8">
        <v>45351.0</v>
      </c>
    </row>
    <row r="2678">
      <c r="A2678" s="5">
        <v>2677.0</v>
      </c>
      <c r="B2678" s="5" t="s">
        <v>3238</v>
      </c>
      <c r="C2678" s="5" t="s">
        <v>21</v>
      </c>
      <c r="K2678" s="5">
        <v>1500.0</v>
      </c>
      <c r="N2678" s="8">
        <v>44580.0</v>
      </c>
    </row>
    <row r="2679">
      <c r="A2679" s="5">
        <v>2678.0</v>
      </c>
      <c r="B2679" s="5" t="s">
        <v>3239</v>
      </c>
      <c r="C2679" s="5" t="s">
        <v>21</v>
      </c>
      <c r="K2679" s="5">
        <v>150.0</v>
      </c>
      <c r="N2679" s="8">
        <v>45008.0</v>
      </c>
    </row>
    <row r="2680">
      <c r="A2680" s="5">
        <v>2679.0</v>
      </c>
      <c r="B2680" s="5" t="s">
        <v>3240</v>
      </c>
      <c r="C2680" s="5" t="s">
        <v>21</v>
      </c>
      <c r="K2680" s="5">
        <v>150.0</v>
      </c>
      <c r="N2680" s="8">
        <v>43868.0</v>
      </c>
    </row>
    <row r="2681">
      <c r="A2681" s="5">
        <v>2680.0</v>
      </c>
      <c r="B2681" s="5" t="s">
        <v>3241</v>
      </c>
      <c r="C2681" s="5" t="s">
        <v>21</v>
      </c>
      <c r="K2681" s="5">
        <v>900.0</v>
      </c>
      <c r="N2681" s="8">
        <v>44041.0</v>
      </c>
    </row>
    <row r="2682">
      <c r="A2682" s="5">
        <v>2681.0</v>
      </c>
      <c r="B2682" s="5" t="s">
        <v>3242</v>
      </c>
      <c r="C2682" s="5" t="s">
        <v>21</v>
      </c>
      <c r="K2682" s="5">
        <v>500.0</v>
      </c>
      <c r="N2682" s="8">
        <v>44199.0</v>
      </c>
    </row>
    <row r="2683">
      <c r="A2683" s="5">
        <v>2682.0</v>
      </c>
      <c r="B2683" s="5" t="s">
        <v>3243</v>
      </c>
      <c r="C2683" s="5" t="s">
        <v>21</v>
      </c>
      <c r="K2683" s="5">
        <v>100.0</v>
      </c>
      <c r="N2683" s="8">
        <v>45456.0</v>
      </c>
    </row>
    <row r="2684">
      <c r="A2684" s="5">
        <v>2683.0</v>
      </c>
      <c r="B2684" s="5" t="s">
        <v>3244</v>
      </c>
      <c r="C2684" s="5" t="s">
        <v>21</v>
      </c>
      <c r="K2684" s="5">
        <v>300.0</v>
      </c>
      <c r="N2684" s="8">
        <v>44784.0</v>
      </c>
    </row>
    <row r="2685">
      <c r="A2685" s="5">
        <v>2684.0</v>
      </c>
      <c r="B2685" s="5" t="s">
        <v>3245</v>
      </c>
      <c r="C2685" s="5" t="s">
        <v>21</v>
      </c>
      <c r="K2685" s="5">
        <v>250.0</v>
      </c>
      <c r="N2685" s="8">
        <v>43885.0</v>
      </c>
    </row>
    <row r="2686">
      <c r="A2686" s="5">
        <v>2685.0</v>
      </c>
      <c r="B2686" s="5" t="s">
        <v>3246</v>
      </c>
      <c r="C2686" s="5" t="s">
        <v>21</v>
      </c>
      <c r="K2686" s="5">
        <v>150.0</v>
      </c>
      <c r="N2686" s="8">
        <v>44528.0</v>
      </c>
    </row>
    <row r="2687">
      <c r="A2687" s="5">
        <v>2686.0</v>
      </c>
      <c r="B2687" s="5" t="s">
        <v>3247</v>
      </c>
      <c r="C2687" s="5" t="s">
        <v>21</v>
      </c>
      <c r="K2687" s="5">
        <v>50.0</v>
      </c>
      <c r="N2687" s="8">
        <v>44483.0</v>
      </c>
    </row>
    <row r="2688">
      <c r="A2688" s="5">
        <v>2687.0</v>
      </c>
      <c r="B2688" s="5" t="s">
        <v>3248</v>
      </c>
      <c r="C2688" s="5" t="s">
        <v>21</v>
      </c>
      <c r="K2688" s="5">
        <v>1200.0</v>
      </c>
      <c r="N2688" s="8">
        <v>44561.0</v>
      </c>
    </row>
    <row r="2689">
      <c r="A2689" s="5">
        <v>2688.0</v>
      </c>
      <c r="B2689" s="5" t="s">
        <v>3249</v>
      </c>
      <c r="C2689" s="5" t="s">
        <v>21</v>
      </c>
      <c r="K2689" s="5">
        <v>40.0</v>
      </c>
      <c r="N2689" s="8">
        <v>44330.0</v>
      </c>
    </row>
    <row r="2690">
      <c r="A2690" s="5">
        <v>2689.0</v>
      </c>
      <c r="B2690" s="5" t="s">
        <v>3250</v>
      </c>
      <c r="C2690" s="5" t="s">
        <v>21</v>
      </c>
      <c r="K2690" s="5">
        <v>200.0</v>
      </c>
      <c r="N2690" s="8">
        <v>44065.0</v>
      </c>
    </row>
    <row r="2691">
      <c r="A2691" s="5">
        <v>2690.0</v>
      </c>
      <c r="B2691" s="5" t="s">
        <v>3251</v>
      </c>
      <c r="C2691" s="5" t="s">
        <v>21</v>
      </c>
      <c r="K2691" s="5">
        <v>250.0</v>
      </c>
      <c r="N2691" s="8">
        <v>43841.0</v>
      </c>
    </row>
    <row r="2692">
      <c r="A2692" s="5">
        <v>2691.0</v>
      </c>
      <c r="B2692" s="5" t="s">
        <v>3252</v>
      </c>
      <c r="C2692" s="5" t="s">
        <v>21</v>
      </c>
      <c r="K2692" s="5">
        <v>2500.0</v>
      </c>
      <c r="N2692" s="8">
        <v>44540.0</v>
      </c>
    </row>
    <row r="2693">
      <c r="A2693" s="5">
        <v>2692.0</v>
      </c>
      <c r="B2693" s="5" t="s">
        <v>3253</v>
      </c>
      <c r="C2693" s="5" t="s">
        <v>21</v>
      </c>
      <c r="K2693" s="5">
        <v>350.0</v>
      </c>
      <c r="N2693" s="8">
        <v>44533.0</v>
      </c>
    </row>
    <row r="2694">
      <c r="A2694" s="5">
        <v>2693.0</v>
      </c>
      <c r="B2694" s="5" t="s">
        <v>3254</v>
      </c>
      <c r="C2694" s="5" t="s">
        <v>21</v>
      </c>
      <c r="K2694" s="5">
        <v>300.0</v>
      </c>
      <c r="N2694" s="8">
        <v>44615.0</v>
      </c>
    </row>
    <row r="2695">
      <c r="A2695" s="5">
        <v>2694.0</v>
      </c>
      <c r="B2695" s="5" t="s">
        <v>3255</v>
      </c>
      <c r="C2695" s="5" t="s">
        <v>21</v>
      </c>
      <c r="K2695" s="5">
        <v>5700.0</v>
      </c>
      <c r="N2695" s="8">
        <v>45049.0</v>
      </c>
    </row>
    <row r="2696">
      <c r="A2696" s="5">
        <v>2695.0</v>
      </c>
      <c r="B2696" s="5" t="s">
        <v>3256</v>
      </c>
      <c r="C2696" s="5" t="s">
        <v>21</v>
      </c>
      <c r="K2696" s="5">
        <v>70.0</v>
      </c>
      <c r="N2696" s="8">
        <v>45350.0</v>
      </c>
    </row>
    <row r="2697">
      <c r="A2697" s="5">
        <v>2696.0</v>
      </c>
      <c r="B2697" s="5" t="s">
        <v>3257</v>
      </c>
      <c r="C2697" s="5" t="s">
        <v>21</v>
      </c>
      <c r="K2697" s="5">
        <v>500.0</v>
      </c>
      <c r="N2697" s="8">
        <v>44603.0</v>
      </c>
    </row>
    <row r="2698">
      <c r="A2698" s="5">
        <v>2697.0</v>
      </c>
      <c r="B2698" s="5" t="s">
        <v>3258</v>
      </c>
      <c r="C2698" s="5" t="s">
        <v>21</v>
      </c>
      <c r="K2698" s="5">
        <v>2200.0</v>
      </c>
      <c r="N2698" s="8">
        <v>44631.0</v>
      </c>
    </row>
    <row r="2699">
      <c r="A2699" s="5">
        <v>2698.0</v>
      </c>
      <c r="B2699" s="5" t="s">
        <v>3259</v>
      </c>
      <c r="C2699" s="5" t="s">
        <v>21</v>
      </c>
      <c r="K2699" s="5">
        <v>80.0</v>
      </c>
      <c r="N2699" s="8">
        <v>44606.0</v>
      </c>
    </row>
    <row r="2700">
      <c r="A2700" s="5">
        <v>2699.0</v>
      </c>
      <c r="B2700" s="5" t="s">
        <v>3260</v>
      </c>
      <c r="C2700" s="5" t="s">
        <v>21</v>
      </c>
      <c r="K2700" s="5">
        <v>40.0</v>
      </c>
      <c r="N2700" s="8">
        <v>44518.0</v>
      </c>
    </row>
    <row r="2701">
      <c r="A2701" s="5">
        <v>2700.0</v>
      </c>
      <c r="B2701" s="5" t="s">
        <v>3261</v>
      </c>
      <c r="C2701" s="5" t="s">
        <v>21</v>
      </c>
      <c r="K2701" s="5">
        <v>200.0</v>
      </c>
      <c r="N2701" s="8">
        <v>43916.0</v>
      </c>
    </row>
    <row r="2702">
      <c r="A2702" s="5">
        <v>2701.0</v>
      </c>
      <c r="B2702" s="5" t="s">
        <v>3262</v>
      </c>
      <c r="C2702" s="5" t="s">
        <v>21</v>
      </c>
      <c r="K2702" s="5">
        <v>250.0</v>
      </c>
      <c r="N2702" s="8">
        <v>44320.0</v>
      </c>
    </row>
    <row r="2703">
      <c r="A2703" s="5">
        <v>2702.0</v>
      </c>
      <c r="B2703" s="5" t="s">
        <v>3263</v>
      </c>
      <c r="C2703" s="5" t="s">
        <v>21</v>
      </c>
      <c r="K2703" s="5">
        <v>150.0</v>
      </c>
      <c r="N2703" s="8">
        <v>44565.0</v>
      </c>
    </row>
    <row r="2704">
      <c r="A2704" s="5">
        <v>2703.0</v>
      </c>
      <c r="B2704" s="5" t="s">
        <v>3264</v>
      </c>
      <c r="C2704" s="5" t="s">
        <v>21</v>
      </c>
      <c r="K2704" s="5">
        <v>50.0</v>
      </c>
      <c r="N2704" s="8">
        <v>44854.0</v>
      </c>
    </row>
    <row r="2705">
      <c r="A2705" s="5">
        <v>2704.0</v>
      </c>
      <c r="B2705" s="5" t="s">
        <v>3265</v>
      </c>
      <c r="C2705" s="5" t="s">
        <v>21</v>
      </c>
      <c r="K2705" s="5">
        <v>20.0</v>
      </c>
      <c r="N2705" s="8">
        <v>45253.0</v>
      </c>
    </row>
    <row r="2706">
      <c r="A2706" s="5">
        <v>2705.0</v>
      </c>
      <c r="B2706" s="5" t="s">
        <v>3266</v>
      </c>
      <c r="C2706" s="5" t="s">
        <v>21</v>
      </c>
      <c r="K2706" s="5">
        <v>70.0</v>
      </c>
      <c r="N2706" s="8">
        <v>44589.0</v>
      </c>
    </row>
    <row r="2707">
      <c r="A2707" s="5">
        <v>2706.0</v>
      </c>
      <c r="B2707" s="5" t="s">
        <v>3267</v>
      </c>
      <c r="C2707" s="5" t="s">
        <v>21</v>
      </c>
      <c r="K2707" s="5">
        <v>900.0</v>
      </c>
      <c r="N2707" s="8">
        <v>45512.0</v>
      </c>
    </row>
    <row r="2708">
      <c r="A2708" s="5">
        <v>2707.0</v>
      </c>
      <c r="B2708" s="5" t="s">
        <v>3268</v>
      </c>
      <c r="C2708" s="5" t="s">
        <v>21</v>
      </c>
      <c r="K2708" s="5">
        <v>500.0</v>
      </c>
      <c r="N2708" s="8">
        <v>44551.0</v>
      </c>
    </row>
    <row r="2709">
      <c r="A2709" s="5">
        <v>2708.0</v>
      </c>
      <c r="B2709" s="5" t="s">
        <v>3269</v>
      </c>
      <c r="C2709" s="5" t="s">
        <v>21</v>
      </c>
      <c r="K2709" s="5">
        <v>20.0</v>
      </c>
      <c r="N2709" s="8">
        <v>44619.0</v>
      </c>
    </row>
    <row r="2710">
      <c r="A2710" s="5">
        <v>2709.0</v>
      </c>
      <c r="B2710" s="5" t="s">
        <v>3270</v>
      </c>
      <c r="C2710" s="5" t="s">
        <v>21</v>
      </c>
      <c r="K2710" s="5">
        <v>150.0</v>
      </c>
      <c r="N2710" s="8">
        <v>44719.0</v>
      </c>
    </row>
    <row r="2711">
      <c r="A2711" s="5">
        <v>2710.0</v>
      </c>
      <c r="B2711" s="5" t="s">
        <v>3271</v>
      </c>
      <c r="C2711" s="5" t="s">
        <v>21</v>
      </c>
      <c r="K2711" s="5">
        <v>900.0</v>
      </c>
      <c r="N2711" s="8">
        <v>44420.0</v>
      </c>
    </row>
    <row r="2712">
      <c r="A2712" s="5">
        <v>2711.0</v>
      </c>
      <c r="B2712" s="5" t="s">
        <v>3272</v>
      </c>
      <c r="C2712" s="5" t="s">
        <v>21</v>
      </c>
      <c r="K2712" s="5">
        <v>150.0</v>
      </c>
      <c r="N2712" s="8">
        <v>44555.0</v>
      </c>
    </row>
    <row r="2713">
      <c r="A2713" s="5">
        <v>2712.0</v>
      </c>
      <c r="B2713" s="5" t="s">
        <v>3273</v>
      </c>
      <c r="C2713" s="5" t="s">
        <v>21</v>
      </c>
      <c r="K2713" s="5">
        <v>300.0</v>
      </c>
      <c r="N2713" s="8">
        <v>43873.0</v>
      </c>
    </row>
    <row r="2714">
      <c r="A2714" s="5">
        <v>2713.0</v>
      </c>
      <c r="B2714" s="5" t="s">
        <v>3274</v>
      </c>
      <c r="C2714" s="5" t="s">
        <v>21</v>
      </c>
      <c r="N2714" s="8">
        <v>45551.0</v>
      </c>
    </row>
    <row r="2715">
      <c r="A2715" s="5">
        <v>2714.0</v>
      </c>
      <c r="B2715" s="5" t="s">
        <v>3275</v>
      </c>
      <c r="C2715" s="5" t="s">
        <v>21</v>
      </c>
      <c r="K2715" s="5">
        <v>40.0</v>
      </c>
      <c r="N2715" s="8">
        <v>44910.0</v>
      </c>
    </row>
    <row r="2716">
      <c r="A2716" s="5">
        <v>2715.0</v>
      </c>
      <c r="B2716" s="5" t="s">
        <v>3276</v>
      </c>
      <c r="C2716" s="5" t="s">
        <v>21</v>
      </c>
      <c r="K2716" s="5">
        <v>2300.0</v>
      </c>
      <c r="N2716" s="8">
        <v>43519.0</v>
      </c>
    </row>
    <row r="2717">
      <c r="A2717" s="5">
        <v>2716.0</v>
      </c>
      <c r="B2717" s="5" t="s">
        <v>3277</v>
      </c>
      <c r="C2717" s="5" t="s">
        <v>21</v>
      </c>
      <c r="K2717" s="5">
        <v>250.0</v>
      </c>
      <c r="N2717" s="8">
        <v>44620.0</v>
      </c>
    </row>
    <row r="2718">
      <c r="A2718" s="5">
        <v>2717.0</v>
      </c>
      <c r="B2718" s="5" t="s">
        <v>3278</v>
      </c>
      <c r="C2718" s="5" t="s">
        <v>21</v>
      </c>
      <c r="K2718" s="5">
        <v>40.0</v>
      </c>
      <c r="N2718" s="8">
        <v>44711.0</v>
      </c>
    </row>
    <row r="2719">
      <c r="A2719" s="5">
        <v>2718.0</v>
      </c>
      <c r="B2719" s="5" t="s">
        <v>3279</v>
      </c>
      <c r="C2719" s="5" t="s">
        <v>21</v>
      </c>
      <c r="K2719" s="5">
        <v>50.0</v>
      </c>
      <c r="N2719" s="8">
        <v>44601.0</v>
      </c>
    </row>
    <row r="2720">
      <c r="A2720" s="5">
        <v>2719.0</v>
      </c>
      <c r="B2720" s="5" t="s">
        <v>3280</v>
      </c>
      <c r="C2720" s="5" t="s">
        <v>21</v>
      </c>
      <c r="K2720" s="5">
        <v>50.0</v>
      </c>
      <c r="N2720" s="8">
        <v>44403.0</v>
      </c>
    </row>
    <row r="2721">
      <c r="A2721" s="5">
        <v>2720.0</v>
      </c>
      <c r="B2721" s="5" t="s">
        <v>3281</v>
      </c>
      <c r="C2721" s="5" t="s">
        <v>21</v>
      </c>
      <c r="K2721" s="5">
        <v>600.0</v>
      </c>
      <c r="N2721" s="8">
        <v>44267.0</v>
      </c>
    </row>
    <row r="2722">
      <c r="A2722" s="5">
        <v>2721.0</v>
      </c>
      <c r="B2722" s="5" t="s">
        <v>3282</v>
      </c>
      <c r="C2722" s="5" t="s">
        <v>21</v>
      </c>
      <c r="K2722" s="5">
        <v>300.0</v>
      </c>
      <c r="N2722" s="8">
        <v>44693.0</v>
      </c>
    </row>
    <row r="2723">
      <c r="A2723" s="5">
        <v>2722.0</v>
      </c>
      <c r="B2723" s="5" t="s">
        <v>3283</v>
      </c>
      <c r="C2723" s="5" t="s">
        <v>21</v>
      </c>
      <c r="K2723" s="5">
        <v>30.0</v>
      </c>
      <c r="N2723" s="8">
        <v>45258.0</v>
      </c>
    </row>
    <row r="2724">
      <c r="A2724" s="5">
        <v>2723.0</v>
      </c>
      <c r="B2724" s="5" t="s">
        <v>3284</v>
      </c>
      <c r="C2724" s="5" t="s">
        <v>21</v>
      </c>
      <c r="K2724" s="5">
        <v>30.0</v>
      </c>
      <c r="N2724" s="8">
        <v>42444.0</v>
      </c>
    </row>
    <row r="2725">
      <c r="A2725" s="5">
        <v>2724.0</v>
      </c>
      <c r="B2725" s="5" t="s">
        <v>3285</v>
      </c>
      <c r="C2725" s="5" t="s">
        <v>21</v>
      </c>
      <c r="K2725" s="5">
        <v>1600.0</v>
      </c>
      <c r="N2725" s="8">
        <v>43918.0</v>
      </c>
    </row>
    <row r="2726">
      <c r="A2726" s="5">
        <v>2725.0</v>
      </c>
      <c r="B2726" s="5" t="s">
        <v>3286</v>
      </c>
      <c r="C2726" s="5" t="s">
        <v>21</v>
      </c>
      <c r="K2726" s="5">
        <v>50.0</v>
      </c>
      <c r="N2726" s="8">
        <v>45377.0</v>
      </c>
    </row>
    <row r="2727">
      <c r="A2727" s="5">
        <v>2726.0</v>
      </c>
      <c r="B2727" s="5" t="s">
        <v>3287</v>
      </c>
      <c r="C2727" s="5" t="s">
        <v>21</v>
      </c>
      <c r="K2727" s="5">
        <v>350.0</v>
      </c>
      <c r="N2727" s="8">
        <v>44589.0</v>
      </c>
    </row>
    <row r="2728">
      <c r="A2728" s="5">
        <v>2727.0</v>
      </c>
      <c r="B2728" s="5" t="s">
        <v>3288</v>
      </c>
      <c r="C2728" s="5" t="s">
        <v>21</v>
      </c>
      <c r="K2728" s="5">
        <v>1500.0</v>
      </c>
      <c r="N2728" s="8">
        <v>43970.0</v>
      </c>
    </row>
    <row r="2729">
      <c r="A2729" s="5">
        <v>2728.0</v>
      </c>
      <c r="B2729" s="5" t="s">
        <v>3289</v>
      </c>
      <c r="C2729" s="5" t="s">
        <v>21</v>
      </c>
      <c r="K2729" s="5">
        <v>900.0</v>
      </c>
      <c r="N2729" s="8">
        <v>44960.0</v>
      </c>
    </row>
    <row r="2730">
      <c r="A2730" s="5">
        <v>2729.0</v>
      </c>
      <c r="B2730" s="5" t="s">
        <v>3290</v>
      </c>
      <c r="C2730" s="5" t="s">
        <v>21</v>
      </c>
      <c r="K2730" s="5">
        <v>600.0</v>
      </c>
      <c r="N2730" s="8">
        <v>44582.0</v>
      </c>
    </row>
    <row r="2731">
      <c r="A2731" s="5">
        <v>2730.0</v>
      </c>
      <c r="B2731" s="5" t="s">
        <v>239</v>
      </c>
      <c r="C2731" s="5" t="s">
        <v>21</v>
      </c>
      <c r="K2731" s="5">
        <v>100.0</v>
      </c>
      <c r="N2731" s="8">
        <v>44994.0</v>
      </c>
    </row>
    <row r="2732">
      <c r="A2732" s="5">
        <v>2731.0</v>
      </c>
      <c r="B2732" s="5" t="s">
        <v>3291</v>
      </c>
      <c r="C2732" s="5" t="s">
        <v>21</v>
      </c>
      <c r="K2732" s="5">
        <v>800.0</v>
      </c>
      <c r="N2732" s="8">
        <v>44617.0</v>
      </c>
    </row>
    <row r="2733">
      <c r="A2733" s="5">
        <v>2732.0</v>
      </c>
      <c r="B2733" s="5" t="s">
        <v>3292</v>
      </c>
      <c r="C2733" s="5" t="s">
        <v>21</v>
      </c>
      <c r="K2733" s="5">
        <v>150.0</v>
      </c>
      <c r="N2733" s="8">
        <v>44578.0</v>
      </c>
    </row>
    <row r="2734">
      <c r="A2734" s="5">
        <v>2733.0</v>
      </c>
      <c r="B2734" s="5" t="s">
        <v>3293</v>
      </c>
      <c r="C2734" s="5" t="s">
        <v>21</v>
      </c>
      <c r="K2734" s="5">
        <v>100.0</v>
      </c>
      <c r="N2734" s="8">
        <v>45033.0</v>
      </c>
    </row>
    <row r="2735">
      <c r="A2735" s="5">
        <v>2734.0</v>
      </c>
      <c r="B2735" s="5" t="s">
        <v>3294</v>
      </c>
      <c r="C2735" s="5" t="s">
        <v>21</v>
      </c>
      <c r="K2735" s="5">
        <v>350.0</v>
      </c>
      <c r="N2735" s="8">
        <v>44563.0</v>
      </c>
    </row>
    <row r="2736">
      <c r="A2736" s="5">
        <v>2735.0</v>
      </c>
      <c r="B2736" s="5" t="s">
        <v>3295</v>
      </c>
      <c r="C2736" s="5" t="s">
        <v>21</v>
      </c>
      <c r="K2736" s="5">
        <v>200.0</v>
      </c>
      <c r="N2736" s="8">
        <v>44649.0</v>
      </c>
    </row>
    <row r="2737">
      <c r="A2737" s="5">
        <v>2736.0</v>
      </c>
      <c r="B2737" s="5" t="s">
        <v>3296</v>
      </c>
      <c r="C2737" s="5" t="s">
        <v>21</v>
      </c>
      <c r="N2737" s="8">
        <v>45098.0</v>
      </c>
    </row>
    <row r="2738">
      <c r="A2738" s="5">
        <v>2737.0</v>
      </c>
      <c r="B2738" s="5" t="s">
        <v>3297</v>
      </c>
      <c r="C2738" s="5" t="s">
        <v>21</v>
      </c>
      <c r="K2738" s="5">
        <v>700.0</v>
      </c>
      <c r="N2738" s="8">
        <v>44219.0</v>
      </c>
    </row>
    <row r="2739">
      <c r="A2739" s="5">
        <v>2738.0</v>
      </c>
      <c r="B2739" s="5" t="s">
        <v>3298</v>
      </c>
      <c r="C2739" s="5" t="s">
        <v>21</v>
      </c>
      <c r="K2739" s="5">
        <v>2600.0</v>
      </c>
      <c r="N2739" s="8">
        <v>45372.0</v>
      </c>
    </row>
    <row r="2740">
      <c r="A2740" s="5">
        <v>2739.0</v>
      </c>
      <c r="B2740" s="5" t="s">
        <v>3299</v>
      </c>
      <c r="C2740" s="5" t="s">
        <v>21</v>
      </c>
      <c r="K2740" s="5">
        <v>150.0</v>
      </c>
      <c r="N2740" s="8">
        <v>44265.0</v>
      </c>
    </row>
    <row r="2741">
      <c r="A2741" s="5">
        <v>2740.0</v>
      </c>
      <c r="B2741" s="5" t="s">
        <v>3300</v>
      </c>
      <c r="C2741" s="5" t="s">
        <v>21</v>
      </c>
      <c r="K2741" s="5">
        <v>60.0</v>
      </c>
      <c r="N2741" s="8">
        <v>44863.0</v>
      </c>
    </row>
    <row r="2742">
      <c r="A2742" s="5">
        <v>2741.0</v>
      </c>
      <c r="B2742" s="5" t="s">
        <v>3301</v>
      </c>
      <c r="C2742" s="5" t="s">
        <v>21</v>
      </c>
      <c r="K2742" s="5">
        <v>150.0</v>
      </c>
      <c r="N2742" s="8">
        <v>44270.0</v>
      </c>
    </row>
    <row r="2743">
      <c r="A2743" s="5">
        <v>2742.0</v>
      </c>
      <c r="B2743" s="5" t="s">
        <v>3302</v>
      </c>
      <c r="C2743" s="5" t="s">
        <v>21</v>
      </c>
      <c r="K2743" s="5">
        <v>700.0</v>
      </c>
      <c r="N2743" s="8">
        <v>44588.0</v>
      </c>
    </row>
    <row r="2744">
      <c r="A2744" s="5">
        <v>2743.0</v>
      </c>
      <c r="B2744" s="5" t="s">
        <v>3303</v>
      </c>
      <c r="C2744" s="5" t="s">
        <v>21</v>
      </c>
      <c r="K2744" s="5">
        <v>900.0</v>
      </c>
      <c r="N2744" s="8">
        <v>44206.0</v>
      </c>
    </row>
    <row r="2745">
      <c r="A2745" s="5">
        <v>2744.0</v>
      </c>
      <c r="B2745" s="5" t="s">
        <v>3304</v>
      </c>
      <c r="C2745" s="5" t="s">
        <v>21</v>
      </c>
      <c r="K2745" s="5">
        <v>11000.0</v>
      </c>
      <c r="N2745" s="8">
        <v>43860.0</v>
      </c>
    </row>
    <row r="2746">
      <c r="A2746" s="5">
        <v>2745.0</v>
      </c>
      <c r="B2746" s="5" t="s">
        <v>243</v>
      </c>
      <c r="C2746" s="5" t="s">
        <v>21</v>
      </c>
      <c r="K2746" s="5">
        <v>80.0</v>
      </c>
      <c r="N2746" s="8">
        <v>44150.0</v>
      </c>
    </row>
    <row r="2747">
      <c r="A2747" s="5">
        <v>2746.0</v>
      </c>
      <c r="B2747" s="5" t="s">
        <v>3305</v>
      </c>
      <c r="C2747" s="5" t="s">
        <v>21</v>
      </c>
      <c r="K2747" s="5">
        <v>300.0</v>
      </c>
      <c r="N2747" s="8">
        <v>44566.0</v>
      </c>
    </row>
    <row r="2748">
      <c r="A2748" s="5">
        <v>2747.0</v>
      </c>
      <c r="B2748" s="5" t="s">
        <v>3306</v>
      </c>
      <c r="C2748" s="5" t="s">
        <v>21</v>
      </c>
      <c r="K2748" s="5">
        <v>10.0</v>
      </c>
      <c r="N2748" s="8">
        <v>44535.0</v>
      </c>
    </row>
    <row r="2749">
      <c r="A2749" s="5">
        <v>2748.0</v>
      </c>
      <c r="B2749" s="5" t="s">
        <v>3307</v>
      </c>
      <c r="C2749" s="5" t="s">
        <v>21</v>
      </c>
      <c r="K2749" s="5">
        <v>450.0</v>
      </c>
      <c r="N2749" s="8">
        <v>44118.0</v>
      </c>
    </row>
    <row r="2750">
      <c r="A2750" s="5">
        <v>2749.0</v>
      </c>
      <c r="B2750" s="5" t="s">
        <v>3308</v>
      </c>
      <c r="C2750" s="5" t="s">
        <v>21</v>
      </c>
      <c r="K2750" s="5">
        <v>300.0</v>
      </c>
      <c r="N2750" s="8">
        <v>44601.0</v>
      </c>
    </row>
    <row r="2751">
      <c r="A2751" s="5">
        <v>2750.0</v>
      </c>
      <c r="B2751" s="5" t="s">
        <v>3309</v>
      </c>
      <c r="C2751" s="5" t="s">
        <v>21</v>
      </c>
      <c r="K2751" s="5">
        <v>250.0</v>
      </c>
      <c r="N2751" s="8">
        <v>44756.0</v>
      </c>
    </row>
    <row r="2752">
      <c r="A2752" s="5">
        <v>2751.0</v>
      </c>
      <c r="B2752" s="5" t="s">
        <v>3310</v>
      </c>
      <c r="C2752" s="5" t="s">
        <v>21</v>
      </c>
      <c r="K2752" s="5">
        <v>400.0</v>
      </c>
      <c r="N2752" s="8">
        <v>44326.0</v>
      </c>
    </row>
    <row r="2753">
      <c r="A2753" s="5">
        <v>2752.0</v>
      </c>
      <c r="B2753" s="5" t="s">
        <v>3311</v>
      </c>
      <c r="C2753" s="5" t="s">
        <v>21</v>
      </c>
      <c r="K2753" s="5">
        <v>450.0</v>
      </c>
      <c r="N2753" s="8">
        <v>44595.0</v>
      </c>
    </row>
    <row r="2754">
      <c r="A2754" s="5">
        <v>2753.0</v>
      </c>
      <c r="B2754" s="5" t="s">
        <v>3312</v>
      </c>
      <c r="C2754" s="5" t="s">
        <v>21</v>
      </c>
      <c r="K2754" s="5">
        <v>700.0</v>
      </c>
      <c r="N2754" s="8">
        <v>43898.0</v>
      </c>
    </row>
    <row r="2755">
      <c r="A2755" s="5">
        <v>2754.0</v>
      </c>
      <c r="B2755" s="5" t="s">
        <v>3313</v>
      </c>
      <c r="C2755" s="5" t="s">
        <v>21</v>
      </c>
      <c r="K2755" s="5">
        <v>700.0</v>
      </c>
      <c r="N2755" s="8">
        <v>45495.0</v>
      </c>
    </row>
    <row r="2756">
      <c r="A2756" s="5">
        <v>2755.0</v>
      </c>
      <c r="B2756" s="5" t="s">
        <v>3314</v>
      </c>
      <c r="C2756" s="5" t="s">
        <v>21</v>
      </c>
      <c r="K2756" s="5">
        <v>2000.0</v>
      </c>
      <c r="N2756" s="8">
        <v>43891.0</v>
      </c>
    </row>
    <row r="2757">
      <c r="A2757" s="5">
        <v>2756.0</v>
      </c>
      <c r="B2757" s="5" t="s">
        <v>3315</v>
      </c>
      <c r="C2757" s="5" t="s">
        <v>21</v>
      </c>
      <c r="K2757" s="5">
        <v>200.0</v>
      </c>
      <c r="N2757" s="8">
        <v>44561.0</v>
      </c>
    </row>
    <row r="2758">
      <c r="A2758" s="5">
        <v>2757.0</v>
      </c>
      <c r="B2758" s="5" t="s">
        <v>3316</v>
      </c>
      <c r="C2758" s="5" t="s">
        <v>21</v>
      </c>
      <c r="K2758" s="5">
        <v>1600.0</v>
      </c>
      <c r="N2758" s="8">
        <v>43914.0</v>
      </c>
    </row>
    <row r="2759">
      <c r="A2759" s="5">
        <v>2758.0</v>
      </c>
      <c r="B2759" s="5" t="s">
        <v>3317</v>
      </c>
      <c r="C2759" s="5" t="s">
        <v>21</v>
      </c>
      <c r="K2759" s="5">
        <v>1700.0</v>
      </c>
      <c r="N2759" s="8">
        <v>44062.0</v>
      </c>
    </row>
    <row r="2760">
      <c r="A2760" s="5">
        <v>2759.0</v>
      </c>
      <c r="B2760" s="5" t="s">
        <v>3318</v>
      </c>
      <c r="C2760" s="5" t="s">
        <v>21</v>
      </c>
      <c r="K2760" s="5">
        <v>300.0</v>
      </c>
      <c r="N2760" s="8">
        <v>44573.0</v>
      </c>
    </row>
    <row r="2761">
      <c r="A2761" s="5">
        <v>2760.0</v>
      </c>
      <c r="B2761" s="5" t="s">
        <v>3319</v>
      </c>
      <c r="C2761" s="5" t="s">
        <v>21</v>
      </c>
      <c r="N2761" s="8">
        <v>44579.0</v>
      </c>
    </row>
    <row r="2762">
      <c r="A2762" s="5">
        <v>2761.0</v>
      </c>
      <c r="B2762" s="5" t="s">
        <v>3320</v>
      </c>
      <c r="C2762" s="5" t="s">
        <v>21</v>
      </c>
      <c r="K2762" s="5">
        <v>20.0</v>
      </c>
      <c r="N2762" s="8">
        <v>45405.0</v>
      </c>
    </row>
    <row r="2763">
      <c r="A2763" s="5">
        <v>2762.0</v>
      </c>
      <c r="B2763" s="5" t="s">
        <v>3321</v>
      </c>
      <c r="C2763" s="5" t="s">
        <v>21</v>
      </c>
      <c r="K2763" s="5">
        <v>250.0</v>
      </c>
      <c r="N2763" s="8">
        <v>44592.0</v>
      </c>
    </row>
    <row r="2764">
      <c r="A2764" s="5">
        <v>2763.0</v>
      </c>
      <c r="B2764" s="5" t="s">
        <v>3322</v>
      </c>
      <c r="C2764" s="5" t="s">
        <v>21</v>
      </c>
      <c r="K2764" s="5">
        <v>600.0</v>
      </c>
      <c r="N2764" s="8">
        <v>44587.0</v>
      </c>
    </row>
    <row r="2765">
      <c r="A2765" s="5">
        <v>2764.0</v>
      </c>
      <c r="B2765" s="5" t="s">
        <v>3323</v>
      </c>
      <c r="C2765" s="5" t="s">
        <v>21</v>
      </c>
      <c r="K2765" s="5">
        <v>600.0</v>
      </c>
      <c r="N2765" s="8">
        <v>44851.0</v>
      </c>
    </row>
    <row r="2766">
      <c r="A2766" s="5">
        <v>2765.0</v>
      </c>
      <c r="B2766" s="5" t="s">
        <v>3324</v>
      </c>
      <c r="C2766" s="5" t="s">
        <v>21</v>
      </c>
      <c r="K2766" s="5">
        <v>350.0</v>
      </c>
      <c r="N2766" s="8">
        <v>44627.0</v>
      </c>
    </row>
    <row r="2767">
      <c r="A2767" s="5">
        <v>2766.0</v>
      </c>
      <c r="B2767" s="5" t="s">
        <v>3325</v>
      </c>
      <c r="C2767" s="5" t="s">
        <v>21</v>
      </c>
      <c r="K2767" s="5">
        <v>4400.0</v>
      </c>
      <c r="N2767" s="8">
        <v>44102.0</v>
      </c>
    </row>
    <row r="2768">
      <c r="A2768" s="5">
        <v>2767.0</v>
      </c>
      <c r="B2768" s="5" t="s">
        <v>3326</v>
      </c>
      <c r="C2768" s="5" t="s">
        <v>21</v>
      </c>
      <c r="K2768" s="5">
        <v>20.0</v>
      </c>
      <c r="N2768" s="8">
        <v>44882.0</v>
      </c>
    </row>
    <row r="2769">
      <c r="A2769" s="5">
        <v>2768.0</v>
      </c>
      <c r="B2769" s="5" t="s">
        <v>3327</v>
      </c>
      <c r="C2769" s="5" t="s">
        <v>21</v>
      </c>
      <c r="K2769" s="5">
        <v>700.0</v>
      </c>
      <c r="N2769" s="8">
        <v>44639.0</v>
      </c>
    </row>
    <row r="2770">
      <c r="A2770" s="5">
        <v>2769.0</v>
      </c>
      <c r="B2770" s="5" t="s">
        <v>3328</v>
      </c>
      <c r="C2770" s="5" t="s">
        <v>21</v>
      </c>
      <c r="K2770" s="5">
        <v>500.0</v>
      </c>
      <c r="N2770" s="8">
        <v>45631.0</v>
      </c>
    </row>
    <row r="2771">
      <c r="A2771" s="5">
        <v>2770.0</v>
      </c>
      <c r="B2771" s="5" t="s">
        <v>3329</v>
      </c>
      <c r="C2771" s="5" t="s">
        <v>21</v>
      </c>
      <c r="K2771" s="5">
        <v>400.0</v>
      </c>
      <c r="N2771" s="8">
        <v>43861.0</v>
      </c>
    </row>
    <row r="2772">
      <c r="A2772" s="5">
        <v>2771.0</v>
      </c>
      <c r="B2772" s="5" t="s">
        <v>3330</v>
      </c>
      <c r="C2772" s="5" t="s">
        <v>21</v>
      </c>
      <c r="K2772" s="5">
        <v>250.0</v>
      </c>
      <c r="N2772" s="8">
        <v>44537.0</v>
      </c>
    </row>
    <row r="2773">
      <c r="A2773" s="5">
        <v>2772.0</v>
      </c>
      <c r="B2773" s="5" t="s">
        <v>3331</v>
      </c>
      <c r="C2773" s="5" t="s">
        <v>21</v>
      </c>
      <c r="K2773" s="5">
        <v>250.0</v>
      </c>
      <c r="N2773" s="8">
        <v>43857.0</v>
      </c>
    </row>
    <row r="2774">
      <c r="A2774" s="5">
        <v>2773.0</v>
      </c>
      <c r="B2774" s="5" t="s">
        <v>245</v>
      </c>
      <c r="C2774" s="5" t="s">
        <v>21</v>
      </c>
      <c r="K2774" s="5">
        <v>500.0</v>
      </c>
      <c r="N2774" s="8">
        <v>43877.0</v>
      </c>
    </row>
    <row r="2775">
      <c r="A2775" s="5">
        <v>2774.0</v>
      </c>
      <c r="B2775" s="5" t="s">
        <v>3332</v>
      </c>
      <c r="C2775" s="5" t="s">
        <v>21</v>
      </c>
      <c r="K2775" s="5">
        <v>300.0</v>
      </c>
      <c r="N2775" s="8">
        <v>45291.0</v>
      </c>
    </row>
    <row r="2776">
      <c r="A2776" s="5">
        <v>2775.0</v>
      </c>
      <c r="B2776" s="5" t="s">
        <v>3333</v>
      </c>
      <c r="C2776" s="5" t="s">
        <v>21</v>
      </c>
      <c r="K2776" s="5">
        <v>300.0</v>
      </c>
      <c r="N2776" s="8">
        <v>44957.0</v>
      </c>
    </row>
    <row r="2777">
      <c r="A2777" s="5">
        <v>2776.0</v>
      </c>
      <c r="B2777" s="5" t="s">
        <v>3334</v>
      </c>
      <c r="C2777" s="5" t="s">
        <v>21</v>
      </c>
      <c r="K2777" s="5">
        <v>250.0</v>
      </c>
      <c r="N2777" s="8">
        <v>44641.0</v>
      </c>
    </row>
    <row r="2778">
      <c r="A2778" s="5">
        <v>2777.0</v>
      </c>
      <c r="B2778" s="5" t="s">
        <v>3335</v>
      </c>
      <c r="C2778" s="5" t="s">
        <v>21</v>
      </c>
      <c r="K2778" s="5">
        <v>450.0</v>
      </c>
      <c r="N2778" s="8">
        <v>45181.0</v>
      </c>
    </row>
    <row r="2779">
      <c r="A2779" s="5">
        <v>2778.0</v>
      </c>
      <c r="B2779" s="5" t="s">
        <v>3336</v>
      </c>
      <c r="C2779" s="5" t="s">
        <v>21</v>
      </c>
      <c r="K2779" s="5">
        <v>600.0</v>
      </c>
      <c r="N2779" s="8">
        <v>44978.0</v>
      </c>
    </row>
    <row r="2780">
      <c r="A2780" s="5">
        <v>2779.0</v>
      </c>
      <c r="B2780" s="5" t="s">
        <v>3337</v>
      </c>
      <c r="C2780" s="5" t="s">
        <v>21</v>
      </c>
      <c r="K2780" s="5">
        <v>1400.0</v>
      </c>
      <c r="N2780" s="8">
        <v>44537.0</v>
      </c>
    </row>
    <row r="2781">
      <c r="A2781" s="5">
        <v>2780.0</v>
      </c>
      <c r="B2781" s="5" t="s">
        <v>3338</v>
      </c>
      <c r="C2781" s="5" t="s">
        <v>21</v>
      </c>
      <c r="K2781" s="5">
        <v>450.0</v>
      </c>
      <c r="N2781" s="8">
        <v>45049.0</v>
      </c>
    </row>
    <row r="2782">
      <c r="A2782" s="5">
        <v>2781.0</v>
      </c>
      <c r="B2782" s="5" t="s">
        <v>3339</v>
      </c>
      <c r="C2782" s="5" t="s">
        <v>21</v>
      </c>
      <c r="K2782" s="5">
        <v>30.0</v>
      </c>
      <c r="N2782" s="8">
        <v>44059.0</v>
      </c>
    </row>
    <row r="2783">
      <c r="A2783" s="5">
        <v>2782.0</v>
      </c>
      <c r="B2783" s="5" t="s">
        <v>3340</v>
      </c>
      <c r="C2783" s="5" t="s">
        <v>21</v>
      </c>
      <c r="K2783" s="5">
        <v>400.0</v>
      </c>
      <c r="N2783" s="8">
        <v>44316.0</v>
      </c>
    </row>
    <row r="2784">
      <c r="A2784" s="5">
        <v>2783.0</v>
      </c>
      <c r="B2784" s="5" t="s">
        <v>3341</v>
      </c>
      <c r="C2784" s="5" t="s">
        <v>21</v>
      </c>
      <c r="K2784" s="5">
        <v>200.0</v>
      </c>
      <c r="N2784" s="8">
        <v>44239.0</v>
      </c>
    </row>
    <row r="2785">
      <c r="A2785" s="5">
        <v>2784.0</v>
      </c>
      <c r="B2785" s="5" t="s">
        <v>3342</v>
      </c>
      <c r="C2785" s="5" t="s">
        <v>21</v>
      </c>
      <c r="K2785" s="5">
        <v>4200.0</v>
      </c>
      <c r="N2785" s="8">
        <v>43873.0</v>
      </c>
    </row>
    <row r="2786">
      <c r="A2786" s="5">
        <v>2785.0</v>
      </c>
      <c r="B2786" s="5" t="s">
        <v>3343</v>
      </c>
      <c r="C2786" s="5" t="s">
        <v>21</v>
      </c>
      <c r="K2786" s="5">
        <v>40.0</v>
      </c>
      <c r="N2786" s="8">
        <v>44870.0</v>
      </c>
    </row>
    <row r="2787">
      <c r="A2787" s="5">
        <v>2786.0</v>
      </c>
      <c r="B2787" s="5" t="s">
        <v>3344</v>
      </c>
      <c r="C2787" s="5" t="s">
        <v>21</v>
      </c>
      <c r="K2787" s="5">
        <v>150.0</v>
      </c>
      <c r="N2787" s="8">
        <v>45550.0</v>
      </c>
    </row>
    <row r="2788">
      <c r="A2788" s="5">
        <v>2787.0</v>
      </c>
      <c r="B2788" s="5" t="s">
        <v>3345</v>
      </c>
      <c r="C2788" s="5" t="s">
        <v>21</v>
      </c>
      <c r="K2788" s="5">
        <v>1600.0</v>
      </c>
      <c r="N2788" s="8">
        <v>43926.0</v>
      </c>
    </row>
    <row r="2789">
      <c r="A2789" s="5">
        <v>2788.0</v>
      </c>
      <c r="B2789" s="5" t="s">
        <v>3346</v>
      </c>
      <c r="C2789" s="5" t="s">
        <v>21</v>
      </c>
      <c r="K2789" s="5">
        <v>350.0</v>
      </c>
      <c r="N2789" s="8">
        <v>44570.0</v>
      </c>
    </row>
    <row r="2790">
      <c r="A2790" s="5">
        <v>2789.0</v>
      </c>
      <c r="B2790" s="5" t="s">
        <v>3347</v>
      </c>
      <c r="C2790" s="5" t="s">
        <v>21</v>
      </c>
      <c r="K2790" s="5">
        <v>350.0</v>
      </c>
      <c r="N2790" s="8">
        <v>44544.0</v>
      </c>
    </row>
    <row r="2791">
      <c r="A2791" s="5">
        <v>2790.0</v>
      </c>
      <c r="B2791" s="5" t="s">
        <v>3348</v>
      </c>
      <c r="C2791" s="5" t="s">
        <v>21</v>
      </c>
      <c r="K2791" s="5">
        <v>80.0</v>
      </c>
      <c r="N2791" s="8">
        <v>44029.0</v>
      </c>
    </row>
    <row r="2792">
      <c r="A2792" s="5">
        <v>2791.0</v>
      </c>
      <c r="B2792" s="5" t="s">
        <v>3349</v>
      </c>
      <c r="C2792" s="5" t="s">
        <v>21</v>
      </c>
      <c r="K2792" s="5">
        <v>20.0</v>
      </c>
      <c r="N2792" s="8">
        <v>45383.0</v>
      </c>
    </row>
    <row r="2793">
      <c r="A2793" s="5">
        <v>2792.0</v>
      </c>
      <c r="B2793" s="5" t="s">
        <v>3350</v>
      </c>
      <c r="C2793" s="5" t="s">
        <v>21</v>
      </c>
      <c r="K2793" s="5">
        <v>250.0</v>
      </c>
      <c r="N2793" s="8">
        <v>45134.0</v>
      </c>
    </row>
    <row r="2794">
      <c r="A2794" s="5">
        <v>2793.0</v>
      </c>
      <c r="B2794" s="5" t="s">
        <v>3351</v>
      </c>
      <c r="C2794" s="5" t="s">
        <v>21</v>
      </c>
      <c r="K2794" s="5">
        <v>900.0</v>
      </c>
      <c r="N2794" s="8">
        <v>43901.0</v>
      </c>
    </row>
    <row r="2795">
      <c r="A2795" s="5">
        <v>2794.0</v>
      </c>
      <c r="B2795" s="5" t="s">
        <v>3352</v>
      </c>
      <c r="C2795" s="5" t="s">
        <v>21</v>
      </c>
      <c r="K2795" s="5">
        <v>1200.0</v>
      </c>
      <c r="N2795" s="8">
        <v>43913.0</v>
      </c>
    </row>
    <row r="2796">
      <c r="A2796" s="5">
        <v>2795.0</v>
      </c>
      <c r="B2796" s="5" t="s">
        <v>248</v>
      </c>
      <c r="C2796" s="5" t="s">
        <v>21</v>
      </c>
      <c r="K2796" s="5">
        <v>40.0</v>
      </c>
      <c r="N2796" s="8">
        <v>44108.0</v>
      </c>
    </row>
    <row r="2797">
      <c r="A2797" s="5">
        <v>2796.0</v>
      </c>
      <c r="B2797" s="5" t="s">
        <v>3353</v>
      </c>
      <c r="C2797" s="5" t="s">
        <v>21</v>
      </c>
      <c r="K2797" s="5">
        <v>500.0</v>
      </c>
      <c r="N2797" s="8">
        <v>44548.0</v>
      </c>
    </row>
    <row r="2798">
      <c r="A2798" s="5">
        <v>2797.0</v>
      </c>
      <c r="B2798" s="5" t="s">
        <v>3354</v>
      </c>
      <c r="C2798" s="5" t="s">
        <v>21</v>
      </c>
      <c r="K2798" s="5">
        <v>150.0</v>
      </c>
      <c r="N2798" s="8">
        <v>44859.0</v>
      </c>
    </row>
    <row r="2799">
      <c r="A2799" s="5">
        <v>2798.0</v>
      </c>
      <c r="B2799" s="5" t="s">
        <v>3355</v>
      </c>
      <c r="C2799" s="5" t="s">
        <v>21</v>
      </c>
      <c r="N2799" s="8">
        <v>44106.0</v>
      </c>
    </row>
    <row r="2800">
      <c r="A2800" s="5">
        <v>2799.0</v>
      </c>
      <c r="B2800" s="5" t="s">
        <v>3356</v>
      </c>
      <c r="C2800" s="5" t="s">
        <v>21</v>
      </c>
      <c r="K2800" s="5">
        <v>600.0</v>
      </c>
      <c r="N2800" s="8">
        <v>44383.0</v>
      </c>
    </row>
    <row r="2801">
      <c r="A2801" s="5">
        <v>2800.0</v>
      </c>
      <c r="B2801" s="5" t="s">
        <v>3357</v>
      </c>
      <c r="C2801" s="5" t="s">
        <v>21</v>
      </c>
      <c r="K2801" s="5">
        <v>150.0</v>
      </c>
      <c r="N2801" s="8">
        <v>44460.0</v>
      </c>
    </row>
    <row r="2802">
      <c r="A2802" s="5">
        <v>2801.0</v>
      </c>
      <c r="B2802" s="5" t="s">
        <v>3358</v>
      </c>
      <c r="C2802" s="5" t="s">
        <v>21</v>
      </c>
      <c r="K2802" s="5">
        <v>350.0</v>
      </c>
      <c r="N2802" s="8">
        <v>45395.0</v>
      </c>
    </row>
    <row r="2803">
      <c r="A2803" s="5">
        <v>2802.0</v>
      </c>
      <c r="B2803" s="5" t="s">
        <v>3359</v>
      </c>
      <c r="C2803" s="5" t="s">
        <v>21</v>
      </c>
      <c r="K2803" s="5">
        <v>1000.0</v>
      </c>
      <c r="N2803" s="8">
        <v>44531.0</v>
      </c>
    </row>
    <row r="2804">
      <c r="A2804" s="5">
        <v>2803.0</v>
      </c>
      <c r="B2804" s="5" t="s">
        <v>3360</v>
      </c>
      <c r="C2804" s="5" t="s">
        <v>21</v>
      </c>
      <c r="K2804" s="5">
        <v>100.0</v>
      </c>
      <c r="N2804" s="8">
        <v>44633.0</v>
      </c>
    </row>
    <row r="2805">
      <c r="A2805" s="5">
        <v>2804.0</v>
      </c>
      <c r="B2805" s="5" t="s">
        <v>3361</v>
      </c>
      <c r="C2805" s="5" t="s">
        <v>21</v>
      </c>
      <c r="K2805" s="5">
        <v>350.0</v>
      </c>
      <c r="N2805" s="8">
        <v>44607.0</v>
      </c>
    </row>
    <row r="2806">
      <c r="A2806" s="5">
        <v>2805.0</v>
      </c>
      <c r="B2806" s="5" t="s">
        <v>3362</v>
      </c>
      <c r="C2806" s="5" t="s">
        <v>21</v>
      </c>
      <c r="K2806" s="5">
        <v>300.0</v>
      </c>
      <c r="N2806" s="8">
        <v>44858.0</v>
      </c>
    </row>
    <row r="2807">
      <c r="A2807" s="5">
        <v>2806.0</v>
      </c>
      <c r="B2807" s="5" t="s">
        <v>3363</v>
      </c>
      <c r="C2807" s="5" t="s">
        <v>21</v>
      </c>
      <c r="K2807" s="5">
        <v>1300.0</v>
      </c>
      <c r="N2807" s="8">
        <v>44624.0</v>
      </c>
    </row>
    <row r="2808">
      <c r="A2808" s="5">
        <v>2807.0</v>
      </c>
      <c r="B2808" s="5" t="s">
        <v>3364</v>
      </c>
      <c r="C2808" s="5" t="s">
        <v>21</v>
      </c>
      <c r="K2808" s="5">
        <v>200.0</v>
      </c>
      <c r="N2808" s="8">
        <v>44672.0</v>
      </c>
    </row>
    <row r="2809">
      <c r="A2809" s="5">
        <v>2808.0</v>
      </c>
      <c r="B2809" s="5" t="s">
        <v>3365</v>
      </c>
      <c r="C2809" s="5" t="s">
        <v>21</v>
      </c>
      <c r="K2809" s="5">
        <v>300.0</v>
      </c>
      <c r="N2809" s="8">
        <v>44308.0</v>
      </c>
    </row>
    <row r="2810">
      <c r="A2810" s="5">
        <v>2809.0</v>
      </c>
      <c r="B2810" s="5" t="s">
        <v>3366</v>
      </c>
      <c r="C2810" s="5" t="s">
        <v>21</v>
      </c>
      <c r="K2810" s="5">
        <v>500.0</v>
      </c>
      <c r="N2810" s="8">
        <v>44998.0</v>
      </c>
    </row>
    <row r="2811">
      <c r="A2811" s="5">
        <v>2810.0</v>
      </c>
      <c r="B2811" s="5" t="s">
        <v>3367</v>
      </c>
      <c r="C2811" s="5" t="s">
        <v>21</v>
      </c>
      <c r="K2811" s="5">
        <v>40.0</v>
      </c>
      <c r="N2811" s="8">
        <v>44160.0</v>
      </c>
    </row>
    <row r="2812">
      <c r="A2812" s="5">
        <v>2811.0</v>
      </c>
      <c r="B2812" s="5" t="s">
        <v>3368</v>
      </c>
      <c r="C2812" s="5" t="s">
        <v>21</v>
      </c>
      <c r="K2812" s="5">
        <v>200.0</v>
      </c>
      <c r="N2812" s="8">
        <v>45245.0</v>
      </c>
    </row>
    <row r="2813">
      <c r="A2813" s="5">
        <v>2812.0</v>
      </c>
      <c r="B2813" s="5" t="s">
        <v>3369</v>
      </c>
      <c r="C2813" s="5" t="s">
        <v>21</v>
      </c>
      <c r="K2813" s="5">
        <v>350.0</v>
      </c>
      <c r="N2813" s="8">
        <v>45704.0</v>
      </c>
    </row>
    <row r="2814">
      <c r="A2814" s="5">
        <v>2813.0</v>
      </c>
      <c r="B2814" s="5" t="s">
        <v>3370</v>
      </c>
      <c r="C2814" s="5" t="s">
        <v>21</v>
      </c>
      <c r="K2814" s="5">
        <v>20.0</v>
      </c>
      <c r="N2814" s="8">
        <v>44146.0</v>
      </c>
    </row>
    <row r="2815">
      <c r="A2815" s="5">
        <v>2814.0</v>
      </c>
      <c r="B2815" s="5" t="s">
        <v>3371</v>
      </c>
      <c r="C2815" s="5" t="s">
        <v>21</v>
      </c>
      <c r="K2815" s="5">
        <v>1100.0</v>
      </c>
      <c r="N2815" s="8">
        <v>44627.0</v>
      </c>
    </row>
    <row r="2816">
      <c r="A2816" s="5">
        <v>2815.0</v>
      </c>
      <c r="B2816" s="5" t="s">
        <v>3372</v>
      </c>
      <c r="C2816" s="5" t="s">
        <v>21</v>
      </c>
      <c r="K2816" s="5">
        <v>250.0</v>
      </c>
      <c r="N2816" s="8">
        <v>44569.0</v>
      </c>
    </row>
    <row r="2817">
      <c r="A2817" s="5">
        <v>2816.0</v>
      </c>
      <c r="B2817" s="5" t="s">
        <v>3373</v>
      </c>
      <c r="C2817" s="5" t="s">
        <v>21</v>
      </c>
      <c r="K2817" s="5">
        <v>300.0</v>
      </c>
      <c r="N2817" s="8">
        <v>44530.0</v>
      </c>
    </row>
    <row r="2818">
      <c r="A2818" s="5">
        <v>2817.0</v>
      </c>
      <c r="B2818" s="5" t="s">
        <v>3374</v>
      </c>
      <c r="C2818" s="5" t="s">
        <v>21</v>
      </c>
      <c r="K2818" s="5">
        <v>700.0</v>
      </c>
      <c r="N2818" s="8">
        <v>44003.0</v>
      </c>
    </row>
    <row r="2819">
      <c r="A2819" s="5">
        <v>2818.0</v>
      </c>
      <c r="B2819" s="5" t="s">
        <v>3375</v>
      </c>
      <c r="C2819" s="5" t="s">
        <v>21</v>
      </c>
      <c r="K2819" s="5">
        <v>300.0</v>
      </c>
      <c r="N2819" s="8">
        <v>44512.0</v>
      </c>
    </row>
    <row r="2820">
      <c r="A2820" s="5">
        <v>2819.0</v>
      </c>
      <c r="B2820" s="5" t="s">
        <v>3376</v>
      </c>
      <c r="C2820" s="5" t="s">
        <v>21</v>
      </c>
      <c r="K2820" s="5">
        <v>250.0</v>
      </c>
      <c r="N2820" s="8">
        <v>43848.0</v>
      </c>
    </row>
    <row r="2821">
      <c r="A2821" s="5">
        <v>2820.0</v>
      </c>
      <c r="B2821" s="5" t="s">
        <v>3377</v>
      </c>
      <c r="C2821" s="5" t="s">
        <v>21</v>
      </c>
      <c r="K2821" s="5">
        <v>100.0</v>
      </c>
      <c r="N2821" s="8">
        <v>45081.0</v>
      </c>
    </row>
    <row r="2822">
      <c r="A2822" s="5">
        <v>2821.0</v>
      </c>
      <c r="B2822" s="5" t="s">
        <v>3378</v>
      </c>
      <c r="C2822" s="5" t="s">
        <v>21</v>
      </c>
      <c r="K2822" s="5">
        <v>150.0</v>
      </c>
      <c r="N2822" s="8">
        <v>44582.0</v>
      </c>
    </row>
    <row r="2823">
      <c r="A2823" s="5">
        <v>2822.0</v>
      </c>
      <c r="B2823" s="5" t="s">
        <v>3379</v>
      </c>
      <c r="C2823" s="5" t="s">
        <v>21</v>
      </c>
      <c r="K2823" s="5">
        <v>600.0</v>
      </c>
      <c r="N2823" s="8">
        <v>44600.0</v>
      </c>
    </row>
    <row r="2824">
      <c r="A2824" s="5">
        <v>2823.0</v>
      </c>
      <c r="B2824" s="5" t="s">
        <v>3380</v>
      </c>
      <c r="C2824" s="5" t="s">
        <v>21</v>
      </c>
      <c r="K2824" s="5">
        <v>20.0</v>
      </c>
      <c r="N2824" s="8">
        <v>45042.0</v>
      </c>
    </row>
    <row r="2825">
      <c r="A2825" s="5">
        <v>2824.0</v>
      </c>
      <c r="B2825" s="5" t="s">
        <v>3381</v>
      </c>
      <c r="C2825" s="5" t="s">
        <v>21</v>
      </c>
      <c r="K2825" s="5">
        <v>150.0</v>
      </c>
      <c r="N2825" s="8">
        <v>45539.0</v>
      </c>
    </row>
    <row r="2826">
      <c r="A2826" s="5">
        <v>2825.0</v>
      </c>
      <c r="B2826" s="5" t="s">
        <v>3382</v>
      </c>
      <c r="C2826" s="5" t="s">
        <v>21</v>
      </c>
      <c r="K2826" s="5">
        <v>200.0</v>
      </c>
      <c r="N2826" s="8">
        <v>44766.0</v>
      </c>
    </row>
    <row r="2827">
      <c r="A2827" s="5">
        <v>2826.0</v>
      </c>
      <c r="B2827" s="5" t="s">
        <v>3383</v>
      </c>
      <c r="C2827" s="5" t="s">
        <v>21</v>
      </c>
      <c r="K2827" s="5">
        <v>3300.0</v>
      </c>
      <c r="N2827" s="8">
        <v>45316.0</v>
      </c>
    </row>
    <row r="2828">
      <c r="A2828" s="5">
        <v>2827.0</v>
      </c>
      <c r="B2828" s="5" t="s">
        <v>3384</v>
      </c>
      <c r="C2828" s="5" t="s">
        <v>21</v>
      </c>
      <c r="K2828" s="5">
        <v>100.0</v>
      </c>
      <c r="N2828" s="8">
        <v>44533.0</v>
      </c>
    </row>
    <row r="2829">
      <c r="A2829" s="5">
        <v>2828.0</v>
      </c>
      <c r="B2829" s="5" t="s">
        <v>3385</v>
      </c>
      <c r="C2829" s="5" t="s">
        <v>21</v>
      </c>
      <c r="K2829" s="5">
        <v>400.0</v>
      </c>
      <c r="N2829" s="8">
        <v>44445.0</v>
      </c>
    </row>
    <row r="2830">
      <c r="A2830" s="5">
        <v>2829.0</v>
      </c>
      <c r="B2830" s="5" t="s">
        <v>3386</v>
      </c>
      <c r="C2830" s="5" t="s">
        <v>21</v>
      </c>
      <c r="K2830" s="5">
        <v>700.0</v>
      </c>
      <c r="N2830" s="8">
        <v>44783.0</v>
      </c>
    </row>
    <row r="2831">
      <c r="A2831" s="5">
        <v>2830.0</v>
      </c>
      <c r="B2831" s="5" t="s">
        <v>3387</v>
      </c>
      <c r="C2831" s="5" t="s">
        <v>21</v>
      </c>
      <c r="K2831" s="5">
        <v>600.0</v>
      </c>
      <c r="N2831" s="8">
        <v>44698.0</v>
      </c>
    </row>
    <row r="2832">
      <c r="A2832" s="5">
        <v>2831.0</v>
      </c>
      <c r="B2832" s="5" t="s">
        <v>3388</v>
      </c>
      <c r="C2832" s="5" t="s">
        <v>21</v>
      </c>
      <c r="K2832" s="5">
        <v>700.0</v>
      </c>
      <c r="N2832" s="8">
        <v>43893.0</v>
      </c>
    </row>
    <row r="2833">
      <c r="A2833" s="5">
        <v>2832.0</v>
      </c>
      <c r="B2833" s="5" t="s">
        <v>3389</v>
      </c>
      <c r="C2833" s="5" t="s">
        <v>21</v>
      </c>
      <c r="K2833" s="5">
        <v>600.0</v>
      </c>
      <c r="N2833" s="8">
        <v>44542.0</v>
      </c>
    </row>
    <row r="2834">
      <c r="A2834" s="5">
        <v>2833.0</v>
      </c>
      <c r="B2834" s="5" t="s">
        <v>3390</v>
      </c>
      <c r="C2834" s="5" t="s">
        <v>21</v>
      </c>
      <c r="K2834" s="5">
        <v>200.0</v>
      </c>
      <c r="N2834" s="8">
        <v>45203.0</v>
      </c>
    </row>
    <row r="2835">
      <c r="A2835" s="5">
        <v>2834.0</v>
      </c>
      <c r="B2835" s="5" t="s">
        <v>3391</v>
      </c>
      <c r="C2835" s="5" t="s">
        <v>21</v>
      </c>
      <c r="K2835" s="5">
        <v>300.0</v>
      </c>
      <c r="N2835" s="8">
        <v>44544.0</v>
      </c>
    </row>
    <row r="2836">
      <c r="A2836" s="5">
        <v>2835.0</v>
      </c>
      <c r="B2836" s="5" t="s">
        <v>3392</v>
      </c>
      <c r="C2836" s="5" t="s">
        <v>21</v>
      </c>
      <c r="K2836" s="5">
        <v>250.0</v>
      </c>
      <c r="N2836" s="8">
        <v>44492.0</v>
      </c>
    </row>
    <row r="2837">
      <c r="A2837" s="5">
        <v>2836.0</v>
      </c>
      <c r="B2837" s="5" t="s">
        <v>3393</v>
      </c>
      <c r="C2837" s="5" t="s">
        <v>21</v>
      </c>
      <c r="K2837" s="5">
        <v>200.0</v>
      </c>
      <c r="N2837" s="8">
        <v>44964.0</v>
      </c>
    </row>
    <row r="2838">
      <c r="A2838" s="5">
        <v>2837.0</v>
      </c>
      <c r="B2838" s="5" t="s">
        <v>3394</v>
      </c>
      <c r="C2838" s="5" t="s">
        <v>21</v>
      </c>
      <c r="K2838" s="5">
        <v>150.0</v>
      </c>
      <c r="N2838" s="8">
        <v>44571.0</v>
      </c>
    </row>
    <row r="2839">
      <c r="A2839" s="5">
        <v>2838.0</v>
      </c>
      <c r="B2839" s="5" t="s">
        <v>3395</v>
      </c>
      <c r="C2839" s="5" t="s">
        <v>21</v>
      </c>
      <c r="K2839" s="5">
        <v>30.0</v>
      </c>
      <c r="N2839" s="8">
        <v>44955.0</v>
      </c>
    </row>
    <row r="2840">
      <c r="A2840" s="5">
        <v>2839.0</v>
      </c>
      <c r="B2840" s="5" t="s">
        <v>251</v>
      </c>
      <c r="C2840" s="5" t="s">
        <v>21</v>
      </c>
      <c r="K2840" s="5">
        <v>800.0</v>
      </c>
      <c r="N2840" s="8">
        <v>44491.0</v>
      </c>
    </row>
    <row r="2841">
      <c r="A2841" s="5">
        <v>2840.0</v>
      </c>
      <c r="B2841" s="5" t="s">
        <v>3396</v>
      </c>
      <c r="C2841" s="5" t="s">
        <v>21</v>
      </c>
      <c r="K2841" s="5">
        <v>400.0</v>
      </c>
      <c r="N2841" s="8">
        <v>44989.0</v>
      </c>
    </row>
    <row r="2842">
      <c r="A2842" s="5">
        <v>2841.0</v>
      </c>
      <c r="B2842" s="5" t="s">
        <v>3397</v>
      </c>
      <c r="C2842" s="5" t="s">
        <v>21</v>
      </c>
      <c r="K2842" s="5">
        <v>20.0</v>
      </c>
      <c r="N2842" s="8">
        <v>44585.0</v>
      </c>
    </row>
    <row r="2843">
      <c r="A2843" s="5">
        <v>2842.0</v>
      </c>
      <c r="B2843" s="5" t="s">
        <v>3398</v>
      </c>
      <c r="C2843" s="5" t="s">
        <v>21</v>
      </c>
      <c r="K2843" s="5">
        <v>1600.0</v>
      </c>
      <c r="N2843" s="8">
        <v>43897.0</v>
      </c>
    </row>
    <row r="2844">
      <c r="A2844" s="5">
        <v>2843.0</v>
      </c>
      <c r="B2844" s="5" t="s">
        <v>3399</v>
      </c>
      <c r="C2844" s="5" t="s">
        <v>21</v>
      </c>
      <c r="K2844" s="5">
        <v>3900.0</v>
      </c>
      <c r="N2844" s="8">
        <v>44569.0</v>
      </c>
    </row>
    <row r="2845">
      <c r="A2845" s="5">
        <v>2844.0</v>
      </c>
      <c r="B2845" s="5" t="s">
        <v>3400</v>
      </c>
      <c r="C2845" s="5" t="s">
        <v>21</v>
      </c>
      <c r="N2845" s="8">
        <v>44655.0</v>
      </c>
    </row>
    <row r="2846">
      <c r="A2846" s="5">
        <v>2845.0</v>
      </c>
      <c r="B2846" s="5" t="s">
        <v>3401</v>
      </c>
      <c r="C2846" s="5" t="s">
        <v>21</v>
      </c>
      <c r="K2846" s="5">
        <v>800.0</v>
      </c>
      <c r="N2846" s="8">
        <v>44517.0</v>
      </c>
    </row>
    <row r="2847">
      <c r="A2847" s="5">
        <v>2846.0</v>
      </c>
      <c r="B2847" s="5" t="s">
        <v>3402</v>
      </c>
      <c r="C2847" s="5" t="s">
        <v>21</v>
      </c>
      <c r="K2847" s="5">
        <v>600.0</v>
      </c>
      <c r="N2847" s="8">
        <v>45233.0</v>
      </c>
    </row>
    <row r="2848">
      <c r="A2848" s="5">
        <v>2847.0</v>
      </c>
      <c r="B2848" s="5" t="s">
        <v>3403</v>
      </c>
      <c r="C2848" s="5" t="s">
        <v>21</v>
      </c>
      <c r="K2848" s="5">
        <v>300.0</v>
      </c>
      <c r="N2848" s="8">
        <v>44690.0</v>
      </c>
    </row>
    <row r="2849">
      <c r="A2849" s="5">
        <v>2848.0</v>
      </c>
      <c r="B2849" s="5" t="s">
        <v>3404</v>
      </c>
      <c r="C2849" s="5" t="s">
        <v>21</v>
      </c>
      <c r="K2849" s="5">
        <v>400.0</v>
      </c>
      <c r="N2849" s="8">
        <v>44785.0</v>
      </c>
    </row>
    <row r="2850">
      <c r="A2850" s="5">
        <v>2849.0</v>
      </c>
      <c r="B2850" s="5" t="s">
        <v>3405</v>
      </c>
      <c r="C2850" s="5" t="s">
        <v>21</v>
      </c>
      <c r="K2850" s="5">
        <v>200.0</v>
      </c>
      <c r="N2850" s="8">
        <v>44640.0</v>
      </c>
    </row>
    <row r="2851">
      <c r="A2851" s="5">
        <v>2850.0</v>
      </c>
      <c r="B2851" s="5" t="s">
        <v>3406</v>
      </c>
      <c r="C2851" s="5" t="s">
        <v>21</v>
      </c>
      <c r="K2851" s="5">
        <v>100.0</v>
      </c>
      <c r="N2851" s="8">
        <v>44525.0</v>
      </c>
    </row>
    <row r="2852">
      <c r="A2852" s="5">
        <v>2851.0</v>
      </c>
      <c r="B2852" s="5" t="s">
        <v>3407</v>
      </c>
      <c r="C2852" s="5" t="s">
        <v>21</v>
      </c>
      <c r="K2852" s="5">
        <v>100.0</v>
      </c>
      <c r="N2852" s="8">
        <v>44406.0</v>
      </c>
    </row>
    <row r="2853">
      <c r="A2853" s="5">
        <v>2852.0</v>
      </c>
      <c r="B2853" s="5" t="s">
        <v>3408</v>
      </c>
      <c r="C2853" s="5" t="s">
        <v>21</v>
      </c>
      <c r="K2853" s="5">
        <v>400.0</v>
      </c>
      <c r="N2853" s="8">
        <v>44628.0</v>
      </c>
    </row>
    <row r="2854">
      <c r="A2854" s="5">
        <v>2853.0</v>
      </c>
      <c r="B2854" s="5" t="s">
        <v>3409</v>
      </c>
      <c r="C2854" s="5" t="s">
        <v>21</v>
      </c>
      <c r="K2854" s="5">
        <v>1400.0</v>
      </c>
      <c r="N2854" s="8">
        <v>44311.0</v>
      </c>
    </row>
    <row r="2855">
      <c r="A2855" s="5">
        <v>2854.0</v>
      </c>
      <c r="B2855" s="5" t="s">
        <v>3410</v>
      </c>
      <c r="C2855" s="5" t="s">
        <v>21</v>
      </c>
      <c r="K2855" s="5">
        <v>700.0</v>
      </c>
      <c r="N2855" s="8">
        <v>44465.0</v>
      </c>
    </row>
    <row r="2856">
      <c r="A2856" s="5">
        <v>2855.0</v>
      </c>
      <c r="B2856" s="5" t="s">
        <v>253</v>
      </c>
      <c r="C2856" s="5" t="s">
        <v>21</v>
      </c>
      <c r="K2856" s="5">
        <v>300.0</v>
      </c>
      <c r="N2856" s="8">
        <v>43846.0</v>
      </c>
    </row>
    <row r="2857">
      <c r="A2857" s="5">
        <v>2856.0</v>
      </c>
      <c r="B2857" s="5" t="s">
        <v>3411</v>
      </c>
      <c r="C2857" s="5" t="s">
        <v>21</v>
      </c>
      <c r="K2857" s="5">
        <v>2600.0</v>
      </c>
      <c r="N2857" s="8">
        <v>45455.0</v>
      </c>
    </row>
    <row r="2858">
      <c r="A2858" s="5">
        <v>2857.0</v>
      </c>
      <c r="B2858" s="5" t="s">
        <v>3412</v>
      </c>
      <c r="C2858" s="5" t="s">
        <v>21</v>
      </c>
      <c r="K2858" s="5">
        <v>200.0</v>
      </c>
      <c r="N2858" s="8">
        <v>45160.0</v>
      </c>
    </row>
    <row r="2859">
      <c r="A2859" s="5">
        <v>2858.0</v>
      </c>
      <c r="B2859" s="5" t="s">
        <v>3413</v>
      </c>
      <c r="C2859" s="5" t="s">
        <v>21</v>
      </c>
      <c r="K2859" s="5">
        <v>700.0</v>
      </c>
      <c r="N2859" s="8">
        <v>43847.0</v>
      </c>
    </row>
    <row r="2860">
      <c r="A2860" s="5">
        <v>2859.0</v>
      </c>
      <c r="B2860" s="5" t="s">
        <v>3414</v>
      </c>
      <c r="C2860" s="5" t="s">
        <v>21</v>
      </c>
      <c r="K2860" s="5">
        <v>70.0</v>
      </c>
      <c r="N2860" s="8">
        <v>44619.0</v>
      </c>
    </row>
    <row r="2861">
      <c r="A2861" s="5">
        <v>2860.0</v>
      </c>
      <c r="B2861" s="5" t="s">
        <v>3415</v>
      </c>
      <c r="C2861" s="5" t="s">
        <v>21</v>
      </c>
      <c r="K2861" s="5">
        <v>500.0</v>
      </c>
      <c r="N2861" s="8">
        <v>44715.0</v>
      </c>
    </row>
    <row r="2862">
      <c r="A2862" s="5">
        <v>2861.0</v>
      </c>
      <c r="B2862" s="5" t="s">
        <v>3416</v>
      </c>
      <c r="C2862" s="5" t="s">
        <v>21</v>
      </c>
      <c r="K2862" s="5">
        <v>700.0</v>
      </c>
      <c r="N2862" s="8">
        <v>44667.0</v>
      </c>
    </row>
    <row r="2863">
      <c r="A2863" s="5">
        <v>2862.0</v>
      </c>
      <c r="B2863" s="5" t="s">
        <v>3417</v>
      </c>
      <c r="C2863" s="5" t="s">
        <v>21</v>
      </c>
      <c r="K2863" s="5">
        <v>1700.0</v>
      </c>
      <c r="N2863" s="8">
        <v>44457.0</v>
      </c>
    </row>
    <row r="2864">
      <c r="A2864" s="5">
        <v>2863.0</v>
      </c>
      <c r="B2864" s="5" t="s">
        <v>3418</v>
      </c>
      <c r="C2864" s="5" t="s">
        <v>21</v>
      </c>
      <c r="K2864" s="5">
        <v>700.0</v>
      </c>
      <c r="N2864" s="8">
        <v>44603.0</v>
      </c>
    </row>
    <row r="2865">
      <c r="A2865" s="5">
        <v>2864.0</v>
      </c>
      <c r="B2865" s="5" t="s">
        <v>3419</v>
      </c>
      <c r="C2865" s="5" t="s">
        <v>21</v>
      </c>
      <c r="K2865" s="5">
        <v>700.0</v>
      </c>
      <c r="N2865" s="8">
        <v>44526.0</v>
      </c>
    </row>
    <row r="2866">
      <c r="A2866" s="5">
        <v>2865.0</v>
      </c>
      <c r="B2866" s="5" t="s">
        <v>3420</v>
      </c>
      <c r="C2866" s="5" t="s">
        <v>21</v>
      </c>
      <c r="K2866" s="5">
        <v>700.0</v>
      </c>
      <c r="N2866" s="8">
        <v>44550.0</v>
      </c>
    </row>
    <row r="2867">
      <c r="A2867" s="5">
        <v>2866.0</v>
      </c>
      <c r="B2867" s="5" t="s">
        <v>3421</v>
      </c>
      <c r="C2867" s="5" t="s">
        <v>21</v>
      </c>
      <c r="N2867" s="8">
        <v>44765.0</v>
      </c>
    </row>
    <row r="2868">
      <c r="A2868" s="5">
        <v>2867.0</v>
      </c>
      <c r="B2868" s="5" t="s">
        <v>255</v>
      </c>
      <c r="C2868" s="5" t="s">
        <v>21</v>
      </c>
      <c r="K2868" s="5">
        <v>400.0</v>
      </c>
      <c r="N2868" s="8">
        <v>44228.0</v>
      </c>
    </row>
    <row r="2869">
      <c r="A2869" s="5">
        <v>2868.0</v>
      </c>
      <c r="B2869" s="5" t="s">
        <v>3422</v>
      </c>
      <c r="C2869" s="5" t="s">
        <v>21</v>
      </c>
      <c r="K2869" s="5">
        <v>500.0</v>
      </c>
      <c r="N2869" s="8">
        <v>43849.0</v>
      </c>
    </row>
    <row r="2870">
      <c r="A2870" s="5">
        <v>2869.0</v>
      </c>
      <c r="B2870" s="5" t="s">
        <v>3423</v>
      </c>
      <c r="C2870" s="5" t="s">
        <v>21</v>
      </c>
      <c r="K2870" s="5">
        <v>1400.0</v>
      </c>
      <c r="N2870" s="8">
        <v>44651.0</v>
      </c>
    </row>
    <row r="2871">
      <c r="A2871" s="5">
        <v>2870.0</v>
      </c>
      <c r="B2871" s="5" t="s">
        <v>3424</v>
      </c>
      <c r="C2871" s="5" t="s">
        <v>21</v>
      </c>
      <c r="K2871" s="5">
        <v>20.0</v>
      </c>
      <c r="N2871" s="8">
        <v>44979.0</v>
      </c>
    </row>
    <row r="2872">
      <c r="A2872" s="5">
        <v>2871.0</v>
      </c>
      <c r="B2872" s="5" t="s">
        <v>3425</v>
      </c>
      <c r="C2872" s="5" t="s">
        <v>21</v>
      </c>
      <c r="K2872" s="5">
        <v>4800.0</v>
      </c>
      <c r="N2872" s="8">
        <v>43918.0</v>
      </c>
    </row>
    <row r="2873">
      <c r="A2873" s="5">
        <v>2872.0</v>
      </c>
      <c r="B2873" s="5" t="s">
        <v>3426</v>
      </c>
      <c r="C2873" s="5" t="s">
        <v>21</v>
      </c>
      <c r="K2873" s="5">
        <v>200.0</v>
      </c>
      <c r="N2873" s="8">
        <v>44890.0</v>
      </c>
    </row>
    <row r="2874">
      <c r="A2874" s="5">
        <v>2873.0</v>
      </c>
      <c r="B2874" s="5" t="s">
        <v>3427</v>
      </c>
      <c r="C2874" s="5" t="s">
        <v>21</v>
      </c>
      <c r="K2874" s="5">
        <v>7800.0</v>
      </c>
      <c r="N2874" s="8">
        <v>43431.0</v>
      </c>
    </row>
    <row r="2875">
      <c r="A2875" s="5">
        <v>2874.0</v>
      </c>
      <c r="B2875" s="5" t="s">
        <v>3428</v>
      </c>
      <c r="C2875" s="5" t="s">
        <v>21</v>
      </c>
      <c r="N2875" s="8">
        <v>44524.0</v>
      </c>
    </row>
    <row r="2876">
      <c r="A2876" s="5">
        <v>2875.0</v>
      </c>
      <c r="B2876" s="5" t="s">
        <v>3429</v>
      </c>
      <c r="C2876" s="5" t="s">
        <v>21</v>
      </c>
      <c r="K2876" s="5">
        <v>700.0</v>
      </c>
      <c r="N2876" s="8">
        <v>45430.0</v>
      </c>
    </row>
    <row r="2877">
      <c r="A2877" s="5">
        <v>2876.0</v>
      </c>
      <c r="B2877" s="5" t="s">
        <v>3430</v>
      </c>
      <c r="C2877" s="5" t="s">
        <v>21</v>
      </c>
      <c r="K2877" s="5">
        <v>100.0</v>
      </c>
      <c r="N2877" s="8">
        <v>44616.0</v>
      </c>
    </row>
    <row r="2878">
      <c r="A2878" s="5">
        <v>2877.0</v>
      </c>
      <c r="B2878" s="5" t="s">
        <v>3431</v>
      </c>
      <c r="C2878" s="5" t="s">
        <v>21</v>
      </c>
      <c r="K2878" s="5">
        <v>350.0</v>
      </c>
      <c r="N2878" s="8">
        <v>44571.0</v>
      </c>
    </row>
    <row r="2879">
      <c r="A2879" s="5">
        <v>2878.0</v>
      </c>
      <c r="B2879" s="5" t="s">
        <v>3432</v>
      </c>
      <c r="C2879" s="5" t="s">
        <v>21</v>
      </c>
      <c r="K2879" s="5">
        <v>23000.0</v>
      </c>
      <c r="N2879" s="8">
        <v>44655.0</v>
      </c>
    </row>
    <row r="2880">
      <c r="A2880" s="5">
        <v>2879.0</v>
      </c>
      <c r="B2880" s="5" t="s">
        <v>258</v>
      </c>
      <c r="C2880" s="5" t="s">
        <v>21</v>
      </c>
      <c r="K2880" s="5">
        <v>500.0</v>
      </c>
      <c r="N2880" s="8">
        <v>44573.0</v>
      </c>
    </row>
    <row r="2881">
      <c r="A2881" s="5">
        <v>2880.0</v>
      </c>
      <c r="B2881" s="5" t="s">
        <v>3433</v>
      </c>
      <c r="C2881" s="5" t="s">
        <v>21</v>
      </c>
      <c r="K2881" s="5">
        <v>60.0</v>
      </c>
      <c r="N2881" s="8">
        <v>44572.0</v>
      </c>
    </row>
    <row r="2882">
      <c r="A2882" s="5">
        <v>2881.0</v>
      </c>
      <c r="B2882" s="5" t="s">
        <v>3434</v>
      </c>
      <c r="C2882" s="5" t="s">
        <v>21</v>
      </c>
      <c r="K2882" s="5">
        <v>150.0</v>
      </c>
      <c r="N2882" s="8">
        <v>45094.0</v>
      </c>
    </row>
    <row r="2883">
      <c r="A2883" s="5">
        <v>2882.0</v>
      </c>
      <c r="B2883" s="5" t="s">
        <v>3435</v>
      </c>
      <c r="C2883" s="5" t="s">
        <v>21</v>
      </c>
      <c r="K2883" s="5">
        <v>10.0</v>
      </c>
      <c r="N2883" s="8">
        <v>45772.0</v>
      </c>
    </row>
    <row r="2884">
      <c r="A2884" s="5">
        <v>2883.0</v>
      </c>
      <c r="B2884" s="5" t="s">
        <v>3436</v>
      </c>
      <c r="C2884" s="5" t="s">
        <v>21</v>
      </c>
      <c r="N2884" s="8">
        <v>44404.0</v>
      </c>
    </row>
    <row r="2885">
      <c r="A2885" s="5">
        <v>2884.0</v>
      </c>
      <c r="B2885" s="5" t="s">
        <v>3437</v>
      </c>
      <c r="C2885" s="5" t="s">
        <v>21</v>
      </c>
      <c r="K2885" s="5">
        <v>40.0</v>
      </c>
      <c r="N2885" s="8">
        <v>44538.0</v>
      </c>
    </row>
    <row r="2886">
      <c r="A2886" s="5">
        <v>2885.0</v>
      </c>
      <c r="B2886" s="5" t="s">
        <v>3438</v>
      </c>
      <c r="C2886" s="5" t="s">
        <v>21</v>
      </c>
      <c r="K2886" s="5">
        <v>200.0</v>
      </c>
      <c r="N2886" s="8">
        <v>44586.0</v>
      </c>
    </row>
    <row r="2887">
      <c r="A2887" s="5">
        <v>2886.0</v>
      </c>
      <c r="B2887" s="5" t="s">
        <v>3439</v>
      </c>
      <c r="C2887" s="5" t="s">
        <v>21</v>
      </c>
      <c r="K2887" s="5">
        <v>400.0</v>
      </c>
      <c r="N2887" s="8">
        <v>44543.0</v>
      </c>
    </row>
    <row r="2888">
      <c r="A2888" s="5">
        <v>2887.0</v>
      </c>
      <c r="B2888" s="5" t="s">
        <v>3440</v>
      </c>
      <c r="C2888" s="5" t="s">
        <v>21</v>
      </c>
      <c r="K2888" s="5">
        <v>50.0</v>
      </c>
      <c r="N2888" s="8">
        <v>44797.0</v>
      </c>
    </row>
    <row r="2889">
      <c r="A2889" s="5">
        <v>2888.0</v>
      </c>
      <c r="B2889" s="5" t="s">
        <v>3441</v>
      </c>
      <c r="C2889" s="5" t="s">
        <v>21</v>
      </c>
      <c r="K2889" s="5">
        <v>900.0</v>
      </c>
      <c r="N2889" s="8">
        <v>45436.0</v>
      </c>
    </row>
    <row r="2890">
      <c r="A2890" s="5">
        <v>2889.0</v>
      </c>
      <c r="B2890" s="5" t="s">
        <v>3442</v>
      </c>
      <c r="C2890" s="5" t="s">
        <v>21</v>
      </c>
      <c r="K2890" s="5">
        <v>200.0</v>
      </c>
      <c r="N2890" s="8">
        <v>45443.0</v>
      </c>
    </row>
    <row r="2891">
      <c r="A2891" s="5">
        <v>2890.0</v>
      </c>
      <c r="B2891" s="5" t="s">
        <v>3443</v>
      </c>
      <c r="C2891" s="5" t="s">
        <v>21</v>
      </c>
      <c r="K2891" s="5">
        <v>300.0</v>
      </c>
      <c r="N2891" s="8">
        <v>44589.0</v>
      </c>
    </row>
    <row r="2892">
      <c r="A2892" s="5">
        <v>2891.0</v>
      </c>
      <c r="B2892" s="5" t="s">
        <v>3444</v>
      </c>
      <c r="C2892" s="5" t="s">
        <v>21</v>
      </c>
      <c r="K2892" s="5">
        <v>150.0</v>
      </c>
      <c r="N2892" s="8">
        <v>45145.0</v>
      </c>
    </row>
    <row r="2893">
      <c r="A2893" s="5">
        <v>2892.0</v>
      </c>
      <c r="B2893" s="5" t="s">
        <v>256</v>
      </c>
      <c r="C2893" s="5" t="s">
        <v>21</v>
      </c>
      <c r="K2893" s="5">
        <v>350.0</v>
      </c>
      <c r="N2893" s="8">
        <v>44533.0</v>
      </c>
    </row>
    <row r="2894">
      <c r="A2894" s="5">
        <v>2893.0</v>
      </c>
      <c r="B2894" s="5" t="s">
        <v>3445</v>
      </c>
      <c r="C2894" s="5" t="s">
        <v>21</v>
      </c>
      <c r="K2894" s="5">
        <v>1500.0</v>
      </c>
      <c r="N2894" s="8">
        <v>44335.0</v>
      </c>
    </row>
    <row r="2895">
      <c r="A2895" s="5">
        <v>2894.0</v>
      </c>
      <c r="B2895" s="5" t="s">
        <v>3446</v>
      </c>
      <c r="C2895" s="5" t="s">
        <v>21</v>
      </c>
      <c r="K2895" s="5">
        <v>60.0</v>
      </c>
      <c r="N2895" s="8">
        <v>44047.0</v>
      </c>
    </row>
    <row r="2896">
      <c r="A2896" s="5">
        <v>2895.0</v>
      </c>
      <c r="B2896" s="5" t="s">
        <v>3447</v>
      </c>
      <c r="C2896" s="5" t="s">
        <v>21</v>
      </c>
      <c r="K2896" s="5">
        <v>250.0</v>
      </c>
      <c r="N2896" s="8">
        <v>44980.0</v>
      </c>
    </row>
    <row r="2897">
      <c r="A2897" s="5">
        <v>2896.0</v>
      </c>
      <c r="B2897" s="5" t="s">
        <v>3448</v>
      </c>
      <c r="C2897" s="5" t="s">
        <v>21</v>
      </c>
      <c r="K2897" s="5">
        <v>150.0</v>
      </c>
      <c r="N2897" s="8">
        <v>45077.0</v>
      </c>
    </row>
    <row r="2898">
      <c r="A2898" s="5">
        <v>2897.0</v>
      </c>
      <c r="B2898" s="5" t="s">
        <v>3449</v>
      </c>
      <c r="C2898" s="5" t="s">
        <v>21</v>
      </c>
      <c r="K2898" s="5">
        <v>800.0</v>
      </c>
      <c r="N2898" s="8">
        <v>44580.0</v>
      </c>
    </row>
    <row r="2899">
      <c r="A2899" s="5">
        <v>2898.0</v>
      </c>
      <c r="B2899" s="5" t="s">
        <v>3450</v>
      </c>
      <c r="C2899" s="5" t="s">
        <v>21</v>
      </c>
      <c r="K2899" s="5">
        <v>100.0</v>
      </c>
      <c r="N2899" s="8">
        <v>44270.0</v>
      </c>
    </row>
    <row r="2900">
      <c r="A2900" s="5">
        <v>2899.0</v>
      </c>
      <c r="B2900" s="5" t="s">
        <v>3451</v>
      </c>
      <c r="C2900" s="5" t="s">
        <v>21</v>
      </c>
      <c r="K2900" s="5">
        <v>150.0</v>
      </c>
      <c r="N2900" s="8">
        <v>44430.0</v>
      </c>
    </row>
    <row r="2901">
      <c r="A2901" s="5">
        <v>2900.0</v>
      </c>
      <c r="B2901" s="5" t="s">
        <v>3452</v>
      </c>
      <c r="C2901" s="5" t="s">
        <v>21</v>
      </c>
      <c r="K2901" s="5">
        <v>600.0</v>
      </c>
      <c r="N2901" s="8">
        <v>44240.0</v>
      </c>
    </row>
    <row r="2902">
      <c r="A2902" s="5">
        <v>2901.0</v>
      </c>
      <c r="B2902" s="5" t="s">
        <v>3453</v>
      </c>
      <c r="C2902" s="5" t="s">
        <v>21</v>
      </c>
      <c r="K2902" s="5">
        <v>30.0</v>
      </c>
      <c r="N2902" s="8">
        <v>44637.0</v>
      </c>
    </row>
    <row r="2903">
      <c r="A2903" s="5">
        <v>2902.0</v>
      </c>
      <c r="B2903" s="5" t="s">
        <v>3454</v>
      </c>
      <c r="C2903" s="5" t="s">
        <v>21</v>
      </c>
      <c r="K2903" s="5">
        <v>800.0</v>
      </c>
      <c r="N2903" s="8">
        <v>44018.0</v>
      </c>
    </row>
    <row r="2904">
      <c r="A2904" s="5">
        <v>2903.0</v>
      </c>
      <c r="B2904" s="5" t="s">
        <v>3455</v>
      </c>
      <c r="C2904" s="5" t="s">
        <v>21</v>
      </c>
      <c r="K2904" s="5">
        <v>2600.0</v>
      </c>
      <c r="N2904" s="8">
        <v>44523.0</v>
      </c>
    </row>
    <row r="2905">
      <c r="A2905" s="5">
        <v>2904.0</v>
      </c>
      <c r="B2905" s="5" t="s">
        <v>3456</v>
      </c>
      <c r="C2905" s="5" t="s">
        <v>21</v>
      </c>
      <c r="K2905" s="5">
        <v>30.0</v>
      </c>
      <c r="N2905" s="8">
        <v>44955.0</v>
      </c>
    </row>
    <row r="2906">
      <c r="A2906" s="5">
        <v>2905.0</v>
      </c>
      <c r="B2906" s="5" t="s">
        <v>3457</v>
      </c>
      <c r="C2906" s="5" t="s">
        <v>21</v>
      </c>
      <c r="K2906" s="5">
        <v>150.0</v>
      </c>
      <c r="N2906" s="8">
        <v>45089.0</v>
      </c>
    </row>
    <row r="2907">
      <c r="A2907" s="5">
        <v>2906.0</v>
      </c>
      <c r="B2907" s="5" t="s">
        <v>3458</v>
      </c>
      <c r="C2907" s="5" t="s">
        <v>21</v>
      </c>
      <c r="K2907" s="5">
        <v>60.0</v>
      </c>
      <c r="N2907" s="8">
        <v>45361.0</v>
      </c>
    </row>
    <row r="2908">
      <c r="A2908" s="5">
        <v>2907.0</v>
      </c>
      <c r="B2908" s="5" t="s">
        <v>3459</v>
      </c>
      <c r="C2908" s="5" t="s">
        <v>21</v>
      </c>
      <c r="K2908" s="5">
        <v>600.0</v>
      </c>
      <c r="N2908" s="8">
        <v>43961.0</v>
      </c>
    </row>
    <row r="2909">
      <c r="A2909" s="5">
        <v>2908.0</v>
      </c>
      <c r="B2909" s="5" t="s">
        <v>3460</v>
      </c>
      <c r="C2909" s="5" t="s">
        <v>21</v>
      </c>
      <c r="K2909" s="5">
        <v>2600.0</v>
      </c>
      <c r="N2909" s="8">
        <v>45271.0</v>
      </c>
    </row>
    <row r="2910">
      <c r="A2910" s="5">
        <v>2909.0</v>
      </c>
      <c r="B2910" s="5" t="s">
        <v>3461</v>
      </c>
      <c r="C2910" s="5" t="s">
        <v>21</v>
      </c>
      <c r="K2910" s="5">
        <v>50.0</v>
      </c>
      <c r="N2910" s="8">
        <v>44521.0</v>
      </c>
    </row>
    <row r="2911">
      <c r="A2911" s="5">
        <v>2910.0</v>
      </c>
      <c r="B2911" s="5" t="s">
        <v>3462</v>
      </c>
      <c r="C2911" s="5" t="s">
        <v>21</v>
      </c>
      <c r="K2911" s="5">
        <v>70.0</v>
      </c>
      <c r="N2911" s="8">
        <v>44580.0</v>
      </c>
    </row>
    <row r="2912">
      <c r="A2912" s="5">
        <v>2911.0</v>
      </c>
      <c r="B2912" s="5" t="s">
        <v>3463</v>
      </c>
      <c r="C2912" s="5" t="s">
        <v>21</v>
      </c>
      <c r="K2912" s="5">
        <v>300.0</v>
      </c>
      <c r="N2912" s="8">
        <v>44280.0</v>
      </c>
    </row>
    <row r="2913">
      <c r="A2913" s="5">
        <v>2912.0</v>
      </c>
      <c r="B2913" s="5" t="s">
        <v>3464</v>
      </c>
      <c r="C2913" s="5" t="s">
        <v>21</v>
      </c>
      <c r="K2913" s="5">
        <v>350.0</v>
      </c>
      <c r="N2913" s="8">
        <v>43947.0</v>
      </c>
    </row>
    <row r="2914">
      <c r="A2914" s="5">
        <v>2913.0</v>
      </c>
      <c r="B2914" s="5" t="s">
        <v>3465</v>
      </c>
      <c r="C2914" s="5" t="s">
        <v>21</v>
      </c>
      <c r="K2914" s="5">
        <v>400.0</v>
      </c>
      <c r="N2914" s="8">
        <v>44839.0</v>
      </c>
    </row>
    <row r="2915">
      <c r="A2915" s="5">
        <v>2914.0</v>
      </c>
      <c r="B2915" s="5" t="s">
        <v>3466</v>
      </c>
      <c r="C2915" s="5" t="s">
        <v>21</v>
      </c>
      <c r="K2915" s="5">
        <v>2700.0</v>
      </c>
      <c r="N2915" s="8">
        <v>43860.0</v>
      </c>
    </row>
    <row r="2916">
      <c r="A2916" s="5">
        <v>2915.0</v>
      </c>
      <c r="B2916" s="5" t="s">
        <v>3467</v>
      </c>
      <c r="C2916" s="5" t="s">
        <v>21</v>
      </c>
      <c r="K2916" s="5">
        <v>250.0</v>
      </c>
      <c r="N2916" s="8">
        <v>44971.0</v>
      </c>
    </row>
    <row r="2917">
      <c r="A2917" s="5">
        <v>2916.0</v>
      </c>
      <c r="B2917" s="5" t="s">
        <v>3468</v>
      </c>
      <c r="C2917" s="5" t="s">
        <v>21</v>
      </c>
      <c r="K2917" s="5">
        <v>80.0</v>
      </c>
      <c r="N2917" s="8">
        <v>44047.0</v>
      </c>
    </row>
    <row r="2918">
      <c r="A2918" s="5">
        <v>2917.0</v>
      </c>
      <c r="B2918" s="5" t="s">
        <v>3469</v>
      </c>
      <c r="C2918" s="5" t="s">
        <v>21</v>
      </c>
      <c r="K2918" s="5">
        <v>350.0</v>
      </c>
      <c r="N2918" s="8">
        <v>44642.0</v>
      </c>
    </row>
    <row r="2919">
      <c r="A2919" s="5">
        <v>2918.0</v>
      </c>
      <c r="B2919" s="5" t="s">
        <v>3470</v>
      </c>
      <c r="C2919" s="5" t="s">
        <v>21</v>
      </c>
      <c r="K2919" s="5">
        <v>100.0</v>
      </c>
      <c r="N2919" s="8">
        <v>45230.0</v>
      </c>
    </row>
    <row r="2920">
      <c r="A2920" s="5">
        <v>2919.0</v>
      </c>
      <c r="B2920" s="5" t="s">
        <v>3471</v>
      </c>
      <c r="C2920" s="5" t="s">
        <v>21</v>
      </c>
      <c r="K2920" s="5">
        <v>2200.0</v>
      </c>
      <c r="N2920" s="8">
        <v>44162.0</v>
      </c>
    </row>
    <row r="2921">
      <c r="A2921" s="5">
        <v>2920.0</v>
      </c>
      <c r="B2921" s="5" t="s">
        <v>261</v>
      </c>
      <c r="C2921" s="5" t="s">
        <v>21</v>
      </c>
      <c r="K2921" s="5">
        <v>10.0</v>
      </c>
      <c r="N2921" s="8">
        <v>44959.0</v>
      </c>
    </row>
    <row r="2922">
      <c r="A2922" s="5">
        <v>2921.0</v>
      </c>
      <c r="B2922" s="5" t="s">
        <v>3472</v>
      </c>
      <c r="C2922" s="5" t="s">
        <v>21</v>
      </c>
      <c r="K2922" s="5">
        <v>900.0</v>
      </c>
      <c r="N2922" s="8">
        <v>44444.0</v>
      </c>
    </row>
    <row r="2923">
      <c r="A2923" s="5">
        <v>2922.0</v>
      </c>
      <c r="B2923" s="5" t="s">
        <v>3473</v>
      </c>
      <c r="C2923" s="5" t="s">
        <v>21</v>
      </c>
      <c r="K2923" s="5">
        <v>200.0</v>
      </c>
      <c r="N2923" s="8">
        <v>44463.0</v>
      </c>
    </row>
    <row r="2924">
      <c r="A2924" s="5">
        <v>2923.0</v>
      </c>
      <c r="B2924" s="5" t="s">
        <v>3474</v>
      </c>
      <c r="C2924" s="5" t="s">
        <v>21</v>
      </c>
      <c r="K2924" s="5">
        <v>300.0</v>
      </c>
      <c r="N2924" s="8">
        <v>44171.0</v>
      </c>
    </row>
    <row r="2925">
      <c r="A2925" s="5">
        <v>2924.0</v>
      </c>
      <c r="B2925" s="5" t="s">
        <v>3475</v>
      </c>
      <c r="C2925" s="5" t="s">
        <v>21</v>
      </c>
      <c r="K2925" s="5">
        <v>150.0</v>
      </c>
      <c r="N2925" s="8">
        <v>44459.0</v>
      </c>
    </row>
    <row r="2926">
      <c r="A2926" s="5">
        <v>2925.0</v>
      </c>
      <c r="B2926" s="5" t="s">
        <v>3476</v>
      </c>
      <c r="C2926" s="5" t="s">
        <v>21</v>
      </c>
      <c r="K2926" s="5">
        <v>500.0</v>
      </c>
      <c r="N2926" s="8">
        <v>45449.0</v>
      </c>
    </row>
    <row r="2927">
      <c r="A2927" s="5">
        <v>2926.0</v>
      </c>
      <c r="B2927" s="5" t="s">
        <v>3477</v>
      </c>
      <c r="C2927" s="5" t="s">
        <v>21</v>
      </c>
      <c r="K2927" s="5">
        <v>250.0</v>
      </c>
      <c r="N2927" s="8">
        <v>45119.0</v>
      </c>
    </row>
    <row r="2928">
      <c r="A2928" s="5">
        <v>2927.0</v>
      </c>
      <c r="B2928" s="5" t="s">
        <v>3478</v>
      </c>
      <c r="C2928" s="5" t="s">
        <v>21</v>
      </c>
      <c r="K2928" s="5">
        <v>500.0</v>
      </c>
      <c r="N2928" s="8">
        <v>44681.0</v>
      </c>
    </row>
    <row r="2929">
      <c r="A2929" s="5">
        <v>2928.0</v>
      </c>
      <c r="B2929" s="5" t="s">
        <v>3479</v>
      </c>
      <c r="C2929" s="5" t="s">
        <v>21</v>
      </c>
      <c r="K2929" s="5">
        <v>20.0</v>
      </c>
      <c r="N2929" s="8">
        <v>45429.0</v>
      </c>
    </row>
    <row r="2930">
      <c r="A2930" s="5">
        <v>2929.0</v>
      </c>
      <c r="B2930" s="5" t="s">
        <v>3480</v>
      </c>
      <c r="C2930" s="5" t="s">
        <v>21</v>
      </c>
      <c r="K2930" s="5">
        <v>70.0</v>
      </c>
      <c r="N2930" s="8">
        <v>45325.0</v>
      </c>
    </row>
    <row r="2931">
      <c r="A2931" s="5">
        <v>2930.0</v>
      </c>
      <c r="B2931" s="5" t="s">
        <v>3481</v>
      </c>
      <c r="C2931" s="5" t="s">
        <v>21</v>
      </c>
      <c r="K2931" s="5">
        <v>500.0</v>
      </c>
      <c r="N2931" s="8">
        <v>44520.0</v>
      </c>
    </row>
    <row r="2932">
      <c r="A2932" s="5">
        <v>2931.0</v>
      </c>
      <c r="B2932" s="5" t="s">
        <v>264</v>
      </c>
      <c r="C2932" s="5" t="s">
        <v>21</v>
      </c>
      <c r="K2932" s="5">
        <v>5900.0</v>
      </c>
      <c r="N2932" s="8">
        <v>43975.0</v>
      </c>
    </row>
    <row r="2933">
      <c r="A2933" s="5">
        <v>2932.0</v>
      </c>
      <c r="B2933" s="5" t="s">
        <v>3482</v>
      </c>
      <c r="C2933" s="5" t="s">
        <v>21</v>
      </c>
      <c r="K2933" s="5">
        <v>500.0</v>
      </c>
      <c r="N2933" s="8">
        <v>44006.0</v>
      </c>
    </row>
    <row r="2934">
      <c r="A2934" s="5">
        <v>2933.0</v>
      </c>
      <c r="B2934" s="5" t="s">
        <v>3483</v>
      </c>
      <c r="C2934" s="5" t="s">
        <v>21</v>
      </c>
      <c r="K2934" s="5">
        <v>70.0</v>
      </c>
      <c r="N2934" s="8">
        <v>44649.0</v>
      </c>
    </row>
    <row r="2935">
      <c r="A2935" s="5">
        <v>2934.0</v>
      </c>
      <c r="B2935" s="5" t="s">
        <v>3484</v>
      </c>
      <c r="C2935" s="5" t="s">
        <v>21</v>
      </c>
      <c r="K2935" s="5">
        <v>350.0</v>
      </c>
      <c r="N2935" s="8">
        <v>44394.0</v>
      </c>
    </row>
    <row r="2936">
      <c r="A2936" s="5">
        <v>2935.0</v>
      </c>
      <c r="B2936" s="5" t="s">
        <v>3485</v>
      </c>
      <c r="C2936" s="5" t="s">
        <v>21</v>
      </c>
      <c r="K2936" s="5">
        <v>500.0</v>
      </c>
      <c r="N2936" s="8">
        <v>43893.0</v>
      </c>
    </row>
    <row r="2937">
      <c r="A2937" s="5">
        <v>2936.0</v>
      </c>
      <c r="B2937" s="5" t="s">
        <v>3486</v>
      </c>
      <c r="C2937" s="5" t="s">
        <v>21</v>
      </c>
      <c r="K2937" s="5">
        <v>900.0</v>
      </c>
      <c r="N2937" s="8">
        <v>44372.0</v>
      </c>
    </row>
    <row r="2938">
      <c r="A2938" s="5">
        <v>2937.0</v>
      </c>
      <c r="B2938" s="5" t="s">
        <v>3487</v>
      </c>
      <c r="C2938" s="5" t="s">
        <v>21</v>
      </c>
      <c r="K2938" s="5">
        <v>300.0</v>
      </c>
      <c r="N2938" s="8">
        <v>44534.0</v>
      </c>
    </row>
    <row r="2939">
      <c r="A2939" s="5">
        <v>2938.0</v>
      </c>
      <c r="B2939" s="5" t="s">
        <v>3488</v>
      </c>
      <c r="C2939" s="5" t="s">
        <v>21</v>
      </c>
      <c r="K2939" s="5">
        <v>2000.0</v>
      </c>
      <c r="N2939" s="8">
        <v>43850.0</v>
      </c>
    </row>
    <row r="2940">
      <c r="A2940" s="5">
        <v>2939.0</v>
      </c>
      <c r="B2940" s="5" t="s">
        <v>3489</v>
      </c>
      <c r="C2940" s="5" t="s">
        <v>21</v>
      </c>
      <c r="K2940" s="5">
        <v>250.0</v>
      </c>
      <c r="N2940" s="8">
        <v>44559.0</v>
      </c>
    </row>
    <row r="2941">
      <c r="A2941" s="5">
        <v>2940.0</v>
      </c>
      <c r="B2941" s="5" t="s">
        <v>3490</v>
      </c>
      <c r="C2941" s="5" t="s">
        <v>21</v>
      </c>
      <c r="K2941" s="5">
        <v>100.0</v>
      </c>
      <c r="N2941" s="8">
        <v>44607.0</v>
      </c>
    </row>
    <row r="2942">
      <c r="A2942" s="5">
        <v>2941.0</v>
      </c>
      <c r="B2942" s="5" t="s">
        <v>3491</v>
      </c>
      <c r="C2942" s="5" t="s">
        <v>21</v>
      </c>
      <c r="K2942" s="5">
        <v>100.0</v>
      </c>
      <c r="N2942" s="8">
        <v>43903.0</v>
      </c>
    </row>
    <row r="2943">
      <c r="A2943" s="5">
        <v>2942.0</v>
      </c>
      <c r="B2943" s="5" t="s">
        <v>3492</v>
      </c>
      <c r="C2943" s="5" t="s">
        <v>21</v>
      </c>
      <c r="K2943" s="5">
        <v>800.0</v>
      </c>
      <c r="N2943" s="8">
        <v>44463.0</v>
      </c>
    </row>
    <row r="2944">
      <c r="A2944" s="5">
        <v>2943.0</v>
      </c>
      <c r="B2944" s="5" t="s">
        <v>3493</v>
      </c>
      <c r="C2944" s="5" t="s">
        <v>21</v>
      </c>
      <c r="K2944" s="5">
        <v>700.0</v>
      </c>
      <c r="N2944" s="8">
        <v>44536.0</v>
      </c>
    </row>
    <row r="2945">
      <c r="A2945" s="5">
        <v>2944.0</v>
      </c>
      <c r="B2945" s="5" t="s">
        <v>3494</v>
      </c>
      <c r="C2945" s="5" t="s">
        <v>21</v>
      </c>
      <c r="K2945" s="5">
        <v>70.0</v>
      </c>
      <c r="N2945" s="8">
        <v>44937.0</v>
      </c>
    </row>
    <row r="2946">
      <c r="A2946" s="5">
        <v>2945.0</v>
      </c>
      <c r="B2946" s="5" t="s">
        <v>3495</v>
      </c>
      <c r="C2946" s="5" t="s">
        <v>21</v>
      </c>
      <c r="K2946" s="5">
        <v>80.0</v>
      </c>
      <c r="N2946" s="8">
        <v>42955.0</v>
      </c>
    </row>
    <row r="2947">
      <c r="A2947" s="5">
        <v>2946.0</v>
      </c>
      <c r="B2947" s="5" t="s">
        <v>267</v>
      </c>
      <c r="C2947" s="5" t="s">
        <v>21</v>
      </c>
      <c r="K2947" s="5">
        <v>300.0</v>
      </c>
      <c r="N2947" s="8">
        <v>44732.0</v>
      </c>
    </row>
    <row r="2948">
      <c r="A2948" s="5">
        <v>2947.0</v>
      </c>
      <c r="B2948" s="5" t="s">
        <v>3496</v>
      </c>
      <c r="C2948" s="5" t="s">
        <v>21</v>
      </c>
      <c r="K2948" s="5">
        <v>60.0</v>
      </c>
      <c r="N2948" s="8">
        <v>45102.0</v>
      </c>
    </row>
    <row r="2949">
      <c r="A2949" s="5">
        <v>2948.0</v>
      </c>
      <c r="B2949" s="5" t="s">
        <v>3497</v>
      </c>
      <c r="C2949" s="5" t="s">
        <v>21</v>
      </c>
      <c r="K2949" s="5">
        <v>200.0</v>
      </c>
      <c r="N2949" s="8">
        <v>44474.0</v>
      </c>
    </row>
    <row r="2950">
      <c r="A2950" s="5">
        <v>2949.0</v>
      </c>
      <c r="B2950" s="5" t="s">
        <v>3498</v>
      </c>
      <c r="C2950" s="5" t="s">
        <v>21</v>
      </c>
      <c r="K2950" s="5">
        <v>250.0</v>
      </c>
      <c r="N2950" s="8">
        <v>44602.0</v>
      </c>
    </row>
    <row r="2951">
      <c r="A2951" s="5">
        <v>2950.0</v>
      </c>
      <c r="B2951" s="5" t="s">
        <v>3499</v>
      </c>
      <c r="C2951" s="5" t="s">
        <v>21</v>
      </c>
      <c r="K2951" s="5">
        <v>200.0</v>
      </c>
      <c r="N2951" s="8">
        <v>45020.0</v>
      </c>
    </row>
    <row r="2952">
      <c r="A2952" s="5">
        <v>2951.0</v>
      </c>
      <c r="B2952" s="5" t="s">
        <v>260</v>
      </c>
      <c r="C2952" s="5" t="s">
        <v>21</v>
      </c>
      <c r="K2952" s="5">
        <v>10.0</v>
      </c>
      <c r="N2952" s="8">
        <v>44682.0</v>
      </c>
    </row>
    <row r="2953">
      <c r="A2953" s="5">
        <v>2952.0</v>
      </c>
      <c r="B2953" s="5" t="s">
        <v>3500</v>
      </c>
      <c r="C2953" s="5" t="s">
        <v>21</v>
      </c>
      <c r="K2953" s="5">
        <v>100.0</v>
      </c>
      <c r="N2953" s="8">
        <v>44359.0</v>
      </c>
    </row>
    <row r="2954">
      <c r="A2954" s="5">
        <v>2953.0</v>
      </c>
      <c r="B2954" s="5" t="s">
        <v>3501</v>
      </c>
      <c r="C2954" s="5" t="s">
        <v>21</v>
      </c>
      <c r="K2954" s="5">
        <v>150.0</v>
      </c>
      <c r="N2954" s="8">
        <v>44329.0</v>
      </c>
    </row>
    <row r="2955">
      <c r="A2955" s="5">
        <v>2954.0</v>
      </c>
      <c r="B2955" s="5" t="s">
        <v>3502</v>
      </c>
      <c r="C2955" s="5" t="s">
        <v>21</v>
      </c>
      <c r="K2955" s="5">
        <v>600.0</v>
      </c>
      <c r="N2955" s="8">
        <v>45064.0</v>
      </c>
    </row>
    <row r="2956">
      <c r="A2956" s="5">
        <v>2955.0</v>
      </c>
      <c r="B2956" s="5" t="s">
        <v>3503</v>
      </c>
      <c r="C2956" s="5" t="s">
        <v>21</v>
      </c>
      <c r="N2956" s="8">
        <v>45103.0</v>
      </c>
    </row>
    <row r="2957">
      <c r="A2957" s="5">
        <v>2956.0</v>
      </c>
      <c r="B2957" s="5" t="s">
        <v>3504</v>
      </c>
      <c r="C2957" s="5" t="s">
        <v>21</v>
      </c>
      <c r="K2957" s="5">
        <v>30.0</v>
      </c>
      <c r="N2957" s="8">
        <v>45373.0</v>
      </c>
    </row>
    <row r="2958">
      <c r="A2958" s="5">
        <v>2957.0</v>
      </c>
      <c r="B2958" s="5" t="s">
        <v>3505</v>
      </c>
      <c r="C2958" s="5" t="s">
        <v>21</v>
      </c>
      <c r="K2958" s="5">
        <v>90.0</v>
      </c>
      <c r="N2958" s="8">
        <v>43910.0</v>
      </c>
    </row>
    <row r="2959">
      <c r="A2959" s="5">
        <v>2958.0</v>
      </c>
      <c r="B2959" s="5" t="s">
        <v>3506</v>
      </c>
      <c r="C2959" s="5" t="s">
        <v>21</v>
      </c>
      <c r="K2959" s="5">
        <v>600.0</v>
      </c>
      <c r="N2959" s="8">
        <v>44982.0</v>
      </c>
    </row>
    <row r="2960">
      <c r="A2960" s="5">
        <v>2959.0</v>
      </c>
      <c r="B2960" s="5" t="s">
        <v>3507</v>
      </c>
      <c r="C2960" s="5" t="s">
        <v>21</v>
      </c>
      <c r="K2960" s="5">
        <v>300.0</v>
      </c>
      <c r="N2960" s="8">
        <v>45745.0</v>
      </c>
    </row>
    <row r="2961">
      <c r="A2961" s="5">
        <v>2960.0</v>
      </c>
      <c r="B2961" s="5" t="s">
        <v>3508</v>
      </c>
      <c r="C2961" s="5" t="s">
        <v>21</v>
      </c>
      <c r="K2961" s="5">
        <v>1200.0</v>
      </c>
      <c r="N2961" s="8">
        <v>43925.0</v>
      </c>
    </row>
    <row r="2962">
      <c r="A2962" s="5">
        <v>2961.0</v>
      </c>
      <c r="B2962" s="5" t="s">
        <v>3509</v>
      </c>
      <c r="C2962" s="5" t="s">
        <v>21</v>
      </c>
      <c r="K2962" s="5">
        <v>450.0</v>
      </c>
      <c r="N2962" s="8">
        <v>44051.0</v>
      </c>
    </row>
    <row r="2963">
      <c r="A2963" s="5">
        <v>2962.0</v>
      </c>
      <c r="B2963" s="5" t="s">
        <v>3510</v>
      </c>
      <c r="C2963" s="5" t="s">
        <v>21</v>
      </c>
      <c r="K2963" s="5">
        <v>60.0</v>
      </c>
      <c r="N2963" s="8">
        <v>44667.0</v>
      </c>
    </row>
    <row r="2964">
      <c r="A2964" s="5">
        <v>2963.0</v>
      </c>
      <c r="B2964" s="5" t="s">
        <v>3511</v>
      </c>
      <c r="C2964" s="5" t="s">
        <v>21</v>
      </c>
      <c r="K2964" s="5">
        <v>150.0</v>
      </c>
      <c r="N2964" s="8">
        <v>44559.0</v>
      </c>
    </row>
    <row r="2965">
      <c r="A2965" s="5">
        <v>2964.0</v>
      </c>
      <c r="B2965" s="5" t="s">
        <v>3512</v>
      </c>
      <c r="C2965" s="5" t="s">
        <v>21</v>
      </c>
      <c r="K2965" s="5">
        <v>500.0</v>
      </c>
      <c r="N2965" s="8">
        <v>44931.0</v>
      </c>
    </row>
    <row r="2966">
      <c r="A2966" s="5">
        <v>2965.0</v>
      </c>
      <c r="B2966" s="5" t="s">
        <v>3513</v>
      </c>
      <c r="C2966" s="5" t="s">
        <v>21</v>
      </c>
      <c r="N2966" s="8">
        <v>44519.0</v>
      </c>
    </row>
    <row r="2967">
      <c r="A2967" s="5">
        <v>2966.0</v>
      </c>
      <c r="B2967" s="5" t="s">
        <v>3514</v>
      </c>
      <c r="C2967" s="5" t="s">
        <v>21</v>
      </c>
      <c r="K2967" s="5">
        <v>600.0</v>
      </c>
      <c r="N2967" s="8">
        <v>45160.0</v>
      </c>
    </row>
    <row r="2968">
      <c r="A2968" s="5">
        <v>2967.0</v>
      </c>
      <c r="B2968" s="5" t="s">
        <v>3515</v>
      </c>
      <c r="C2968" s="5" t="s">
        <v>21</v>
      </c>
      <c r="K2968" s="5">
        <v>50.0</v>
      </c>
      <c r="N2968" s="8">
        <v>44575.0</v>
      </c>
    </row>
    <row r="2969">
      <c r="A2969" s="5">
        <v>2968.0</v>
      </c>
      <c r="B2969" s="5" t="s">
        <v>3516</v>
      </c>
      <c r="C2969" s="5" t="s">
        <v>21</v>
      </c>
      <c r="K2969" s="5">
        <v>600.0</v>
      </c>
      <c r="N2969" s="8">
        <v>44004.0</v>
      </c>
    </row>
    <row r="2970">
      <c r="A2970" s="5">
        <v>2969.0</v>
      </c>
      <c r="B2970" s="5" t="s">
        <v>3517</v>
      </c>
      <c r="C2970" s="5" t="s">
        <v>21</v>
      </c>
      <c r="K2970" s="5">
        <v>100.0</v>
      </c>
      <c r="N2970" s="8">
        <v>45073.0</v>
      </c>
    </row>
    <row r="2971">
      <c r="A2971" s="5">
        <v>2970.0</v>
      </c>
      <c r="B2971" s="5" t="s">
        <v>3518</v>
      </c>
      <c r="C2971" s="5" t="s">
        <v>21</v>
      </c>
      <c r="K2971" s="5">
        <v>800.0</v>
      </c>
      <c r="N2971" s="8">
        <v>43922.0</v>
      </c>
    </row>
    <row r="2972">
      <c r="A2972" s="5">
        <v>2971.0</v>
      </c>
      <c r="B2972" s="5" t="s">
        <v>3519</v>
      </c>
      <c r="C2972" s="5" t="s">
        <v>21</v>
      </c>
      <c r="K2972" s="5">
        <v>80.0</v>
      </c>
      <c r="N2972" s="8">
        <v>45412.0</v>
      </c>
    </row>
    <row r="2973">
      <c r="A2973" s="5">
        <v>2972.0</v>
      </c>
      <c r="B2973" s="5" t="s">
        <v>3520</v>
      </c>
      <c r="C2973" s="5" t="s">
        <v>21</v>
      </c>
      <c r="N2973" s="8">
        <v>44602.0</v>
      </c>
    </row>
    <row r="2974">
      <c r="A2974" s="5">
        <v>2973.0</v>
      </c>
      <c r="B2974" s="5" t="s">
        <v>263</v>
      </c>
      <c r="C2974" s="5" t="s">
        <v>21</v>
      </c>
      <c r="K2974" s="5">
        <v>400.0</v>
      </c>
      <c r="N2974" s="8">
        <v>44517.0</v>
      </c>
    </row>
    <row r="2975">
      <c r="A2975" s="5">
        <v>2974.0</v>
      </c>
      <c r="B2975" s="5" t="s">
        <v>3521</v>
      </c>
      <c r="C2975" s="5" t="s">
        <v>21</v>
      </c>
      <c r="K2975" s="5">
        <v>50.0</v>
      </c>
      <c r="N2975" s="8">
        <v>44809.0</v>
      </c>
    </row>
    <row r="2976">
      <c r="A2976" s="5">
        <v>2975.0</v>
      </c>
      <c r="B2976" s="5" t="s">
        <v>3522</v>
      </c>
      <c r="C2976" s="5" t="s">
        <v>21</v>
      </c>
      <c r="K2976" s="5">
        <v>30.0</v>
      </c>
      <c r="N2976" s="8">
        <v>44729.0</v>
      </c>
    </row>
    <row r="2977">
      <c r="A2977" s="5">
        <v>2976.0</v>
      </c>
      <c r="B2977" s="5" t="s">
        <v>3523</v>
      </c>
      <c r="C2977" s="5" t="s">
        <v>21</v>
      </c>
      <c r="K2977" s="5">
        <v>150.0</v>
      </c>
      <c r="N2977" s="8">
        <v>44298.0</v>
      </c>
    </row>
    <row r="2978">
      <c r="A2978" s="5">
        <v>2977.0</v>
      </c>
      <c r="B2978" s="5" t="s">
        <v>3524</v>
      </c>
      <c r="C2978" s="5" t="s">
        <v>21</v>
      </c>
      <c r="K2978" s="5">
        <v>200.0</v>
      </c>
      <c r="N2978" s="8">
        <v>44630.0</v>
      </c>
    </row>
    <row r="2979">
      <c r="A2979" s="5">
        <v>2978.0</v>
      </c>
      <c r="B2979" s="5" t="s">
        <v>3525</v>
      </c>
      <c r="C2979" s="5" t="s">
        <v>21</v>
      </c>
      <c r="K2979" s="5">
        <v>150.0</v>
      </c>
      <c r="N2979" s="8">
        <v>44690.0</v>
      </c>
    </row>
    <row r="2980">
      <c r="A2980" s="5">
        <v>2979.0</v>
      </c>
      <c r="B2980" s="5" t="s">
        <v>3526</v>
      </c>
      <c r="C2980" s="5" t="s">
        <v>21</v>
      </c>
      <c r="K2980" s="5">
        <v>60.0</v>
      </c>
      <c r="N2980" s="8">
        <v>44560.0</v>
      </c>
    </row>
    <row r="2981">
      <c r="A2981" s="5">
        <v>2980.0</v>
      </c>
      <c r="B2981" s="5" t="s">
        <v>3527</v>
      </c>
      <c r="C2981" s="5" t="s">
        <v>21</v>
      </c>
      <c r="K2981" s="5">
        <v>1700.0</v>
      </c>
      <c r="N2981" s="8">
        <v>42408.0</v>
      </c>
    </row>
    <row r="2982">
      <c r="A2982" s="5">
        <v>2981.0</v>
      </c>
      <c r="B2982" s="5" t="s">
        <v>3528</v>
      </c>
      <c r="C2982" s="5" t="s">
        <v>21</v>
      </c>
      <c r="K2982" s="5">
        <v>700.0</v>
      </c>
      <c r="N2982" s="8">
        <v>44601.0</v>
      </c>
    </row>
    <row r="2983">
      <c r="A2983" s="5">
        <v>2982.0</v>
      </c>
      <c r="B2983" s="5" t="s">
        <v>3529</v>
      </c>
      <c r="C2983" s="5" t="s">
        <v>21</v>
      </c>
      <c r="K2983" s="5">
        <v>200.0</v>
      </c>
      <c r="N2983" s="8">
        <v>44520.0</v>
      </c>
    </row>
    <row r="2984">
      <c r="A2984" s="5">
        <v>2983.0</v>
      </c>
      <c r="B2984" s="5" t="s">
        <v>3530</v>
      </c>
      <c r="C2984" s="5" t="s">
        <v>21</v>
      </c>
      <c r="K2984" s="5">
        <v>700.0</v>
      </c>
      <c r="N2984" s="8">
        <v>44271.0</v>
      </c>
    </row>
    <row r="2985">
      <c r="A2985" s="5">
        <v>2984.0</v>
      </c>
      <c r="B2985" s="5" t="s">
        <v>3531</v>
      </c>
      <c r="C2985" s="5" t="s">
        <v>21</v>
      </c>
      <c r="K2985" s="5">
        <v>600.0</v>
      </c>
      <c r="N2985" s="8">
        <v>44562.0</v>
      </c>
    </row>
    <row r="2986">
      <c r="A2986" s="5">
        <v>2985.0</v>
      </c>
      <c r="B2986" s="5" t="s">
        <v>3532</v>
      </c>
      <c r="C2986" s="5" t="s">
        <v>21</v>
      </c>
      <c r="K2986" s="5">
        <v>50.0</v>
      </c>
      <c r="N2986" s="8">
        <v>44729.0</v>
      </c>
    </row>
    <row r="2987">
      <c r="A2987" s="5">
        <v>2986.0</v>
      </c>
      <c r="B2987" s="5" t="s">
        <v>3533</v>
      </c>
      <c r="C2987" s="5" t="s">
        <v>21</v>
      </c>
      <c r="K2987" s="5">
        <v>400.0</v>
      </c>
      <c r="N2987" s="8">
        <v>44582.0</v>
      </c>
    </row>
    <row r="2988">
      <c r="A2988" s="5">
        <v>2987.0</v>
      </c>
      <c r="B2988" s="5" t="s">
        <v>3534</v>
      </c>
      <c r="C2988" s="5" t="s">
        <v>21</v>
      </c>
      <c r="K2988" s="5">
        <v>150.0</v>
      </c>
      <c r="N2988" s="8">
        <v>44598.0</v>
      </c>
    </row>
    <row r="2989">
      <c r="A2989" s="5">
        <v>2988.0</v>
      </c>
      <c r="B2989" s="5" t="s">
        <v>3535</v>
      </c>
      <c r="C2989" s="5" t="s">
        <v>21</v>
      </c>
      <c r="K2989" s="5">
        <v>600.0</v>
      </c>
      <c r="N2989" s="8">
        <v>43844.0</v>
      </c>
    </row>
    <row r="2990">
      <c r="A2990" s="5">
        <v>2989.0</v>
      </c>
      <c r="B2990" s="5" t="s">
        <v>3536</v>
      </c>
      <c r="C2990" s="5" t="s">
        <v>21</v>
      </c>
      <c r="K2990" s="5">
        <v>600.0</v>
      </c>
      <c r="N2990" s="8">
        <v>44739.0</v>
      </c>
    </row>
    <row r="2991">
      <c r="A2991" s="5">
        <v>2990.0</v>
      </c>
      <c r="B2991" s="5" t="s">
        <v>3537</v>
      </c>
      <c r="C2991" s="5" t="s">
        <v>21</v>
      </c>
      <c r="K2991" s="5">
        <v>500.0</v>
      </c>
      <c r="N2991" s="8">
        <v>44465.0</v>
      </c>
    </row>
    <row r="2992">
      <c r="A2992" s="5">
        <v>2991.0</v>
      </c>
      <c r="B2992" s="5" t="s">
        <v>3538</v>
      </c>
      <c r="C2992" s="5" t="s">
        <v>21</v>
      </c>
      <c r="K2992" s="5">
        <v>40.0</v>
      </c>
      <c r="N2992" s="8">
        <v>45117.0</v>
      </c>
    </row>
    <row r="2993">
      <c r="A2993" s="5">
        <v>2992.0</v>
      </c>
      <c r="B2993" s="5" t="s">
        <v>3539</v>
      </c>
      <c r="C2993" s="5" t="s">
        <v>21</v>
      </c>
      <c r="K2993" s="5">
        <v>700.0</v>
      </c>
      <c r="N2993" s="8">
        <v>44389.0</v>
      </c>
    </row>
    <row r="2994">
      <c r="A2994" s="5">
        <v>2993.0</v>
      </c>
      <c r="B2994" s="5" t="s">
        <v>3540</v>
      </c>
      <c r="C2994" s="5" t="s">
        <v>21</v>
      </c>
      <c r="K2994" s="5">
        <v>800.0</v>
      </c>
      <c r="N2994" s="8">
        <v>44434.0</v>
      </c>
    </row>
    <row r="2995">
      <c r="A2995" s="5">
        <v>2994.0</v>
      </c>
      <c r="B2995" s="5" t="s">
        <v>3541</v>
      </c>
      <c r="C2995" s="5" t="s">
        <v>21</v>
      </c>
      <c r="K2995" s="5">
        <v>600.0</v>
      </c>
      <c r="N2995" s="8">
        <v>44053.0</v>
      </c>
    </row>
    <row r="2996">
      <c r="A2996" s="5">
        <v>2995.0</v>
      </c>
      <c r="B2996" s="5" t="s">
        <v>3542</v>
      </c>
      <c r="C2996" s="5" t="s">
        <v>21</v>
      </c>
      <c r="K2996" s="5">
        <v>200.0</v>
      </c>
      <c r="N2996" s="8">
        <v>44393.0</v>
      </c>
    </row>
    <row r="2997">
      <c r="A2997" s="5">
        <v>2996.0</v>
      </c>
      <c r="B2997" s="5" t="s">
        <v>3543</v>
      </c>
      <c r="C2997" s="5" t="s">
        <v>21</v>
      </c>
      <c r="K2997" s="5">
        <v>350.0</v>
      </c>
      <c r="N2997" s="8">
        <v>44815.0</v>
      </c>
    </row>
    <row r="2998">
      <c r="A2998" s="5">
        <v>2997.0</v>
      </c>
      <c r="B2998" s="5" t="s">
        <v>3544</v>
      </c>
      <c r="C2998" s="5" t="s">
        <v>21</v>
      </c>
      <c r="K2998" s="5">
        <v>2900.0</v>
      </c>
      <c r="N2998" s="8">
        <v>43885.0</v>
      </c>
    </row>
    <row r="2999">
      <c r="A2999" s="5">
        <v>2998.0</v>
      </c>
      <c r="B2999" s="5" t="s">
        <v>3545</v>
      </c>
      <c r="C2999" s="5" t="s">
        <v>21</v>
      </c>
      <c r="K2999" s="5">
        <v>2400.0</v>
      </c>
      <c r="N2999" s="8">
        <v>43995.0</v>
      </c>
    </row>
    <row r="3000">
      <c r="A3000" s="5">
        <v>2999.0</v>
      </c>
      <c r="B3000" s="5" t="s">
        <v>3546</v>
      </c>
      <c r="C3000" s="5" t="s">
        <v>21</v>
      </c>
      <c r="K3000" s="5">
        <v>1400.0</v>
      </c>
      <c r="N3000" s="8">
        <v>44449.0</v>
      </c>
    </row>
    <row r="3001">
      <c r="A3001" s="5">
        <v>3000.0</v>
      </c>
      <c r="B3001" s="5" t="s">
        <v>3547</v>
      </c>
      <c r="C3001" s="5" t="s">
        <v>21</v>
      </c>
      <c r="K3001" s="5">
        <v>1000.0</v>
      </c>
      <c r="N3001" s="8">
        <v>44528.0</v>
      </c>
    </row>
    <row r="3002">
      <c r="A3002" s="5">
        <v>3001.0</v>
      </c>
      <c r="B3002" s="5" t="s">
        <v>3548</v>
      </c>
      <c r="C3002" s="5" t="s">
        <v>21</v>
      </c>
      <c r="K3002" s="5">
        <v>1100.0</v>
      </c>
      <c r="N3002" s="8">
        <v>43840.0</v>
      </c>
    </row>
    <row r="3003">
      <c r="A3003" s="5">
        <v>3002.0</v>
      </c>
      <c r="B3003" s="5" t="s">
        <v>3549</v>
      </c>
      <c r="C3003" s="5" t="s">
        <v>21</v>
      </c>
      <c r="K3003" s="5">
        <v>2400.0</v>
      </c>
      <c r="N3003" s="8">
        <v>44122.0</v>
      </c>
    </row>
    <row r="3004">
      <c r="A3004" s="5">
        <v>3003.0</v>
      </c>
      <c r="B3004" s="5" t="s">
        <v>3550</v>
      </c>
      <c r="C3004" s="5" t="s">
        <v>21</v>
      </c>
      <c r="N3004" s="8">
        <v>44151.0</v>
      </c>
    </row>
    <row r="3005">
      <c r="A3005" s="5">
        <v>3004.0</v>
      </c>
      <c r="B3005" s="5" t="s">
        <v>3551</v>
      </c>
      <c r="C3005" s="5" t="s">
        <v>21</v>
      </c>
      <c r="K3005" s="5">
        <v>250.0</v>
      </c>
      <c r="N3005" s="8">
        <v>44675.0</v>
      </c>
    </row>
    <row r="3006">
      <c r="A3006" s="5">
        <v>3005.0</v>
      </c>
      <c r="B3006" s="5" t="s">
        <v>3552</v>
      </c>
      <c r="C3006" s="5" t="s">
        <v>21</v>
      </c>
      <c r="K3006" s="5">
        <v>30.0</v>
      </c>
      <c r="N3006" s="8">
        <v>44608.0</v>
      </c>
    </row>
    <row r="3007">
      <c r="A3007" s="5">
        <v>3006.0</v>
      </c>
      <c r="B3007" s="5" t="s">
        <v>3553</v>
      </c>
      <c r="C3007" s="5" t="s">
        <v>21</v>
      </c>
      <c r="K3007" s="5">
        <v>200.0</v>
      </c>
      <c r="N3007" s="8">
        <v>44903.0</v>
      </c>
    </row>
    <row r="3008">
      <c r="A3008" s="5">
        <v>3007.0</v>
      </c>
      <c r="B3008" s="5" t="s">
        <v>3554</v>
      </c>
      <c r="C3008" s="5" t="s">
        <v>21</v>
      </c>
      <c r="K3008" s="5">
        <v>100.0</v>
      </c>
      <c r="N3008" s="8">
        <v>44560.0</v>
      </c>
    </row>
    <row r="3009">
      <c r="A3009" s="5">
        <v>3008.0</v>
      </c>
      <c r="B3009" s="5" t="s">
        <v>3555</v>
      </c>
      <c r="C3009" s="5" t="s">
        <v>21</v>
      </c>
      <c r="K3009" s="5">
        <v>700.0</v>
      </c>
      <c r="N3009" s="8">
        <v>44651.0</v>
      </c>
    </row>
    <row r="3010">
      <c r="A3010" s="5">
        <v>3009.0</v>
      </c>
      <c r="B3010" s="5" t="s">
        <v>3556</v>
      </c>
      <c r="C3010" s="5" t="s">
        <v>21</v>
      </c>
      <c r="K3010" s="5">
        <v>30.0</v>
      </c>
      <c r="N3010" s="8">
        <v>44235.0</v>
      </c>
    </row>
    <row r="3011">
      <c r="A3011" s="5">
        <v>3010.0</v>
      </c>
      <c r="B3011" s="5" t="s">
        <v>266</v>
      </c>
      <c r="C3011" s="5" t="s">
        <v>21</v>
      </c>
      <c r="K3011" s="5">
        <v>20.0</v>
      </c>
      <c r="N3011" s="8">
        <v>44704.0</v>
      </c>
    </row>
    <row r="3012">
      <c r="A3012" s="5">
        <v>3011.0</v>
      </c>
      <c r="B3012" s="5" t="s">
        <v>3557</v>
      </c>
      <c r="C3012" s="5" t="s">
        <v>21</v>
      </c>
      <c r="K3012" s="5">
        <v>350.0</v>
      </c>
      <c r="N3012" s="8">
        <v>45057.0</v>
      </c>
    </row>
    <row r="3013">
      <c r="A3013" s="5">
        <v>3012.0</v>
      </c>
      <c r="B3013" s="5" t="s">
        <v>3558</v>
      </c>
      <c r="C3013" s="5" t="s">
        <v>21</v>
      </c>
      <c r="K3013" s="5">
        <v>300.0</v>
      </c>
      <c r="N3013" s="8">
        <v>44594.0</v>
      </c>
    </row>
    <row r="3014">
      <c r="A3014" s="5">
        <v>3013.0</v>
      </c>
      <c r="B3014" s="5" t="s">
        <v>270</v>
      </c>
      <c r="C3014" s="5" t="s">
        <v>21</v>
      </c>
      <c r="K3014" s="5">
        <v>1200.0</v>
      </c>
      <c r="N3014" s="8">
        <v>44302.0</v>
      </c>
    </row>
    <row r="3015">
      <c r="A3015" s="5">
        <v>3014.0</v>
      </c>
      <c r="B3015" s="5" t="s">
        <v>3559</v>
      </c>
      <c r="C3015" s="5" t="s">
        <v>21</v>
      </c>
      <c r="K3015" s="5">
        <v>200.0</v>
      </c>
      <c r="N3015" s="8">
        <v>44162.0</v>
      </c>
    </row>
    <row r="3016">
      <c r="A3016" s="5">
        <v>3015.0</v>
      </c>
      <c r="B3016" s="5" t="s">
        <v>272</v>
      </c>
      <c r="C3016" s="5" t="s">
        <v>21</v>
      </c>
      <c r="K3016" s="5">
        <v>1000.0</v>
      </c>
      <c r="N3016" s="8">
        <v>44542.0</v>
      </c>
    </row>
    <row r="3017">
      <c r="A3017" s="5">
        <v>3016.0</v>
      </c>
      <c r="B3017" s="5" t="s">
        <v>3560</v>
      </c>
      <c r="C3017" s="5" t="s">
        <v>21</v>
      </c>
      <c r="K3017" s="5">
        <v>250.0</v>
      </c>
      <c r="N3017" s="8">
        <v>45521.0</v>
      </c>
    </row>
    <row r="3018">
      <c r="A3018" s="5">
        <v>3017.0</v>
      </c>
      <c r="B3018" s="5" t="s">
        <v>3561</v>
      </c>
      <c r="C3018" s="5" t="s">
        <v>21</v>
      </c>
      <c r="K3018" s="5">
        <v>100.0</v>
      </c>
      <c r="N3018" s="8">
        <v>44671.0</v>
      </c>
    </row>
    <row r="3019">
      <c r="A3019" s="5">
        <v>3018.0</v>
      </c>
      <c r="B3019" s="5" t="s">
        <v>3562</v>
      </c>
      <c r="C3019" s="5" t="s">
        <v>21</v>
      </c>
      <c r="K3019" s="5">
        <v>200.0</v>
      </c>
      <c r="N3019" s="8">
        <v>45420.0</v>
      </c>
    </row>
    <row r="3020">
      <c r="A3020" s="5">
        <v>3019.0</v>
      </c>
      <c r="B3020" s="5" t="s">
        <v>3563</v>
      </c>
      <c r="C3020" s="5" t="s">
        <v>21</v>
      </c>
      <c r="K3020" s="5">
        <v>250.0</v>
      </c>
      <c r="N3020" s="8">
        <v>44614.0</v>
      </c>
    </row>
    <row r="3021">
      <c r="A3021" s="5">
        <v>3020.0</v>
      </c>
      <c r="B3021" s="5" t="s">
        <v>3564</v>
      </c>
      <c r="C3021" s="5" t="s">
        <v>21</v>
      </c>
      <c r="K3021" s="5">
        <v>2600.0</v>
      </c>
      <c r="N3021" s="8">
        <v>43874.0</v>
      </c>
    </row>
    <row r="3022">
      <c r="A3022" s="5">
        <v>3021.0</v>
      </c>
      <c r="B3022" s="5" t="s">
        <v>3565</v>
      </c>
      <c r="C3022" s="5" t="s">
        <v>21</v>
      </c>
      <c r="K3022" s="5">
        <v>600.0</v>
      </c>
      <c r="N3022" s="8">
        <v>44542.0</v>
      </c>
    </row>
    <row r="3023">
      <c r="A3023" s="5">
        <v>3022.0</v>
      </c>
      <c r="B3023" s="5" t="s">
        <v>3566</v>
      </c>
      <c r="C3023" s="5" t="s">
        <v>21</v>
      </c>
      <c r="K3023" s="5">
        <v>300.0</v>
      </c>
      <c r="N3023" s="8">
        <v>44339.0</v>
      </c>
    </row>
    <row r="3024">
      <c r="A3024" s="5">
        <v>3023.0</v>
      </c>
      <c r="B3024" s="5" t="s">
        <v>3567</v>
      </c>
      <c r="C3024" s="5" t="s">
        <v>21</v>
      </c>
      <c r="K3024" s="5">
        <v>200.0</v>
      </c>
      <c r="N3024" s="8">
        <v>44559.0</v>
      </c>
    </row>
    <row r="3025">
      <c r="A3025" s="5">
        <v>3024.0</v>
      </c>
      <c r="B3025" s="5" t="s">
        <v>3568</v>
      </c>
      <c r="C3025" s="5" t="s">
        <v>21</v>
      </c>
      <c r="K3025" s="5">
        <v>60.0</v>
      </c>
      <c r="N3025" s="8">
        <v>45207.0</v>
      </c>
    </row>
    <row r="3026">
      <c r="A3026" s="5">
        <v>3025.0</v>
      </c>
      <c r="B3026" s="5" t="s">
        <v>3569</v>
      </c>
      <c r="C3026" s="5" t="s">
        <v>21</v>
      </c>
      <c r="K3026" s="5">
        <v>150.0</v>
      </c>
      <c r="N3026" s="8">
        <v>45365.0</v>
      </c>
    </row>
    <row r="3027">
      <c r="A3027" s="5">
        <v>3026.0</v>
      </c>
      <c r="B3027" s="5" t="s">
        <v>3570</v>
      </c>
      <c r="C3027" s="5" t="s">
        <v>21</v>
      </c>
      <c r="K3027" s="5">
        <v>150.0</v>
      </c>
      <c r="N3027" s="8">
        <v>45075.0</v>
      </c>
    </row>
    <row r="3028">
      <c r="A3028" s="5">
        <v>3027.0</v>
      </c>
      <c r="B3028" s="5" t="s">
        <v>3571</v>
      </c>
      <c r="C3028" s="5" t="s">
        <v>21</v>
      </c>
      <c r="K3028" s="5">
        <v>350.0</v>
      </c>
      <c r="N3028" s="8">
        <v>43927.0</v>
      </c>
    </row>
    <row r="3029">
      <c r="A3029" s="5">
        <v>3028.0</v>
      </c>
      <c r="B3029" s="5" t="s">
        <v>3572</v>
      </c>
      <c r="C3029" s="5" t="s">
        <v>21</v>
      </c>
      <c r="K3029" s="5">
        <v>200.0</v>
      </c>
      <c r="N3029" s="8">
        <v>44688.0</v>
      </c>
    </row>
    <row r="3030">
      <c r="A3030" s="5">
        <v>3029.0</v>
      </c>
      <c r="B3030" s="5" t="s">
        <v>3573</v>
      </c>
      <c r="C3030" s="5" t="s">
        <v>21</v>
      </c>
      <c r="K3030" s="5">
        <v>250.0</v>
      </c>
      <c r="N3030" s="8">
        <v>45034.0</v>
      </c>
    </row>
    <row r="3031">
      <c r="A3031" s="5">
        <v>3030.0</v>
      </c>
      <c r="B3031" s="5" t="s">
        <v>3574</v>
      </c>
      <c r="C3031" s="5" t="s">
        <v>21</v>
      </c>
      <c r="K3031" s="5">
        <v>30.0</v>
      </c>
      <c r="N3031" s="8">
        <v>44809.0</v>
      </c>
    </row>
    <row r="3032">
      <c r="A3032" s="5">
        <v>3031.0</v>
      </c>
      <c r="B3032" s="5" t="s">
        <v>3575</v>
      </c>
      <c r="C3032" s="5" t="s">
        <v>21</v>
      </c>
      <c r="K3032" s="5">
        <v>80.0</v>
      </c>
      <c r="N3032" s="8">
        <v>43857.0</v>
      </c>
    </row>
    <row r="3033">
      <c r="A3033" s="5">
        <v>3032.0</v>
      </c>
      <c r="B3033" s="5" t="s">
        <v>3576</v>
      </c>
      <c r="C3033" s="5" t="s">
        <v>21</v>
      </c>
      <c r="K3033" s="5">
        <v>80.0</v>
      </c>
      <c r="N3033" s="8">
        <v>44547.0</v>
      </c>
    </row>
    <row r="3034">
      <c r="A3034" s="5">
        <v>3033.0</v>
      </c>
      <c r="B3034" s="5" t="s">
        <v>3577</v>
      </c>
      <c r="C3034" s="5" t="s">
        <v>21</v>
      </c>
      <c r="K3034" s="5">
        <v>150.0</v>
      </c>
      <c r="N3034" s="8">
        <v>44531.0</v>
      </c>
    </row>
    <row r="3035">
      <c r="A3035" s="5">
        <v>3034.0</v>
      </c>
      <c r="B3035" s="5" t="s">
        <v>3578</v>
      </c>
      <c r="C3035" s="5" t="s">
        <v>21</v>
      </c>
      <c r="K3035" s="5">
        <v>90.0</v>
      </c>
      <c r="N3035" s="8">
        <v>44599.0</v>
      </c>
    </row>
    <row r="3036">
      <c r="A3036" s="5">
        <v>3035.0</v>
      </c>
      <c r="B3036" s="5" t="s">
        <v>3579</v>
      </c>
      <c r="C3036" s="5" t="s">
        <v>21</v>
      </c>
      <c r="K3036" s="5">
        <v>200.0</v>
      </c>
      <c r="N3036" s="8">
        <v>44563.0</v>
      </c>
    </row>
    <row r="3037">
      <c r="A3037" s="5">
        <v>3036.0</v>
      </c>
      <c r="B3037" s="5" t="s">
        <v>3580</v>
      </c>
      <c r="C3037" s="5" t="s">
        <v>21</v>
      </c>
      <c r="K3037" s="5">
        <v>200.0</v>
      </c>
      <c r="N3037" s="8">
        <v>44401.0</v>
      </c>
    </row>
    <row r="3038">
      <c r="A3038" s="5">
        <v>3037.0</v>
      </c>
      <c r="B3038" s="5" t="s">
        <v>3581</v>
      </c>
      <c r="C3038" s="5" t="s">
        <v>21</v>
      </c>
      <c r="K3038" s="5">
        <v>250.0</v>
      </c>
      <c r="N3038" s="8">
        <v>44632.0</v>
      </c>
    </row>
    <row r="3039">
      <c r="A3039" s="5">
        <v>3038.0</v>
      </c>
      <c r="B3039" s="5" t="s">
        <v>3582</v>
      </c>
      <c r="C3039" s="5" t="s">
        <v>21</v>
      </c>
      <c r="K3039" s="5">
        <v>150.0</v>
      </c>
      <c r="N3039" s="8">
        <v>44532.0</v>
      </c>
    </row>
    <row r="3040">
      <c r="A3040" s="5">
        <v>3039.0</v>
      </c>
      <c r="B3040" s="5" t="s">
        <v>3583</v>
      </c>
      <c r="C3040" s="5" t="s">
        <v>21</v>
      </c>
      <c r="K3040" s="5">
        <v>900.0</v>
      </c>
      <c r="N3040" s="8">
        <v>44738.0</v>
      </c>
    </row>
    <row r="3041">
      <c r="A3041" s="5">
        <v>3040.0</v>
      </c>
      <c r="B3041" s="5" t="s">
        <v>3584</v>
      </c>
      <c r="C3041" s="5" t="s">
        <v>21</v>
      </c>
      <c r="K3041" s="5">
        <v>80.0</v>
      </c>
      <c r="N3041" s="8">
        <v>44163.0</v>
      </c>
    </row>
    <row r="3042">
      <c r="A3042" s="5">
        <v>3041.0</v>
      </c>
      <c r="B3042" s="5" t="s">
        <v>3585</v>
      </c>
      <c r="C3042" s="5" t="s">
        <v>21</v>
      </c>
      <c r="K3042" s="5">
        <v>50.0</v>
      </c>
      <c r="N3042" s="8">
        <v>45183.0</v>
      </c>
    </row>
    <row r="3043">
      <c r="A3043" s="5">
        <v>3042.0</v>
      </c>
      <c r="B3043" s="5" t="s">
        <v>3586</v>
      </c>
      <c r="C3043" s="5" t="s">
        <v>21</v>
      </c>
      <c r="K3043" s="5">
        <v>250.0</v>
      </c>
      <c r="N3043" s="8">
        <v>44360.0</v>
      </c>
    </row>
    <row r="3044">
      <c r="A3044" s="5">
        <v>3043.0</v>
      </c>
      <c r="B3044" s="5" t="s">
        <v>3587</v>
      </c>
      <c r="C3044" s="5" t="s">
        <v>21</v>
      </c>
      <c r="K3044" s="5">
        <v>30.0</v>
      </c>
      <c r="N3044" s="8">
        <v>44116.0</v>
      </c>
    </row>
    <row r="3045">
      <c r="A3045" s="5">
        <v>3044.0</v>
      </c>
      <c r="B3045" s="5" t="s">
        <v>3588</v>
      </c>
      <c r="C3045" s="5" t="s">
        <v>21</v>
      </c>
      <c r="K3045" s="5">
        <v>1300.0</v>
      </c>
      <c r="N3045" s="8">
        <v>45037.0</v>
      </c>
    </row>
    <row r="3046">
      <c r="A3046" s="5">
        <v>3045.0</v>
      </c>
      <c r="B3046" s="5" t="s">
        <v>3589</v>
      </c>
      <c r="C3046" s="5" t="s">
        <v>21</v>
      </c>
      <c r="K3046" s="5">
        <v>10.0</v>
      </c>
      <c r="N3046" s="8">
        <v>44809.0</v>
      </c>
    </row>
    <row r="3047">
      <c r="A3047" s="5">
        <v>3046.0</v>
      </c>
      <c r="B3047" s="5" t="s">
        <v>3590</v>
      </c>
      <c r="C3047" s="5" t="s">
        <v>21</v>
      </c>
      <c r="K3047" s="5">
        <v>250.0</v>
      </c>
      <c r="N3047" s="8">
        <v>44741.0</v>
      </c>
    </row>
    <row r="3048">
      <c r="A3048" s="5">
        <v>3047.0</v>
      </c>
      <c r="B3048" s="5" t="s">
        <v>3591</v>
      </c>
      <c r="C3048" s="5" t="s">
        <v>21</v>
      </c>
      <c r="K3048" s="5">
        <v>350.0</v>
      </c>
      <c r="N3048" s="8">
        <v>45551.0</v>
      </c>
    </row>
    <row r="3049">
      <c r="A3049" s="5">
        <v>3048.0</v>
      </c>
      <c r="B3049" s="5" t="s">
        <v>3592</v>
      </c>
      <c r="C3049" s="5" t="s">
        <v>21</v>
      </c>
      <c r="K3049" s="5">
        <v>350.0</v>
      </c>
      <c r="N3049" s="8">
        <v>44346.0</v>
      </c>
    </row>
    <row r="3050">
      <c r="A3050" s="5">
        <v>3049.0</v>
      </c>
      <c r="B3050" s="5" t="s">
        <v>3593</v>
      </c>
      <c r="C3050" s="5" t="s">
        <v>21</v>
      </c>
      <c r="K3050" s="5">
        <v>1900.0</v>
      </c>
      <c r="N3050" s="8">
        <v>45550.0</v>
      </c>
    </row>
    <row r="3051">
      <c r="A3051" s="5">
        <v>3050.0</v>
      </c>
      <c r="B3051" s="5" t="s">
        <v>3594</v>
      </c>
      <c r="C3051" s="5" t="s">
        <v>21</v>
      </c>
      <c r="K3051" s="5">
        <v>300.0</v>
      </c>
      <c r="N3051" s="8">
        <v>45406.0</v>
      </c>
    </row>
    <row r="3052">
      <c r="A3052" s="5">
        <v>3051.0</v>
      </c>
      <c r="B3052" s="5" t="s">
        <v>3595</v>
      </c>
      <c r="C3052" s="5" t="s">
        <v>21</v>
      </c>
      <c r="K3052" s="5">
        <v>250.0</v>
      </c>
      <c r="N3052" s="8">
        <v>44590.0</v>
      </c>
    </row>
    <row r="3053">
      <c r="A3053" s="5">
        <v>3052.0</v>
      </c>
      <c r="B3053" s="5" t="s">
        <v>3596</v>
      </c>
      <c r="C3053" s="5" t="s">
        <v>21</v>
      </c>
      <c r="K3053" s="5">
        <v>300.0</v>
      </c>
      <c r="N3053" s="8">
        <v>45472.0</v>
      </c>
    </row>
    <row r="3054">
      <c r="A3054" s="5">
        <v>3053.0</v>
      </c>
      <c r="B3054" s="5" t="s">
        <v>3597</v>
      </c>
      <c r="C3054" s="5" t="s">
        <v>21</v>
      </c>
      <c r="K3054" s="5">
        <v>350.0</v>
      </c>
      <c r="N3054" s="8">
        <v>44134.0</v>
      </c>
    </row>
    <row r="3055">
      <c r="A3055" s="5">
        <v>3054.0</v>
      </c>
      <c r="B3055" s="5" t="s">
        <v>3598</v>
      </c>
      <c r="C3055" s="5" t="s">
        <v>21</v>
      </c>
      <c r="N3055" s="8">
        <v>44806.0</v>
      </c>
    </row>
    <row r="3056">
      <c r="A3056" s="5">
        <v>3055.0</v>
      </c>
      <c r="B3056" s="5" t="s">
        <v>3599</v>
      </c>
      <c r="C3056" s="5" t="s">
        <v>21</v>
      </c>
      <c r="K3056" s="5">
        <v>80.0</v>
      </c>
      <c r="N3056" s="8">
        <v>45123.0</v>
      </c>
    </row>
    <row r="3057">
      <c r="A3057" s="5">
        <v>3056.0</v>
      </c>
      <c r="B3057" s="5" t="s">
        <v>3600</v>
      </c>
      <c r="C3057" s="5" t="s">
        <v>21</v>
      </c>
      <c r="K3057" s="5">
        <v>1200.0</v>
      </c>
      <c r="N3057" s="8">
        <v>44521.0</v>
      </c>
    </row>
    <row r="3058">
      <c r="A3058" s="5">
        <v>3057.0</v>
      </c>
      <c r="B3058" s="5" t="s">
        <v>3601</v>
      </c>
      <c r="C3058" s="5" t="s">
        <v>21</v>
      </c>
      <c r="K3058" s="5">
        <v>450.0</v>
      </c>
      <c r="N3058" s="8">
        <v>44239.0</v>
      </c>
    </row>
    <row r="3059">
      <c r="A3059" s="5">
        <v>3058.0</v>
      </c>
      <c r="B3059" s="5" t="s">
        <v>3602</v>
      </c>
      <c r="C3059" s="5" t="s">
        <v>21</v>
      </c>
      <c r="K3059" s="5">
        <v>90.0</v>
      </c>
      <c r="N3059" s="8">
        <v>44614.0</v>
      </c>
    </row>
    <row r="3060">
      <c r="A3060" s="5">
        <v>3059.0</v>
      </c>
      <c r="B3060" s="5" t="s">
        <v>3603</v>
      </c>
      <c r="C3060" s="5" t="s">
        <v>21</v>
      </c>
      <c r="K3060" s="5">
        <v>200.0</v>
      </c>
      <c r="N3060" s="8">
        <v>44540.0</v>
      </c>
    </row>
    <row r="3061">
      <c r="A3061" s="5">
        <v>3060.0</v>
      </c>
      <c r="B3061" s="5" t="s">
        <v>269</v>
      </c>
      <c r="C3061" s="5" t="s">
        <v>21</v>
      </c>
      <c r="K3061" s="5">
        <v>350.0</v>
      </c>
      <c r="N3061" s="8">
        <v>44270.0</v>
      </c>
    </row>
    <row r="3062">
      <c r="A3062" s="5">
        <v>3061.0</v>
      </c>
      <c r="B3062" s="5" t="s">
        <v>3604</v>
      </c>
      <c r="C3062" s="5" t="s">
        <v>21</v>
      </c>
      <c r="K3062" s="5">
        <v>250.0</v>
      </c>
      <c r="N3062" s="8">
        <v>44838.0</v>
      </c>
    </row>
    <row r="3063">
      <c r="A3063" s="5">
        <v>3062.0</v>
      </c>
      <c r="B3063" s="5" t="s">
        <v>3605</v>
      </c>
      <c r="C3063" s="5" t="s">
        <v>21</v>
      </c>
      <c r="K3063" s="5">
        <v>10.0</v>
      </c>
      <c r="N3063" s="8">
        <v>44904.0</v>
      </c>
    </row>
    <row r="3064">
      <c r="A3064" s="5">
        <v>3063.0</v>
      </c>
      <c r="B3064" s="5" t="s">
        <v>3606</v>
      </c>
      <c r="C3064" s="5" t="s">
        <v>21</v>
      </c>
      <c r="K3064" s="5">
        <v>300.0</v>
      </c>
      <c r="N3064" s="8">
        <v>44991.0</v>
      </c>
    </row>
    <row r="3065">
      <c r="A3065" s="5">
        <v>3064.0</v>
      </c>
      <c r="B3065" s="5" t="s">
        <v>3607</v>
      </c>
      <c r="C3065" s="5" t="s">
        <v>21</v>
      </c>
      <c r="K3065" s="5">
        <v>350.0</v>
      </c>
      <c r="N3065" s="8">
        <v>44569.0</v>
      </c>
    </row>
    <row r="3066">
      <c r="A3066" s="5">
        <v>3065.0</v>
      </c>
      <c r="B3066" s="5" t="s">
        <v>3608</v>
      </c>
      <c r="C3066" s="5" t="s">
        <v>21</v>
      </c>
      <c r="K3066" s="5">
        <v>30.0</v>
      </c>
      <c r="N3066" s="8">
        <v>45596.0</v>
      </c>
    </row>
    <row r="3067">
      <c r="A3067" s="5">
        <v>3066.0</v>
      </c>
      <c r="B3067" s="5" t="s">
        <v>3609</v>
      </c>
      <c r="C3067" s="5" t="s">
        <v>21</v>
      </c>
      <c r="K3067" s="5">
        <v>800.0</v>
      </c>
      <c r="N3067" s="8">
        <v>44526.0</v>
      </c>
    </row>
    <row r="3068">
      <c r="A3068" s="5">
        <v>3067.0</v>
      </c>
      <c r="B3068" s="5" t="s">
        <v>3610</v>
      </c>
      <c r="C3068" s="5" t="s">
        <v>21</v>
      </c>
      <c r="K3068" s="5">
        <v>20.0</v>
      </c>
      <c r="N3068" s="8">
        <v>44932.0</v>
      </c>
    </row>
    <row r="3069">
      <c r="A3069" s="5">
        <v>3068.0</v>
      </c>
      <c r="B3069" s="5" t="s">
        <v>3611</v>
      </c>
      <c r="C3069" s="5" t="s">
        <v>21</v>
      </c>
      <c r="K3069" s="5">
        <v>900.0</v>
      </c>
      <c r="N3069" s="8">
        <v>45021.0</v>
      </c>
    </row>
    <row r="3070">
      <c r="A3070" s="5">
        <v>3069.0</v>
      </c>
      <c r="B3070" s="5" t="s">
        <v>3612</v>
      </c>
      <c r="C3070" s="5" t="s">
        <v>21</v>
      </c>
      <c r="K3070" s="5">
        <v>500.0</v>
      </c>
      <c r="N3070" s="8">
        <v>44669.0</v>
      </c>
    </row>
    <row r="3071">
      <c r="A3071" s="5">
        <v>3070.0</v>
      </c>
      <c r="B3071" s="5" t="s">
        <v>271</v>
      </c>
      <c r="C3071" s="5" t="s">
        <v>21</v>
      </c>
      <c r="K3071" s="5">
        <v>20.0</v>
      </c>
      <c r="N3071" s="8">
        <v>45064.0</v>
      </c>
    </row>
    <row r="3072">
      <c r="A3072" s="5">
        <v>3071.0</v>
      </c>
      <c r="B3072" s="5" t="s">
        <v>3613</v>
      </c>
      <c r="C3072" s="5" t="s">
        <v>21</v>
      </c>
      <c r="K3072" s="5">
        <v>250.0</v>
      </c>
      <c r="N3072" s="8">
        <v>44730.0</v>
      </c>
    </row>
    <row r="3073">
      <c r="A3073" s="5">
        <v>3072.0</v>
      </c>
      <c r="B3073" s="5" t="s">
        <v>3614</v>
      </c>
      <c r="C3073" s="5" t="s">
        <v>21</v>
      </c>
      <c r="K3073" s="5">
        <v>400.0</v>
      </c>
      <c r="N3073" s="8">
        <v>44567.0</v>
      </c>
    </row>
    <row r="3074">
      <c r="A3074" s="5">
        <v>3073.0</v>
      </c>
      <c r="B3074" s="5" t="s">
        <v>3615</v>
      </c>
      <c r="C3074" s="5" t="s">
        <v>21</v>
      </c>
      <c r="K3074" s="5">
        <v>700.0</v>
      </c>
      <c r="N3074" s="8">
        <v>44068.0</v>
      </c>
    </row>
    <row r="3075">
      <c r="A3075" s="5">
        <v>3074.0</v>
      </c>
      <c r="B3075" s="5" t="s">
        <v>3616</v>
      </c>
      <c r="C3075" s="5" t="s">
        <v>21</v>
      </c>
      <c r="K3075" s="5">
        <v>250.0</v>
      </c>
      <c r="N3075" s="8">
        <v>44206.0</v>
      </c>
    </row>
    <row r="3076">
      <c r="A3076" s="5">
        <v>3075.0</v>
      </c>
      <c r="B3076" s="5" t="s">
        <v>3617</v>
      </c>
      <c r="C3076" s="5" t="s">
        <v>21</v>
      </c>
      <c r="K3076" s="5">
        <v>30.0</v>
      </c>
      <c r="N3076" s="8">
        <v>44952.0</v>
      </c>
    </row>
    <row r="3077">
      <c r="A3077" s="5">
        <v>3076.0</v>
      </c>
      <c r="B3077" s="5" t="s">
        <v>3618</v>
      </c>
      <c r="C3077" s="5" t="s">
        <v>21</v>
      </c>
      <c r="K3077" s="5">
        <v>6400.0</v>
      </c>
      <c r="N3077" s="8">
        <v>44463.0</v>
      </c>
    </row>
    <row r="3078">
      <c r="A3078" s="5">
        <v>3077.0</v>
      </c>
      <c r="B3078" s="5" t="s">
        <v>3619</v>
      </c>
      <c r="C3078" s="5" t="s">
        <v>21</v>
      </c>
      <c r="K3078" s="5">
        <v>50.0</v>
      </c>
      <c r="N3078" s="8">
        <v>44656.0</v>
      </c>
    </row>
    <row r="3079">
      <c r="A3079" s="5">
        <v>3078.0</v>
      </c>
      <c r="B3079" s="5" t="s">
        <v>3620</v>
      </c>
      <c r="C3079" s="5" t="s">
        <v>21</v>
      </c>
      <c r="K3079" s="5">
        <v>300.0</v>
      </c>
      <c r="N3079" s="8">
        <v>44316.0</v>
      </c>
    </row>
    <row r="3080">
      <c r="A3080" s="5">
        <v>3079.0</v>
      </c>
      <c r="B3080" s="5" t="s">
        <v>3621</v>
      </c>
      <c r="C3080" s="5" t="s">
        <v>21</v>
      </c>
      <c r="K3080" s="5">
        <v>40.0</v>
      </c>
      <c r="N3080" s="8">
        <v>45447.0</v>
      </c>
    </row>
    <row r="3081">
      <c r="A3081" s="5">
        <v>3080.0</v>
      </c>
      <c r="B3081" s="5" t="s">
        <v>3622</v>
      </c>
      <c r="C3081" s="5" t="s">
        <v>21</v>
      </c>
      <c r="K3081" s="5">
        <v>150.0</v>
      </c>
      <c r="N3081" s="8">
        <v>44309.0</v>
      </c>
    </row>
    <row r="3082">
      <c r="A3082" s="5">
        <v>3081.0</v>
      </c>
      <c r="B3082" s="5" t="s">
        <v>3623</v>
      </c>
      <c r="C3082" s="5" t="s">
        <v>21</v>
      </c>
      <c r="K3082" s="5">
        <v>20.0</v>
      </c>
      <c r="N3082" s="8">
        <v>44621.0</v>
      </c>
    </row>
    <row r="3083">
      <c r="A3083" s="5">
        <v>3082.0</v>
      </c>
      <c r="B3083" s="5" t="s">
        <v>3624</v>
      </c>
      <c r="C3083" s="5" t="s">
        <v>21</v>
      </c>
      <c r="K3083" s="5">
        <v>450.0</v>
      </c>
      <c r="N3083" s="8">
        <v>43925.0</v>
      </c>
    </row>
    <row r="3084">
      <c r="A3084" s="5">
        <v>3083.0</v>
      </c>
      <c r="B3084" s="5" t="s">
        <v>3625</v>
      </c>
      <c r="C3084" s="5" t="s">
        <v>21</v>
      </c>
      <c r="K3084" s="5">
        <v>3700.0</v>
      </c>
      <c r="N3084" s="8">
        <v>44393.0</v>
      </c>
    </row>
    <row r="3085">
      <c r="A3085" s="5">
        <v>3084.0</v>
      </c>
      <c r="B3085" s="5" t="s">
        <v>3626</v>
      </c>
      <c r="C3085" s="5" t="s">
        <v>21</v>
      </c>
      <c r="K3085" s="5">
        <v>50.0</v>
      </c>
      <c r="N3085" s="8">
        <v>45286.0</v>
      </c>
    </row>
    <row r="3086">
      <c r="A3086" s="5">
        <v>3085.0</v>
      </c>
      <c r="B3086" s="5" t="s">
        <v>3627</v>
      </c>
      <c r="C3086" s="5" t="s">
        <v>21</v>
      </c>
      <c r="K3086" s="5">
        <v>700.0</v>
      </c>
      <c r="N3086" s="8">
        <v>44034.0</v>
      </c>
    </row>
    <row r="3087">
      <c r="A3087" s="5">
        <v>3086.0</v>
      </c>
      <c r="B3087" s="5" t="s">
        <v>3628</v>
      </c>
      <c r="C3087" s="5" t="s">
        <v>21</v>
      </c>
      <c r="K3087" s="5">
        <v>350.0</v>
      </c>
      <c r="N3087" s="8">
        <v>44329.0</v>
      </c>
    </row>
    <row r="3088">
      <c r="A3088" s="5">
        <v>3087.0</v>
      </c>
      <c r="B3088" s="5" t="s">
        <v>3629</v>
      </c>
      <c r="C3088" s="5" t="s">
        <v>21</v>
      </c>
      <c r="K3088" s="5">
        <v>150.0</v>
      </c>
      <c r="N3088" s="8">
        <v>44283.0</v>
      </c>
    </row>
    <row r="3089">
      <c r="A3089" s="5">
        <v>3088.0</v>
      </c>
      <c r="B3089" s="5" t="s">
        <v>3630</v>
      </c>
      <c r="C3089" s="5" t="s">
        <v>21</v>
      </c>
      <c r="K3089" s="5">
        <v>40.0</v>
      </c>
      <c r="N3089" s="8">
        <v>43846.0</v>
      </c>
    </row>
    <row r="3090">
      <c r="A3090" s="5">
        <v>3089.0</v>
      </c>
      <c r="B3090" s="5" t="s">
        <v>3631</v>
      </c>
      <c r="C3090" s="5" t="s">
        <v>21</v>
      </c>
      <c r="K3090" s="5">
        <v>20.0</v>
      </c>
      <c r="N3090" s="8">
        <v>44515.0</v>
      </c>
    </row>
    <row r="3091">
      <c r="A3091" s="5">
        <v>3090.0</v>
      </c>
      <c r="B3091" s="5" t="s">
        <v>3632</v>
      </c>
      <c r="C3091" s="5" t="s">
        <v>21</v>
      </c>
      <c r="K3091" s="5">
        <v>80.0</v>
      </c>
      <c r="N3091" s="8">
        <v>45404.0</v>
      </c>
    </row>
    <row r="3092">
      <c r="A3092" s="5">
        <v>3091.0</v>
      </c>
      <c r="B3092" s="5" t="s">
        <v>3633</v>
      </c>
      <c r="C3092" s="5" t="s">
        <v>21</v>
      </c>
      <c r="K3092" s="5">
        <v>200.0</v>
      </c>
      <c r="N3092" s="8">
        <v>44532.0</v>
      </c>
    </row>
    <row r="3093">
      <c r="A3093" s="5">
        <v>3092.0</v>
      </c>
      <c r="B3093" s="5" t="s">
        <v>3634</v>
      </c>
      <c r="C3093" s="5" t="s">
        <v>21</v>
      </c>
      <c r="K3093" s="5">
        <v>1100.0</v>
      </c>
      <c r="N3093" s="8">
        <v>44276.0</v>
      </c>
    </row>
    <row r="3094">
      <c r="A3094" s="5">
        <v>3093.0</v>
      </c>
      <c r="B3094" s="5" t="s">
        <v>3635</v>
      </c>
      <c r="C3094" s="5" t="s">
        <v>21</v>
      </c>
      <c r="K3094" s="5">
        <v>80.0</v>
      </c>
      <c r="N3094" s="8">
        <v>44611.0</v>
      </c>
    </row>
    <row r="3095">
      <c r="A3095" s="5">
        <v>3094.0</v>
      </c>
      <c r="B3095" s="5" t="s">
        <v>3636</v>
      </c>
      <c r="C3095" s="5" t="s">
        <v>21</v>
      </c>
      <c r="K3095" s="5">
        <v>10.0</v>
      </c>
      <c r="N3095" s="8">
        <v>43993.0</v>
      </c>
    </row>
    <row r="3096">
      <c r="A3096" s="5">
        <v>3095.0</v>
      </c>
      <c r="B3096" s="5" t="s">
        <v>3637</v>
      </c>
      <c r="C3096" s="5" t="s">
        <v>21</v>
      </c>
      <c r="K3096" s="5">
        <v>2200.0</v>
      </c>
      <c r="N3096" s="8">
        <v>44054.0</v>
      </c>
    </row>
    <row r="3097">
      <c r="A3097" s="5">
        <v>3096.0</v>
      </c>
      <c r="B3097" s="5" t="s">
        <v>3638</v>
      </c>
      <c r="C3097" s="5" t="s">
        <v>21</v>
      </c>
      <c r="K3097" s="5">
        <v>200.0</v>
      </c>
      <c r="N3097" s="8">
        <v>45561.0</v>
      </c>
    </row>
    <row r="3098">
      <c r="A3098" s="5">
        <v>3097.0</v>
      </c>
      <c r="B3098" s="5" t="s">
        <v>3639</v>
      </c>
      <c r="C3098" s="5" t="s">
        <v>21</v>
      </c>
      <c r="K3098" s="5">
        <v>200.0</v>
      </c>
      <c r="N3098" s="8">
        <v>43870.0</v>
      </c>
    </row>
    <row r="3099">
      <c r="A3099" s="5">
        <v>3098.0</v>
      </c>
      <c r="B3099" s="5" t="s">
        <v>3640</v>
      </c>
      <c r="C3099" s="5" t="s">
        <v>21</v>
      </c>
      <c r="K3099" s="5">
        <v>1000.0</v>
      </c>
      <c r="N3099" s="8">
        <v>43902.0</v>
      </c>
    </row>
    <row r="3100">
      <c r="A3100" s="5">
        <v>3099.0</v>
      </c>
      <c r="B3100" s="5" t="s">
        <v>3641</v>
      </c>
      <c r="C3100" s="5" t="s">
        <v>21</v>
      </c>
      <c r="K3100" s="5">
        <v>100.0</v>
      </c>
      <c r="N3100" s="8">
        <v>43875.0</v>
      </c>
    </row>
    <row r="3101">
      <c r="A3101" s="5">
        <v>3100.0</v>
      </c>
      <c r="B3101" s="5" t="s">
        <v>3642</v>
      </c>
      <c r="C3101" s="5" t="s">
        <v>21</v>
      </c>
      <c r="K3101" s="5">
        <v>150.0</v>
      </c>
      <c r="N3101" s="8">
        <v>44467.0</v>
      </c>
    </row>
    <row r="3102">
      <c r="A3102" s="5">
        <v>3101.0</v>
      </c>
      <c r="B3102" s="5" t="s">
        <v>3643</v>
      </c>
      <c r="C3102" s="5" t="s">
        <v>21</v>
      </c>
      <c r="K3102" s="5">
        <v>250.0</v>
      </c>
      <c r="N3102" s="8">
        <v>44552.0</v>
      </c>
    </row>
    <row r="3103">
      <c r="A3103" s="5">
        <v>3102.0</v>
      </c>
      <c r="B3103" s="5" t="s">
        <v>3644</v>
      </c>
      <c r="C3103" s="5" t="s">
        <v>21</v>
      </c>
      <c r="K3103" s="5">
        <v>80.0</v>
      </c>
      <c r="N3103" s="8">
        <v>44612.0</v>
      </c>
    </row>
    <row r="3104">
      <c r="A3104" s="5">
        <v>3103.0</v>
      </c>
      <c r="B3104" s="5" t="s">
        <v>3645</v>
      </c>
      <c r="C3104" s="5" t="s">
        <v>21</v>
      </c>
      <c r="K3104" s="5">
        <v>400.0</v>
      </c>
      <c r="N3104" s="8">
        <v>44197.0</v>
      </c>
    </row>
    <row r="3105">
      <c r="A3105" s="5">
        <v>3104.0</v>
      </c>
      <c r="B3105" s="5" t="s">
        <v>3646</v>
      </c>
      <c r="C3105" s="5" t="s">
        <v>21</v>
      </c>
      <c r="K3105" s="5">
        <v>150.0</v>
      </c>
      <c r="N3105" s="8">
        <v>44542.0</v>
      </c>
    </row>
    <row r="3106">
      <c r="A3106" s="5">
        <v>3105.0</v>
      </c>
      <c r="B3106" s="5" t="s">
        <v>3647</v>
      </c>
      <c r="C3106" s="5" t="s">
        <v>21</v>
      </c>
      <c r="K3106" s="5">
        <v>10.0</v>
      </c>
      <c r="N3106" s="8">
        <v>44624.0</v>
      </c>
    </row>
    <row r="3107">
      <c r="A3107" s="5">
        <v>3106.0</v>
      </c>
      <c r="B3107" s="5" t="s">
        <v>3648</v>
      </c>
      <c r="C3107" s="5" t="s">
        <v>21</v>
      </c>
      <c r="K3107" s="5">
        <v>250.0</v>
      </c>
      <c r="N3107" s="8">
        <v>44360.0</v>
      </c>
    </row>
    <row r="3108">
      <c r="A3108" s="5">
        <v>3107.0</v>
      </c>
      <c r="B3108" s="5" t="s">
        <v>3649</v>
      </c>
      <c r="C3108" s="5" t="s">
        <v>21</v>
      </c>
      <c r="K3108" s="5">
        <v>1000.0</v>
      </c>
      <c r="N3108" s="8">
        <v>43868.0</v>
      </c>
    </row>
    <row r="3109">
      <c r="A3109" s="5">
        <v>3108.0</v>
      </c>
      <c r="B3109" s="5" t="s">
        <v>3650</v>
      </c>
      <c r="C3109" s="5" t="s">
        <v>21</v>
      </c>
      <c r="K3109" s="5">
        <v>4200.0</v>
      </c>
      <c r="N3109" s="8">
        <v>43846.0</v>
      </c>
    </row>
    <row r="3110">
      <c r="A3110" s="5">
        <v>3109.0</v>
      </c>
      <c r="B3110" s="5" t="s">
        <v>3651</v>
      </c>
      <c r="C3110" s="5" t="s">
        <v>21</v>
      </c>
      <c r="K3110" s="5">
        <v>1700.0</v>
      </c>
      <c r="N3110" s="8">
        <v>44244.0</v>
      </c>
    </row>
    <row r="3111">
      <c r="A3111" s="5">
        <v>3110.0</v>
      </c>
      <c r="B3111" s="5" t="s">
        <v>3652</v>
      </c>
      <c r="C3111" s="5" t="s">
        <v>21</v>
      </c>
      <c r="K3111" s="5">
        <v>250.0</v>
      </c>
      <c r="N3111" s="8">
        <v>44639.0</v>
      </c>
    </row>
    <row r="3112">
      <c r="A3112" s="5">
        <v>3111.0</v>
      </c>
      <c r="B3112" s="5" t="s">
        <v>3653</v>
      </c>
      <c r="C3112" s="5" t="s">
        <v>21</v>
      </c>
      <c r="K3112" s="5">
        <v>200.0</v>
      </c>
      <c r="N3112" s="8">
        <v>44555.0</v>
      </c>
    </row>
    <row r="3113">
      <c r="A3113" s="5">
        <v>3112.0</v>
      </c>
      <c r="B3113" s="5" t="s">
        <v>3654</v>
      </c>
      <c r="C3113" s="5" t="s">
        <v>21</v>
      </c>
      <c r="K3113" s="5">
        <v>600.0</v>
      </c>
      <c r="N3113" s="8">
        <v>44338.0</v>
      </c>
    </row>
    <row r="3114">
      <c r="A3114" s="5">
        <v>3113.0</v>
      </c>
      <c r="B3114" s="5" t="s">
        <v>3655</v>
      </c>
      <c r="C3114" s="5" t="s">
        <v>21</v>
      </c>
      <c r="K3114" s="5">
        <v>250.0</v>
      </c>
      <c r="N3114" s="8">
        <v>44847.0</v>
      </c>
    </row>
    <row r="3115">
      <c r="A3115" s="5">
        <v>3114.0</v>
      </c>
      <c r="B3115" s="5" t="s">
        <v>3656</v>
      </c>
      <c r="C3115" s="5" t="s">
        <v>21</v>
      </c>
      <c r="K3115" s="5">
        <v>150.0</v>
      </c>
      <c r="N3115" s="8">
        <v>45039.0</v>
      </c>
    </row>
    <row r="3116">
      <c r="A3116" s="5">
        <v>3115.0</v>
      </c>
      <c r="B3116" s="5" t="s">
        <v>3657</v>
      </c>
      <c r="C3116" s="5" t="s">
        <v>21</v>
      </c>
      <c r="K3116" s="5">
        <v>400.0</v>
      </c>
      <c r="N3116" s="8">
        <v>44347.0</v>
      </c>
    </row>
    <row r="3117">
      <c r="A3117" s="5">
        <v>3116.0</v>
      </c>
      <c r="B3117" s="5" t="s">
        <v>3658</v>
      </c>
      <c r="C3117" s="5" t="s">
        <v>21</v>
      </c>
      <c r="N3117" s="8">
        <v>44543.0</v>
      </c>
    </row>
    <row r="3118">
      <c r="A3118" s="5">
        <v>3117.0</v>
      </c>
      <c r="B3118" s="5" t="s">
        <v>3659</v>
      </c>
      <c r="C3118" s="5" t="s">
        <v>21</v>
      </c>
      <c r="K3118" s="5">
        <v>2100.0</v>
      </c>
      <c r="N3118" s="8">
        <v>43904.0</v>
      </c>
    </row>
    <row r="3119">
      <c r="A3119" s="5">
        <v>3118.0</v>
      </c>
      <c r="B3119" s="5" t="s">
        <v>3660</v>
      </c>
      <c r="C3119" s="5" t="s">
        <v>21</v>
      </c>
      <c r="K3119" s="5">
        <v>700.0</v>
      </c>
      <c r="N3119" s="8">
        <v>43955.0</v>
      </c>
    </row>
    <row r="3120">
      <c r="A3120" s="5">
        <v>3119.0</v>
      </c>
      <c r="B3120" s="5" t="s">
        <v>3661</v>
      </c>
      <c r="C3120" s="5" t="s">
        <v>21</v>
      </c>
      <c r="K3120" s="5">
        <v>1600.0</v>
      </c>
      <c r="N3120" s="8">
        <v>45046.0</v>
      </c>
    </row>
    <row r="3121">
      <c r="A3121" s="5">
        <v>3120.0</v>
      </c>
      <c r="B3121" s="5" t="s">
        <v>3662</v>
      </c>
      <c r="C3121" s="5" t="s">
        <v>21</v>
      </c>
      <c r="K3121" s="5">
        <v>150.0</v>
      </c>
      <c r="N3121" s="8">
        <v>44102.0</v>
      </c>
    </row>
    <row r="3122">
      <c r="A3122" s="5">
        <v>3121.0</v>
      </c>
      <c r="B3122" s="5" t="s">
        <v>3663</v>
      </c>
      <c r="C3122" s="5" t="s">
        <v>21</v>
      </c>
      <c r="K3122" s="5">
        <v>100.0</v>
      </c>
      <c r="N3122" s="8">
        <v>44742.0</v>
      </c>
    </row>
    <row r="3123">
      <c r="A3123" s="5">
        <v>3122.0</v>
      </c>
      <c r="B3123" s="5" t="s">
        <v>3664</v>
      </c>
      <c r="C3123" s="5" t="s">
        <v>21</v>
      </c>
      <c r="K3123" s="5">
        <v>250.0</v>
      </c>
      <c r="N3123" s="8">
        <v>44119.0</v>
      </c>
    </row>
    <row r="3124">
      <c r="A3124" s="5">
        <v>3123.0</v>
      </c>
      <c r="B3124" s="5" t="s">
        <v>3665</v>
      </c>
      <c r="C3124" s="5" t="s">
        <v>21</v>
      </c>
      <c r="K3124" s="5">
        <v>3600.0</v>
      </c>
      <c r="N3124" s="8">
        <v>44446.0</v>
      </c>
    </row>
    <row r="3125">
      <c r="A3125" s="5">
        <v>3124.0</v>
      </c>
      <c r="B3125" s="5" t="s">
        <v>3666</v>
      </c>
      <c r="C3125" s="5" t="s">
        <v>21</v>
      </c>
      <c r="K3125" s="5">
        <v>600.0</v>
      </c>
      <c r="N3125" s="8">
        <v>45088.0</v>
      </c>
    </row>
    <row r="3126">
      <c r="A3126" s="5">
        <v>3125.0</v>
      </c>
      <c r="B3126" s="5" t="s">
        <v>3667</v>
      </c>
      <c r="C3126" s="5" t="s">
        <v>21</v>
      </c>
      <c r="K3126" s="5">
        <v>150.0</v>
      </c>
      <c r="N3126" s="8">
        <v>44347.0</v>
      </c>
    </row>
    <row r="3127">
      <c r="A3127" s="5">
        <v>3126.0</v>
      </c>
      <c r="B3127" s="5" t="s">
        <v>3668</v>
      </c>
      <c r="C3127" s="5" t="s">
        <v>21</v>
      </c>
      <c r="K3127" s="5">
        <v>30.0</v>
      </c>
      <c r="N3127" s="8">
        <v>44775.0</v>
      </c>
    </row>
    <row r="3128">
      <c r="A3128" s="5">
        <v>3127.0</v>
      </c>
      <c r="B3128" s="5" t="s">
        <v>3669</v>
      </c>
      <c r="C3128" s="5" t="s">
        <v>21</v>
      </c>
      <c r="K3128" s="5">
        <v>300.0</v>
      </c>
      <c r="N3128" s="8">
        <v>44100.0</v>
      </c>
    </row>
    <row r="3129">
      <c r="A3129" s="5">
        <v>3128.0</v>
      </c>
      <c r="B3129" s="5" t="s">
        <v>3670</v>
      </c>
      <c r="C3129" s="5" t="s">
        <v>21</v>
      </c>
      <c r="K3129" s="5">
        <v>90.0</v>
      </c>
      <c r="N3129" s="8">
        <v>44558.0</v>
      </c>
    </row>
    <row r="3130">
      <c r="A3130" s="5">
        <v>3129.0</v>
      </c>
      <c r="B3130" s="5" t="s">
        <v>3671</v>
      </c>
      <c r="C3130" s="5" t="s">
        <v>21</v>
      </c>
      <c r="K3130" s="5">
        <v>700.0</v>
      </c>
      <c r="N3130" s="8">
        <v>45010.0</v>
      </c>
    </row>
    <row r="3131">
      <c r="A3131" s="5">
        <v>3130.0</v>
      </c>
      <c r="B3131" s="5" t="s">
        <v>3672</v>
      </c>
      <c r="C3131" s="5" t="s">
        <v>21</v>
      </c>
      <c r="N3131" s="8">
        <v>44748.0</v>
      </c>
    </row>
    <row r="3132">
      <c r="A3132" s="5">
        <v>3131.0</v>
      </c>
      <c r="B3132" s="5" t="s">
        <v>3673</v>
      </c>
      <c r="C3132" s="5" t="s">
        <v>21</v>
      </c>
      <c r="K3132" s="5">
        <v>300.0</v>
      </c>
      <c r="N3132" s="8">
        <v>43978.0</v>
      </c>
    </row>
    <row r="3133">
      <c r="A3133" s="5">
        <v>3132.0</v>
      </c>
      <c r="B3133" s="5" t="s">
        <v>3674</v>
      </c>
      <c r="C3133" s="5" t="s">
        <v>21</v>
      </c>
      <c r="N3133" s="8">
        <v>44524.0</v>
      </c>
    </row>
    <row r="3134">
      <c r="A3134" s="5">
        <v>3133.0</v>
      </c>
      <c r="B3134" s="5" t="s">
        <v>3675</v>
      </c>
      <c r="C3134" s="5" t="s">
        <v>21</v>
      </c>
      <c r="K3134" s="5">
        <v>100.0</v>
      </c>
      <c r="N3134" s="8">
        <v>44898.0</v>
      </c>
    </row>
    <row r="3135">
      <c r="A3135" s="5">
        <v>3134.0</v>
      </c>
      <c r="B3135" s="5" t="s">
        <v>3676</v>
      </c>
      <c r="C3135" s="5" t="s">
        <v>21</v>
      </c>
      <c r="K3135" s="5">
        <v>200.0</v>
      </c>
      <c r="N3135" s="8">
        <v>45414.0</v>
      </c>
    </row>
    <row r="3136">
      <c r="A3136" s="5">
        <v>3135.0</v>
      </c>
      <c r="B3136" s="5" t="s">
        <v>3677</v>
      </c>
      <c r="C3136" s="5" t="s">
        <v>21</v>
      </c>
      <c r="K3136" s="5">
        <v>500.0</v>
      </c>
      <c r="N3136" s="8">
        <v>44507.0</v>
      </c>
    </row>
    <row r="3137">
      <c r="A3137" s="5">
        <v>3136.0</v>
      </c>
      <c r="B3137" s="5" t="s">
        <v>3678</v>
      </c>
      <c r="C3137" s="5" t="s">
        <v>21</v>
      </c>
      <c r="N3137" s="8">
        <v>44313.0</v>
      </c>
    </row>
    <row r="3138">
      <c r="A3138" s="5">
        <v>3137.0</v>
      </c>
      <c r="B3138" s="5" t="s">
        <v>3679</v>
      </c>
      <c r="C3138" s="5" t="s">
        <v>21</v>
      </c>
      <c r="K3138" s="5">
        <v>500.0</v>
      </c>
      <c r="N3138" s="8">
        <v>44604.0</v>
      </c>
    </row>
    <row r="3139">
      <c r="A3139" s="5">
        <v>3138.0</v>
      </c>
      <c r="B3139" s="5" t="s">
        <v>3680</v>
      </c>
      <c r="C3139" s="5" t="s">
        <v>21</v>
      </c>
      <c r="K3139" s="5">
        <v>50.0</v>
      </c>
      <c r="N3139" s="8">
        <v>44234.0</v>
      </c>
    </row>
    <row r="3140">
      <c r="A3140" s="5">
        <v>3139.0</v>
      </c>
      <c r="B3140" s="5" t="s">
        <v>3681</v>
      </c>
      <c r="C3140" s="5" t="s">
        <v>21</v>
      </c>
      <c r="K3140" s="5">
        <v>20.0</v>
      </c>
      <c r="N3140" s="8">
        <v>44309.0</v>
      </c>
    </row>
    <row r="3141">
      <c r="A3141" s="5">
        <v>3140.0</v>
      </c>
      <c r="B3141" s="5" t="s">
        <v>3682</v>
      </c>
      <c r="C3141" s="5" t="s">
        <v>21</v>
      </c>
      <c r="K3141" s="5">
        <v>200.0</v>
      </c>
      <c r="N3141" s="8">
        <v>44359.0</v>
      </c>
    </row>
    <row r="3142">
      <c r="A3142" s="5">
        <v>3141.0</v>
      </c>
      <c r="B3142" s="5" t="s">
        <v>3683</v>
      </c>
      <c r="C3142" s="5" t="s">
        <v>21</v>
      </c>
      <c r="K3142" s="5">
        <v>250.0</v>
      </c>
      <c r="N3142" s="8">
        <v>44545.0</v>
      </c>
    </row>
    <row r="3143">
      <c r="A3143" s="5">
        <v>3142.0</v>
      </c>
      <c r="B3143" s="5" t="s">
        <v>3684</v>
      </c>
      <c r="C3143" s="5" t="s">
        <v>21</v>
      </c>
      <c r="K3143" s="5">
        <v>500.0</v>
      </c>
      <c r="N3143" s="8">
        <v>45149.0</v>
      </c>
    </row>
    <row r="3144">
      <c r="A3144" s="5">
        <v>3143.0</v>
      </c>
      <c r="B3144" s="5" t="s">
        <v>3685</v>
      </c>
      <c r="C3144" s="5" t="s">
        <v>21</v>
      </c>
      <c r="K3144" s="5">
        <v>30.0</v>
      </c>
      <c r="N3144" s="8">
        <v>44586.0</v>
      </c>
    </row>
    <row r="3145">
      <c r="A3145" s="5">
        <v>3144.0</v>
      </c>
      <c r="B3145" s="5" t="s">
        <v>3686</v>
      </c>
      <c r="C3145" s="5" t="s">
        <v>21</v>
      </c>
      <c r="N3145" s="8">
        <v>45319.0</v>
      </c>
    </row>
    <row r="3146">
      <c r="A3146" s="5">
        <v>3145.0</v>
      </c>
      <c r="B3146" s="5" t="s">
        <v>3687</v>
      </c>
      <c r="C3146" s="5" t="s">
        <v>21</v>
      </c>
      <c r="K3146" s="5">
        <v>800.0</v>
      </c>
      <c r="N3146" s="8">
        <v>44548.0</v>
      </c>
    </row>
    <row r="3147">
      <c r="A3147" s="5">
        <v>3146.0</v>
      </c>
      <c r="B3147" s="5" t="s">
        <v>3688</v>
      </c>
      <c r="C3147" s="5" t="s">
        <v>21</v>
      </c>
      <c r="N3147" s="8">
        <v>44802.0</v>
      </c>
    </row>
    <row r="3148">
      <c r="A3148" s="5">
        <v>3147.0</v>
      </c>
      <c r="B3148" s="5" t="s">
        <v>3689</v>
      </c>
      <c r="C3148" s="5" t="s">
        <v>21</v>
      </c>
      <c r="K3148" s="5">
        <v>3100.0</v>
      </c>
      <c r="N3148" s="8">
        <v>44543.0</v>
      </c>
    </row>
    <row r="3149">
      <c r="A3149" s="5">
        <v>3148.0</v>
      </c>
      <c r="B3149" s="5" t="s">
        <v>3690</v>
      </c>
      <c r="C3149" s="5" t="s">
        <v>21</v>
      </c>
      <c r="K3149" s="5">
        <v>400.0</v>
      </c>
      <c r="N3149" s="8">
        <v>43902.0</v>
      </c>
    </row>
    <row r="3150">
      <c r="A3150" s="5">
        <v>3149.0</v>
      </c>
      <c r="B3150" s="5" t="s">
        <v>3691</v>
      </c>
      <c r="C3150" s="5" t="s">
        <v>21</v>
      </c>
      <c r="K3150" s="5">
        <v>350.0</v>
      </c>
      <c r="N3150" s="8">
        <v>44935.0</v>
      </c>
    </row>
    <row r="3151">
      <c r="A3151" s="5">
        <v>3150.0</v>
      </c>
      <c r="B3151" s="5" t="s">
        <v>3692</v>
      </c>
      <c r="C3151" s="5" t="s">
        <v>21</v>
      </c>
      <c r="K3151" s="5">
        <v>600.0</v>
      </c>
      <c r="N3151" s="8">
        <v>44614.0</v>
      </c>
    </row>
    <row r="3152">
      <c r="A3152" s="5">
        <v>3151.0</v>
      </c>
      <c r="B3152" s="5" t="s">
        <v>3693</v>
      </c>
      <c r="C3152" s="5" t="s">
        <v>21</v>
      </c>
      <c r="K3152" s="5">
        <v>2300.0</v>
      </c>
      <c r="N3152" s="8">
        <v>43848.0</v>
      </c>
    </row>
    <row r="3153">
      <c r="A3153" s="5">
        <v>3152.0</v>
      </c>
      <c r="B3153" s="5" t="s">
        <v>3694</v>
      </c>
      <c r="C3153" s="5" t="s">
        <v>21</v>
      </c>
      <c r="K3153" s="5">
        <v>90.0</v>
      </c>
      <c r="N3153" s="8">
        <v>44585.0</v>
      </c>
    </row>
    <row r="3154">
      <c r="A3154" s="5">
        <v>3153.0</v>
      </c>
      <c r="B3154" s="5" t="s">
        <v>3695</v>
      </c>
      <c r="C3154" s="5" t="s">
        <v>21</v>
      </c>
      <c r="K3154" s="5">
        <v>250.0</v>
      </c>
      <c r="N3154" s="8">
        <v>44570.0</v>
      </c>
    </row>
    <row r="3155">
      <c r="A3155" s="5">
        <v>3154.0</v>
      </c>
      <c r="B3155" s="5" t="s">
        <v>3696</v>
      </c>
      <c r="C3155" s="5" t="s">
        <v>21</v>
      </c>
      <c r="K3155" s="5">
        <v>300.0</v>
      </c>
      <c r="N3155" s="8">
        <v>44618.0</v>
      </c>
    </row>
    <row r="3156">
      <c r="A3156" s="5">
        <v>3155.0</v>
      </c>
      <c r="B3156" s="5" t="s">
        <v>3697</v>
      </c>
      <c r="C3156" s="5" t="s">
        <v>21</v>
      </c>
      <c r="K3156" s="5">
        <v>300.0</v>
      </c>
      <c r="N3156" s="8">
        <v>44358.0</v>
      </c>
    </row>
    <row r="3157">
      <c r="A3157" s="5">
        <v>3156.0</v>
      </c>
      <c r="B3157" s="5" t="s">
        <v>3698</v>
      </c>
      <c r="C3157" s="5" t="s">
        <v>21</v>
      </c>
      <c r="N3157" s="8">
        <v>44320.0</v>
      </c>
    </row>
    <row r="3158">
      <c r="A3158" s="5">
        <v>3157.0</v>
      </c>
      <c r="B3158" s="5" t="s">
        <v>3699</v>
      </c>
      <c r="C3158" s="5" t="s">
        <v>21</v>
      </c>
      <c r="K3158" s="5">
        <v>90.0</v>
      </c>
      <c r="N3158" s="8">
        <v>44597.0</v>
      </c>
    </row>
    <row r="3159">
      <c r="A3159" s="5">
        <v>3158.0</v>
      </c>
      <c r="B3159" s="5" t="s">
        <v>3700</v>
      </c>
      <c r="C3159" s="5" t="s">
        <v>21</v>
      </c>
      <c r="K3159" s="5">
        <v>200.0</v>
      </c>
      <c r="N3159" s="8">
        <v>44564.0</v>
      </c>
    </row>
    <row r="3160">
      <c r="A3160" s="5">
        <v>3159.0</v>
      </c>
      <c r="B3160" s="5" t="s">
        <v>3701</v>
      </c>
      <c r="C3160" s="5" t="s">
        <v>21</v>
      </c>
      <c r="K3160" s="5">
        <v>600.0</v>
      </c>
      <c r="N3160" s="8">
        <v>44498.0</v>
      </c>
    </row>
    <row r="3161">
      <c r="A3161" s="5">
        <v>3160.0</v>
      </c>
      <c r="B3161" s="5" t="s">
        <v>3702</v>
      </c>
      <c r="C3161" s="5" t="s">
        <v>21</v>
      </c>
      <c r="K3161" s="5">
        <v>250.0</v>
      </c>
      <c r="N3161" s="8">
        <v>44516.0</v>
      </c>
    </row>
    <row r="3162">
      <c r="A3162" s="5">
        <v>3161.0</v>
      </c>
      <c r="B3162" s="5" t="s">
        <v>3703</v>
      </c>
      <c r="C3162" s="5" t="s">
        <v>21</v>
      </c>
      <c r="K3162" s="5">
        <v>500.0</v>
      </c>
      <c r="N3162" s="8">
        <v>45559.0</v>
      </c>
    </row>
    <row r="3163">
      <c r="A3163" s="5">
        <v>3162.0</v>
      </c>
      <c r="B3163" s="5" t="s">
        <v>3704</v>
      </c>
      <c r="C3163" s="5" t="s">
        <v>21</v>
      </c>
      <c r="N3163" s="8">
        <v>43858.0</v>
      </c>
    </row>
    <row r="3164">
      <c r="A3164" s="5">
        <v>3163.0</v>
      </c>
      <c r="B3164" s="5" t="s">
        <v>3705</v>
      </c>
      <c r="C3164" s="5" t="s">
        <v>21</v>
      </c>
      <c r="K3164" s="5">
        <v>6700.0</v>
      </c>
      <c r="N3164" s="8">
        <v>44523.0</v>
      </c>
    </row>
    <row r="3165">
      <c r="A3165" s="5">
        <v>3164.0</v>
      </c>
      <c r="B3165" s="5" t="s">
        <v>3706</v>
      </c>
      <c r="C3165" s="5" t="s">
        <v>21</v>
      </c>
      <c r="K3165" s="5">
        <v>600.0</v>
      </c>
      <c r="N3165" s="8">
        <v>44816.0</v>
      </c>
    </row>
    <row r="3166">
      <c r="A3166" s="5">
        <v>3165.0</v>
      </c>
      <c r="B3166" s="5" t="s">
        <v>3707</v>
      </c>
      <c r="C3166" s="5" t="s">
        <v>21</v>
      </c>
      <c r="K3166" s="5">
        <v>1400.0</v>
      </c>
      <c r="N3166" s="8">
        <v>44431.0</v>
      </c>
    </row>
    <row r="3167">
      <c r="A3167" s="5">
        <v>3166.0</v>
      </c>
      <c r="B3167" s="5" t="s">
        <v>3708</v>
      </c>
      <c r="C3167" s="5" t="s">
        <v>21</v>
      </c>
      <c r="K3167" s="5">
        <v>400.0</v>
      </c>
      <c r="N3167" s="8">
        <v>45050.0</v>
      </c>
    </row>
    <row r="3168">
      <c r="A3168" s="5">
        <v>3167.0</v>
      </c>
      <c r="B3168" s="5" t="s">
        <v>3709</v>
      </c>
      <c r="C3168" s="5" t="s">
        <v>21</v>
      </c>
      <c r="K3168" s="5">
        <v>1600.0</v>
      </c>
      <c r="N3168" s="8">
        <v>44750.0</v>
      </c>
    </row>
    <row r="3169">
      <c r="A3169" s="5">
        <v>3168.0</v>
      </c>
      <c r="B3169" s="5" t="s">
        <v>3710</v>
      </c>
      <c r="C3169" s="5" t="s">
        <v>21</v>
      </c>
      <c r="K3169" s="5">
        <v>450.0</v>
      </c>
      <c r="N3169" s="8">
        <v>44519.0</v>
      </c>
    </row>
    <row r="3170">
      <c r="A3170" s="5">
        <v>3169.0</v>
      </c>
      <c r="B3170" s="5" t="s">
        <v>3711</v>
      </c>
      <c r="C3170" s="5" t="s">
        <v>21</v>
      </c>
      <c r="K3170" s="5">
        <v>200.0</v>
      </c>
      <c r="N3170" s="8">
        <v>45426.0</v>
      </c>
    </row>
    <row r="3171">
      <c r="A3171" s="5">
        <v>3170.0</v>
      </c>
      <c r="B3171" s="5" t="s">
        <v>3712</v>
      </c>
      <c r="C3171" s="5" t="s">
        <v>21</v>
      </c>
      <c r="K3171" s="5">
        <v>500.0</v>
      </c>
      <c r="N3171" s="8">
        <v>44189.0</v>
      </c>
    </row>
    <row r="3172">
      <c r="A3172" s="5">
        <v>3171.0</v>
      </c>
      <c r="B3172" s="5" t="s">
        <v>3713</v>
      </c>
      <c r="C3172" s="5" t="s">
        <v>21</v>
      </c>
      <c r="K3172" s="5">
        <v>150.0</v>
      </c>
      <c r="N3172" s="8">
        <v>45592.0</v>
      </c>
    </row>
    <row r="3173">
      <c r="A3173" s="5">
        <v>3172.0</v>
      </c>
      <c r="B3173" s="5" t="s">
        <v>3714</v>
      </c>
      <c r="C3173" s="5" t="s">
        <v>21</v>
      </c>
      <c r="K3173" s="5">
        <v>150.0</v>
      </c>
      <c r="N3173" s="8">
        <v>45029.0</v>
      </c>
    </row>
    <row r="3174">
      <c r="A3174" s="5">
        <v>3173.0</v>
      </c>
      <c r="B3174" s="5" t="s">
        <v>276</v>
      </c>
      <c r="C3174" s="5" t="s">
        <v>21</v>
      </c>
      <c r="K3174" s="5">
        <v>1500.0</v>
      </c>
      <c r="N3174" s="8">
        <v>44289.0</v>
      </c>
    </row>
    <row r="3175">
      <c r="A3175" s="5">
        <v>3174.0</v>
      </c>
      <c r="B3175" s="5" t="s">
        <v>3715</v>
      </c>
      <c r="C3175" s="5" t="s">
        <v>21</v>
      </c>
      <c r="K3175" s="5">
        <v>200.0</v>
      </c>
      <c r="N3175" s="8">
        <v>44221.0</v>
      </c>
    </row>
    <row r="3176">
      <c r="A3176" s="5">
        <v>3175.0</v>
      </c>
      <c r="B3176" s="5" t="s">
        <v>3716</v>
      </c>
      <c r="C3176" s="5" t="s">
        <v>21</v>
      </c>
      <c r="K3176" s="5">
        <v>300.0</v>
      </c>
      <c r="N3176" s="8">
        <v>44205.0</v>
      </c>
    </row>
    <row r="3177">
      <c r="A3177" s="5">
        <v>3176.0</v>
      </c>
      <c r="B3177" s="5" t="s">
        <v>3717</v>
      </c>
      <c r="C3177" s="5" t="s">
        <v>21</v>
      </c>
      <c r="K3177" s="5">
        <v>1500.0</v>
      </c>
      <c r="N3177" s="8">
        <v>44350.0</v>
      </c>
    </row>
    <row r="3178">
      <c r="A3178" s="5">
        <v>3177.0</v>
      </c>
      <c r="B3178" s="5" t="s">
        <v>3718</v>
      </c>
      <c r="C3178" s="5" t="s">
        <v>21</v>
      </c>
      <c r="K3178" s="5">
        <v>60.0</v>
      </c>
      <c r="N3178" s="8">
        <v>44750.0</v>
      </c>
    </row>
    <row r="3179">
      <c r="A3179" s="5">
        <v>3178.0</v>
      </c>
      <c r="B3179" s="5" t="s">
        <v>3719</v>
      </c>
      <c r="C3179" s="5" t="s">
        <v>21</v>
      </c>
      <c r="K3179" s="5">
        <v>700.0</v>
      </c>
      <c r="N3179" s="8">
        <v>44551.0</v>
      </c>
    </row>
    <row r="3180">
      <c r="A3180" s="5">
        <v>3179.0</v>
      </c>
      <c r="B3180" s="5" t="s">
        <v>3720</v>
      </c>
      <c r="C3180" s="5" t="s">
        <v>21</v>
      </c>
      <c r="K3180" s="5">
        <v>1300.0</v>
      </c>
      <c r="N3180" s="8">
        <v>43963.0</v>
      </c>
    </row>
    <row r="3181">
      <c r="A3181" s="5">
        <v>3180.0</v>
      </c>
      <c r="B3181" s="5" t="s">
        <v>3721</v>
      </c>
      <c r="C3181" s="5" t="s">
        <v>21</v>
      </c>
      <c r="K3181" s="5">
        <v>300.0</v>
      </c>
      <c r="N3181" s="8">
        <v>44392.0</v>
      </c>
    </row>
    <row r="3182">
      <c r="A3182" s="5">
        <v>3181.0</v>
      </c>
      <c r="B3182" s="5" t="s">
        <v>3722</v>
      </c>
      <c r="C3182" s="5" t="s">
        <v>21</v>
      </c>
      <c r="K3182" s="5">
        <v>2000.0</v>
      </c>
      <c r="N3182" s="8">
        <v>45167.0</v>
      </c>
    </row>
    <row r="3183">
      <c r="A3183" s="5">
        <v>3182.0</v>
      </c>
      <c r="B3183" s="5" t="s">
        <v>3723</v>
      </c>
      <c r="C3183" s="5" t="s">
        <v>21</v>
      </c>
      <c r="K3183" s="5">
        <v>1600.0</v>
      </c>
      <c r="N3183" s="8">
        <v>44419.0</v>
      </c>
    </row>
    <row r="3184">
      <c r="A3184" s="5">
        <v>3183.0</v>
      </c>
      <c r="B3184" s="5" t="s">
        <v>3724</v>
      </c>
      <c r="C3184" s="5" t="s">
        <v>21</v>
      </c>
      <c r="K3184" s="5">
        <v>400.0</v>
      </c>
      <c r="N3184" s="8">
        <v>44535.0</v>
      </c>
    </row>
    <row r="3185">
      <c r="A3185" s="5">
        <v>3184.0</v>
      </c>
      <c r="B3185" s="5" t="s">
        <v>3725</v>
      </c>
      <c r="C3185" s="5" t="s">
        <v>21</v>
      </c>
      <c r="K3185" s="5">
        <v>80.0</v>
      </c>
      <c r="N3185" s="8">
        <v>44722.0</v>
      </c>
    </row>
    <row r="3186">
      <c r="A3186" s="5">
        <v>3185.0</v>
      </c>
      <c r="B3186" s="5" t="s">
        <v>3726</v>
      </c>
      <c r="C3186" s="5" t="s">
        <v>21</v>
      </c>
      <c r="K3186" s="5">
        <v>450.0</v>
      </c>
      <c r="N3186" s="8">
        <v>44331.0</v>
      </c>
    </row>
    <row r="3187">
      <c r="A3187" s="5">
        <v>3186.0</v>
      </c>
      <c r="B3187" s="5" t="s">
        <v>3727</v>
      </c>
      <c r="C3187" s="5" t="s">
        <v>21</v>
      </c>
      <c r="K3187" s="5">
        <v>300.0</v>
      </c>
      <c r="N3187" s="8">
        <v>45489.0</v>
      </c>
    </row>
    <row r="3188">
      <c r="A3188" s="5">
        <v>3187.0</v>
      </c>
      <c r="B3188" s="5" t="s">
        <v>3728</v>
      </c>
      <c r="C3188" s="5" t="s">
        <v>21</v>
      </c>
      <c r="K3188" s="5">
        <v>800.0</v>
      </c>
      <c r="N3188" s="8">
        <v>44530.0</v>
      </c>
    </row>
    <row r="3189">
      <c r="A3189" s="5">
        <v>3188.0</v>
      </c>
      <c r="B3189" s="5" t="s">
        <v>3729</v>
      </c>
      <c r="C3189" s="5" t="s">
        <v>21</v>
      </c>
      <c r="K3189" s="5">
        <v>450.0</v>
      </c>
      <c r="N3189" s="8">
        <v>44787.0</v>
      </c>
    </row>
    <row r="3190">
      <c r="A3190" s="5">
        <v>3189.0</v>
      </c>
      <c r="B3190" s="5" t="s">
        <v>3730</v>
      </c>
      <c r="C3190" s="5" t="s">
        <v>21</v>
      </c>
      <c r="K3190" s="5">
        <v>150.0</v>
      </c>
      <c r="N3190" s="8">
        <v>45079.0</v>
      </c>
    </row>
    <row r="3191">
      <c r="A3191" s="5">
        <v>3190.0</v>
      </c>
      <c r="B3191" s="5" t="s">
        <v>3731</v>
      </c>
      <c r="C3191" s="5" t="s">
        <v>21</v>
      </c>
      <c r="K3191" s="5">
        <v>80.0</v>
      </c>
      <c r="N3191" s="8">
        <v>43880.0</v>
      </c>
    </row>
    <row r="3192">
      <c r="A3192" s="5">
        <v>3191.0</v>
      </c>
      <c r="B3192" s="5" t="s">
        <v>3732</v>
      </c>
      <c r="C3192" s="5" t="s">
        <v>21</v>
      </c>
      <c r="K3192" s="5">
        <v>250.0</v>
      </c>
      <c r="N3192" s="8">
        <v>43889.0</v>
      </c>
    </row>
    <row r="3193">
      <c r="A3193" s="5">
        <v>3192.0</v>
      </c>
      <c r="B3193" s="5" t="s">
        <v>3733</v>
      </c>
      <c r="C3193" s="5" t="s">
        <v>21</v>
      </c>
      <c r="K3193" s="5">
        <v>150.0</v>
      </c>
      <c r="N3193" s="8">
        <v>45556.0</v>
      </c>
    </row>
    <row r="3194">
      <c r="A3194" s="5">
        <v>3193.0</v>
      </c>
      <c r="B3194" s="5" t="s">
        <v>3734</v>
      </c>
      <c r="C3194" s="5" t="s">
        <v>21</v>
      </c>
      <c r="K3194" s="5">
        <v>500.0</v>
      </c>
      <c r="N3194" s="8">
        <v>44524.0</v>
      </c>
    </row>
    <row r="3195">
      <c r="A3195" s="5">
        <v>3194.0</v>
      </c>
      <c r="B3195" s="5" t="s">
        <v>3735</v>
      </c>
      <c r="C3195" s="5" t="s">
        <v>21</v>
      </c>
      <c r="K3195" s="5">
        <v>70.0</v>
      </c>
      <c r="N3195" s="8">
        <v>45257.0</v>
      </c>
    </row>
    <row r="3196">
      <c r="A3196" s="5">
        <v>3195.0</v>
      </c>
      <c r="B3196" s="5" t="s">
        <v>3736</v>
      </c>
      <c r="C3196" s="5" t="s">
        <v>21</v>
      </c>
      <c r="K3196" s="5">
        <v>200.0</v>
      </c>
      <c r="N3196" s="8">
        <v>44184.0</v>
      </c>
    </row>
    <row r="3197">
      <c r="A3197" s="5">
        <v>3196.0</v>
      </c>
      <c r="B3197" s="5" t="s">
        <v>3737</v>
      </c>
      <c r="C3197" s="5" t="s">
        <v>21</v>
      </c>
      <c r="K3197" s="5">
        <v>250.0</v>
      </c>
      <c r="N3197" s="8">
        <v>44112.0</v>
      </c>
    </row>
    <row r="3198">
      <c r="A3198" s="5">
        <v>3197.0</v>
      </c>
      <c r="B3198" s="5" t="s">
        <v>279</v>
      </c>
      <c r="C3198" s="5" t="s">
        <v>21</v>
      </c>
      <c r="K3198" s="5">
        <v>900.0</v>
      </c>
      <c r="N3198" s="8">
        <v>44501.0</v>
      </c>
    </row>
    <row r="3199">
      <c r="A3199" s="5">
        <v>3198.0</v>
      </c>
      <c r="B3199" s="5" t="s">
        <v>3738</v>
      </c>
      <c r="C3199" s="5" t="s">
        <v>21</v>
      </c>
      <c r="K3199" s="5">
        <v>350.0</v>
      </c>
      <c r="N3199" s="8">
        <v>44533.0</v>
      </c>
    </row>
    <row r="3200">
      <c r="A3200" s="5">
        <v>3199.0</v>
      </c>
      <c r="B3200" s="5" t="s">
        <v>3739</v>
      </c>
      <c r="C3200" s="5" t="s">
        <v>21</v>
      </c>
      <c r="K3200" s="5">
        <v>1500.0</v>
      </c>
      <c r="N3200" s="8">
        <v>44408.0</v>
      </c>
    </row>
    <row r="3201">
      <c r="A3201" s="5">
        <v>3200.0</v>
      </c>
      <c r="B3201" s="5" t="s">
        <v>3740</v>
      </c>
      <c r="C3201" s="5" t="s">
        <v>21</v>
      </c>
      <c r="K3201" s="5">
        <v>60.0</v>
      </c>
      <c r="N3201" s="8">
        <v>44553.0</v>
      </c>
    </row>
    <row r="3202">
      <c r="A3202" s="5">
        <v>3201.0</v>
      </c>
      <c r="B3202" s="5" t="s">
        <v>3741</v>
      </c>
      <c r="C3202" s="5" t="s">
        <v>21</v>
      </c>
      <c r="K3202" s="5">
        <v>50.0</v>
      </c>
      <c r="N3202" s="8">
        <v>44567.0</v>
      </c>
    </row>
    <row r="3203">
      <c r="A3203" s="5">
        <v>3202.0</v>
      </c>
      <c r="B3203" s="5" t="s">
        <v>3742</v>
      </c>
      <c r="C3203" s="5" t="s">
        <v>21</v>
      </c>
      <c r="K3203" s="5">
        <v>30.0</v>
      </c>
      <c r="N3203" s="8">
        <v>44553.0</v>
      </c>
    </row>
    <row r="3204">
      <c r="A3204" s="5">
        <v>3203.0</v>
      </c>
      <c r="B3204" s="5" t="s">
        <v>3743</v>
      </c>
      <c r="C3204" s="5" t="s">
        <v>21</v>
      </c>
      <c r="K3204" s="5">
        <v>400.0</v>
      </c>
      <c r="N3204" s="8">
        <v>45512.0</v>
      </c>
    </row>
    <row r="3205">
      <c r="A3205" s="5">
        <v>3204.0</v>
      </c>
      <c r="B3205" s="5" t="s">
        <v>3744</v>
      </c>
      <c r="C3205" s="5" t="s">
        <v>21</v>
      </c>
      <c r="K3205" s="5">
        <v>200.0</v>
      </c>
      <c r="N3205" s="8">
        <v>44634.0</v>
      </c>
    </row>
    <row r="3206">
      <c r="A3206" s="5">
        <v>3205.0</v>
      </c>
      <c r="B3206" s="5" t="s">
        <v>282</v>
      </c>
      <c r="C3206" s="5" t="s">
        <v>21</v>
      </c>
      <c r="K3206" s="5">
        <v>150.0</v>
      </c>
      <c r="N3206" s="8">
        <v>45369.0</v>
      </c>
    </row>
    <row r="3207">
      <c r="A3207" s="5">
        <v>3206.0</v>
      </c>
      <c r="B3207" s="5" t="s">
        <v>3745</v>
      </c>
      <c r="C3207" s="5" t="s">
        <v>21</v>
      </c>
      <c r="K3207" s="5">
        <v>350.0</v>
      </c>
      <c r="N3207" s="8">
        <v>44520.0</v>
      </c>
    </row>
    <row r="3208">
      <c r="A3208" s="5">
        <v>3207.0</v>
      </c>
      <c r="B3208" s="5" t="s">
        <v>3746</v>
      </c>
      <c r="C3208" s="5" t="s">
        <v>21</v>
      </c>
      <c r="K3208" s="5">
        <v>100.0</v>
      </c>
      <c r="N3208" s="8">
        <v>45508.0</v>
      </c>
    </row>
    <row r="3209">
      <c r="A3209" s="5">
        <v>3208.0</v>
      </c>
      <c r="B3209" s="5" t="s">
        <v>274</v>
      </c>
      <c r="C3209" s="5" t="s">
        <v>21</v>
      </c>
      <c r="K3209" s="5">
        <v>700.0</v>
      </c>
      <c r="N3209" s="8">
        <v>44501.0</v>
      </c>
    </row>
    <row r="3210">
      <c r="A3210" s="5">
        <v>3209.0</v>
      </c>
      <c r="B3210" s="5" t="s">
        <v>3747</v>
      </c>
      <c r="C3210" s="5" t="s">
        <v>21</v>
      </c>
      <c r="K3210" s="5">
        <v>150.0</v>
      </c>
      <c r="N3210" s="8">
        <v>45075.0</v>
      </c>
    </row>
    <row r="3211">
      <c r="A3211" s="5">
        <v>3210.0</v>
      </c>
      <c r="B3211" s="5" t="s">
        <v>3748</v>
      </c>
      <c r="C3211" s="5" t="s">
        <v>21</v>
      </c>
      <c r="K3211" s="5">
        <v>250.0</v>
      </c>
      <c r="N3211" s="8">
        <v>44347.0</v>
      </c>
    </row>
    <row r="3212">
      <c r="A3212" s="5">
        <v>3211.0</v>
      </c>
      <c r="B3212" s="5" t="s">
        <v>3749</v>
      </c>
      <c r="C3212" s="5" t="s">
        <v>21</v>
      </c>
      <c r="K3212" s="5">
        <v>60.0</v>
      </c>
      <c r="N3212" s="8">
        <v>42496.0</v>
      </c>
      <c r="O3212" s="5" t="s">
        <v>24</v>
      </c>
      <c r="P3212" s="5" t="s">
        <v>25</v>
      </c>
      <c r="S3212" s="5" t="s">
        <v>29</v>
      </c>
    </row>
    <row r="3213">
      <c r="A3213" s="5">
        <v>3212.0</v>
      </c>
      <c r="B3213" s="5" t="s">
        <v>3750</v>
      </c>
      <c r="C3213" s="5" t="s">
        <v>21</v>
      </c>
      <c r="K3213" s="5">
        <v>150.0</v>
      </c>
      <c r="N3213" s="8">
        <v>44072.0</v>
      </c>
    </row>
    <row r="3214">
      <c r="A3214" s="5">
        <v>3213.0</v>
      </c>
      <c r="B3214" s="5" t="s">
        <v>3751</v>
      </c>
      <c r="C3214" s="5" t="s">
        <v>21</v>
      </c>
      <c r="K3214" s="5">
        <v>50.0</v>
      </c>
      <c r="N3214" s="8">
        <v>44741.0</v>
      </c>
    </row>
    <row r="3215">
      <c r="A3215" s="5">
        <v>3214.0</v>
      </c>
      <c r="B3215" s="5" t="s">
        <v>3752</v>
      </c>
      <c r="C3215" s="5" t="s">
        <v>21</v>
      </c>
      <c r="K3215" s="5">
        <v>350.0</v>
      </c>
      <c r="N3215" s="8">
        <v>45544.0</v>
      </c>
    </row>
    <row r="3216">
      <c r="A3216" s="5">
        <v>3215.0</v>
      </c>
      <c r="B3216" s="5" t="s">
        <v>3753</v>
      </c>
      <c r="C3216" s="5" t="s">
        <v>21</v>
      </c>
      <c r="K3216" s="5">
        <v>1400.0</v>
      </c>
      <c r="N3216" s="8">
        <v>43899.0</v>
      </c>
    </row>
    <row r="3217">
      <c r="A3217" s="5">
        <v>3216.0</v>
      </c>
      <c r="B3217" s="5" t="s">
        <v>3754</v>
      </c>
      <c r="C3217" s="5" t="s">
        <v>21</v>
      </c>
      <c r="K3217" s="5">
        <v>150.0</v>
      </c>
      <c r="N3217" s="8">
        <v>45042.0</v>
      </c>
    </row>
    <row r="3218">
      <c r="A3218" s="5">
        <v>3217.0</v>
      </c>
      <c r="B3218" s="5" t="s">
        <v>3755</v>
      </c>
      <c r="C3218" s="5" t="s">
        <v>21</v>
      </c>
      <c r="K3218" s="5">
        <v>80.0</v>
      </c>
      <c r="N3218" s="8">
        <v>45170.0</v>
      </c>
    </row>
    <row r="3219">
      <c r="A3219" s="5">
        <v>3218.0</v>
      </c>
      <c r="B3219" s="5" t="s">
        <v>3756</v>
      </c>
      <c r="C3219" s="5" t="s">
        <v>21</v>
      </c>
      <c r="K3219" s="5">
        <v>150.0</v>
      </c>
      <c r="N3219" s="8">
        <v>45339.0</v>
      </c>
    </row>
    <row r="3220">
      <c r="A3220" s="5">
        <v>3219.0</v>
      </c>
      <c r="B3220" s="5" t="s">
        <v>3757</v>
      </c>
      <c r="C3220" s="5" t="s">
        <v>21</v>
      </c>
      <c r="K3220" s="5">
        <v>30.0</v>
      </c>
      <c r="N3220" s="8">
        <v>44638.0</v>
      </c>
    </row>
    <row r="3221">
      <c r="A3221" s="5">
        <v>3220.0</v>
      </c>
      <c r="B3221" s="5" t="s">
        <v>3758</v>
      </c>
      <c r="C3221" s="5" t="s">
        <v>21</v>
      </c>
      <c r="K3221" s="5">
        <v>200.0</v>
      </c>
      <c r="N3221" s="8">
        <v>44622.0</v>
      </c>
    </row>
    <row r="3222">
      <c r="A3222" s="5">
        <v>3221.0</v>
      </c>
      <c r="B3222" s="5" t="s">
        <v>3759</v>
      </c>
      <c r="C3222" s="5" t="s">
        <v>21</v>
      </c>
      <c r="K3222" s="5">
        <v>300.0</v>
      </c>
      <c r="N3222" s="8">
        <v>45645.0</v>
      </c>
    </row>
    <row r="3223">
      <c r="A3223" s="5">
        <v>3222.0</v>
      </c>
      <c r="B3223" s="5" t="s">
        <v>3760</v>
      </c>
      <c r="C3223" s="5" t="s">
        <v>21</v>
      </c>
      <c r="K3223" s="5">
        <v>350.0</v>
      </c>
      <c r="N3223" s="8">
        <v>44434.0</v>
      </c>
    </row>
    <row r="3224">
      <c r="A3224" s="5">
        <v>3223.0</v>
      </c>
      <c r="B3224" s="5" t="s">
        <v>3761</v>
      </c>
      <c r="C3224" s="5" t="s">
        <v>21</v>
      </c>
      <c r="K3224" s="5">
        <v>300.0</v>
      </c>
      <c r="N3224" s="8">
        <v>44696.0</v>
      </c>
    </row>
    <row r="3225">
      <c r="A3225" s="5">
        <v>3224.0</v>
      </c>
      <c r="B3225" s="5" t="s">
        <v>3762</v>
      </c>
      <c r="C3225" s="5" t="s">
        <v>21</v>
      </c>
      <c r="K3225" s="5">
        <v>20.0</v>
      </c>
      <c r="N3225" s="8">
        <v>44608.0</v>
      </c>
    </row>
    <row r="3226">
      <c r="A3226" s="5">
        <v>3225.0</v>
      </c>
      <c r="B3226" s="5" t="s">
        <v>277</v>
      </c>
      <c r="C3226" s="5" t="s">
        <v>21</v>
      </c>
      <c r="K3226" s="5">
        <v>250.0</v>
      </c>
      <c r="N3226" s="8">
        <v>44570.0</v>
      </c>
    </row>
    <row r="3227">
      <c r="A3227" s="5">
        <v>3226.0</v>
      </c>
      <c r="B3227" s="5" t="s">
        <v>285</v>
      </c>
      <c r="C3227" s="5" t="s">
        <v>21</v>
      </c>
      <c r="K3227" s="5">
        <v>600.0</v>
      </c>
      <c r="N3227" s="8">
        <v>44577.0</v>
      </c>
    </row>
    <row r="3228">
      <c r="A3228" s="5">
        <v>3227.0</v>
      </c>
      <c r="B3228" s="5" t="s">
        <v>3763</v>
      </c>
      <c r="C3228" s="5" t="s">
        <v>21</v>
      </c>
      <c r="K3228" s="5">
        <v>60.0</v>
      </c>
      <c r="N3228" s="8">
        <v>44627.0</v>
      </c>
    </row>
    <row r="3229">
      <c r="A3229" s="5">
        <v>3228.0</v>
      </c>
      <c r="B3229" s="5" t="s">
        <v>3764</v>
      </c>
      <c r="C3229" s="5" t="s">
        <v>21</v>
      </c>
      <c r="K3229" s="5">
        <v>200.0</v>
      </c>
      <c r="N3229" s="8">
        <v>45508.0</v>
      </c>
    </row>
    <row r="3230">
      <c r="A3230" s="5">
        <v>3229.0</v>
      </c>
      <c r="B3230" s="5" t="s">
        <v>3765</v>
      </c>
      <c r="C3230" s="5" t="s">
        <v>21</v>
      </c>
      <c r="N3230" s="8">
        <v>44524.0</v>
      </c>
    </row>
    <row r="3231">
      <c r="A3231" s="5">
        <v>3230.0</v>
      </c>
      <c r="B3231" s="5" t="s">
        <v>3766</v>
      </c>
      <c r="C3231" s="5" t="s">
        <v>21</v>
      </c>
      <c r="K3231" s="5">
        <v>800.0</v>
      </c>
      <c r="N3231" s="8">
        <v>43891.0</v>
      </c>
    </row>
    <row r="3232">
      <c r="A3232" s="5">
        <v>3231.0</v>
      </c>
      <c r="B3232" s="5" t="s">
        <v>3767</v>
      </c>
      <c r="C3232" s="5" t="s">
        <v>21</v>
      </c>
      <c r="K3232" s="5">
        <v>150.0</v>
      </c>
      <c r="N3232" s="8">
        <v>45054.0</v>
      </c>
    </row>
    <row r="3233">
      <c r="A3233" s="5">
        <v>3232.0</v>
      </c>
      <c r="B3233" s="5" t="s">
        <v>3768</v>
      </c>
      <c r="C3233" s="5" t="s">
        <v>21</v>
      </c>
      <c r="K3233" s="5">
        <v>900.0</v>
      </c>
      <c r="N3233" s="8">
        <v>45548.0</v>
      </c>
    </row>
    <row r="3234">
      <c r="A3234" s="5">
        <v>3233.0</v>
      </c>
      <c r="B3234" s="5" t="s">
        <v>3769</v>
      </c>
      <c r="C3234" s="5" t="s">
        <v>21</v>
      </c>
      <c r="K3234" s="5">
        <v>250.0</v>
      </c>
      <c r="N3234" s="8">
        <v>45018.0</v>
      </c>
    </row>
    <row r="3235">
      <c r="A3235" s="5">
        <v>3234.0</v>
      </c>
      <c r="B3235" s="5" t="s">
        <v>3770</v>
      </c>
      <c r="C3235" s="5" t="s">
        <v>21</v>
      </c>
      <c r="K3235" s="5">
        <v>200.0</v>
      </c>
      <c r="N3235" s="8">
        <v>43993.0</v>
      </c>
    </row>
    <row r="3236">
      <c r="A3236" s="5">
        <v>3235.0</v>
      </c>
      <c r="B3236" s="5" t="s">
        <v>3771</v>
      </c>
      <c r="C3236" s="5" t="s">
        <v>21</v>
      </c>
      <c r="K3236" s="5">
        <v>20.0</v>
      </c>
      <c r="N3236" s="8">
        <v>44791.0</v>
      </c>
    </row>
    <row r="3237">
      <c r="A3237" s="5">
        <v>3236.0</v>
      </c>
      <c r="B3237" s="5" t="s">
        <v>3772</v>
      </c>
      <c r="C3237" s="5" t="s">
        <v>21</v>
      </c>
      <c r="K3237" s="5">
        <v>400.0</v>
      </c>
      <c r="N3237" s="8">
        <v>44342.0</v>
      </c>
    </row>
    <row r="3238">
      <c r="A3238" s="5">
        <v>3237.0</v>
      </c>
      <c r="B3238" s="5" t="s">
        <v>3773</v>
      </c>
      <c r="C3238" s="5" t="s">
        <v>21</v>
      </c>
      <c r="K3238" s="5">
        <v>300.0</v>
      </c>
      <c r="N3238" s="8">
        <v>44539.0</v>
      </c>
    </row>
    <row r="3239">
      <c r="A3239" s="5">
        <v>3238.0</v>
      </c>
      <c r="B3239" s="5" t="s">
        <v>3774</v>
      </c>
      <c r="C3239" s="5" t="s">
        <v>21</v>
      </c>
      <c r="K3239" s="5">
        <v>300.0</v>
      </c>
      <c r="N3239" s="8">
        <v>44584.0</v>
      </c>
    </row>
    <row r="3240">
      <c r="A3240" s="5">
        <v>3239.0</v>
      </c>
      <c r="B3240" s="5" t="s">
        <v>3775</v>
      </c>
      <c r="C3240" s="5" t="s">
        <v>21</v>
      </c>
      <c r="K3240" s="5">
        <v>250.0</v>
      </c>
      <c r="N3240" s="8">
        <v>44556.0</v>
      </c>
    </row>
    <row r="3241">
      <c r="A3241" s="5">
        <v>3240.0</v>
      </c>
      <c r="B3241" s="5" t="s">
        <v>3776</v>
      </c>
      <c r="C3241" s="5" t="s">
        <v>21</v>
      </c>
      <c r="K3241" s="5">
        <v>300.0</v>
      </c>
      <c r="N3241" s="8">
        <v>43912.0</v>
      </c>
    </row>
    <row r="3242">
      <c r="A3242" s="5">
        <v>3241.0</v>
      </c>
      <c r="B3242" s="5" t="s">
        <v>3777</v>
      </c>
      <c r="C3242" s="5" t="s">
        <v>21</v>
      </c>
      <c r="K3242" s="5">
        <v>8600.0</v>
      </c>
      <c r="N3242" s="8">
        <v>45501.0</v>
      </c>
    </row>
    <row r="3243">
      <c r="A3243" s="5">
        <v>3242.0</v>
      </c>
      <c r="B3243" s="5" t="s">
        <v>3778</v>
      </c>
      <c r="C3243" s="5" t="s">
        <v>21</v>
      </c>
      <c r="K3243" s="5">
        <v>600.0</v>
      </c>
      <c r="N3243" s="8">
        <v>45321.0</v>
      </c>
    </row>
    <row r="3244">
      <c r="A3244" s="5">
        <v>3243.0</v>
      </c>
      <c r="B3244" s="5" t="s">
        <v>3779</v>
      </c>
      <c r="C3244" s="5" t="s">
        <v>21</v>
      </c>
      <c r="K3244" s="5">
        <v>2100.0</v>
      </c>
      <c r="N3244" s="8">
        <v>44010.0</v>
      </c>
    </row>
    <row r="3245">
      <c r="A3245" s="5">
        <v>3244.0</v>
      </c>
      <c r="B3245" s="5" t="s">
        <v>3780</v>
      </c>
      <c r="C3245" s="5" t="s">
        <v>21</v>
      </c>
      <c r="K3245" s="5">
        <v>400.0</v>
      </c>
      <c r="N3245" s="8">
        <v>45467.0</v>
      </c>
    </row>
    <row r="3246">
      <c r="A3246" s="5">
        <v>3245.0</v>
      </c>
      <c r="B3246" s="5" t="s">
        <v>3781</v>
      </c>
      <c r="C3246" s="5" t="s">
        <v>21</v>
      </c>
      <c r="K3246" s="5">
        <v>300.0</v>
      </c>
      <c r="N3246" s="8">
        <v>45601.0</v>
      </c>
    </row>
    <row r="3247">
      <c r="A3247" s="5">
        <v>3246.0</v>
      </c>
      <c r="B3247" s="5" t="s">
        <v>3782</v>
      </c>
      <c r="C3247" s="5" t="s">
        <v>21</v>
      </c>
      <c r="K3247" s="5">
        <v>40.0</v>
      </c>
      <c r="N3247" s="8">
        <v>44845.0</v>
      </c>
    </row>
    <row r="3248">
      <c r="A3248" s="5">
        <v>3247.0</v>
      </c>
      <c r="B3248" s="5" t="s">
        <v>3783</v>
      </c>
      <c r="C3248" s="5" t="s">
        <v>21</v>
      </c>
      <c r="K3248" s="5">
        <v>5900.0</v>
      </c>
      <c r="N3248" s="8">
        <v>43885.0</v>
      </c>
    </row>
    <row r="3249">
      <c r="A3249" s="5">
        <v>3248.0</v>
      </c>
      <c r="B3249" s="5" t="s">
        <v>3784</v>
      </c>
      <c r="C3249" s="5" t="s">
        <v>21</v>
      </c>
      <c r="K3249" s="5">
        <v>2000.0</v>
      </c>
      <c r="N3249" s="8">
        <v>44184.0</v>
      </c>
    </row>
    <row r="3250">
      <c r="A3250" s="5">
        <v>3249.0</v>
      </c>
      <c r="B3250" s="5" t="s">
        <v>3785</v>
      </c>
      <c r="C3250" s="5" t="s">
        <v>21</v>
      </c>
      <c r="K3250" s="5">
        <v>200.0</v>
      </c>
      <c r="N3250" s="8">
        <v>44543.0</v>
      </c>
    </row>
    <row r="3251">
      <c r="A3251" s="5">
        <v>3250.0</v>
      </c>
      <c r="B3251" s="5" t="s">
        <v>3786</v>
      </c>
      <c r="C3251" s="5" t="s">
        <v>21</v>
      </c>
      <c r="K3251" s="5">
        <v>90.0</v>
      </c>
      <c r="N3251" s="8">
        <v>44654.0</v>
      </c>
    </row>
    <row r="3252">
      <c r="A3252" s="5">
        <v>3251.0</v>
      </c>
      <c r="B3252" s="5" t="s">
        <v>3787</v>
      </c>
      <c r="C3252" s="5" t="s">
        <v>21</v>
      </c>
      <c r="K3252" s="5">
        <v>500.0</v>
      </c>
      <c r="N3252" s="8">
        <v>44382.0</v>
      </c>
    </row>
    <row r="3253">
      <c r="A3253" s="5">
        <v>3252.0</v>
      </c>
      <c r="B3253" s="5" t="s">
        <v>3788</v>
      </c>
      <c r="C3253" s="5" t="s">
        <v>21</v>
      </c>
      <c r="K3253" s="5">
        <v>90.0</v>
      </c>
      <c r="N3253" s="8">
        <v>44705.0</v>
      </c>
    </row>
    <row r="3254">
      <c r="A3254" s="5">
        <v>3253.0</v>
      </c>
      <c r="B3254" s="5" t="s">
        <v>3789</v>
      </c>
      <c r="C3254" s="5" t="s">
        <v>21</v>
      </c>
      <c r="K3254" s="5">
        <v>800.0</v>
      </c>
      <c r="N3254" s="8">
        <v>44531.0</v>
      </c>
    </row>
    <row r="3255">
      <c r="A3255" s="5">
        <v>3254.0</v>
      </c>
      <c r="B3255" s="5" t="s">
        <v>3790</v>
      </c>
      <c r="C3255" s="5" t="s">
        <v>21</v>
      </c>
      <c r="K3255" s="5">
        <v>150.0</v>
      </c>
      <c r="N3255" s="8">
        <v>43855.0</v>
      </c>
    </row>
    <row r="3256">
      <c r="A3256" s="5">
        <v>3255.0</v>
      </c>
      <c r="B3256" s="5" t="s">
        <v>3791</v>
      </c>
      <c r="C3256" s="5" t="s">
        <v>21</v>
      </c>
      <c r="K3256" s="5">
        <v>100.0</v>
      </c>
      <c r="N3256" s="8">
        <v>44592.0</v>
      </c>
    </row>
    <row r="3257">
      <c r="A3257" s="5">
        <v>3256.0</v>
      </c>
      <c r="B3257" s="5" t="s">
        <v>3792</v>
      </c>
      <c r="C3257" s="5" t="s">
        <v>21</v>
      </c>
      <c r="K3257" s="5">
        <v>450.0</v>
      </c>
      <c r="N3257" s="8">
        <v>44358.0</v>
      </c>
    </row>
    <row r="3258">
      <c r="A3258" s="5">
        <v>3257.0</v>
      </c>
      <c r="B3258" s="5" t="s">
        <v>3793</v>
      </c>
      <c r="C3258" s="5" t="s">
        <v>21</v>
      </c>
      <c r="K3258" s="5">
        <v>70.0</v>
      </c>
      <c r="N3258" s="8">
        <v>45524.0</v>
      </c>
    </row>
    <row r="3259">
      <c r="A3259" s="5">
        <v>3258.0</v>
      </c>
      <c r="B3259" s="5" t="s">
        <v>3794</v>
      </c>
      <c r="C3259" s="5" t="s">
        <v>21</v>
      </c>
      <c r="K3259" s="5">
        <v>500.0</v>
      </c>
      <c r="N3259" s="8">
        <v>44585.0</v>
      </c>
    </row>
    <row r="3260">
      <c r="A3260" s="5">
        <v>3259.0</v>
      </c>
      <c r="B3260" s="5" t="s">
        <v>3795</v>
      </c>
      <c r="C3260" s="5" t="s">
        <v>21</v>
      </c>
      <c r="K3260" s="5">
        <v>2000.0</v>
      </c>
      <c r="N3260" s="8">
        <v>44325.0</v>
      </c>
    </row>
    <row r="3261">
      <c r="A3261" s="5">
        <v>3260.0</v>
      </c>
      <c r="B3261" s="5" t="s">
        <v>3796</v>
      </c>
      <c r="C3261" s="5" t="s">
        <v>21</v>
      </c>
      <c r="K3261" s="5">
        <v>800.0</v>
      </c>
      <c r="N3261" s="8">
        <v>44525.0</v>
      </c>
    </row>
    <row r="3262">
      <c r="A3262" s="5">
        <v>3261.0</v>
      </c>
      <c r="B3262" s="5" t="s">
        <v>3797</v>
      </c>
      <c r="C3262" s="5" t="s">
        <v>21</v>
      </c>
      <c r="K3262" s="5">
        <v>30.0</v>
      </c>
      <c r="N3262" s="8">
        <v>45060.0</v>
      </c>
    </row>
    <row r="3263">
      <c r="A3263" s="5">
        <v>3262.0</v>
      </c>
      <c r="B3263" s="5" t="s">
        <v>3798</v>
      </c>
      <c r="C3263" s="5" t="s">
        <v>21</v>
      </c>
      <c r="K3263" s="5">
        <v>150.0</v>
      </c>
      <c r="N3263" s="8">
        <v>44662.0</v>
      </c>
    </row>
    <row r="3264">
      <c r="A3264" s="5">
        <v>3263.0</v>
      </c>
      <c r="B3264" s="5" t="s">
        <v>3799</v>
      </c>
      <c r="C3264" s="5" t="s">
        <v>21</v>
      </c>
      <c r="K3264" s="5">
        <v>600.0</v>
      </c>
      <c r="N3264" s="8">
        <v>44130.0</v>
      </c>
    </row>
    <row r="3265">
      <c r="A3265" s="5">
        <v>3264.0</v>
      </c>
      <c r="B3265" s="5" t="s">
        <v>3800</v>
      </c>
      <c r="C3265" s="5" t="s">
        <v>21</v>
      </c>
      <c r="K3265" s="5">
        <v>90.0</v>
      </c>
      <c r="N3265" s="8">
        <v>44620.0</v>
      </c>
    </row>
    <row r="3266">
      <c r="A3266" s="5">
        <v>3265.0</v>
      </c>
      <c r="B3266" s="5" t="s">
        <v>3801</v>
      </c>
      <c r="C3266" s="5" t="s">
        <v>21</v>
      </c>
      <c r="K3266" s="5">
        <v>400.0</v>
      </c>
      <c r="N3266" s="8">
        <v>44506.0</v>
      </c>
    </row>
    <row r="3267">
      <c r="A3267" s="5">
        <v>3266.0</v>
      </c>
      <c r="B3267" s="5" t="s">
        <v>3802</v>
      </c>
      <c r="C3267" s="5" t="s">
        <v>21</v>
      </c>
      <c r="K3267" s="5">
        <v>70.0</v>
      </c>
      <c r="N3267" s="8">
        <v>44744.0</v>
      </c>
    </row>
    <row r="3268">
      <c r="A3268" s="5">
        <v>3267.0</v>
      </c>
      <c r="B3268" s="5" t="s">
        <v>3803</v>
      </c>
      <c r="C3268" s="5" t="s">
        <v>21</v>
      </c>
      <c r="K3268" s="5">
        <v>1000.0</v>
      </c>
      <c r="N3268" s="8">
        <v>43907.0</v>
      </c>
    </row>
    <row r="3269">
      <c r="A3269" s="5">
        <v>3268.0</v>
      </c>
      <c r="B3269" s="5" t="s">
        <v>3804</v>
      </c>
      <c r="C3269" s="5" t="s">
        <v>21</v>
      </c>
      <c r="K3269" s="5">
        <v>600.0</v>
      </c>
      <c r="N3269" s="8">
        <v>44288.0</v>
      </c>
    </row>
    <row r="3270">
      <c r="A3270" s="5">
        <v>3269.0</v>
      </c>
      <c r="B3270" s="5" t="s">
        <v>3805</v>
      </c>
      <c r="C3270" s="5" t="s">
        <v>21</v>
      </c>
      <c r="K3270" s="5">
        <v>60.0</v>
      </c>
      <c r="N3270" s="8">
        <v>45337.0</v>
      </c>
    </row>
    <row r="3271">
      <c r="A3271" s="5">
        <v>3270.0</v>
      </c>
      <c r="B3271" s="5" t="s">
        <v>3806</v>
      </c>
      <c r="C3271" s="5" t="s">
        <v>21</v>
      </c>
      <c r="K3271" s="5">
        <v>350.0</v>
      </c>
      <c r="N3271" s="8">
        <v>44566.0</v>
      </c>
    </row>
    <row r="3272">
      <c r="A3272" s="5">
        <v>3271.0</v>
      </c>
      <c r="B3272" s="5" t="s">
        <v>280</v>
      </c>
      <c r="C3272" s="5" t="s">
        <v>21</v>
      </c>
      <c r="K3272" s="5">
        <v>10.0</v>
      </c>
      <c r="N3272" s="8">
        <v>45030.0</v>
      </c>
    </row>
    <row r="3273">
      <c r="A3273" s="5">
        <v>3272.0</v>
      </c>
      <c r="B3273" s="5" t="s">
        <v>3807</v>
      </c>
      <c r="C3273" s="5" t="s">
        <v>21</v>
      </c>
      <c r="K3273" s="5">
        <v>40.0</v>
      </c>
      <c r="N3273" s="8">
        <v>43947.0</v>
      </c>
    </row>
    <row r="3274">
      <c r="A3274" s="5">
        <v>3273.0</v>
      </c>
      <c r="B3274" s="5" t="s">
        <v>3808</v>
      </c>
      <c r="C3274" s="5" t="s">
        <v>21</v>
      </c>
      <c r="K3274" s="5">
        <v>200.0</v>
      </c>
      <c r="N3274" s="8">
        <v>44413.0</v>
      </c>
    </row>
    <row r="3275">
      <c r="A3275" s="5">
        <v>3274.0</v>
      </c>
      <c r="B3275" s="5" t="s">
        <v>3809</v>
      </c>
      <c r="C3275" s="5" t="s">
        <v>21</v>
      </c>
      <c r="K3275" s="5">
        <v>700.0</v>
      </c>
      <c r="N3275" s="8">
        <v>44536.0</v>
      </c>
    </row>
    <row r="3276">
      <c r="A3276" s="5">
        <v>3275.0</v>
      </c>
      <c r="B3276" s="5" t="s">
        <v>3810</v>
      </c>
      <c r="C3276" s="5" t="s">
        <v>21</v>
      </c>
      <c r="K3276" s="5">
        <v>200.0</v>
      </c>
      <c r="N3276" s="8">
        <v>45221.0</v>
      </c>
    </row>
    <row r="3277">
      <c r="A3277" s="5">
        <v>3276.0</v>
      </c>
      <c r="B3277" s="5" t="s">
        <v>3811</v>
      </c>
      <c r="C3277" s="5" t="s">
        <v>21</v>
      </c>
      <c r="K3277" s="5">
        <v>20.0</v>
      </c>
      <c r="N3277" s="8">
        <v>44334.0</v>
      </c>
    </row>
    <row r="3278">
      <c r="A3278" s="5">
        <v>3277.0</v>
      </c>
      <c r="B3278" s="5" t="s">
        <v>3812</v>
      </c>
      <c r="C3278" s="5" t="s">
        <v>21</v>
      </c>
      <c r="K3278" s="5">
        <v>2100.0</v>
      </c>
      <c r="N3278" s="8">
        <v>43846.0</v>
      </c>
    </row>
    <row r="3279">
      <c r="A3279" s="5">
        <v>3278.0</v>
      </c>
      <c r="B3279" s="5" t="s">
        <v>3813</v>
      </c>
      <c r="C3279" s="5" t="s">
        <v>21</v>
      </c>
      <c r="K3279" s="5">
        <v>200.0</v>
      </c>
      <c r="N3279" s="8">
        <v>44016.0</v>
      </c>
    </row>
    <row r="3280">
      <c r="A3280" s="5">
        <v>3279.0</v>
      </c>
      <c r="B3280" s="5" t="s">
        <v>3814</v>
      </c>
      <c r="C3280" s="5" t="s">
        <v>21</v>
      </c>
      <c r="K3280" s="5">
        <v>150.0</v>
      </c>
      <c r="N3280" s="8">
        <v>44530.0</v>
      </c>
    </row>
    <row r="3281">
      <c r="A3281" s="5">
        <v>3280.0</v>
      </c>
      <c r="B3281" s="5" t="s">
        <v>3815</v>
      </c>
      <c r="C3281" s="5" t="s">
        <v>21</v>
      </c>
      <c r="K3281" s="5">
        <v>700.0</v>
      </c>
      <c r="N3281" s="8">
        <v>44565.0</v>
      </c>
    </row>
    <row r="3282">
      <c r="A3282" s="5">
        <v>3281.0</v>
      </c>
      <c r="B3282" s="5" t="s">
        <v>3816</v>
      </c>
      <c r="C3282" s="5" t="s">
        <v>21</v>
      </c>
      <c r="K3282" s="5">
        <v>40.0</v>
      </c>
      <c r="N3282" s="8">
        <v>44582.0</v>
      </c>
    </row>
    <row r="3283">
      <c r="A3283" s="5">
        <v>3282.0</v>
      </c>
      <c r="B3283" s="5" t="s">
        <v>3817</v>
      </c>
      <c r="C3283" s="5" t="s">
        <v>21</v>
      </c>
      <c r="K3283" s="5">
        <v>30.0</v>
      </c>
      <c r="N3283" s="8">
        <v>45972.0</v>
      </c>
    </row>
    <row r="3284">
      <c r="A3284" s="5">
        <v>3283.0</v>
      </c>
      <c r="B3284" s="5" t="s">
        <v>3818</v>
      </c>
      <c r="C3284" s="5" t="s">
        <v>21</v>
      </c>
      <c r="K3284" s="5">
        <v>300.0</v>
      </c>
      <c r="N3284" s="8">
        <v>45371.0</v>
      </c>
    </row>
    <row r="3285">
      <c r="A3285" s="5">
        <v>3284.0</v>
      </c>
      <c r="B3285" s="5" t="s">
        <v>3819</v>
      </c>
      <c r="C3285" s="5" t="s">
        <v>21</v>
      </c>
      <c r="K3285" s="5">
        <v>150.0</v>
      </c>
      <c r="N3285" s="8">
        <v>44768.0</v>
      </c>
    </row>
    <row r="3286">
      <c r="A3286" s="5">
        <v>3285.0</v>
      </c>
      <c r="B3286" s="5" t="s">
        <v>3820</v>
      </c>
      <c r="C3286" s="5" t="s">
        <v>21</v>
      </c>
      <c r="K3286" s="5">
        <v>1300.0</v>
      </c>
      <c r="N3286" s="8">
        <v>44615.0</v>
      </c>
    </row>
    <row r="3287">
      <c r="A3287" s="5">
        <v>3286.0</v>
      </c>
      <c r="B3287" s="5" t="s">
        <v>3821</v>
      </c>
      <c r="C3287" s="5" t="s">
        <v>21</v>
      </c>
      <c r="N3287" s="8">
        <v>44663.0</v>
      </c>
    </row>
    <row r="3288">
      <c r="A3288" s="5">
        <v>3287.0</v>
      </c>
      <c r="B3288" s="5" t="s">
        <v>3822</v>
      </c>
      <c r="C3288" s="5" t="s">
        <v>21</v>
      </c>
      <c r="K3288" s="5">
        <v>100.0</v>
      </c>
      <c r="N3288" s="8">
        <v>44718.0</v>
      </c>
    </row>
    <row r="3289">
      <c r="A3289" s="5">
        <v>3288.0</v>
      </c>
      <c r="B3289" s="5" t="s">
        <v>3823</v>
      </c>
      <c r="C3289" s="5" t="s">
        <v>21</v>
      </c>
      <c r="K3289" s="5">
        <v>700.0</v>
      </c>
      <c r="N3289" s="8">
        <v>44326.0</v>
      </c>
    </row>
    <row r="3290">
      <c r="A3290" s="5">
        <v>3289.0</v>
      </c>
      <c r="B3290" s="5" t="s">
        <v>3824</v>
      </c>
      <c r="C3290" s="5" t="s">
        <v>21</v>
      </c>
      <c r="K3290" s="5">
        <v>200.0</v>
      </c>
      <c r="N3290" s="8">
        <v>44826.0</v>
      </c>
    </row>
    <row r="3291">
      <c r="A3291" s="5">
        <v>3290.0</v>
      </c>
      <c r="B3291" s="5" t="s">
        <v>3825</v>
      </c>
      <c r="C3291" s="5" t="s">
        <v>21</v>
      </c>
      <c r="K3291" s="5">
        <v>90.0</v>
      </c>
      <c r="N3291" s="8">
        <v>44543.0</v>
      </c>
    </row>
    <row r="3292">
      <c r="A3292" s="5">
        <v>3291.0</v>
      </c>
      <c r="B3292" s="5" t="s">
        <v>3826</v>
      </c>
      <c r="C3292" s="5" t="s">
        <v>21</v>
      </c>
      <c r="K3292" s="5">
        <v>350.0</v>
      </c>
      <c r="N3292" s="8">
        <v>44296.0</v>
      </c>
    </row>
    <row r="3293">
      <c r="A3293" s="5">
        <v>3292.0</v>
      </c>
      <c r="B3293" s="5" t="s">
        <v>3827</v>
      </c>
      <c r="C3293" s="5" t="s">
        <v>21</v>
      </c>
      <c r="K3293" s="5">
        <v>250.0</v>
      </c>
      <c r="N3293" s="8">
        <v>45564.0</v>
      </c>
    </row>
    <row r="3294">
      <c r="A3294" s="5">
        <v>3293.0</v>
      </c>
      <c r="B3294" s="5" t="s">
        <v>3828</v>
      </c>
      <c r="C3294" s="5" t="s">
        <v>21</v>
      </c>
      <c r="K3294" s="5">
        <v>250.0</v>
      </c>
      <c r="N3294" s="8">
        <v>44578.0</v>
      </c>
    </row>
    <row r="3295">
      <c r="A3295" s="5">
        <v>3294.0</v>
      </c>
      <c r="B3295" s="5" t="s">
        <v>3829</v>
      </c>
      <c r="C3295" s="5" t="s">
        <v>21</v>
      </c>
      <c r="K3295" s="5">
        <v>150.0</v>
      </c>
      <c r="N3295" s="8">
        <v>44651.0</v>
      </c>
    </row>
    <row r="3296">
      <c r="A3296" s="5">
        <v>3295.0</v>
      </c>
      <c r="B3296" s="5" t="s">
        <v>3830</v>
      </c>
      <c r="C3296" s="5" t="s">
        <v>21</v>
      </c>
      <c r="K3296" s="5">
        <v>150.0</v>
      </c>
      <c r="N3296" s="8">
        <v>45008.0</v>
      </c>
    </row>
    <row r="3297">
      <c r="A3297" s="5">
        <v>3296.0</v>
      </c>
      <c r="B3297" s="5" t="s">
        <v>3831</v>
      </c>
      <c r="C3297" s="5" t="s">
        <v>21</v>
      </c>
      <c r="K3297" s="5">
        <v>350.0</v>
      </c>
      <c r="N3297" s="8">
        <v>44651.0</v>
      </c>
    </row>
    <row r="3298">
      <c r="A3298" s="5">
        <v>3297.0</v>
      </c>
      <c r="B3298" s="5" t="s">
        <v>3832</v>
      </c>
      <c r="C3298" s="5" t="s">
        <v>21</v>
      </c>
      <c r="K3298" s="5">
        <v>2600.0</v>
      </c>
      <c r="N3298" s="8">
        <v>44839.0</v>
      </c>
    </row>
    <row r="3299">
      <c r="A3299" s="5">
        <v>3298.0</v>
      </c>
      <c r="B3299" s="5" t="s">
        <v>283</v>
      </c>
      <c r="C3299" s="5" t="s">
        <v>21</v>
      </c>
      <c r="K3299" s="5">
        <v>50.0</v>
      </c>
      <c r="N3299" s="8">
        <v>44618.0</v>
      </c>
    </row>
    <row r="3300">
      <c r="A3300" s="5">
        <v>3299.0</v>
      </c>
      <c r="B3300" s="5" t="s">
        <v>286</v>
      </c>
      <c r="C3300" s="5" t="s">
        <v>21</v>
      </c>
      <c r="K3300" s="5">
        <v>1100.0</v>
      </c>
      <c r="N3300" s="8">
        <v>43941.0</v>
      </c>
    </row>
    <row r="3301">
      <c r="A3301" s="5">
        <v>3300.0</v>
      </c>
      <c r="B3301" s="5" t="s">
        <v>3833</v>
      </c>
      <c r="C3301" s="5" t="s">
        <v>21</v>
      </c>
      <c r="K3301" s="5">
        <v>400.0</v>
      </c>
      <c r="N3301" s="8">
        <v>44552.0</v>
      </c>
    </row>
    <row r="3302">
      <c r="A3302" s="5">
        <v>3301.0</v>
      </c>
      <c r="B3302" s="5" t="s">
        <v>3834</v>
      </c>
      <c r="C3302" s="5" t="s">
        <v>21</v>
      </c>
      <c r="K3302" s="5">
        <v>60.0</v>
      </c>
      <c r="N3302" s="8">
        <v>45319.0</v>
      </c>
    </row>
    <row r="3303">
      <c r="A3303" s="5">
        <v>3302.0</v>
      </c>
      <c r="B3303" s="5" t="s">
        <v>3835</v>
      </c>
      <c r="C3303" s="5" t="s">
        <v>21</v>
      </c>
      <c r="K3303" s="5">
        <v>700.0</v>
      </c>
      <c r="N3303" s="8">
        <v>44873.0</v>
      </c>
    </row>
    <row r="3304">
      <c r="A3304" s="5">
        <v>3303.0</v>
      </c>
      <c r="B3304" s="5" t="s">
        <v>3836</v>
      </c>
      <c r="C3304" s="5" t="s">
        <v>21</v>
      </c>
      <c r="K3304" s="5">
        <v>3600.0</v>
      </c>
      <c r="N3304" s="8">
        <v>44003.0</v>
      </c>
    </row>
    <row r="3305">
      <c r="A3305" s="5">
        <v>3304.0</v>
      </c>
      <c r="B3305" s="5" t="s">
        <v>3837</v>
      </c>
      <c r="C3305" s="5" t="s">
        <v>21</v>
      </c>
      <c r="K3305" s="5">
        <v>3200.0</v>
      </c>
      <c r="N3305" s="8">
        <v>44518.0</v>
      </c>
    </row>
    <row r="3306">
      <c r="A3306" s="5">
        <v>3305.0</v>
      </c>
      <c r="B3306" s="5" t="s">
        <v>3838</v>
      </c>
      <c r="C3306" s="5" t="s">
        <v>21</v>
      </c>
      <c r="K3306" s="5">
        <v>250.0</v>
      </c>
      <c r="N3306" s="8">
        <v>44953.0</v>
      </c>
    </row>
    <row r="3307">
      <c r="A3307" s="5">
        <v>3306.0</v>
      </c>
      <c r="B3307" s="5" t="s">
        <v>3839</v>
      </c>
      <c r="C3307" s="5" t="s">
        <v>21</v>
      </c>
      <c r="K3307" s="5">
        <v>30.0</v>
      </c>
      <c r="N3307" s="8">
        <v>44199.0</v>
      </c>
    </row>
    <row r="3308">
      <c r="A3308" s="5">
        <v>3307.0</v>
      </c>
      <c r="B3308" s="5" t="s">
        <v>3840</v>
      </c>
      <c r="C3308" s="5" t="s">
        <v>21</v>
      </c>
      <c r="K3308" s="5">
        <v>3100.0</v>
      </c>
      <c r="N3308" s="8">
        <v>45086.0</v>
      </c>
    </row>
    <row r="3309">
      <c r="A3309" s="5">
        <v>3308.0</v>
      </c>
      <c r="B3309" s="5" t="s">
        <v>3841</v>
      </c>
      <c r="C3309" s="5" t="s">
        <v>21</v>
      </c>
      <c r="K3309" s="5">
        <v>30.0</v>
      </c>
      <c r="N3309" s="8">
        <v>44525.0</v>
      </c>
    </row>
    <row r="3310">
      <c r="A3310" s="5">
        <v>3309.0</v>
      </c>
      <c r="B3310" s="5" t="s">
        <v>289</v>
      </c>
      <c r="C3310" s="5" t="s">
        <v>21</v>
      </c>
      <c r="K3310" s="5">
        <v>300.0</v>
      </c>
      <c r="N3310" s="8">
        <v>45598.0</v>
      </c>
    </row>
    <row r="3311">
      <c r="A3311" s="5">
        <v>3310.0</v>
      </c>
      <c r="B3311" s="5" t="s">
        <v>3842</v>
      </c>
      <c r="C3311" s="5" t="s">
        <v>21</v>
      </c>
      <c r="K3311" s="5">
        <v>100.0</v>
      </c>
      <c r="N3311" s="8">
        <v>44983.0</v>
      </c>
    </row>
    <row r="3312">
      <c r="A3312" s="5">
        <v>3311.0</v>
      </c>
      <c r="B3312" s="5" t="s">
        <v>3843</v>
      </c>
      <c r="C3312" s="5" t="s">
        <v>21</v>
      </c>
      <c r="K3312" s="5">
        <v>150.0</v>
      </c>
      <c r="N3312" s="8">
        <v>44914.0</v>
      </c>
    </row>
    <row r="3313">
      <c r="A3313" s="5">
        <v>3312.0</v>
      </c>
      <c r="B3313" s="5" t="s">
        <v>3844</v>
      </c>
      <c r="C3313" s="5" t="s">
        <v>21</v>
      </c>
      <c r="K3313" s="5">
        <v>70.0</v>
      </c>
      <c r="N3313" s="8">
        <v>44475.0</v>
      </c>
    </row>
    <row r="3314">
      <c r="A3314" s="5">
        <v>3313.0</v>
      </c>
      <c r="B3314" s="5" t="s">
        <v>3845</v>
      </c>
      <c r="C3314" s="5" t="s">
        <v>21</v>
      </c>
      <c r="K3314" s="5">
        <v>3400.0</v>
      </c>
      <c r="N3314" s="8">
        <v>43995.0</v>
      </c>
    </row>
    <row r="3315">
      <c r="A3315" s="5">
        <v>3314.0</v>
      </c>
      <c r="B3315" s="5" t="s">
        <v>3846</v>
      </c>
      <c r="C3315" s="5" t="s">
        <v>21</v>
      </c>
      <c r="K3315" s="5">
        <v>50.0</v>
      </c>
      <c r="N3315" s="8">
        <v>43946.0</v>
      </c>
    </row>
    <row r="3316">
      <c r="A3316" s="5">
        <v>3315.0</v>
      </c>
      <c r="B3316" s="5" t="s">
        <v>3847</v>
      </c>
      <c r="C3316" s="5" t="s">
        <v>21</v>
      </c>
      <c r="K3316" s="5">
        <v>80.0</v>
      </c>
      <c r="N3316" s="8">
        <v>44558.0</v>
      </c>
    </row>
    <row r="3317">
      <c r="A3317" s="5">
        <v>3316.0</v>
      </c>
      <c r="B3317" s="5" t="s">
        <v>3848</v>
      </c>
      <c r="C3317" s="5" t="s">
        <v>21</v>
      </c>
      <c r="K3317" s="5">
        <v>50.0</v>
      </c>
      <c r="N3317" s="8">
        <v>44692.0</v>
      </c>
    </row>
    <row r="3318">
      <c r="A3318" s="5">
        <v>3317.0</v>
      </c>
      <c r="B3318" s="5" t="s">
        <v>3849</v>
      </c>
      <c r="C3318" s="5" t="s">
        <v>21</v>
      </c>
      <c r="K3318" s="5">
        <v>200.0</v>
      </c>
      <c r="N3318" s="8">
        <v>45220.0</v>
      </c>
    </row>
    <row r="3319">
      <c r="A3319" s="5">
        <v>3318.0</v>
      </c>
      <c r="B3319" s="5" t="s">
        <v>3850</v>
      </c>
      <c r="C3319" s="5" t="s">
        <v>21</v>
      </c>
      <c r="K3319" s="5">
        <v>100.0</v>
      </c>
      <c r="N3319" s="8">
        <v>44924.0</v>
      </c>
    </row>
    <row r="3320">
      <c r="A3320" s="5">
        <v>3319.0</v>
      </c>
      <c r="B3320" s="5" t="s">
        <v>3851</v>
      </c>
      <c r="C3320" s="5" t="s">
        <v>21</v>
      </c>
      <c r="K3320" s="5">
        <v>900.0</v>
      </c>
      <c r="N3320" s="8">
        <v>44419.0</v>
      </c>
    </row>
    <row r="3321">
      <c r="A3321" s="5">
        <v>3320.0</v>
      </c>
      <c r="B3321" s="5" t="s">
        <v>3852</v>
      </c>
      <c r="C3321" s="5" t="s">
        <v>21</v>
      </c>
      <c r="K3321" s="5">
        <v>200.0</v>
      </c>
      <c r="N3321" s="8">
        <v>44048.0</v>
      </c>
    </row>
    <row r="3322">
      <c r="A3322" s="5">
        <v>3321.0</v>
      </c>
      <c r="B3322" s="5" t="s">
        <v>3853</v>
      </c>
      <c r="C3322" s="5" t="s">
        <v>21</v>
      </c>
      <c r="K3322" s="5">
        <v>150.0</v>
      </c>
      <c r="N3322" s="8">
        <v>43908.0</v>
      </c>
    </row>
    <row r="3323">
      <c r="A3323" s="5">
        <v>3322.0</v>
      </c>
      <c r="B3323" s="5" t="s">
        <v>3854</v>
      </c>
      <c r="C3323" s="5" t="s">
        <v>21</v>
      </c>
      <c r="K3323" s="5">
        <v>30.0</v>
      </c>
      <c r="N3323" s="8">
        <v>44381.0</v>
      </c>
    </row>
    <row r="3324">
      <c r="A3324" s="5">
        <v>3323.0</v>
      </c>
      <c r="B3324" s="5" t="s">
        <v>3855</v>
      </c>
      <c r="C3324" s="5" t="s">
        <v>21</v>
      </c>
      <c r="K3324" s="5">
        <v>350.0</v>
      </c>
      <c r="N3324" s="8">
        <v>44634.0</v>
      </c>
    </row>
    <row r="3325">
      <c r="A3325" s="5">
        <v>3324.0</v>
      </c>
      <c r="B3325" s="5" t="s">
        <v>3856</v>
      </c>
      <c r="C3325" s="5" t="s">
        <v>21</v>
      </c>
      <c r="K3325" s="5">
        <v>200.0</v>
      </c>
      <c r="N3325" s="8">
        <v>44572.0</v>
      </c>
    </row>
    <row r="3326">
      <c r="A3326" s="5">
        <v>3325.0</v>
      </c>
      <c r="B3326" s="5" t="s">
        <v>3857</v>
      </c>
      <c r="C3326" s="5" t="s">
        <v>21</v>
      </c>
      <c r="K3326" s="5">
        <v>300.0</v>
      </c>
      <c r="N3326" s="8">
        <v>44352.0</v>
      </c>
    </row>
    <row r="3327">
      <c r="A3327" s="5">
        <v>3326.0</v>
      </c>
      <c r="B3327" s="5" t="s">
        <v>3858</v>
      </c>
      <c r="C3327" s="5" t="s">
        <v>21</v>
      </c>
      <c r="K3327" s="5">
        <v>250.0</v>
      </c>
      <c r="N3327" s="8">
        <v>44485.0</v>
      </c>
    </row>
    <row r="3328">
      <c r="A3328" s="5">
        <v>3327.0</v>
      </c>
      <c r="B3328" s="5" t="s">
        <v>3859</v>
      </c>
      <c r="C3328" s="5" t="s">
        <v>21</v>
      </c>
      <c r="K3328" s="5">
        <v>30.0</v>
      </c>
      <c r="N3328" s="8">
        <v>45416.0</v>
      </c>
    </row>
    <row r="3329">
      <c r="A3329" s="5">
        <v>3328.0</v>
      </c>
      <c r="B3329" s="5" t="s">
        <v>3860</v>
      </c>
      <c r="C3329" s="5" t="s">
        <v>21</v>
      </c>
      <c r="K3329" s="5">
        <v>450.0</v>
      </c>
      <c r="N3329" s="8">
        <v>44076.0</v>
      </c>
    </row>
    <row r="3330">
      <c r="A3330" s="5">
        <v>3329.0</v>
      </c>
      <c r="B3330" s="5" t="s">
        <v>3861</v>
      </c>
      <c r="C3330" s="5" t="s">
        <v>21</v>
      </c>
      <c r="K3330" s="5">
        <v>500.0</v>
      </c>
      <c r="N3330" s="8">
        <v>44593.0</v>
      </c>
    </row>
    <row r="3331">
      <c r="A3331" s="5">
        <v>3330.0</v>
      </c>
      <c r="B3331" s="5" t="s">
        <v>3862</v>
      </c>
      <c r="C3331" s="5" t="s">
        <v>21</v>
      </c>
      <c r="K3331" s="5">
        <v>5700.0</v>
      </c>
      <c r="N3331" s="8">
        <v>43855.0</v>
      </c>
    </row>
    <row r="3332">
      <c r="A3332" s="5">
        <v>3331.0</v>
      </c>
      <c r="B3332" s="5" t="s">
        <v>3863</v>
      </c>
      <c r="C3332" s="5" t="s">
        <v>21</v>
      </c>
      <c r="K3332" s="5">
        <v>1200.0</v>
      </c>
      <c r="N3332" s="8">
        <v>44582.0</v>
      </c>
    </row>
    <row r="3333">
      <c r="A3333" s="5">
        <v>3332.0</v>
      </c>
      <c r="B3333" s="5" t="s">
        <v>3864</v>
      </c>
      <c r="C3333" s="5" t="s">
        <v>21</v>
      </c>
      <c r="N3333" s="8">
        <v>42548.0</v>
      </c>
    </row>
    <row r="3334">
      <c r="A3334" s="5">
        <v>3333.0</v>
      </c>
      <c r="B3334" s="5" t="s">
        <v>3865</v>
      </c>
      <c r="C3334" s="5" t="s">
        <v>21</v>
      </c>
      <c r="K3334" s="5">
        <v>4000.0</v>
      </c>
      <c r="N3334" s="8">
        <v>43853.0</v>
      </c>
    </row>
    <row r="3335">
      <c r="A3335" s="5">
        <v>3334.0</v>
      </c>
      <c r="B3335" s="5" t="s">
        <v>3866</v>
      </c>
      <c r="C3335" s="5" t="s">
        <v>21</v>
      </c>
      <c r="K3335" s="5">
        <v>350.0</v>
      </c>
      <c r="N3335" s="8">
        <v>45119.0</v>
      </c>
    </row>
    <row r="3336">
      <c r="A3336" s="5">
        <v>3335.0</v>
      </c>
      <c r="B3336" s="5" t="s">
        <v>3867</v>
      </c>
      <c r="C3336" s="5" t="s">
        <v>21</v>
      </c>
      <c r="K3336" s="5">
        <v>100.0</v>
      </c>
      <c r="N3336" s="8">
        <v>45648.0</v>
      </c>
    </row>
    <row r="3337">
      <c r="A3337" s="5">
        <v>3336.0</v>
      </c>
      <c r="B3337" s="5" t="s">
        <v>3868</v>
      </c>
      <c r="C3337" s="5" t="s">
        <v>21</v>
      </c>
      <c r="K3337" s="5">
        <v>200.0</v>
      </c>
      <c r="N3337" s="8">
        <v>44589.0</v>
      </c>
    </row>
    <row r="3338">
      <c r="A3338" s="5">
        <v>3337.0</v>
      </c>
      <c r="B3338" s="5" t="s">
        <v>3869</v>
      </c>
      <c r="C3338" s="5" t="s">
        <v>21</v>
      </c>
      <c r="K3338" s="5">
        <v>60.0</v>
      </c>
      <c r="N3338" s="8">
        <v>44251.0</v>
      </c>
    </row>
    <row r="3339">
      <c r="A3339" s="5">
        <v>3338.0</v>
      </c>
      <c r="B3339" s="5" t="s">
        <v>3870</v>
      </c>
      <c r="C3339" s="5" t="s">
        <v>21</v>
      </c>
      <c r="K3339" s="5">
        <v>46000.0</v>
      </c>
      <c r="N3339" s="8">
        <v>45429.0</v>
      </c>
    </row>
    <row r="3340">
      <c r="A3340" s="5">
        <v>3339.0</v>
      </c>
      <c r="B3340" s="5" t="s">
        <v>3871</v>
      </c>
      <c r="C3340" s="5" t="s">
        <v>21</v>
      </c>
      <c r="N3340" s="8">
        <v>44519.0</v>
      </c>
    </row>
    <row r="3341">
      <c r="A3341" s="5">
        <v>3340.0</v>
      </c>
      <c r="B3341" s="5" t="s">
        <v>3872</v>
      </c>
      <c r="C3341" s="5" t="s">
        <v>21</v>
      </c>
      <c r="K3341" s="5">
        <v>1100.0</v>
      </c>
      <c r="N3341" s="8">
        <v>44534.0</v>
      </c>
    </row>
    <row r="3342">
      <c r="A3342" s="5">
        <v>3341.0</v>
      </c>
      <c r="B3342" s="5" t="s">
        <v>3873</v>
      </c>
      <c r="C3342" s="5" t="s">
        <v>21</v>
      </c>
      <c r="K3342" s="5">
        <v>250.0</v>
      </c>
      <c r="N3342" s="8">
        <v>44441.0</v>
      </c>
    </row>
    <row r="3343">
      <c r="A3343" s="5">
        <v>3342.0</v>
      </c>
      <c r="B3343" s="5" t="s">
        <v>3874</v>
      </c>
      <c r="C3343" s="5" t="s">
        <v>21</v>
      </c>
      <c r="K3343" s="5">
        <v>400.0</v>
      </c>
      <c r="N3343" s="8">
        <v>44592.0</v>
      </c>
    </row>
    <row r="3344">
      <c r="A3344" s="5">
        <v>3343.0</v>
      </c>
      <c r="B3344" s="5" t="s">
        <v>3875</v>
      </c>
      <c r="C3344" s="5" t="s">
        <v>21</v>
      </c>
      <c r="K3344" s="5">
        <v>500.0</v>
      </c>
      <c r="N3344" s="8">
        <v>45258.0</v>
      </c>
    </row>
    <row r="3345">
      <c r="A3345" s="5">
        <v>3344.0</v>
      </c>
      <c r="B3345" s="5" t="s">
        <v>3876</v>
      </c>
      <c r="C3345" s="5" t="s">
        <v>21</v>
      </c>
      <c r="K3345" s="5">
        <v>100.0</v>
      </c>
      <c r="N3345" s="8">
        <v>44525.0</v>
      </c>
    </row>
    <row r="3346">
      <c r="A3346" s="5">
        <v>3345.0</v>
      </c>
      <c r="B3346" s="5" t="s">
        <v>292</v>
      </c>
      <c r="C3346" s="5" t="s">
        <v>21</v>
      </c>
      <c r="K3346" s="5">
        <v>450.0</v>
      </c>
      <c r="N3346" s="8">
        <v>43908.0</v>
      </c>
    </row>
    <row r="3347">
      <c r="A3347" s="5">
        <v>3346.0</v>
      </c>
      <c r="B3347" s="5" t="s">
        <v>3877</v>
      </c>
      <c r="C3347" s="5" t="s">
        <v>21</v>
      </c>
      <c r="K3347" s="5">
        <v>700.0</v>
      </c>
      <c r="N3347" s="8">
        <v>44548.0</v>
      </c>
    </row>
    <row r="3348">
      <c r="A3348" s="5">
        <v>3347.0</v>
      </c>
      <c r="B3348" s="5" t="s">
        <v>3878</v>
      </c>
      <c r="C3348" s="5" t="s">
        <v>21</v>
      </c>
      <c r="K3348" s="5">
        <v>1100.0</v>
      </c>
      <c r="N3348" s="8">
        <v>44291.0</v>
      </c>
    </row>
    <row r="3349">
      <c r="A3349" s="5">
        <v>3348.0</v>
      </c>
      <c r="B3349" s="5" t="s">
        <v>3879</v>
      </c>
      <c r="C3349" s="5" t="s">
        <v>21</v>
      </c>
      <c r="K3349" s="5">
        <v>7300.0</v>
      </c>
      <c r="N3349" s="8">
        <v>45822.0</v>
      </c>
    </row>
    <row r="3350">
      <c r="A3350" s="5">
        <v>3349.0</v>
      </c>
      <c r="B3350" s="5" t="s">
        <v>3880</v>
      </c>
      <c r="C3350" s="5" t="s">
        <v>21</v>
      </c>
      <c r="K3350" s="5">
        <v>30.0</v>
      </c>
      <c r="N3350" s="8">
        <v>45455.0</v>
      </c>
    </row>
    <row r="3351">
      <c r="A3351" s="5">
        <v>3350.0</v>
      </c>
      <c r="B3351" s="5" t="s">
        <v>3881</v>
      </c>
      <c r="C3351" s="5" t="s">
        <v>21</v>
      </c>
      <c r="K3351" s="5">
        <v>40.0</v>
      </c>
      <c r="N3351" s="8">
        <v>44545.0</v>
      </c>
    </row>
    <row r="3352">
      <c r="A3352" s="5">
        <v>3351.0</v>
      </c>
      <c r="B3352" s="5" t="s">
        <v>3882</v>
      </c>
      <c r="C3352" s="5" t="s">
        <v>21</v>
      </c>
      <c r="K3352" s="5">
        <v>80.0</v>
      </c>
      <c r="N3352" s="8">
        <v>44622.0</v>
      </c>
    </row>
    <row r="3353">
      <c r="A3353" s="5">
        <v>3352.0</v>
      </c>
      <c r="B3353" s="5" t="s">
        <v>3883</v>
      </c>
      <c r="C3353" s="5" t="s">
        <v>21</v>
      </c>
      <c r="K3353" s="5">
        <v>20.0</v>
      </c>
      <c r="N3353" s="8">
        <v>44510.0</v>
      </c>
    </row>
    <row r="3354">
      <c r="A3354" s="5">
        <v>3353.0</v>
      </c>
      <c r="B3354" s="5" t="s">
        <v>3884</v>
      </c>
      <c r="C3354" s="5" t="s">
        <v>21</v>
      </c>
      <c r="K3354" s="5">
        <v>450.0</v>
      </c>
      <c r="N3354" s="8">
        <v>43914.0</v>
      </c>
    </row>
    <row r="3355">
      <c r="A3355" s="5">
        <v>3354.0</v>
      </c>
      <c r="B3355" s="5" t="s">
        <v>3885</v>
      </c>
      <c r="C3355" s="5" t="s">
        <v>21</v>
      </c>
      <c r="N3355" s="8">
        <v>44884.0</v>
      </c>
    </row>
    <row r="3356">
      <c r="A3356" s="5">
        <v>3355.0</v>
      </c>
      <c r="B3356" s="5" t="s">
        <v>294</v>
      </c>
      <c r="C3356" s="5" t="s">
        <v>21</v>
      </c>
      <c r="K3356" s="5">
        <v>200.0</v>
      </c>
      <c r="N3356" s="8">
        <v>44155.0</v>
      </c>
    </row>
    <row r="3357">
      <c r="A3357" s="5">
        <v>3356.0</v>
      </c>
      <c r="B3357" s="5" t="s">
        <v>3886</v>
      </c>
      <c r="C3357" s="5" t="s">
        <v>21</v>
      </c>
      <c r="K3357" s="5">
        <v>30.0</v>
      </c>
      <c r="N3357" s="8">
        <v>45588.0</v>
      </c>
    </row>
    <row r="3358">
      <c r="A3358" s="5">
        <v>3357.0</v>
      </c>
      <c r="B3358" s="5" t="s">
        <v>3887</v>
      </c>
      <c r="C3358" s="5" t="s">
        <v>21</v>
      </c>
      <c r="K3358" s="5">
        <v>200.0</v>
      </c>
      <c r="N3358" s="8">
        <v>44809.0</v>
      </c>
    </row>
    <row r="3359">
      <c r="A3359" s="5">
        <v>3358.0</v>
      </c>
      <c r="B3359" s="5" t="s">
        <v>3888</v>
      </c>
      <c r="C3359" s="5" t="s">
        <v>21</v>
      </c>
      <c r="K3359" s="5">
        <v>1400.0</v>
      </c>
      <c r="N3359" s="8">
        <v>44554.0</v>
      </c>
    </row>
    <row r="3360">
      <c r="A3360" s="5">
        <v>3359.0</v>
      </c>
      <c r="B3360" s="5" t="s">
        <v>3889</v>
      </c>
      <c r="C3360" s="5" t="s">
        <v>21</v>
      </c>
      <c r="K3360" s="5">
        <v>250.0</v>
      </c>
      <c r="N3360" s="8">
        <v>45555.0</v>
      </c>
    </row>
    <row r="3361">
      <c r="A3361" s="5">
        <v>3360.0</v>
      </c>
      <c r="B3361" s="5" t="s">
        <v>3890</v>
      </c>
      <c r="C3361" s="5" t="s">
        <v>21</v>
      </c>
      <c r="K3361" s="5">
        <v>150.0</v>
      </c>
      <c r="N3361" s="8">
        <v>44238.0</v>
      </c>
    </row>
    <row r="3362">
      <c r="A3362" s="5">
        <v>3361.0</v>
      </c>
      <c r="B3362" s="5" t="s">
        <v>3891</v>
      </c>
      <c r="C3362" s="5" t="s">
        <v>21</v>
      </c>
      <c r="K3362" s="5">
        <v>400.0</v>
      </c>
      <c r="N3362" s="8">
        <v>44582.0</v>
      </c>
    </row>
    <row r="3363">
      <c r="A3363" s="5">
        <v>3362.0</v>
      </c>
      <c r="B3363" s="5" t="s">
        <v>3892</v>
      </c>
      <c r="C3363" s="5" t="s">
        <v>21</v>
      </c>
      <c r="K3363" s="5">
        <v>150.0</v>
      </c>
      <c r="N3363" s="8">
        <v>44584.0</v>
      </c>
    </row>
    <row r="3364">
      <c r="A3364" s="5">
        <v>3363.0</v>
      </c>
      <c r="B3364" s="5" t="s">
        <v>3893</v>
      </c>
      <c r="C3364" s="5" t="s">
        <v>21</v>
      </c>
      <c r="K3364" s="5">
        <v>10.0</v>
      </c>
      <c r="N3364" s="8">
        <v>44579.0</v>
      </c>
    </row>
    <row r="3365">
      <c r="A3365" s="5">
        <v>3364.0</v>
      </c>
      <c r="B3365" s="5" t="s">
        <v>3894</v>
      </c>
      <c r="C3365" s="5" t="s">
        <v>21</v>
      </c>
      <c r="K3365" s="5">
        <v>350.0</v>
      </c>
      <c r="N3365" s="8">
        <v>44111.0</v>
      </c>
    </row>
    <row r="3366">
      <c r="A3366" s="5">
        <v>3365.0</v>
      </c>
      <c r="B3366" s="5" t="s">
        <v>3895</v>
      </c>
      <c r="C3366" s="5" t="s">
        <v>21</v>
      </c>
      <c r="K3366" s="5">
        <v>40.0</v>
      </c>
      <c r="N3366" s="8">
        <v>44426.0</v>
      </c>
    </row>
    <row r="3367">
      <c r="A3367" s="5">
        <v>3366.0</v>
      </c>
      <c r="B3367" s="5" t="s">
        <v>3896</v>
      </c>
      <c r="C3367" s="5" t="s">
        <v>21</v>
      </c>
      <c r="K3367" s="5">
        <v>350.0</v>
      </c>
      <c r="N3367" s="8">
        <v>44243.0</v>
      </c>
    </row>
    <row r="3368">
      <c r="A3368" s="5">
        <v>3367.0</v>
      </c>
      <c r="B3368" s="5" t="s">
        <v>3897</v>
      </c>
      <c r="C3368" s="5" t="s">
        <v>21</v>
      </c>
      <c r="K3368" s="5">
        <v>800.0</v>
      </c>
      <c r="N3368" s="8">
        <v>44722.0</v>
      </c>
    </row>
    <row r="3369">
      <c r="A3369" s="5">
        <v>3368.0</v>
      </c>
      <c r="B3369" s="5" t="s">
        <v>3898</v>
      </c>
      <c r="C3369" s="5" t="s">
        <v>21</v>
      </c>
      <c r="N3369" s="8">
        <v>44884.0</v>
      </c>
    </row>
    <row r="3370">
      <c r="A3370" s="5">
        <v>3369.0</v>
      </c>
      <c r="B3370" s="5" t="s">
        <v>3899</v>
      </c>
      <c r="C3370" s="5" t="s">
        <v>21</v>
      </c>
      <c r="K3370" s="5">
        <v>200.0</v>
      </c>
      <c r="N3370" s="8">
        <v>45112.0</v>
      </c>
    </row>
    <row r="3371">
      <c r="A3371" s="5">
        <v>3370.0</v>
      </c>
      <c r="B3371" s="5" t="s">
        <v>3900</v>
      </c>
      <c r="C3371" s="5" t="s">
        <v>21</v>
      </c>
      <c r="K3371" s="5">
        <v>250.0</v>
      </c>
      <c r="N3371" s="8">
        <v>44719.0</v>
      </c>
    </row>
    <row r="3372">
      <c r="A3372" s="5">
        <v>3371.0</v>
      </c>
      <c r="B3372" s="5" t="s">
        <v>3901</v>
      </c>
      <c r="C3372" s="5" t="s">
        <v>21</v>
      </c>
      <c r="K3372" s="5">
        <v>150.0</v>
      </c>
      <c r="N3372" s="8">
        <v>44748.0</v>
      </c>
    </row>
    <row r="3373">
      <c r="A3373" s="5">
        <v>3372.0</v>
      </c>
      <c r="B3373" s="5" t="s">
        <v>3902</v>
      </c>
      <c r="C3373" s="5" t="s">
        <v>21</v>
      </c>
      <c r="K3373" s="5">
        <v>1400.0</v>
      </c>
      <c r="N3373" s="8">
        <v>44619.0</v>
      </c>
    </row>
    <row r="3374">
      <c r="A3374" s="5">
        <v>3373.0</v>
      </c>
      <c r="B3374" s="5" t="s">
        <v>3903</v>
      </c>
      <c r="C3374" s="5" t="s">
        <v>21</v>
      </c>
      <c r="K3374" s="5">
        <v>250.0</v>
      </c>
      <c r="N3374" s="8">
        <v>44923.0</v>
      </c>
    </row>
    <row r="3375">
      <c r="A3375" s="5">
        <v>3374.0</v>
      </c>
      <c r="B3375" s="5" t="s">
        <v>3904</v>
      </c>
      <c r="C3375" s="5" t="s">
        <v>21</v>
      </c>
      <c r="K3375" s="5">
        <v>3100.0</v>
      </c>
      <c r="N3375" s="8">
        <v>43937.0</v>
      </c>
    </row>
    <row r="3376">
      <c r="A3376" s="5">
        <v>3375.0</v>
      </c>
      <c r="B3376" s="5" t="s">
        <v>3905</v>
      </c>
      <c r="C3376" s="5" t="s">
        <v>21</v>
      </c>
      <c r="K3376" s="5">
        <v>200.0</v>
      </c>
      <c r="N3376" s="8">
        <v>44525.0</v>
      </c>
    </row>
    <row r="3377">
      <c r="A3377" s="5">
        <v>3376.0</v>
      </c>
      <c r="B3377" s="5" t="s">
        <v>3906</v>
      </c>
      <c r="C3377" s="5" t="s">
        <v>21</v>
      </c>
      <c r="K3377" s="5">
        <v>40.0</v>
      </c>
      <c r="N3377" s="8">
        <v>44272.0</v>
      </c>
    </row>
    <row r="3378">
      <c r="A3378" s="5">
        <v>3377.0</v>
      </c>
      <c r="B3378" s="5" t="s">
        <v>3907</v>
      </c>
      <c r="C3378" s="5" t="s">
        <v>21</v>
      </c>
      <c r="K3378" s="5">
        <v>250.0</v>
      </c>
      <c r="N3378" s="8">
        <v>44654.0</v>
      </c>
    </row>
    <row r="3379">
      <c r="A3379" s="5">
        <v>3378.0</v>
      </c>
      <c r="B3379" s="5" t="s">
        <v>287</v>
      </c>
      <c r="C3379" s="5" t="s">
        <v>21</v>
      </c>
      <c r="K3379" s="5">
        <v>150.0</v>
      </c>
      <c r="N3379" s="8">
        <v>44799.0</v>
      </c>
    </row>
    <row r="3380">
      <c r="A3380" s="5">
        <v>3379.0</v>
      </c>
      <c r="B3380" s="5" t="s">
        <v>3908</v>
      </c>
      <c r="C3380" s="5" t="s">
        <v>21</v>
      </c>
      <c r="K3380" s="5">
        <v>800.0</v>
      </c>
      <c r="N3380" s="8">
        <v>44579.0</v>
      </c>
    </row>
    <row r="3381">
      <c r="A3381" s="5">
        <v>3380.0</v>
      </c>
      <c r="B3381" s="5" t="s">
        <v>3909</v>
      </c>
      <c r="C3381" s="5" t="s">
        <v>21</v>
      </c>
      <c r="K3381" s="5">
        <v>5100.0</v>
      </c>
      <c r="N3381" s="8">
        <v>42692.0</v>
      </c>
    </row>
    <row r="3382">
      <c r="A3382" s="5">
        <v>3381.0</v>
      </c>
      <c r="B3382" s="5" t="s">
        <v>3910</v>
      </c>
      <c r="C3382" s="5" t="s">
        <v>21</v>
      </c>
      <c r="K3382" s="5">
        <v>60.0</v>
      </c>
      <c r="N3382" s="8">
        <v>44703.0</v>
      </c>
    </row>
    <row r="3383">
      <c r="A3383" s="5">
        <v>3382.0</v>
      </c>
      <c r="B3383" s="5" t="s">
        <v>3911</v>
      </c>
      <c r="C3383" s="5" t="s">
        <v>21</v>
      </c>
      <c r="K3383" s="5">
        <v>200.0</v>
      </c>
      <c r="N3383" s="8">
        <v>44536.0</v>
      </c>
    </row>
    <row r="3384">
      <c r="A3384" s="5">
        <v>3383.0</v>
      </c>
      <c r="B3384" s="5" t="s">
        <v>3912</v>
      </c>
      <c r="C3384" s="5" t="s">
        <v>21</v>
      </c>
      <c r="K3384" s="5">
        <v>150.0</v>
      </c>
      <c r="N3384" s="8">
        <v>44576.0</v>
      </c>
    </row>
    <row r="3385">
      <c r="A3385" s="5">
        <v>3384.0</v>
      </c>
      <c r="B3385" s="5" t="s">
        <v>3913</v>
      </c>
      <c r="C3385" s="5" t="s">
        <v>21</v>
      </c>
      <c r="K3385" s="5">
        <v>900.0</v>
      </c>
      <c r="N3385" s="8">
        <v>45296.0</v>
      </c>
    </row>
    <row r="3386">
      <c r="A3386" s="5">
        <v>3385.0</v>
      </c>
      <c r="B3386" s="5" t="s">
        <v>3914</v>
      </c>
      <c r="C3386" s="5" t="s">
        <v>21</v>
      </c>
      <c r="K3386" s="5">
        <v>400.0</v>
      </c>
      <c r="N3386" s="8">
        <v>45117.0</v>
      </c>
    </row>
    <row r="3387">
      <c r="A3387" s="5">
        <v>3386.0</v>
      </c>
      <c r="B3387" s="5" t="s">
        <v>3915</v>
      </c>
      <c r="C3387" s="5" t="s">
        <v>21</v>
      </c>
      <c r="K3387" s="5">
        <v>450.0</v>
      </c>
      <c r="N3387" s="8">
        <v>44538.0</v>
      </c>
    </row>
    <row r="3388">
      <c r="A3388" s="5">
        <v>3387.0</v>
      </c>
      <c r="B3388" s="5" t="s">
        <v>3916</v>
      </c>
      <c r="C3388" s="5" t="s">
        <v>21</v>
      </c>
      <c r="K3388" s="5">
        <v>150.0</v>
      </c>
      <c r="N3388" s="8">
        <v>44565.0</v>
      </c>
    </row>
    <row r="3389">
      <c r="A3389" s="5">
        <v>3388.0</v>
      </c>
      <c r="B3389" s="5" t="s">
        <v>3917</v>
      </c>
      <c r="C3389" s="5" t="s">
        <v>21</v>
      </c>
      <c r="K3389" s="5">
        <v>600.0</v>
      </c>
      <c r="N3389" s="8">
        <v>45238.0</v>
      </c>
    </row>
    <row r="3390">
      <c r="A3390" s="5">
        <v>3389.0</v>
      </c>
      <c r="B3390" s="5" t="s">
        <v>3918</v>
      </c>
      <c r="C3390" s="5" t="s">
        <v>21</v>
      </c>
      <c r="K3390" s="5">
        <v>500.0</v>
      </c>
      <c r="N3390" s="8">
        <v>43871.0</v>
      </c>
    </row>
    <row r="3391">
      <c r="A3391" s="5">
        <v>3390.0</v>
      </c>
      <c r="B3391" s="5" t="s">
        <v>3919</v>
      </c>
      <c r="C3391" s="5" t="s">
        <v>21</v>
      </c>
      <c r="K3391" s="5">
        <v>200.0</v>
      </c>
      <c r="N3391" s="8">
        <v>44546.0</v>
      </c>
    </row>
    <row r="3392">
      <c r="A3392" s="5">
        <v>3391.0</v>
      </c>
      <c r="B3392" s="5" t="s">
        <v>3920</v>
      </c>
      <c r="C3392" s="5" t="s">
        <v>21</v>
      </c>
      <c r="K3392" s="5">
        <v>1100.0</v>
      </c>
      <c r="N3392" s="8">
        <v>44884.0</v>
      </c>
    </row>
    <row r="3393">
      <c r="A3393" s="5">
        <v>3392.0</v>
      </c>
      <c r="B3393" s="5" t="s">
        <v>3921</v>
      </c>
      <c r="C3393" s="5" t="s">
        <v>21</v>
      </c>
      <c r="K3393" s="5">
        <v>400.0</v>
      </c>
      <c r="N3393" s="8">
        <v>43881.0</v>
      </c>
    </row>
    <row r="3394">
      <c r="A3394" s="5">
        <v>3393.0</v>
      </c>
      <c r="B3394" s="5" t="s">
        <v>3922</v>
      </c>
      <c r="C3394" s="5" t="s">
        <v>21</v>
      </c>
      <c r="K3394" s="5">
        <v>70.0</v>
      </c>
      <c r="N3394" s="8">
        <v>44059.0</v>
      </c>
    </row>
    <row r="3395">
      <c r="A3395" s="5">
        <v>3394.0</v>
      </c>
      <c r="B3395" s="5" t="s">
        <v>3923</v>
      </c>
      <c r="C3395" s="5" t="s">
        <v>21</v>
      </c>
      <c r="K3395" s="5">
        <v>1000.0</v>
      </c>
      <c r="N3395" s="8">
        <v>43925.0</v>
      </c>
    </row>
    <row r="3396">
      <c r="A3396" s="5">
        <v>3395.0</v>
      </c>
      <c r="B3396" s="5" t="s">
        <v>3924</v>
      </c>
      <c r="C3396" s="5" t="s">
        <v>21</v>
      </c>
      <c r="K3396" s="5">
        <v>30.0</v>
      </c>
      <c r="N3396" s="8">
        <v>44039.0</v>
      </c>
    </row>
    <row r="3397">
      <c r="A3397" s="5">
        <v>3396.0</v>
      </c>
      <c r="B3397" s="5" t="s">
        <v>3925</v>
      </c>
      <c r="C3397" s="5" t="s">
        <v>21</v>
      </c>
      <c r="K3397" s="5">
        <v>500.0</v>
      </c>
      <c r="N3397" s="8">
        <v>44858.0</v>
      </c>
    </row>
    <row r="3398">
      <c r="A3398" s="5">
        <v>3397.0</v>
      </c>
      <c r="B3398" s="5" t="s">
        <v>290</v>
      </c>
      <c r="C3398" s="5" t="s">
        <v>21</v>
      </c>
      <c r="K3398" s="5">
        <v>1100.0</v>
      </c>
      <c r="N3398" s="8">
        <v>44571.0</v>
      </c>
    </row>
    <row r="3399">
      <c r="A3399" s="5">
        <v>3398.0</v>
      </c>
      <c r="B3399" s="5" t="s">
        <v>3926</v>
      </c>
      <c r="C3399" s="5" t="s">
        <v>21</v>
      </c>
      <c r="K3399" s="5">
        <v>350.0</v>
      </c>
      <c r="N3399" s="8">
        <v>45639.0</v>
      </c>
    </row>
    <row r="3400">
      <c r="A3400" s="5">
        <v>3399.0</v>
      </c>
      <c r="B3400" s="5" t="s">
        <v>3927</v>
      </c>
      <c r="C3400" s="5" t="s">
        <v>21</v>
      </c>
      <c r="N3400" s="8">
        <v>44940.0</v>
      </c>
    </row>
    <row r="3401">
      <c r="A3401" s="5">
        <v>3400.0</v>
      </c>
      <c r="B3401" s="5" t="s">
        <v>293</v>
      </c>
      <c r="C3401" s="5" t="s">
        <v>21</v>
      </c>
      <c r="K3401" s="5">
        <v>2800.0</v>
      </c>
      <c r="N3401" s="8">
        <v>43915.0</v>
      </c>
    </row>
    <row r="3402">
      <c r="A3402" s="5">
        <v>3401.0</v>
      </c>
      <c r="B3402" s="5" t="s">
        <v>3928</v>
      </c>
      <c r="C3402" s="5" t="s">
        <v>21</v>
      </c>
      <c r="K3402" s="5">
        <v>300.0</v>
      </c>
      <c r="N3402" s="8">
        <v>43999.0</v>
      </c>
    </row>
    <row r="3403">
      <c r="A3403" s="5">
        <v>3402.0</v>
      </c>
      <c r="B3403" s="5" t="s">
        <v>3929</v>
      </c>
      <c r="C3403" s="5" t="s">
        <v>21</v>
      </c>
      <c r="K3403" s="5">
        <v>3100.0</v>
      </c>
      <c r="N3403" s="8">
        <v>43969.0</v>
      </c>
    </row>
    <row r="3404">
      <c r="A3404" s="5">
        <v>3403.0</v>
      </c>
      <c r="B3404" s="5" t="s">
        <v>3930</v>
      </c>
      <c r="C3404" s="5" t="s">
        <v>21</v>
      </c>
      <c r="K3404" s="5">
        <v>150.0</v>
      </c>
      <c r="N3404" s="8">
        <v>45502.0</v>
      </c>
    </row>
    <row r="3405">
      <c r="A3405" s="5">
        <v>3404.0</v>
      </c>
      <c r="B3405" s="5" t="s">
        <v>3931</v>
      </c>
      <c r="C3405" s="5" t="s">
        <v>21</v>
      </c>
      <c r="K3405" s="5">
        <v>400.0</v>
      </c>
      <c r="N3405" s="8">
        <v>44419.0</v>
      </c>
    </row>
    <row r="3406">
      <c r="A3406" s="5">
        <v>3405.0</v>
      </c>
      <c r="B3406" s="5" t="s">
        <v>3932</v>
      </c>
      <c r="C3406" s="5" t="s">
        <v>21</v>
      </c>
      <c r="K3406" s="5">
        <v>350.0</v>
      </c>
      <c r="N3406" s="8">
        <v>44591.0</v>
      </c>
    </row>
    <row r="3407">
      <c r="A3407" s="5">
        <v>3406.0</v>
      </c>
      <c r="B3407" s="5" t="s">
        <v>3933</v>
      </c>
      <c r="C3407" s="5" t="s">
        <v>21</v>
      </c>
      <c r="K3407" s="5">
        <v>14000.0</v>
      </c>
      <c r="N3407" s="8">
        <v>46088.0</v>
      </c>
    </row>
    <row r="3408">
      <c r="A3408" s="5">
        <v>3407.0</v>
      </c>
      <c r="B3408" s="5" t="s">
        <v>3934</v>
      </c>
      <c r="C3408" s="5" t="s">
        <v>21</v>
      </c>
      <c r="K3408" s="5">
        <v>300.0</v>
      </c>
      <c r="N3408" s="8">
        <v>44569.0</v>
      </c>
    </row>
    <row r="3409">
      <c r="A3409" s="5">
        <v>3408.0</v>
      </c>
      <c r="B3409" s="5" t="s">
        <v>3935</v>
      </c>
      <c r="C3409" s="5" t="s">
        <v>21</v>
      </c>
      <c r="K3409" s="5">
        <v>150.0</v>
      </c>
      <c r="N3409" s="8">
        <v>45387.0</v>
      </c>
    </row>
    <row r="3410">
      <c r="A3410" s="5">
        <v>3409.0</v>
      </c>
      <c r="B3410" s="5" t="s">
        <v>3936</v>
      </c>
      <c r="C3410" s="5" t="s">
        <v>21</v>
      </c>
      <c r="K3410" s="5">
        <v>250.0</v>
      </c>
      <c r="N3410" s="8">
        <v>44517.0</v>
      </c>
    </row>
    <row r="3411">
      <c r="A3411" s="5">
        <v>3410.0</v>
      </c>
      <c r="B3411" s="5" t="s">
        <v>3937</v>
      </c>
      <c r="C3411" s="5" t="s">
        <v>21</v>
      </c>
      <c r="K3411" s="5">
        <v>2800.0</v>
      </c>
      <c r="N3411" s="8">
        <v>44041.0</v>
      </c>
    </row>
    <row r="3412">
      <c r="A3412" s="5">
        <v>3411.0</v>
      </c>
      <c r="B3412" s="5" t="s">
        <v>3938</v>
      </c>
      <c r="C3412" s="5" t="s">
        <v>21</v>
      </c>
      <c r="K3412" s="5">
        <v>1000.0</v>
      </c>
      <c r="N3412" s="8">
        <v>43876.0</v>
      </c>
    </row>
    <row r="3413">
      <c r="A3413" s="5">
        <v>3412.0</v>
      </c>
      <c r="B3413" s="5" t="s">
        <v>3939</v>
      </c>
      <c r="C3413" s="5" t="s">
        <v>21</v>
      </c>
      <c r="K3413" s="5">
        <v>500.0</v>
      </c>
      <c r="N3413" s="8">
        <v>44627.0</v>
      </c>
    </row>
    <row r="3414">
      <c r="A3414" s="5">
        <v>3413.0</v>
      </c>
      <c r="B3414" s="5" t="s">
        <v>3940</v>
      </c>
      <c r="C3414" s="5" t="s">
        <v>21</v>
      </c>
      <c r="K3414" s="5">
        <v>90.0</v>
      </c>
      <c r="N3414" s="8">
        <v>44572.0</v>
      </c>
    </row>
    <row r="3415">
      <c r="A3415" s="5">
        <v>3414.0</v>
      </c>
      <c r="B3415" s="5" t="s">
        <v>3941</v>
      </c>
      <c r="C3415" s="5" t="s">
        <v>21</v>
      </c>
      <c r="K3415" s="5">
        <v>200.0</v>
      </c>
      <c r="N3415" s="8">
        <v>44150.0</v>
      </c>
    </row>
    <row r="3416">
      <c r="A3416" s="5">
        <v>3415.0</v>
      </c>
      <c r="B3416" s="5" t="s">
        <v>3942</v>
      </c>
      <c r="C3416" s="5" t="s">
        <v>21</v>
      </c>
      <c r="K3416" s="5">
        <v>250.0</v>
      </c>
      <c r="N3416" s="8">
        <v>44579.0</v>
      </c>
    </row>
    <row r="3417">
      <c r="A3417" s="5">
        <v>3416.0</v>
      </c>
      <c r="B3417" s="5" t="s">
        <v>3943</v>
      </c>
      <c r="C3417" s="5" t="s">
        <v>21</v>
      </c>
      <c r="K3417" s="5">
        <v>250.0</v>
      </c>
      <c r="N3417" s="8">
        <v>45127.0</v>
      </c>
    </row>
    <row r="3418">
      <c r="A3418" s="5">
        <v>3417.0</v>
      </c>
      <c r="B3418" s="5" t="s">
        <v>3944</v>
      </c>
      <c r="C3418" s="5" t="s">
        <v>21</v>
      </c>
      <c r="K3418" s="5">
        <v>9800.0</v>
      </c>
      <c r="N3418" s="8">
        <v>42349.0</v>
      </c>
    </row>
    <row r="3419">
      <c r="A3419" s="5">
        <v>3418.0</v>
      </c>
      <c r="B3419" s="5" t="s">
        <v>3945</v>
      </c>
      <c r="C3419" s="5" t="s">
        <v>21</v>
      </c>
      <c r="K3419" s="5">
        <v>100.0</v>
      </c>
      <c r="N3419" s="8">
        <v>44433.0</v>
      </c>
    </row>
    <row r="3420">
      <c r="A3420" s="5">
        <v>3419.0</v>
      </c>
      <c r="B3420" s="5" t="s">
        <v>297</v>
      </c>
      <c r="C3420" s="5" t="s">
        <v>21</v>
      </c>
      <c r="K3420" s="5">
        <v>450.0</v>
      </c>
      <c r="N3420" s="8">
        <v>44212.0</v>
      </c>
    </row>
    <row r="3421">
      <c r="A3421" s="5">
        <v>3420.0</v>
      </c>
      <c r="B3421" s="5" t="s">
        <v>3946</v>
      </c>
      <c r="C3421" s="5" t="s">
        <v>21</v>
      </c>
      <c r="K3421" s="5">
        <v>200.0</v>
      </c>
      <c r="N3421" s="8">
        <v>45077.0</v>
      </c>
    </row>
    <row r="3422">
      <c r="A3422" s="5">
        <v>3421.0</v>
      </c>
      <c r="B3422" s="5" t="s">
        <v>3947</v>
      </c>
      <c r="C3422" s="5" t="s">
        <v>21</v>
      </c>
      <c r="K3422" s="5">
        <v>200.0</v>
      </c>
      <c r="N3422" s="8">
        <v>45192.0</v>
      </c>
    </row>
    <row r="3423">
      <c r="A3423" s="5">
        <v>3422.0</v>
      </c>
      <c r="B3423" s="5" t="s">
        <v>3948</v>
      </c>
      <c r="C3423" s="5" t="s">
        <v>21</v>
      </c>
      <c r="K3423" s="5">
        <v>200.0</v>
      </c>
      <c r="N3423" s="8">
        <v>43862.0</v>
      </c>
    </row>
    <row r="3424">
      <c r="A3424" s="5">
        <v>3423.0</v>
      </c>
      <c r="B3424" s="5" t="s">
        <v>3949</v>
      </c>
      <c r="C3424" s="5" t="s">
        <v>21</v>
      </c>
      <c r="K3424" s="5">
        <v>40.0</v>
      </c>
      <c r="N3424" s="8">
        <v>44572.0</v>
      </c>
    </row>
    <row r="3425">
      <c r="A3425" s="5">
        <v>3424.0</v>
      </c>
      <c r="B3425" s="5" t="s">
        <v>3950</v>
      </c>
      <c r="C3425" s="5" t="s">
        <v>21</v>
      </c>
      <c r="K3425" s="5">
        <v>100.0</v>
      </c>
      <c r="N3425" s="8">
        <v>45314.0</v>
      </c>
    </row>
    <row r="3426">
      <c r="A3426" s="5">
        <v>3425.0</v>
      </c>
      <c r="B3426" s="5" t="s">
        <v>3951</v>
      </c>
      <c r="C3426" s="5" t="s">
        <v>21</v>
      </c>
      <c r="K3426" s="5">
        <v>250.0</v>
      </c>
      <c r="N3426" s="8">
        <v>45316.0</v>
      </c>
    </row>
    <row r="3427">
      <c r="A3427" s="5">
        <v>3426.0</v>
      </c>
      <c r="B3427" s="5" t="s">
        <v>3952</v>
      </c>
      <c r="C3427" s="5" t="s">
        <v>21</v>
      </c>
      <c r="K3427" s="5">
        <v>1400.0</v>
      </c>
      <c r="N3427" s="8">
        <v>44262.0</v>
      </c>
    </row>
    <row r="3428">
      <c r="A3428" s="5">
        <v>3427.0</v>
      </c>
      <c r="B3428" s="5" t="s">
        <v>3953</v>
      </c>
      <c r="C3428" s="5" t="s">
        <v>21</v>
      </c>
      <c r="K3428" s="5">
        <v>200.0</v>
      </c>
      <c r="N3428" s="8">
        <v>44786.0</v>
      </c>
    </row>
    <row r="3429">
      <c r="A3429" s="5">
        <v>3428.0</v>
      </c>
      <c r="B3429" s="5" t="s">
        <v>3954</v>
      </c>
      <c r="C3429" s="5" t="s">
        <v>21</v>
      </c>
      <c r="K3429" s="5">
        <v>100.0</v>
      </c>
      <c r="N3429" s="8">
        <v>45124.0</v>
      </c>
    </row>
    <row r="3430">
      <c r="A3430" s="5">
        <v>3429.0</v>
      </c>
      <c r="B3430" s="5" t="s">
        <v>3955</v>
      </c>
      <c r="C3430" s="5" t="s">
        <v>21</v>
      </c>
      <c r="K3430" s="5">
        <v>500.0</v>
      </c>
      <c r="N3430" s="8">
        <v>44581.0</v>
      </c>
    </row>
    <row r="3431">
      <c r="A3431" s="5">
        <v>3430.0</v>
      </c>
      <c r="B3431" s="5" t="s">
        <v>3956</v>
      </c>
      <c r="C3431" s="5" t="s">
        <v>21</v>
      </c>
      <c r="K3431" s="5">
        <v>350.0</v>
      </c>
      <c r="N3431" s="8">
        <v>43853.0</v>
      </c>
    </row>
    <row r="3432">
      <c r="A3432" s="5">
        <v>3431.0</v>
      </c>
      <c r="B3432" s="5" t="s">
        <v>3957</v>
      </c>
      <c r="C3432" s="5" t="s">
        <v>21</v>
      </c>
      <c r="K3432" s="5">
        <v>500.0</v>
      </c>
      <c r="N3432" s="8">
        <v>44638.0</v>
      </c>
    </row>
    <row r="3433">
      <c r="A3433" s="5">
        <v>3432.0</v>
      </c>
      <c r="B3433" s="5" t="s">
        <v>3958</v>
      </c>
      <c r="C3433" s="5" t="s">
        <v>21</v>
      </c>
      <c r="K3433" s="5">
        <v>800.0</v>
      </c>
      <c r="N3433" s="8">
        <v>45187.0</v>
      </c>
    </row>
    <row r="3434">
      <c r="A3434" s="5">
        <v>3433.0</v>
      </c>
      <c r="B3434" s="5" t="s">
        <v>3959</v>
      </c>
      <c r="C3434" s="5" t="s">
        <v>21</v>
      </c>
      <c r="K3434" s="5">
        <v>70.0</v>
      </c>
      <c r="N3434" s="8">
        <v>45253.0</v>
      </c>
    </row>
    <row r="3435">
      <c r="A3435" s="5">
        <v>3434.0</v>
      </c>
      <c r="B3435" s="5" t="s">
        <v>3960</v>
      </c>
      <c r="C3435" s="5" t="s">
        <v>21</v>
      </c>
      <c r="K3435" s="5">
        <v>700.0</v>
      </c>
      <c r="N3435" s="8">
        <v>44278.0</v>
      </c>
    </row>
    <row r="3436">
      <c r="A3436" s="5">
        <v>3435.0</v>
      </c>
      <c r="B3436" s="5" t="s">
        <v>3961</v>
      </c>
      <c r="C3436" s="5" t="s">
        <v>21</v>
      </c>
      <c r="K3436" s="5">
        <v>250.0</v>
      </c>
      <c r="N3436" s="8">
        <v>44660.0</v>
      </c>
    </row>
    <row r="3437">
      <c r="A3437" s="5">
        <v>3436.0</v>
      </c>
      <c r="B3437" s="5" t="s">
        <v>3962</v>
      </c>
      <c r="C3437" s="5" t="s">
        <v>21</v>
      </c>
      <c r="K3437" s="5">
        <v>600.0</v>
      </c>
      <c r="N3437" s="8">
        <v>45082.0</v>
      </c>
    </row>
    <row r="3438">
      <c r="A3438" s="5">
        <v>3437.0</v>
      </c>
      <c r="B3438" s="5" t="s">
        <v>3963</v>
      </c>
      <c r="C3438" s="5" t="s">
        <v>21</v>
      </c>
      <c r="K3438" s="5">
        <v>10.0</v>
      </c>
      <c r="N3438" s="8">
        <v>44345.0</v>
      </c>
    </row>
    <row r="3439">
      <c r="A3439" s="5">
        <v>3438.0</v>
      </c>
      <c r="B3439" s="5" t="s">
        <v>3964</v>
      </c>
      <c r="C3439" s="5" t="s">
        <v>21</v>
      </c>
      <c r="K3439" s="5">
        <v>40.0</v>
      </c>
      <c r="N3439" s="8">
        <v>44637.0</v>
      </c>
    </row>
    <row r="3440">
      <c r="A3440" s="5">
        <v>3439.0</v>
      </c>
      <c r="B3440" s="5" t="s">
        <v>3965</v>
      </c>
      <c r="C3440" s="5" t="s">
        <v>21</v>
      </c>
      <c r="K3440" s="5">
        <v>500.0</v>
      </c>
      <c r="N3440" s="8">
        <v>44488.0</v>
      </c>
    </row>
    <row r="3441">
      <c r="A3441" s="5">
        <v>3440.0</v>
      </c>
      <c r="B3441" s="5" t="s">
        <v>3966</v>
      </c>
      <c r="C3441" s="5" t="s">
        <v>21</v>
      </c>
      <c r="K3441" s="5">
        <v>200.0</v>
      </c>
      <c r="N3441" s="8">
        <v>44930.0</v>
      </c>
    </row>
    <row r="3442">
      <c r="A3442" s="5">
        <v>3441.0</v>
      </c>
      <c r="B3442" s="5" t="s">
        <v>3967</v>
      </c>
      <c r="C3442" s="5" t="s">
        <v>21</v>
      </c>
      <c r="K3442" s="5">
        <v>20.0</v>
      </c>
      <c r="N3442" s="8">
        <v>44412.0</v>
      </c>
    </row>
    <row r="3443">
      <c r="A3443" s="5">
        <v>3442.0</v>
      </c>
      <c r="B3443" s="5" t="s">
        <v>3968</v>
      </c>
      <c r="C3443" s="5" t="s">
        <v>21</v>
      </c>
      <c r="K3443" s="5">
        <v>350.0</v>
      </c>
      <c r="N3443" s="8">
        <v>44623.0</v>
      </c>
    </row>
    <row r="3444">
      <c r="A3444" s="5">
        <v>3443.0</v>
      </c>
      <c r="B3444" s="5" t="s">
        <v>3969</v>
      </c>
      <c r="C3444" s="5" t="s">
        <v>21</v>
      </c>
      <c r="K3444" s="5">
        <v>300.0</v>
      </c>
      <c r="N3444" s="8">
        <v>44682.0</v>
      </c>
    </row>
    <row r="3445">
      <c r="A3445" s="5">
        <v>3444.0</v>
      </c>
      <c r="B3445" s="5" t="s">
        <v>3970</v>
      </c>
      <c r="C3445" s="5" t="s">
        <v>21</v>
      </c>
      <c r="K3445" s="5">
        <v>900.0</v>
      </c>
      <c r="N3445" s="8">
        <v>44517.0</v>
      </c>
    </row>
    <row r="3446">
      <c r="A3446" s="5">
        <v>3445.0</v>
      </c>
      <c r="B3446" s="5" t="s">
        <v>3971</v>
      </c>
      <c r="C3446" s="5" t="s">
        <v>21</v>
      </c>
      <c r="K3446" s="5">
        <v>40.0</v>
      </c>
      <c r="N3446" s="8">
        <v>44721.0</v>
      </c>
    </row>
    <row r="3447">
      <c r="A3447" s="5">
        <v>3446.0</v>
      </c>
      <c r="B3447" s="5" t="s">
        <v>3972</v>
      </c>
      <c r="C3447" s="5" t="s">
        <v>21</v>
      </c>
      <c r="K3447" s="5">
        <v>400.0</v>
      </c>
      <c r="N3447" s="8">
        <v>44702.0</v>
      </c>
    </row>
    <row r="3448">
      <c r="A3448" s="5">
        <v>3447.0</v>
      </c>
      <c r="B3448" s="5" t="s">
        <v>3973</v>
      </c>
      <c r="C3448" s="5" t="s">
        <v>21</v>
      </c>
      <c r="K3448" s="5">
        <v>500.0</v>
      </c>
      <c r="N3448" s="8">
        <v>45234.0</v>
      </c>
    </row>
    <row r="3449">
      <c r="A3449" s="5">
        <v>3448.0</v>
      </c>
      <c r="B3449" s="5" t="s">
        <v>3974</v>
      </c>
      <c r="C3449" s="5" t="s">
        <v>21</v>
      </c>
      <c r="K3449" s="5">
        <v>350.0</v>
      </c>
      <c r="N3449" s="8">
        <v>44783.0</v>
      </c>
    </row>
    <row r="3450">
      <c r="A3450" s="5">
        <v>3449.0</v>
      </c>
      <c r="B3450" s="5" t="s">
        <v>3975</v>
      </c>
      <c r="C3450" s="5" t="s">
        <v>21</v>
      </c>
      <c r="K3450" s="5">
        <v>70.0</v>
      </c>
      <c r="N3450" s="8">
        <v>44288.0</v>
      </c>
    </row>
    <row r="3451">
      <c r="A3451" s="5">
        <v>3450.0</v>
      </c>
      <c r="B3451" s="5" t="s">
        <v>3976</v>
      </c>
      <c r="C3451" s="5" t="s">
        <v>21</v>
      </c>
      <c r="K3451" s="5">
        <v>250.0</v>
      </c>
      <c r="N3451" s="8">
        <v>44666.0</v>
      </c>
    </row>
    <row r="3452">
      <c r="A3452" s="5">
        <v>3451.0</v>
      </c>
      <c r="B3452" s="5" t="s">
        <v>3977</v>
      </c>
      <c r="C3452" s="5" t="s">
        <v>21</v>
      </c>
      <c r="K3452" s="5">
        <v>300.0</v>
      </c>
      <c r="N3452" s="8">
        <v>44172.0</v>
      </c>
    </row>
    <row r="3453">
      <c r="A3453" s="5">
        <v>3452.0</v>
      </c>
      <c r="B3453" s="5" t="s">
        <v>3978</v>
      </c>
      <c r="C3453" s="5" t="s">
        <v>21</v>
      </c>
      <c r="K3453" s="5">
        <v>250.0</v>
      </c>
      <c r="N3453" s="8">
        <v>44836.0</v>
      </c>
    </row>
    <row r="3454">
      <c r="A3454" s="5">
        <v>3453.0</v>
      </c>
      <c r="B3454" s="5" t="s">
        <v>3979</v>
      </c>
      <c r="C3454" s="5" t="s">
        <v>21</v>
      </c>
      <c r="K3454" s="5">
        <v>1200.0</v>
      </c>
      <c r="N3454" s="8">
        <v>44580.0</v>
      </c>
    </row>
    <row r="3455">
      <c r="A3455" s="5">
        <v>3454.0</v>
      </c>
      <c r="B3455" s="5" t="s">
        <v>3980</v>
      </c>
      <c r="C3455" s="5" t="s">
        <v>21</v>
      </c>
      <c r="K3455" s="5">
        <v>600.0</v>
      </c>
      <c r="N3455" s="8">
        <v>44304.0</v>
      </c>
    </row>
    <row r="3456">
      <c r="A3456" s="5">
        <v>3455.0</v>
      </c>
      <c r="B3456" s="5" t="s">
        <v>3981</v>
      </c>
      <c r="C3456" s="5" t="s">
        <v>21</v>
      </c>
      <c r="K3456" s="5">
        <v>100.0</v>
      </c>
      <c r="N3456" s="8">
        <v>45102.0</v>
      </c>
    </row>
    <row r="3457">
      <c r="A3457" s="5">
        <v>3456.0</v>
      </c>
      <c r="B3457" s="5" t="s">
        <v>3982</v>
      </c>
      <c r="C3457" s="5" t="s">
        <v>21</v>
      </c>
      <c r="K3457" s="5">
        <v>150.0</v>
      </c>
      <c r="N3457" s="8">
        <v>44386.0</v>
      </c>
    </row>
    <row r="3458">
      <c r="A3458" s="5">
        <v>3457.0</v>
      </c>
      <c r="B3458" s="5" t="s">
        <v>3983</v>
      </c>
      <c r="C3458" s="5" t="s">
        <v>21</v>
      </c>
      <c r="K3458" s="5">
        <v>200.0</v>
      </c>
      <c r="N3458" s="8">
        <v>43881.0</v>
      </c>
    </row>
    <row r="3459">
      <c r="A3459" s="5">
        <v>3458.0</v>
      </c>
      <c r="B3459" s="5" t="s">
        <v>3984</v>
      </c>
      <c r="C3459" s="5" t="s">
        <v>21</v>
      </c>
      <c r="K3459" s="5">
        <v>200.0</v>
      </c>
      <c r="N3459" s="8">
        <v>44539.0</v>
      </c>
    </row>
    <row r="3460">
      <c r="A3460" s="5">
        <v>3459.0</v>
      </c>
      <c r="B3460" s="5" t="s">
        <v>3985</v>
      </c>
      <c r="C3460" s="5" t="s">
        <v>21</v>
      </c>
      <c r="K3460" s="5">
        <v>900.0</v>
      </c>
      <c r="N3460" s="8">
        <v>44592.0</v>
      </c>
    </row>
    <row r="3461">
      <c r="A3461" s="5">
        <v>3460.0</v>
      </c>
      <c r="B3461" s="5" t="s">
        <v>3986</v>
      </c>
      <c r="C3461" s="5" t="s">
        <v>21</v>
      </c>
      <c r="K3461" s="5">
        <v>350.0</v>
      </c>
      <c r="N3461" s="8">
        <v>44064.0</v>
      </c>
    </row>
    <row r="3462">
      <c r="A3462" s="5">
        <v>3461.0</v>
      </c>
      <c r="B3462" s="5" t="s">
        <v>3987</v>
      </c>
      <c r="C3462" s="5" t="s">
        <v>21</v>
      </c>
      <c r="K3462" s="5">
        <v>150.0</v>
      </c>
      <c r="N3462" s="8">
        <v>44901.0</v>
      </c>
    </row>
    <row r="3463">
      <c r="A3463" s="5">
        <v>3462.0</v>
      </c>
      <c r="B3463" s="5" t="s">
        <v>3988</v>
      </c>
      <c r="C3463" s="5" t="s">
        <v>21</v>
      </c>
      <c r="K3463" s="5">
        <v>150.0</v>
      </c>
      <c r="N3463" s="8">
        <v>44634.0</v>
      </c>
    </row>
    <row r="3464">
      <c r="A3464" s="5">
        <v>3463.0</v>
      </c>
      <c r="B3464" s="5" t="s">
        <v>3989</v>
      </c>
      <c r="C3464" s="5" t="s">
        <v>21</v>
      </c>
      <c r="K3464" s="5">
        <v>3100.0</v>
      </c>
      <c r="N3464" s="8">
        <v>44124.0</v>
      </c>
    </row>
    <row r="3465">
      <c r="A3465" s="5">
        <v>3464.0</v>
      </c>
      <c r="B3465" s="5" t="s">
        <v>3990</v>
      </c>
      <c r="C3465" s="5" t="s">
        <v>21</v>
      </c>
      <c r="K3465" s="5">
        <v>100.0</v>
      </c>
      <c r="N3465" s="8">
        <v>43856.0</v>
      </c>
    </row>
    <row r="3466">
      <c r="A3466" s="5">
        <v>3465.0</v>
      </c>
      <c r="B3466" s="5" t="s">
        <v>3991</v>
      </c>
      <c r="C3466" s="5" t="s">
        <v>21</v>
      </c>
      <c r="K3466" s="5">
        <v>900.0</v>
      </c>
      <c r="N3466" s="8">
        <v>44401.0</v>
      </c>
    </row>
    <row r="3467">
      <c r="A3467" s="5">
        <v>3466.0</v>
      </c>
      <c r="B3467" s="5" t="s">
        <v>3992</v>
      </c>
      <c r="C3467" s="5" t="s">
        <v>21</v>
      </c>
      <c r="K3467" s="5">
        <v>250.0</v>
      </c>
      <c r="N3467" s="8">
        <v>44621.0</v>
      </c>
    </row>
    <row r="3468">
      <c r="A3468" s="5">
        <v>3467.0</v>
      </c>
      <c r="B3468" s="5" t="s">
        <v>3993</v>
      </c>
      <c r="C3468" s="5" t="s">
        <v>21</v>
      </c>
      <c r="K3468" s="5">
        <v>40.0</v>
      </c>
      <c r="N3468" s="8">
        <v>44982.0</v>
      </c>
    </row>
    <row r="3469">
      <c r="A3469" s="5">
        <v>3468.0</v>
      </c>
      <c r="B3469" s="5" t="s">
        <v>3994</v>
      </c>
      <c r="C3469" s="5" t="s">
        <v>21</v>
      </c>
      <c r="K3469" s="5">
        <v>800.0</v>
      </c>
      <c r="N3469" s="8">
        <v>44372.0</v>
      </c>
    </row>
    <row r="3470">
      <c r="A3470" s="5">
        <v>3469.0</v>
      </c>
      <c r="B3470" s="5" t="s">
        <v>3995</v>
      </c>
      <c r="C3470" s="5" t="s">
        <v>21</v>
      </c>
      <c r="K3470" s="5">
        <v>100.0</v>
      </c>
      <c r="N3470" s="8">
        <v>44526.0</v>
      </c>
    </row>
    <row r="3471">
      <c r="A3471" s="5">
        <v>3470.0</v>
      </c>
      <c r="B3471" s="5" t="s">
        <v>3996</v>
      </c>
      <c r="C3471" s="5" t="s">
        <v>21</v>
      </c>
      <c r="K3471" s="5">
        <v>10.0</v>
      </c>
      <c r="N3471" s="8">
        <v>44819.0</v>
      </c>
    </row>
    <row r="3472">
      <c r="A3472" s="5">
        <v>3471.0</v>
      </c>
      <c r="B3472" s="5" t="s">
        <v>3997</v>
      </c>
      <c r="C3472" s="5" t="s">
        <v>21</v>
      </c>
      <c r="K3472" s="5">
        <v>450.0</v>
      </c>
      <c r="N3472" s="8">
        <v>45407.0</v>
      </c>
    </row>
    <row r="3473">
      <c r="A3473" s="5">
        <v>3472.0</v>
      </c>
      <c r="B3473" s="5" t="s">
        <v>3998</v>
      </c>
      <c r="C3473" s="5" t="s">
        <v>21</v>
      </c>
      <c r="K3473" s="5">
        <v>200.0</v>
      </c>
      <c r="N3473" s="8">
        <v>45538.0</v>
      </c>
    </row>
    <row r="3474">
      <c r="A3474" s="5">
        <v>3473.0</v>
      </c>
      <c r="B3474" s="5" t="s">
        <v>3999</v>
      </c>
      <c r="C3474" s="5" t="s">
        <v>21</v>
      </c>
      <c r="K3474" s="5">
        <v>600.0</v>
      </c>
      <c r="N3474" s="8">
        <v>44523.0</v>
      </c>
    </row>
    <row r="3475">
      <c r="A3475" s="5">
        <v>3474.0</v>
      </c>
      <c r="B3475" s="5" t="s">
        <v>4000</v>
      </c>
      <c r="C3475" s="5" t="s">
        <v>21</v>
      </c>
      <c r="K3475" s="5">
        <v>30.0</v>
      </c>
      <c r="N3475" s="8">
        <v>44615.0</v>
      </c>
    </row>
  </sheetData>
  <autoFilter ref="$A$1:$O$10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4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19</v>
      </c>
      <c r="C2" s="5" t="s">
        <v>21</v>
      </c>
      <c r="I2" s="7"/>
      <c r="K2" s="5">
        <v>150.0</v>
      </c>
      <c r="N2" s="8">
        <v>44634.0</v>
      </c>
    </row>
    <row r="3">
      <c r="A3" s="5">
        <v>2.0</v>
      </c>
      <c r="B3" s="5" t="s">
        <v>26</v>
      </c>
      <c r="C3" s="5" t="s">
        <v>21</v>
      </c>
      <c r="I3" s="7"/>
      <c r="K3" s="5">
        <v>250.0</v>
      </c>
      <c r="N3" s="8">
        <v>44541.0</v>
      </c>
    </row>
    <row r="4">
      <c r="A4" s="5">
        <v>3.0</v>
      </c>
      <c r="B4" s="5" t="s">
        <v>31</v>
      </c>
      <c r="C4" s="5" t="s">
        <v>21</v>
      </c>
      <c r="I4" s="7"/>
      <c r="K4" s="5">
        <v>400.0</v>
      </c>
      <c r="N4" s="8">
        <v>45164.0</v>
      </c>
    </row>
    <row r="5">
      <c r="A5" s="5">
        <v>4.0</v>
      </c>
      <c r="B5" s="5" t="s">
        <v>34</v>
      </c>
      <c r="C5" s="5" t="s">
        <v>21</v>
      </c>
      <c r="I5" s="7"/>
      <c r="K5" s="5">
        <v>250.0</v>
      </c>
      <c r="N5" s="8">
        <v>43841.0</v>
      </c>
    </row>
    <row r="6">
      <c r="A6" s="5">
        <v>5.0</v>
      </c>
      <c r="B6" s="5" t="s">
        <v>36</v>
      </c>
      <c r="C6" s="5" t="s">
        <v>21</v>
      </c>
      <c r="K6" s="5">
        <v>10.0</v>
      </c>
      <c r="N6" s="8">
        <v>44541.0</v>
      </c>
    </row>
    <row r="7">
      <c r="A7" s="5">
        <v>6.0</v>
      </c>
      <c r="B7" s="5" t="s">
        <v>41</v>
      </c>
      <c r="C7" s="5" t="s">
        <v>21</v>
      </c>
      <c r="I7" s="7"/>
      <c r="K7" s="5">
        <v>600.0</v>
      </c>
      <c r="N7" s="8">
        <v>44424.0</v>
      </c>
    </row>
    <row r="8">
      <c r="A8" s="5">
        <v>7.0</v>
      </c>
      <c r="B8" s="5" t="s">
        <v>45</v>
      </c>
      <c r="C8" s="5" t="s">
        <v>21</v>
      </c>
      <c r="I8" s="7"/>
      <c r="K8" s="5">
        <v>20.0</v>
      </c>
      <c r="N8" s="8">
        <v>44530.0</v>
      </c>
    </row>
    <row r="9">
      <c r="A9" s="5">
        <v>8.0</v>
      </c>
      <c r="B9" s="5" t="s">
        <v>48</v>
      </c>
      <c r="C9" s="5" t="s">
        <v>21</v>
      </c>
      <c r="I9" s="7"/>
      <c r="K9" s="5">
        <v>100.0</v>
      </c>
      <c r="N9" s="8">
        <v>44923.0</v>
      </c>
    </row>
    <row r="10">
      <c r="A10" s="5">
        <v>9.0</v>
      </c>
      <c r="B10" s="5" t="s">
        <v>50</v>
      </c>
      <c r="C10" s="5" t="s">
        <v>21</v>
      </c>
      <c r="I10" s="7"/>
      <c r="K10" s="5">
        <v>200.0</v>
      </c>
      <c r="N10" s="8">
        <v>44145.0</v>
      </c>
    </row>
    <row r="11">
      <c r="A11" s="5">
        <v>10.0</v>
      </c>
      <c r="B11" s="5" t="s">
        <v>54</v>
      </c>
      <c r="C11" s="5" t="s">
        <v>21</v>
      </c>
      <c r="I11" s="7"/>
      <c r="K11" s="5">
        <v>80.0</v>
      </c>
      <c r="N11" s="8">
        <v>44212.0</v>
      </c>
    </row>
    <row r="12">
      <c r="A12" s="5">
        <v>11.0</v>
      </c>
      <c r="B12" s="5" t="s">
        <v>56</v>
      </c>
      <c r="C12" s="5" t="s">
        <v>21</v>
      </c>
      <c r="I12" s="7"/>
      <c r="K12" s="5">
        <v>250.0</v>
      </c>
      <c r="N12" s="8">
        <v>44545.0</v>
      </c>
    </row>
    <row r="13">
      <c r="A13" s="5">
        <v>12.0</v>
      </c>
      <c r="B13" s="5" t="s">
        <v>59</v>
      </c>
      <c r="C13" s="5" t="s">
        <v>21</v>
      </c>
      <c r="I13" s="7"/>
      <c r="K13" s="5">
        <v>700.0</v>
      </c>
      <c r="N13" s="8">
        <v>44109.0</v>
      </c>
    </row>
    <row r="14">
      <c r="A14" s="5">
        <v>13.0</v>
      </c>
      <c r="B14" s="5" t="s">
        <v>62</v>
      </c>
      <c r="C14" s="5" t="s">
        <v>21</v>
      </c>
      <c r="I14" s="7"/>
      <c r="N14" s="8">
        <v>44480.0</v>
      </c>
    </row>
    <row r="15">
      <c r="A15" s="5">
        <v>14.0</v>
      </c>
      <c r="B15" s="5" t="s">
        <v>65</v>
      </c>
      <c r="C15" s="5" t="s">
        <v>21</v>
      </c>
      <c r="I15" s="7"/>
      <c r="K15" s="5">
        <v>300.0</v>
      </c>
      <c r="N15" s="8">
        <v>44138.0</v>
      </c>
    </row>
    <row r="16">
      <c r="A16" s="5">
        <v>15.0</v>
      </c>
      <c r="B16" s="5" t="s">
        <v>68</v>
      </c>
      <c r="C16" s="5" t="s">
        <v>21</v>
      </c>
      <c r="I16" s="7"/>
      <c r="K16" s="5">
        <v>30.0</v>
      </c>
      <c r="N16" s="8">
        <v>44124.0</v>
      </c>
    </row>
    <row r="17">
      <c r="A17" s="5">
        <v>16.0</v>
      </c>
      <c r="B17" s="5" t="s">
        <v>70</v>
      </c>
      <c r="C17" s="5" t="s">
        <v>21</v>
      </c>
      <c r="I17" s="7"/>
      <c r="N17" s="8">
        <v>43142.0</v>
      </c>
    </row>
    <row r="18">
      <c r="A18" s="5">
        <v>17.0</v>
      </c>
      <c r="B18" s="5" t="s">
        <v>71</v>
      </c>
      <c r="C18" s="5" t="s">
        <v>21</v>
      </c>
      <c r="I18" s="7"/>
      <c r="K18" s="5">
        <v>400.0</v>
      </c>
      <c r="N18" s="8">
        <v>43921.0</v>
      </c>
    </row>
    <row r="19">
      <c r="A19" s="5">
        <v>18.0</v>
      </c>
      <c r="B19" s="5" t="s">
        <v>74</v>
      </c>
      <c r="C19" s="5" t="s">
        <v>21</v>
      </c>
      <c r="I19" s="7"/>
      <c r="K19" s="5">
        <v>250.0</v>
      </c>
      <c r="N19" s="8">
        <v>44168.0</v>
      </c>
    </row>
    <row r="20">
      <c r="A20" s="5">
        <v>19.0</v>
      </c>
      <c r="B20" s="5" t="s">
        <v>75</v>
      </c>
      <c r="C20" s="5" t="s">
        <v>21</v>
      </c>
      <c r="I20" s="7"/>
      <c r="K20" s="5">
        <v>20.0</v>
      </c>
      <c r="N20" s="8">
        <v>44877.0</v>
      </c>
    </row>
    <row r="21">
      <c r="A21" s="5">
        <v>20.0</v>
      </c>
      <c r="B21" s="5" t="s">
        <v>77</v>
      </c>
      <c r="C21" s="5" t="s">
        <v>21</v>
      </c>
      <c r="I21" s="7"/>
      <c r="K21" s="5">
        <v>200.0</v>
      </c>
      <c r="N21" s="8">
        <v>44450.0</v>
      </c>
    </row>
    <row r="22">
      <c r="A22" s="5">
        <v>21.0</v>
      </c>
      <c r="B22" s="5" t="s">
        <v>80</v>
      </c>
      <c r="C22" s="5" t="s">
        <v>21</v>
      </c>
      <c r="I22" s="7"/>
      <c r="K22" s="5">
        <v>20.0</v>
      </c>
      <c r="N22" s="8">
        <v>44280.0</v>
      </c>
    </row>
    <row r="23">
      <c r="A23" s="5">
        <v>22.0</v>
      </c>
      <c r="B23" s="5" t="s">
        <v>82</v>
      </c>
      <c r="C23" s="5" t="s">
        <v>21</v>
      </c>
      <c r="I23" s="7"/>
      <c r="K23" s="5">
        <v>300.0</v>
      </c>
      <c r="N23" s="8">
        <v>45141.0</v>
      </c>
    </row>
    <row r="24">
      <c r="A24" s="5">
        <v>23.0</v>
      </c>
      <c r="B24" s="5" t="s">
        <v>86</v>
      </c>
      <c r="C24" s="5" t="s">
        <v>21</v>
      </c>
      <c r="I24" s="7"/>
      <c r="K24" s="5">
        <v>600.0</v>
      </c>
      <c r="N24" s="8">
        <v>43640.0</v>
      </c>
    </row>
    <row r="25">
      <c r="A25" s="5">
        <v>24.0</v>
      </c>
      <c r="B25" s="5" t="s">
        <v>88</v>
      </c>
      <c r="C25" s="5" t="s">
        <v>21</v>
      </c>
      <c r="K25" s="5">
        <v>250.0</v>
      </c>
      <c r="N25" s="8">
        <v>44022.0</v>
      </c>
    </row>
    <row r="26">
      <c r="A26" s="5">
        <v>25.0</v>
      </c>
      <c r="B26" s="5" t="s">
        <v>90</v>
      </c>
      <c r="C26" s="5" t="s">
        <v>21</v>
      </c>
      <c r="I26" s="7"/>
      <c r="K26" s="5">
        <v>150.0</v>
      </c>
      <c r="N26" s="8">
        <v>44591.0</v>
      </c>
    </row>
    <row r="27">
      <c r="A27" s="5">
        <v>26.0</v>
      </c>
      <c r="B27" s="5" t="s">
        <v>92</v>
      </c>
      <c r="C27" s="5" t="s">
        <v>21</v>
      </c>
      <c r="I27" s="7"/>
      <c r="K27" s="5">
        <v>450.0</v>
      </c>
      <c r="N27" s="8">
        <v>45061.0</v>
      </c>
    </row>
    <row r="28">
      <c r="A28" s="5">
        <v>27.0</v>
      </c>
      <c r="B28" s="5" t="s">
        <v>95</v>
      </c>
      <c r="C28" s="5" t="s">
        <v>21</v>
      </c>
      <c r="I28" s="7"/>
      <c r="K28" s="5">
        <v>10.0</v>
      </c>
      <c r="N28" s="8">
        <v>43897.0</v>
      </c>
    </row>
    <row r="29">
      <c r="A29" s="5">
        <v>28.0</v>
      </c>
      <c r="B29" s="5" t="s">
        <v>97</v>
      </c>
      <c r="C29" s="5" t="s">
        <v>21</v>
      </c>
      <c r="I29" s="7"/>
      <c r="K29" s="5">
        <v>30.0</v>
      </c>
      <c r="N29" s="8">
        <v>46056.0</v>
      </c>
    </row>
    <row r="30">
      <c r="A30" s="5">
        <v>29.0</v>
      </c>
      <c r="B30" s="5" t="s">
        <v>99</v>
      </c>
      <c r="C30" s="5" t="s">
        <v>21</v>
      </c>
      <c r="I30" s="7"/>
      <c r="K30" s="5">
        <v>100.0</v>
      </c>
      <c r="N30" s="8">
        <v>43908.0</v>
      </c>
    </row>
    <row r="31">
      <c r="A31" s="5">
        <v>30.0</v>
      </c>
      <c r="B31" s="5" t="s">
        <v>103</v>
      </c>
      <c r="C31" s="5" t="s">
        <v>21</v>
      </c>
      <c r="I31" s="7"/>
      <c r="K31" s="5">
        <v>2600.0</v>
      </c>
      <c r="N31" s="8">
        <v>44008.0</v>
      </c>
    </row>
    <row r="32">
      <c r="A32" s="5">
        <v>31.0</v>
      </c>
      <c r="B32" s="5" t="s">
        <v>107</v>
      </c>
      <c r="C32" s="5" t="s">
        <v>21</v>
      </c>
      <c r="I32" s="7"/>
      <c r="K32" s="5">
        <v>600.0</v>
      </c>
      <c r="N32" s="8">
        <v>44626.0</v>
      </c>
    </row>
    <row r="33">
      <c r="A33" s="5">
        <v>32.0</v>
      </c>
      <c r="B33" s="5" t="s">
        <v>110</v>
      </c>
      <c r="C33" s="5" t="s">
        <v>21</v>
      </c>
      <c r="I33" s="7"/>
      <c r="K33" s="5">
        <v>150.0</v>
      </c>
      <c r="N33" s="8">
        <v>44650.0</v>
      </c>
    </row>
    <row r="34">
      <c r="A34" s="5">
        <v>33.0</v>
      </c>
      <c r="B34" s="5" t="s">
        <v>111</v>
      </c>
      <c r="C34" s="5" t="s">
        <v>21</v>
      </c>
      <c r="N34" s="8">
        <v>44969.0</v>
      </c>
    </row>
    <row r="35">
      <c r="A35" s="5">
        <v>34.0</v>
      </c>
      <c r="B35" s="5" t="s">
        <v>114</v>
      </c>
      <c r="C35" s="5" t="s">
        <v>21</v>
      </c>
      <c r="I35" s="7"/>
      <c r="K35" s="5">
        <v>500.0</v>
      </c>
      <c r="N35" s="8">
        <v>44535.0</v>
      </c>
    </row>
    <row r="36">
      <c r="A36" s="5">
        <v>35.0</v>
      </c>
      <c r="B36" s="5" t="s">
        <v>116</v>
      </c>
      <c r="C36" s="5" t="s">
        <v>21</v>
      </c>
      <c r="I36" s="7"/>
      <c r="K36" s="5">
        <v>1500.0</v>
      </c>
      <c r="N36" s="8">
        <v>43867.0</v>
      </c>
    </row>
    <row r="37">
      <c r="A37" s="5">
        <v>36.0</v>
      </c>
      <c r="B37" s="5" t="s">
        <v>119</v>
      </c>
      <c r="C37" s="5" t="s">
        <v>21</v>
      </c>
      <c r="I37" s="7"/>
      <c r="K37" s="5">
        <v>800.0</v>
      </c>
      <c r="N37" s="8">
        <v>44009.0</v>
      </c>
    </row>
    <row r="38">
      <c r="A38" s="5">
        <v>37.0</v>
      </c>
      <c r="B38" s="5" t="s">
        <v>122</v>
      </c>
      <c r="C38" s="5" t="s">
        <v>21</v>
      </c>
      <c r="I38" s="7"/>
      <c r="K38" s="5">
        <v>300.0</v>
      </c>
      <c r="N38" s="8">
        <v>44300.0</v>
      </c>
    </row>
    <row r="39">
      <c r="A39" s="5">
        <v>38.0</v>
      </c>
      <c r="B39" s="5" t="s">
        <v>125</v>
      </c>
      <c r="C39" s="5" t="s">
        <v>21</v>
      </c>
      <c r="K39" s="5">
        <v>200.0</v>
      </c>
      <c r="N39" s="8">
        <v>44536.0</v>
      </c>
    </row>
    <row r="40">
      <c r="A40" s="5">
        <v>39.0</v>
      </c>
      <c r="B40" s="5" t="s">
        <v>127</v>
      </c>
      <c r="C40" s="5" t="s">
        <v>21</v>
      </c>
      <c r="I40" s="7"/>
      <c r="K40" s="5">
        <v>80.0</v>
      </c>
      <c r="N40" s="8">
        <v>44983.0</v>
      </c>
    </row>
    <row r="41">
      <c r="A41" s="5">
        <v>40.0</v>
      </c>
      <c r="B41" s="5" t="s">
        <v>130</v>
      </c>
      <c r="C41" s="5" t="s">
        <v>21</v>
      </c>
      <c r="I41" s="7"/>
      <c r="K41" s="5">
        <v>200.0</v>
      </c>
      <c r="N41" s="8">
        <v>44286.0</v>
      </c>
    </row>
    <row r="42">
      <c r="A42" s="5">
        <v>41.0</v>
      </c>
      <c r="B42" s="5" t="s">
        <v>133</v>
      </c>
      <c r="C42" s="5" t="s">
        <v>21</v>
      </c>
      <c r="I42" s="7"/>
      <c r="K42" s="5">
        <v>30.0</v>
      </c>
      <c r="N42" s="8">
        <v>44129.0</v>
      </c>
    </row>
    <row r="43">
      <c r="A43" s="5">
        <v>42.0</v>
      </c>
      <c r="B43" s="5" t="s">
        <v>136</v>
      </c>
      <c r="C43" s="5" t="s">
        <v>21</v>
      </c>
      <c r="K43" s="5">
        <v>30.0</v>
      </c>
      <c r="N43" s="8">
        <v>44507.0</v>
      </c>
    </row>
    <row r="44">
      <c r="A44" s="5">
        <v>43.0</v>
      </c>
      <c r="B44" s="5" t="s">
        <v>140</v>
      </c>
      <c r="C44" s="5" t="s">
        <v>21</v>
      </c>
      <c r="I44" s="7"/>
      <c r="K44" s="5">
        <v>350.0</v>
      </c>
      <c r="N44" s="8">
        <v>43988.0</v>
      </c>
    </row>
    <row r="45">
      <c r="A45" s="5">
        <v>44.0</v>
      </c>
      <c r="B45" s="5" t="s">
        <v>143</v>
      </c>
      <c r="C45" s="5" t="s">
        <v>21</v>
      </c>
      <c r="I45" s="7"/>
      <c r="K45" s="5">
        <v>450.0</v>
      </c>
      <c r="N45" s="8">
        <v>45032.0</v>
      </c>
    </row>
    <row r="46">
      <c r="A46" s="5">
        <v>45.0</v>
      </c>
      <c r="B46" s="5" t="s">
        <v>146</v>
      </c>
      <c r="C46" s="5" t="s">
        <v>21</v>
      </c>
      <c r="I46" s="7"/>
      <c r="K46" s="5">
        <v>30.0</v>
      </c>
      <c r="N46" s="8">
        <v>44466.0</v>
      </c>
    </row>
    <row r="47">
      <c r="A47" s="5">
        <v>46.0</v>
      </c>
      <c r="B47" s="5" t="s">
        <v>148</v>
      </c>
      <c r="C47" s="5" t="s">
        <v>21</v>
      </c>
      <c r="I47" s="7"/>
      <c r="K47" s="5">
        <v>1300.0</v>
      </c>
      <c r="N47" s="8">
        <v>43949.0</v>
      </c>
    </row>
    <row r="48">
      <c r="A48" s="5">
        <v>47.0</v>
      </c>
      <c r="B48" s="5" t="s">
        <v>153</v>
      </c>
      <c r="C48" s="5" t="s">
        <v>21</v>
      </c>
      <c r="I48" s="7"/>
      <c r="K48" s="5">
        <v>200.0</v>
      </c>
      <c r="N48" s="8">
        <v>43854.0</v>
      </c>
    </row>
    <row r="49">
      <c r="A49" s="5">
        <v>48.0</v>
      </c>
      <c r="B49" s="5" t="s">
        <v>155</v>
      </c>
      <c r="C49" s="5" t="s">
        <v>21</v>
      </c>
      <c r="K49" s="5">
        <v>250.0</v>
      </c>
      <c r="N49" s="8">
        <v>45232.0</v>
      </c>
    </row>
    <row r="50">
      <c r="A50" s="5">
        <v>49.0</v>
      </c>
      <c r="B50" s="5" t="s">
        <v>158</v>
      </c>
      <c r="C50" s="5" t="s">
        <v>21</v>
      </c>
      <c r="I50" s="7"/>
      <c r="K50" s="5">
        <v>100.0</v>
      </c>
      <c r="N50" s="8">
        <v>44077.0</v>
      </c>
    </row>
    <row r="51">
      <c r="A51" s="5">
        <v>50.0</v>
      </c>
      <c r="B51" s="5" t="s">
        <v>161</v>
      </c>
      <c r="C51" s="5" t="s">
        <v>21</v>
      </c>
      <c r="I51" s="7"/>
      <c r="K51" s="5">
        <v>400.0</v>
      </c>
      <c r="N51" s="8">
        <v>45598.0</v>
      </c>
    </row>
    <row r="52">
      <c r="A52" s="5">
        <v>51.0</v>
      </c>
      <c r="B52" s="5" t="s">
        <v>164</v>
      </c>
      <c r="C52" s="5" t="s">
        <v>21</v>
      </c>
      <c r="I52" s="7"/>
      <c r="K52" s="5">
        <v>20.0</v>
      </c>
      <c r="N52" s="8">
        <v>43965.0</v>
      </c>
    </row>
    <row r="53">
      <c r="A53" s="5">
        <v>52.0</v>
      </c>
      <c r="B53" s="5" t="s">
        <v>167</v>
      </c>
      <c r="C53" s="5" t="s">
        <v>21</v>
      </c>
      <c r="K53" s="5">
        <v>60.0</v>
      </c>
      <c r="N53" s="8">
        <v>44425.0</v>
      </c>
    </row>
    <row r="54">
      <c r="A54" s="5">
        <v>53.0</v>
      </c>
      <c r="B54" s="5" t="s">
        <v>170</v>
      </c>
      <c r="C54" s="5" t="s">
        <v>21</v>
      </c>
      <c r="K54" s="5">
        <v>200.0</v>
      </c>
      <c r="N54" s="8">
        <v>45350.0</v>
      </c>
    </row>
    <row r="55">
      <c r="A55" s="5">
        <v>54.0</v>
      </c>
      <c r="B55" s="5" t="s">
        <v>173</v>
      </c>
      <c r="C55" s="5" t="s">
        <v>21</v>
      </c>
      <c r="K55" s="5">
        <v>10.0</v>
      </c>
      <c r="N55" s="8">
        <v>44541.0</v>
      </c>
    </row>
    <row r="56">
      <c r="A56" s="5">
        <v>55.0</v>
      </c>
      <c r="B56" s="5" t="s">
        <v>175</v>
      </c>
      <c r="C56" s="5" t="s">
        <v>21</v>
      </c>
      <c r="K56" s="5">
        <v>40.0</v>
      </c>
      <c r="N56" s="8">
        <v>44777.0</v>
      </c>
    </row>
    <row r="57">
      <c r="A57" s="5">
        <v>56.0</v>
      </c>
      <c r="B57" s="5" t="s">
        <v>177</v>
      </c>
      <c r="C57" s="5" t="s">
        <v>21</v>
      </c>
      <c r="K57" s="5">
        <v>300.0</v>
      </c>
      <c r="N57" s="8">
        <v>44811.0</v>
      </c>
    </row>
    <row r="58">
      <c r="A58" s="5">
        <v>57.0</v>
      </c>
      <c r="B58" s="5" t="s">
        <v>180</v>
      </c>
      <c r="C58" s="5" t="s">
        <v>21</v>
      </c>
      <c r="K58" s="5">
        <v>100.0</v>
      </c>
      <c r="N58" s="8">
        <v>43978.0</v>
      </c>
    </row>
    <row r="59">
      <c r="A59" s="5">
        <v>58.0</v>
      </c>
      <c r="B59" s="5" t="s">
        <v>182</v>
      </c>
      <c r="C59" s="5" t="s">
        <v>21</v>
      </c>
      <c r="I59" s="7"/>
      <c r="K59" s="5">
        <v>900.0</v>
      </c>
      <c r="N59" s="8">
        <v>44517.0</v>
      </c>
    </row>
    <row r="60">
      <c r="A60" s="5">
        <v>59.0</v>
      </c>
      <c r="B60" s="5" t="s">
        <v>185</v>
      </c>
      <c r="C60" s="5" t="s">
        <v>21</v>
      </c>
      <c r="K60" s="5">
        <v>350.0</v>
      </c>
      <c r="N60" s="8">
        <v>44582.0</v>
      </c>
    </row>
    <row r="61">
      <c r="A61" s="5">
        <v>60.0</v>
      </c>
      <c r="B61" s="5" t="s">
        <v>187</v>
      </c>
      <c r="C61" s="5" t="s">
        <v>21</v>
      </c>
      <c r="I61" s="7"/>
      <c r="K61" s="5">
        <v>250.0</v>
      </c>
      <c r="N61" s="8">
        <v>44699.0</v>
      </c>
    </row>
    <row r="62">
      <c r="A62" s="5">
        <v>61.0</v>
      </c>
      <c r="B62" s="5" t="s">
        <v>190</v>
      </c>
      <c r="C62" s="5" t="s">
        <v>21</v>
      </c>
      <c r="I62" s="7"/>
      <c r="K62" s="5">
        <v>100.0</v>
      </c>
      <c r="N62" s="8">
        <v>45283.0</v>
      </c>
    </row>
    <row r="63">
      <c r="A63" s="5">
        <v>62.0</v>
      </c>
      <c r="B63" s="5" t="s">
        <v>194</v>
      </c>
      <c r="C63" s="5" t="s">
        <v>21</v>
      </c>
      <c r="K63" s="5">
        <v>10.0</v>
      </c>
      <c r="N63" s="8">
        <v>44628.0</v>
      </c>
    </row>
    <row r="64">
      <c r="A64" s="5">
        <v>63.0</v>
      </c>
      <c r="B64" s="5" t="s">
        <v>198</v>
      </c>
      <c r="C64" s="5" t="s">
        <v>21</v>
      </c>
      <c r="K64" s="5">
        <v>200.0</v>
      </c>
      <c r="N64" s="8">
        <v>44899.0</v>
      </c>
    </row>
    <row r="65">
      <c r="A65" s="5">
        <v>64.0</v>
      </c>
      <c r="B65" s="5" t="s">
        <v>200</v>
      </c>
      <c r="C65" s="5" t="s">
        <v>21</v>
      </c>
      <c r="I65" s="7"/>
      <c r="K65" s="5">
        <v>300.0</v>
      </c>
      <c r="N65" s="8">
        <v>44110.0</v>
      </c>
    </row>
    <row r="66">
      <c r="A66" s="5">
        <v>65.0</v>
      </c>
      <c r="B66" s="5" t="s">
        <v>203</v>
      </c>
      <c r="C66" s="5" t="s">
        <v>21</v>
      </c>
      <c r="I66" s="7"/>
      <c r="K66" s="5">
        <v>10.0</v>
      </c>
      <c r="N66" s="8">
        <v>44331.0</v>
      </c>
    </row>
    <row r="67">
      <c r="A67" s="5">
        <v>66.0</v>
      </c>
      <c r="B67" s="5" t="s">
        <v>206</v>
      </c>
      <c r="C67" s="5" t="s">
        <v>21</v>
      </c>
      <c r="K67" s="5">
        <v>20.0</v>
      </c>
      <c r="N67" s="8">
        <v>44143.0</v>
      </c>
    </row>
    <row r="68">
      <c r="A68" s="5">
        <v>67.0</v>
      </c>
      <c r="B68" s="5" t="s">
        <v>209</v>
      </c>
      <c r="C68" s="5" t="s">
        <v>21</v>
      </c>
      <c r="K68" s="5">
        <v>900.0</v>
      </c>
      <c r="N68" s="8">
        <v>45057.0</v>
      </c>
    </row>
    <row r="69">
      <c r="A69" s="5">
        <v>68.0</v>
      </c>
      <c r="B69" s="5" t="s">
        <v>215</v>
      </c>
      <c r="C69" s="5" t="s">
        <v>21</v>
      </c>
      <c r="K69" s="5">
        <v>40.0</v>
      </c>
      <c r="N69" s="8">
        <v>43946.0</v>
      </c>
    </row>
    <row r="70">
      <c r="A70" s="5">
        <v>69.0</v>
      </c>
      <c r="B70" s="5" t="s">
        <v>218</v>
      </c>
      <c r="C70" s="5" t="s">
        <v>21</v>
      </c>
      <c r="K70" s="5">
        <v>40.0</v>
      </c>
      <c r="N70" s="8">
        <v>44022.0</v>
      </c>
    </row>
    <row r="71">
      <c r="A71" s="5">
        <v>70.0</v>
      </c>
      <c r="B71" s="5" t="s">
        <v>221</v>
      </c>
      <c r="C71" s="5" t="s">
        <v>21</v>
      </c>
      <c r="K71" s="5">
        <v>10.0</v>
      </c>
      <c r="N71" s="8">
        <v>44672.0</v>
      </c>
    </row>
    <row r="72">
      <c r="A72" s="5">
        <v>71.0</v>
      </c>
      <c r="B72" s="5" t="s">
        <v>224</v>
      </c>
      <c r="C72" s="5" t="s">
        <v>21</v>
      </c>
      <c r="K72" s="5">
        <v>300.0</v>
      </c>
      <c r="N72" s="8">
        <v>44599.0</v>
      </c>
    </row>
    <row r="73">
      <c r="A73" s="5">
        <v>72.0</v>
      </c>
      <c r="B73" s="5" t="s">
        <v>227</v>
      </c>
      <c r="C73" s="5" t="s">
        <v>21</v>
      </c>
      <c r="I73" s="7"/>
      <c r="K73" s="5">
        <v>1200.0</v>
      </c>
      <c r="N73" s="8">
        <v>43921.0</v>
      </c>
    </row>
    <row r="74">
      <c r="A74" s="5">
        <v>73.0</v>
      </c>
      <c r="B74" s="5" t="s">
        <v>232</v>
      </c>
      <c r="C74" s="5" t="s">
        <v>21</v>
      </c>
      <c r="I74" s="7"/>
      <c r="N74" s="8">
        <v>44805.0</v>
      </c>
    </row>
    <row r="75">
      <c r="A75" s="5">
        <v>74.0</v>
      </c>
      <c r="B75" s="5" t="s">
        <v>235</v>
      </c>
      <c r="C75" s="5" t="s">
        <v>21</v>
      </c>
      <c r="I75" s="7"/>
      <c r="K75" s="5">
        <v>150.0</v>
      </c>
      <c r="N75" s="8">
        <v>44126.0</v>
      </c>
    </row>
    <row r="76">
      <c r="A76" s="5">
        <v>75.0</v>
      </c>
      <c r="B76" s="5" t="s">
        <v>237</v>
      </c>
      <c r="C76" s="5" t="s">
        <v>21</v>
      </c>
      <c r="K76" s="5">
        <v>500.0</v>
      </c>
      <c r="N76" s="8">
        <v>43872.0</v>
      </c>
    </row>
    <row r="77">
      <c r="A77" s="5">
        <v>76.0</v>
      </c>
      <c r="B77" s="5" t="s">
        <v>239</v>
      </c>
      <c r="C77" s="5" t="s">
        <v>21</v>
      </c>
      <c r="K77" s="5">
        <v>100.0</v>
      </c>
      <c r="N77" s="8">
        <v>44994.0</v>
      </c>
    </row>
    <row r="78">
      <c r="A78" s="5">
        <v>77.0</v>
      </c>
      <c r="B78" s="5" t="s">
        <v>243</v>
      </c>
      <c r="C78" s="5" t="s">
        <v>21</v>
      </c>
      <c r="I78" s="7"/>
      <c r="K78" s="5">
        <v>80.0</v>
      </c>
      <c r="N78" s="8">
        <v>44150.0</v>
      </c>
    </row>
    <row r="79">
      <c r="A79" s="5">
        <v>78.0</v>
      </c>
      <c r="B79" s="5" t="s">
        <v>245</v>
      </c>
      <c r="C79" s="5" t="s">
        <v>21</v>
      </c>
      <c r="K79" s="5">
        <v>500.0</v>
      </c>
      <c r="N79" s="8">
        <v>43877.0</v>
      </c>
    </row>
    <row r="80">
      <c r="A80" s="5">
        <v>79.0</v>
      </c>
      <c r="B80" s="5" t="s">
        <v>248</v>
      </c>
      <c r="C80" s="5" t="s">
        <v>21</v>
      </c>
      <c r="I80" s="7"/>
      <c r="K80" s="5">
        <v>40.0</v>
      </c>
      <c r="N80" s="8">
        <v>44108.0</v>
      </c>
    </row>
    <row r="81">
      <c r="A81" s="5">
        <v>80.0</v>
      </c>
      <c r="B81" s="5" t="s">
        <v>251</v>
      </c>
      <c r="C81" s="5" t="s">
        <v>21</v>
      </c>
      <c r="I81" s="7"/>
      <c r="K81" s="5">
        <v>800.0</v>
      </c>
      <c r="N81" s="8">
        <v>44491.0</v>
      </c>
    </row>
    <row r="82">
      <c r="A82" s="5">
        <v>81.0</v>
      </c>
      <c r="B82" s="5" t="s">
        <v>253</v>
      </c>
      <c r="C82" s="5" t="s">
        <v>21</v>
      </c>
      <c r="K82" s="5">
        <v>300.0</v>
      </c>
      <c r="N82" s="8">
        <v>43846.0</v>
      </c>
    </row>
    <row r="83">
      <c r="A83" s="5">
        <v>82.0</v>
      </c>
      <c r="B83" s="5" t="s">
        <v>256</v>
      </c>
      <c r="C83" s="5" t="s">
        <v>21</v>
      </c>
      <c r="I83" s="7"/>
      <c r="K83" s="5">
        <v>350.0</v>
      </c>
      <c r="N83" s="8">
        <v>44533.0</v>
      </c>
    </row>
    <row r="84">
      <c r="A84" s="5">
        <v>83.0</v>
      </c>
      <c r="B84" s="5" t="s">
        <v>260</v>
      </c>
      <c r="C84" s="5" t="s">
        <v>21</v>
      </c>
      <c r="K84" s="5">
        <v>10.0</v>
      </c>
      <c r="N84" s="8">
        <v>44682.0</v>
      </c>
    </row>
    <row r="85">
      <c r="A85" s="5">
        <v>84.0</v>
      </c>
      <c r="B85" s="5" t="s">
        <v>263</v>
      </c>
      <c r="C85" s="5" t="s">
        <v>21</v>
      </c>
      <c r="K85" s="5">
        <v>400.0</v>
      </c>
      <c r="N85" s="8">
        <v>44517.0</v>
      </c>
    </row>
    <row r="86">
      <c r="A86" s="5">
        <v>85.0</v>
      </c>
      <c r="B86" s="5" t="s">
        <v>266</v>
      </c>
      <c r="C86" s="5" t="s">
        <v>21</v>
      </c>
      <c r="K86" s="5">
        <v>20.0</v>
      </c>
      <c r="N86" s="8">
        <v>44704.0</v>
      </c>
    </row>
    <row r="87">
      <c r="A87" s="5">
        <v>86.0</v>
      </c>
      <c r="B87" s="5" t="s">
        <v>269</v>
      </c>
      <c r="C87" s="5" t="s">
        <v>21</v>
      </c>
      <c r="K87" s="5">
        <v>350.0</v>
      </c>
      <c r="N87" s="8">
        <v>44270.0</v>
      </c>
    </row>
    <row r="88">
      <c r="A88" s="5">
        <v>87.0</v>
      </c>
      <c r="B88" s="5" t="s">
        <v>271</v>
      </c>
      <c r="C88" s="5" t="s">
        <v>21</v>
      </c>
      <c r="I88" s="7"/>
      <c r="K88" s="5">
        <v>20.0</v>
      </c>
      <c r="N88" s="8">
        <v>45064.0</v>
      </c>
    </row>
    <row r="89">
      <c r="A89" s="5">
        <v>88.0</v>
      </c>
      <c r="B89" s="5" t="s">
        <v>274</v>
      </c>
      <c r="C89" s="5" t="s">
        <v>21</v>
      </c>
      <c r="K89" s="5">
        <v>700.0</v>
      </c>
      <c r="N89" s="8">
        <v>44501.0</v>
      </c>
    </row>
    <row r="90">
      <c r="A90" s="5">
        <v>89.0</v>
      </c>
      <c r="B90" s="5" t="s">
        <v>277</v>
      </c>
      <c r="C90" s="5" t="s">
        <v>21</v>
      </c>
      <c r="I90" s="7"/>
      <c r="K90" s="5">
        <v>250.0</v>
      </c>
      <c r="N90" s="8">
        <v>44570.0</v>
      </c>
    </row>
    <row r="91">
      <c r="A91" s="5">
        <v>90.0</v>
      </c>
      <c r="B91" s="5" t="s">
        <v>280</v>
      </c>
      <c r="C91" s="5" t="s">
        <v>21</v>
      </c>
      <c r="K91" s="5">
        <v>10.0</v>
      </c>
      <c r="N91" s="8">
        <v>45030.0</v>
      </c>
    </row>
    <row r="92">
      <c r="A92" s="5">
        <v>91.0</v>
      </c>
      <c r="B92" s="5" t="s">
        <v>283</v>
      </c>
      <c r="C92" s="5" t="s">
        <v>21</v>
      </c>
      <c r="K92" s="5">
        <v>50.0</v>
      </c>
      <c r="N92" s="8">
        <v>44618.0</v>
      </c>
    </row>
    <row r="93">
      <c r="A93" s="5">
        <v>92.0</v>
      </c>
      <c r="B93" s="5" t="s">
        <v>286</v>
      </c>
      <c r="C93" s="5" t="s">
        <v>21</v>
      </c>
      <c r="I93" s="7"/>
      <c r="K93" s="5">
        <v>1100.0</v>
      </c>
      <c r="N93" s="8">
        <v>43941.0</v>
      </c>
    </row>
    <row r="94">
      <c r="A94" s="5">
        <v>93.0</v>
      </c>
      <c r="B94" s="5" t="s">
        <v>289</v>
      </c>
      <c r="C94" s="5" t="s">
        <v>21</v>
      </c>
      <c r="I94" s="7"/>
      <c r="K94" s="5">
        <v>300.0</v>
      </c>
      <c r="N94" s="8">
        <v>45598.0</v>
      </c>
    </row>
    <row r="95">
      <c r="A95" s="5">
        <v>94.0</v>
      </c>
      <c r="B95" s="5" t="s">
        <v>292</v>
      </c>
      <c r="C95" s="5" t="s">
        <v>21</v>
      </c>
      <c r="K95" s="5">
        <v>450.0</v>
      </c>
      <c r="N95" s="8">
        <v>43908.0</v>
      </c>
    </row>
    <row r="96">
      <c r="A96" s="5">
        <v>95.0</v>
      </c>
      <c r="B96" s="5" t="s">
        <v>294</v>
      </c>
      <c r="C96" s="5" t="s">
        <v>21</v>
      </c>
      <c r="I96" s="7"/>
      <c r="K96" s="5">
        <v>200.0</v>
      </c>
      <c r="N96" s="8">
        <v>44155.0</v>
      </c>
    </row>
    <row r="97">
      <c r="A97" s="5">
        <v>96.0</v>
      </c>
      <c r="B97" s="5" t="s">
        <v>297</v>
      </c>
      <c r="C97" s="5" t="s">
        <v>21</v>
      </c>
      <c r="K97" s="5">
        <v>450.0</v>
      </c>
      <c r="N97" s="8">
        <v>44212.0</v>
      </c>
    </row>
    <row r="98">
      <c r="I98" s="7"/>
      <c r="N98" s="8"/>
    </row>
    <row r="99">
      <c r="N99" s="8"/>
    </row>
    <row r="100">
      <c r="N100" s="8"/>
    </row>
    <row r="101">
      <c r="N101" s="8"/>
    </row>
    <row r="102">
      <c r="N102" s="8"/>
    </row>
    <row r="103">
      <c r="I103" s="7"/>
      <c r="N103" s="8"/>
    </row>
    <row r="104">
      <c r="N104" s="8"/>
    </row>
    <row r="105">
      <c r="N105" s="8"/>
    </row>
    <row r="106">
      <c r="N106" s="8"/>
    </row>
    <row r="107">
      <c r="N107" s="8"/>
    </row>
    <row r="108">
      <c r="N108" s="8"/>
    </row>
    <row r="109">
      <c r="N109" s="8"/>
    </row>
    <row r="110">
      <c r="N110" s="8"/>
    </row>
    <row r="111">
      <c r="I111" s="7"/>
      <c r="N111" s="8"/>
    </row>
    <row r="112">
      <c r="N112" s="8"/>
    </row>
    <row r="113">
      <c r="I113" s="7"/>
      <c r="N113" s="8"/>
    </row>
    <row r="114">
      <c r="N114" s="8"/>
    </row>
    <row r="115">
      <c r="I115" s="7"/>
      <c r="N115" s="8"/>
    </row>
    <row r="116">
      <c r="I116" s="7"/>
      <c r="N116" s="8"/>
    </row>
    <row r="117">
      <c r="I117" s="7"/>
      <c r="N117" s="8"/>
    </row>
    <row r="118">
      <c r="N118" s="8"/>
    </row>
    <row r="119">
      <c r="N119" s="8"/>
    </row>
    <row r="120">
      <c r="N120" s="8"/>
    </row>
    <row r="121">
      <c r="N121" s="8"/>
    </row>
    <row r="122">
      <c r="N122" s="8"/>
    </row>
    <row r="123">
      <c r="N123" s="8"/>
    </row>
    <row r="124">
      <c r="N124" s="8"/>
    </row>
    <row r="125">
      <c r="N125" s="8"/>
    </row>
    <row r="126">
      <c r="N126" s="8"/>
    </row>
    <row r="127">
      <c r="N127" s="8"/>
    </row>
    <row r="128">
      <c r="N128" s="8"/>
    </row>
    <row r="129">
      <c r="N129" s="8"/>
    </row>
    <row r="130">
      <c r="N130" s="8"/>
    </row>
    <row r="131">
      <c r="N131" s="8"/>
    </row>
    <row r="132">
      <c r="N132" s="8"/>
    </row>
    <row r="133">
      <c r="N133" s="8"/>
    </row>
    <row r="134">
      <c r="N134" s="8"/>
    </row>
    <row r="135">
      <c r="I135" s="7"/>
      <c r="N135" s="8"/>
    </row>
    <row r="136">
      <c r="N136" s="8"/>
    </row>
    <row r="137">
      <c r="N137" s="8"/>
    </row>
    <row r="138">
      <c r="N138" s="8"/>
    </row>
    <row r="139">
      <c r="N139" s="8"/>
    </row>
    <row r="140">
      <c r="N140" s="8"/>
    </row>
    <row r="141">
      <c r="N141" s="8"/>
    </row>
    <row r="142">
      <c r="N142" s="8"/>
    </row>
    <row r="143">
      <c r="N143" s="8"/>
    </row>
    <row r="144">
      <c r="N144" s="8"/>
    </row>
    <row r="145">
      <c r="N145" s="8"/>
    </row>
    <row r="146">
      <c r="N146" s="8"/>
    </row>
    <row r="147">
      <c r="N147" s="8"/>
    </row>
    <row r="148">
      <c r="N148" s="8"/>
    </row>
    <row r="149">
      <c r="N149" s="8"/>
    </row>
    <row r="150">
      <c r="N150" s="8"/>
    </row>
    <row r="151">
      <c r="N151" s="8"/>
    </row>
    <row r="152">
      <c r="N152" s="8"/>
    </row>
    <row r="153">
      <c r="N153" s="8"/>
    </row>
    <row r="154">
      <c r="N154" s="8"/>
    </row>
    <row r="155">
      <c r="N155" s="8"/>
    </row>
    <row r="156">
      <c r="N156" s="8"/>
    </row>
    <row r="157">
      <c r="N157" s="8"/>
    </row>
    <row r="158">
      <c r="N158" s="8"/>
    </row>
    <row r="159">
      <c r="N159" s="8"/>
    </row>
    <row r="160">
      <c r="N160" s="8"/>
    </row>
    <row r="161">
      <c r="N161" s="8"/>
    </row>
    <row r="162">
      <c r="N162" s="8"/>
    </row>
    <row r="163">
      <c r="N163" s="8"/>
    </row>
    <row r="164">
      <c r="N164" s="8"/>
    </row>
    <row r="165">
      <c r="N165" s="8"/>
    </row>
    <row r="166">
      <c r="N166" s="8"/>
    </row>
    <row r="167">
      <c r="N167" s="8"/>
    </row>
    <row r="168">
      <c r="N168" s="8"/>
    </row>
    <row r="169">
      <c r="N169" s="8"/>
    </row>
    <row r="170">
      <c r="N170" s="8"/>
    </row>
    <row r="171">
      <c r="N171" s="8"/>
    </row>
    <row r="172">
      <c r="N172" s="8"/>
    </row>
    <row r="173">
      <c r="N173" s="8"/>
    </row>
    <row r="174">
      <c r="N174" s="8"/>
    </row>
    <row r="175">
      <c r="N175" s="8"/>
    </row>
    <row r="176">
      <c r="N176" s="8"/>
    </row>
    <row r="177">
      <c r="N177" s="8"/>
    </row>
    <row r="178">
      <c r="N178" s="8"/>
    </row>
    <row r="179">
      <c r="N179" s="8"/>
    </row>
    <row r="180">
      <c r="N180" s="8"/>
    </row>
    <row r="181">
      <c r="N181" s="8"/>
    </row>
    <row r="182">
      <c r="N182" s="8"/>
    </row>
    <row r="183">
      <c r="N183" s="8"/>
    </row>
    <row r="184">
      <c r="N184" s="8"/>
    </row>
    <row r="185">
      <c r="N185" s="8"/>
    </row>
    <row r="186">
      <c r="N186" s="8"/>
    </row>
    <row r="187">
      <c r="N187" s="8"/>
    </row>
    <row r="188">
      <c r="N188" s="8"/>
    </row>
    <row r="189">
      <c r="N189" s="8"/>
    </row>
    <row r="190">
      <c r="N190" s="8"/>
    </row>
    <row r="191">
      <c r="N191" s="8"/>
    </row>
    <row r="192">
      <c r="N192" s="8"/>
    </row>
    <row r="193">
      <c r="N193" s="8"/>
    </row>
    <row r="194">
      <c r="N194" s="8"/>
    </row>
    <row r="195">
      <c r="N195" s="8"/>
    </row>
    <row r="196">
      <c r="N196" s="8"/>
    </row>
    <row r="197">
      <c r="N197" s="8"/>
    </row>
    <row r="198">
      <c r="N198" s="8"/>
    </row>
    <row r="199">
      <c r="N199" s="8"/>
    </row>
    <row r="200">
      <c r="N200" s="8"/>
    </row>
    <row r="201">
      <c r="N201" s="8"/>
    </row>
    <row r="202">
      <c r="N202" s="8"/>
    </row>
    <row r="203">
      <c r="N203" s="8"/>
    </row>
    <row r="204">
      <c r="N204" s="8"/>
    </row>
    <row r="205">
      <c r="N205" s="8"/>
    </row>
    <row r="206">
      <c r="N206" s="8"/>
    </row>
    <row r="207">
      <c r="N207" s="8"/>
    </row>
    <row r="208">
      <c r="N208" s="8"/>
    </row>
    <row r="209">
      <c r="N209" s="8"/>
    </row>
    <row r="210">
      <c r="N210" s="8"/>
    </row>
    <row r="211">
      <c r="N211" s="8"/>
    </row>
    <row r="212">
      <c r="N212" s="8"/>
    </row>
    <row r="213">
      <c r="N213" s="8"/>
    </row>
    <row r="214">
      <c r="N214" s="8"/>
    </row>
    <row r="215">
      <c r="N215" s="8"/>
    </row>
    <row r="216">
      <c r="N216" s="8"/>
    </row>
    <row r="217">
      <c r="N217" s="8"/>
    </row>
    <row r="218">
      <c r="N218" s="8"/>
    </row>
    <row r="219">
      <c r="N219" s="8"/>
    </row>
    <row r="220">
      <c r="N220" s="8"/>
    </row>
    <row r="221">
      <c r="N221" s="8"/>
    </row>
    <row r="222">
      <c r="N222" s="8"/>
    </row>
    <row r="223">
      <c r="N223" s="8"/>
    </row>
    <row r="224">
      <c r="N224" s="8"/>
    </row>
    <row r="225">
      <c r="N225" s="8"/>
    </row>
    <row r="226">
      <c r="N226" s="8"/>
    </row>
    <row r="227">
      <c r="N227" s="8"/>
    </row>
    <row r="228">
      <c r="N228" s="8"/>
    </row>
    <row r="229">
      <c r="N229" s="8"/>
    </row>
    <row r="230">
      <c r="N230" s="8"/>
    </row>
    <row r="231">
      <c r="N231" s="8"/>
    </row>
    <row r="232">
      <c r="N232" s="8"/>
    </row>
    <row r="233">
      <c r="N233" s="8"/>
    </row>
    <row r="234">
      <c r="N234" s="8"/>
    </row>
    <row r="235">
      <c r="N235" s="8"/>
    </row>
    <row r="236">
      <c r="N236" s="8"/>
    </row>
    <row r="237">
      <c r="N237" s="8"/>
    </row>
    <row r="238">
      <c r="N238" s="8"/>
    </row>
    <row r="239">
      <c r="N239" s="8"/>
    </row>
    <row r="240">
      <c r="N240" s="8"/>
    </row>
    <row r="241">
      <c r="N241" s="8"/>
    </row>
    <row r="242">
      <c r="N242" s="8"/>
    </row>
    <row r="243">
      <c r="N243" s="8"/>
    </row>
    <row r="244">
      <c r="N244" s="8"/>
    </row>
    <row r="245">
      <c r="N245" s="8"/>
    </row>
    <row r="246">
      <c r="N246" s="8"/>
    </row>
    <row r="247">
      <c r="N247" s="8"/>
    </row>
    <row r="248">
      <c r="N248" s="8"/>
    </row>
    <row r="249">
      <c r="N249" s="8"/>
    </row>
    <row r="250">
      <c r="N250" s="8"/>
    </row>
    <row r="251">
      <c r="N251" s="8"/>
    </row>
    <row r="252">
      <c r="N252" s="8"/>
    </row>
    <row r="253">
      <c r="N253" s="8"/>
    </row>
    <row r="254">
      <c r="N254" s="8"/>
    </row>
    <row r="255">
      <c r="I255" s="7"/>
      <c r="N255" s="8"/>
    </row>
    <row r="256">
      <c r="N256" s="8"/>
    </row>
    <row r="257">
      <c r="N257" s="8"/>
    </row>
    <row r="258">
      <c r="N258" s="8"/>
    </row>
    <row r="259">
      <c r="N259" s="8"/>
    </row>
    <row r="260">
      <c r="N260" s="8"/>
    </row>
    <row r="261">
      <c r="N261" s="8"/>
    </row>
    <row r="262">
      <c r="N262" s="8"/>
    </row>
    <row r="263">
      <c r="N263" s="8"/>
    </row>
    <row r="264">
      <c r="N264" s="8"/>
    </row>
    <row r="265">
      <c r="N265" s="8"/>
    </row>
    <row r="266">
      <c r="N266" s="8"/>
    </row>
    <row r="267">
      <c r="N267" s="8"/>
    </row>
    <row r="268">
      <c r="N268" s="8"/>
    </row>
    <row r="269">
      <c r="N269" s="8"/>
    </row>
    <row r="270">
      <c r="N270" s="8"/>
    </row>
    <row r="271">
      <c r="N271" s="8"/>
    </row>
    <row r="272">
      <c r="N272" s="8"/>
    </row>
    <row r="273">
      <c r="N273" s="8"/>
    </row>
    <row r="274">
      <c r="N274" s="8"/>
    </row>
    <row r="275">
      <c r="N275" s="8"/>
    </row>
    <row r="276">
      <c r="N276" s="8"/>
    </row>
    <row r="277">
      <c r="N277" s="8"/>
    </row>
    <row r="278">
      <c r="N278" s="8"/>
    </row>
    <row r="279">
      <c r="N279" s="8"/>
    </row>
    <row r="280">
      <c r="N280" s="8"/>
    </row>
    <row r="281">
      <c r="N281" s="8"/>
    </row>
    <row r="282">
      <c r="N282" s="8"/>
    </row>
    <row r="283">
      <c r="N283" s="8"/>
    </row>
    <row r="284">
      <c r="N284" s="8"/>
    </row>
    <row r="285">
      <c r="N285" s="8"/>
    </row>
    <row r="286">
      <c r="N286" s="8"/>
    </row>
    <row r="287">
      <c r="N287" s="8"/>
    </row>
    <row r="288">
      <c r="N288" s="8"/>
    </row>
    <row r="289">
      <c r="N289" s="8"/>
    </row>
    <row r="290">
      <c r="N290" s="8"/>
    </row>
    <row r="291">
      <c r="N291" s="8"/>
    </row>
    <row r="292">
      <c r="N292" s="8"/>
    </row>
    <row r="293">
      <c r="N293" s="8"/>
    </row>
    <row r="294">
      <c r="N294" s="8"/>
    </row>
    <row r="295">
      <c r="N295" s="8"/>
    </row>
    <row r="296">
      <c r="N296" s="8"/>
    </row>
    <row r="297">
      <c r="N297" s="8"/>
    </row>
    <row r="298">
      <c r="N298" s="8"/>
    </row>
    <row r="299">
      <c r="N299" s="8"/>
    </row>
    <row r="300">
      <c r="N300" s="8"/>
    </row>
    <row r="301">
      <c r="N301" s="8"/>
    </row>
    <row r="302">
      <c r="N302" s="8"/>
    </row>
    <row r="303">
      <c r="N303" s="8"/>
    </row>
    <row r="304">
      <c r="N304" s="8"/>
    </row>
    <row r="305">
      <c r="N305" s="8"/>
    </row>
    <row r="306">
      <c r="N306" s="8"/>
    </row>
    <row r="307">
      <c r="N307" s="8"/>
    </row>
    <row r="308">
      <c r="N308" s="8"/>
    </row>
    <row r="309">
      <c r="N309" s="8"/>
    </row>
    <row r="310">
      <c r="N310" s="8"/>
    </row>
    <row r="311">
      <c r="N311" s="8"/>
    </row>
    <row r="312">
      <c r="N312" s="8"/>
    </row>
    <row r="313">
      <c r="N313" s="8"/>
    </row>
    <row r="314">
      <c r="N314" s="8"/>
    </row>
    <row r="315">
      <c r="N315" s="8"/>
    </row>
    <row r="316">
      <c r="N316" s="8"/>
    </row>
    <row r="317">
      <c r="N317" s="8"/>
    </row>
    <row r="318">
      <c r="N318" s="8"/>
    </row>
    <row r="319">
      <c r="N319" s="8"/>
    </row>
    <row r="320">
      <c r="N320" s="8"/>
    </row>
    <row r="321">
      <c r="N321" s="8"/>
    </row>
    <row r="322">
      <c r="N322" s="8"/>
    </row>
    <row r="323">
      <c r="N323" s="8"/>
    </row>
    <row r="324">
      <c r="N324" s="8"/>
    </row>
    <row r="325">
      <c r="N325" s="8"/>
    </row>
    <row r="326">
      <c r="N326" s="8"/>
    </row>
    <row r="327">
      <c r="N327" s="8"/>
    </row>
    <row r="328">
      <c r="N328" s="8"/>
    </row>
    <row r="329">
      <c r="N329" s="8"/>
    </row>
    <row r="330">
      <c r="N330" s="8"/>
    </row>
    <row r="331">
      <c r="N331" s="8"/>
    </row>
    <row r="332">
      <c r="N332" s="8"/>
    </row>
    <row r="333">
      <c r="N333" s="8"/>
    </row>
    <row r="334">
      <c r="N334" s="8"/>
    </row>
    <row r="335">
      <c r="N335" s="8"/>
    </row>
    <row r="336">
      <c r="N336" s="8"/>
    </row>
    <row r="337">
      <c r="N337" s="8"/>
    </row>
    <row r="338">
      <c r="N338" s="8"/>
    </row>
    <row r="339">
      <c r="N339" s="8"/>
    </row>
    <row r="340">
      <c r="N340" s="8"/>
    </row>
    <row r="341">
      <c r="N341" s="8"/>
    </row>
    <row r="342">
      <c r="N342" s="8"/>
    </row>
    <row r="343">
      <c r="N343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762</v>
      </c>
      <c r="C2" s="5" t="s">
        <v>21</v>
      </c>
      <c r="D2" s="5">
        <v>85.0</v>
      </c>
      <c r="E2" s="5">
        <v>2800.0</v>
      </c>
      <c r="F2" s="5">
        <v>0.6</v>
      </c>
      <c r="H2" s="5" t="s">
        <v>22</v>
      </c>
      <c r="I2" s="7">
        <v>46149.25770833333</v>
      </c>
      <c r="K2" s="5">
        <v>21000.0</v>
      </c>
      <c r="L2" s="5">
        <v>2100.0</v>
      </c>
      <c r="M2" s="5">
        <v>2700.0</v>
      </c>
      <c r="N2" s="8">
        <v>42254.0</v>
      </c>
      <c r="O2" s="5" t="s">
        <v>47</v>
      </c>
      <c r="P2" s="5" t="s">
        <v>25</v>
      </c>
      <c r="Q2" s="5" t="s">
        <v>769</v>
      </c>
      <c r="R2" s="5" t="s">
        <v>770</v>
      </c>
      <c r="S2" s="5" t="s">
        <v>29</v>
      </c>
    </row>
    <row r="3">
      <c r="A3" s="5">
        <v>2.0</v>
      </c>
      <c r="B3" s="5" t="s">
        <v>22</v>
      </c>
      <c r="C3" s="5" t="s">
        <v>21</v>
      </c>
      <c r="D3" s="5">
        <v>83.0</v>
      </c>
      <c r="E3" s="5">
        <v>2700.0</v>
      </c>
      <c r="F3" s="5">
        <v>0.6</v>
      </c>
      <c r="G3" s="5">
        <v>1.54</v>
      </c>
      <c r="H3" s="5" t="s">
        <v>22</v>
      </c>
      <c r="I3" s="7">
        <v>46149.24729166667</v>
      </c>
      <c r="J3" s="5" t="s">
        <v>773</v>
      </c>
      <c r="K3" s="5">
        <v>21000.0</v>
      </c>
      <c r="L3" s="5">
        <v>2100.0</v>
      </c>
      <c r="M3" s="5">
        <v>2700.0</v>
      </c>
      <c r="N3" s="8">
        <v>42248.0</v>
      </c>
      <c r="O3" s="5" t="s">
        <v>47</v>
      </c>
      <c r="P3" s="5" t="s">
        <v>25</v>
      </c>
      <c r="Q3" s="5" t="s">
        <v>775</v>
      </c>
      <c r="R3" s="5" t="s">
        <v>776</v>
      </c>
      <c r="S3" s="5" t="s">
        <v>29</v>
      </c>
    </row>
    <row r="4">
      <c r="A4" s="5">
        <v>3.0</v>
      </c>
      <c r="B4" s="5" t="s">
        <v>20</v>
      </c>
      <c r="C4" s="5" t="s">
        <v>21</v>
      </c>
      <c r="D4" s="5">
        <v>89.0</v>
      </c>
      <c r="E4" s="5">
        <v>1100.0</v>
      </c>
      <c r="F4" s="5">
        <v>0.6</v>
      </c>
      <c r="H4" s="5" t="s">
        <v>22</v>
      </c>
      <c r="I4" s="7">
        <v>45896.83646990741</v>
      </c>
      <c r="J4" s="5" t="s">
        <v>23</v>
      </c>
      <c r="K4" s="5">
        <v>3900.0</v>
      </c>
      <c r="L4" s="5">
        <v>5400.0</v>
      </c>
      <c r="M4" s="5">
        <v>6500.0</v>
      </c>
      <c r="N4" s="8">
        <v>43188.0</v>
      </c>
      <c r="O4" s="5" t="s">
        <v>24</v>
      </c>
      <c r="P4" s="5" t="s">
        <v>25</v>
      </c>
      <c r="Q4" s="5" t="s">
        <v>27</v>
      </c>
      <c r="R4" s="5" t="s">
        <v>28</v>
      </c>
      <c r="S4" s="5" t="s">
        <v>29</v>
      </c>
    </row>
    <row r="5">
      <c r="A5" s="5">
        <v>4.0</v>
      </c>
      <c r="B5" s="5" t="s">
        <v>780</v>
      </c>
      <c r="C5" s="5" t="s">
        <v>21</v>
      </c>
      <c r="D5" s="5">
        <v>57.0</v>
      </c>
      <c r="E5" s="5">
        <v>1000.0</v>
      </c>
      <c r="F5" s="5">
        <v>0.6</v>
      </c>
      <c r="G5" s="5">
        <v>1.28</v>
      </c>
      <c r="H5" s="5" t="s">
        <v>22</v>
      </c>
      <c r="I5" s="7">
        <v>45896.67324074074</v>
      </c>
      <c r="J5" s="5" t="s">
        <v>783</v>
      </c>
      <c r="K5" s="5">
        <v>1200.0</v>
      </c>
      <c r="L5" s="5">
        <v>5400.0</v>
      </c>
      <c r="M5" s="5">
        <v>6500.0</v>
      </c>
      <c r="N5" s="8">
        <v>42252.0</v>
      </c>
      <c r="O5" s="5" t="s">
        <v>106</v>
      </c>
      <c r="P5" s="5" t="s">
        <v>25</v>
      </c>
      <c r="Q5" s="5" t="s">
        <v>786</v>
      </c>
      <c r="R5" s="5" t="s">
        <v>787</v>
      </c>
      <c r="S5" s="5" t="s">
        <v>29</v>
      </c>
    </row>
    <row r="6">
      <c r="A6" s="5">
        <v>5.0</v>
      </c>
      <c r="B6" s="5" t="s">
        <v>789</v>
      </c>
      <c r="C6" s="5" t="s">
        <v>21</v>
      </c>
      <c r="D6" s="5">
        <v>59.0</v>
      </c>
      <c r="E6" s="5">
        <v>1000.0</v>
      </c>
      <c r="F6" s="5">
        <v>0.6</v>
      </c>
      <c r="H6" s="5" t="s">
        <v>22</v>
      </c>
      <c r="I6" s="7">
        <v>45896.608460648145</v>
      </c>
      <c r="J6" s="5" t="s">
        <v>792</v>
      </c>
      <c r="K6" s="5">
        <v>1100.0</v>
      </c>
      <c r="L6" s="5">
        <v>5400.0</v>
      </c>
      <c r="M6" s="5">
        <v>6500.0</v>
      </c>
      <c r="N6" s="8">
        <v>42337.0</v>
      </c>
      <c r="O6" s="5" t="s">
        <v>47</v>
      </c>
      <c r="P6" s="5" t="s">
        <v>25</v>
      </c>
      <c r="Q6" s="5" t="s">
        <v>794</v>
      </c>
      <c r="R6" s="5" t="s">
        <v>796</v>
      </c>
      <c r="S6" s="5" t="s">
        <v>66</v>
      </c>
    </row>
    <row r="7">
      <c r="A7" s="5">
        <v>6.0</v>
      </c>
      <c r="B7" s="5" t="s">
        <v>798</v>
      </c>
      <c r="C7" s="5" t="s">
        <v>21</v>
      </c>
      <c r="D7" s="5">
        <v>74.0</v>
      </c>
      <c r="E7" s="5">
        <v>800.0</v>
      </c>
      <c r="F7" s="5">
        <v>0.5</v>
      </c>
      <c r="G7" s="5">
        <v>1.44</v>
      </c>
      <c r="H7" s="5" t="s">
        <v>22</v>
      </c>
      <c r="I7" s="7">
        <v>45896.83689814815</v>
      </c>
      <c r="J7" s="5" t="s">
        <v>44</v>
      </c>
      <c r="K7" s="5">
        <v>900.0</v>
      </c>
      <c r="L7" s="5">
        <v>5400.0</v>
      </c>
      <c r="M7" s="5">
        <v>6500.0</v>
      </c>
      <c r="N7" s="8">
        <v>42251.0</v>
      </c>
      <c r="O7" s="5" t="s">
        <v>47</v>
      </c>
      <c r="P7" s="5" t="s">
        <v>25</v>
      </c>
      <c r="Q7" s="5" t="s">
        <v>802</v>
      </c>
      <c r="R7" s="5" t="s">
        <v>803</v>
      </c>
      <c r="S7" s="5" t="s">
        <v>29</v>
      </c>
    </row>
    <row r="8">
      <c r="A8" s="5">
        <v>7.0</v>
      </c>
      <c r="B8" s="5" t="s">
        <v>805</v>
      </c>
      <c r="C8" s="5" t="s">
        <v>21</v>
      </c>
      <c r="D8" s="5">
        <v>56.0</v>
      </c>
      <c r="E8" s="5">
        <v>700.0</v>
      </c>
      <c r="F8" s="5">
        <v>0.6</v>
      </c>
      <c r="G8" s="5">
        <v>1.18</v>
      </c>
      <c r="H8" s="5" t="s">
        <v>805</v>
      </c>
      <c r="I8" s="7">
        <v>45893.55287037037</v>
      </c>
      <c r="J8" s="5" t="s">
        <v>807</v>
      </c>
      <c r="K8" s="5">
        <v>1100.0</v>
      </c>
      <c r="L8" s="5">
        <v>1700.0</v>
      </c>
      <c r="M8" s="5">
        <v>1700.0</v>
      </c>
      <c r="N8" s="8">
        <v>42313.0</v>
      </c>
      <c r="O8" s="5" t="s">
        <v>106</v>
      </c>
      <c r="Q8" s="5" t="s">
        <v>809</v>
      </c>
      <c r="R8" s="5" t="s">
        <v>810</v>
      </c>
      <c r="S8" s="5" t="s">
        <v>29</v>
      </c>
    </row>
    <row r="9">
      <c r="A9" s="5">
        <v>8.0</v>
      </c>
      <c r="B9" s="5" t="s">
        <v>812</v>
      </c>
      <c r="C9" s="5" t="s">
        <v>21</v>
      </c>
      <c r="D9" s="5">
        <v>92.0</v>
      </c>
      <c r="E9" s="5">
        <v>600.0</v>
      </c>
      <c r="F9" s="5">
        <v>0.6</v>
      </c>
      <c r="H9" s="5" t="s">
        <v>22</v>
      </c>
      <c r="I9" s="7">
        <v>45910.98322916667</v>
      </c>
      <c r="K9" s="5">
        <v>1900.0</v>
      </c>
      <c r="L9" s="5">
        <v>5300.0</v>
      </c>
      <c r="M9" s="5">
        <v>5900.0</v>
      </c>
      <c r="N9" s="8">
        <v>42414.0</v>
      </c>
      <c r="O9" s="5" t="s">
        <v>24</v>
      </c>
      <c r="P9" s="5" t="s">
        <v>25</v>
      </c>
      <c r="Q9" s="5" t="s">
        <v>816</v>
      </c>
      <c r="R9" s="5" t="s">
        <v>817</v>
      </c>
      <c r="S9" s="5" t="s">
        <v>29</v>
      </c>
    </row>
    <row r="10">
      <c r="A10" s="5">
        <v>9.0</v>
      </c>
      <c r="B10" s="5" t="s">
        <v>43</v>
      </c>
      <c r="C10" s="5" t="s">
        <v>21</v>
      </c>
      <c r="D10" s="5">
        <v>68.0</v>
      </c>
      <c r="E10" s="5">
        <v>500.0</v>
      </c>
      <c r="F10" s="5">
        <v>0.6</v>
      </c>
      <c r="H10" s="5" t="s">
        <v>22</v>
      </c>
      <c r="I10" s="7">
        <v>46055.75746527778</v>
      </c>
      <c r="J10" s="5" t="s">
        <v>820</v>
      </c>
      <c r="K10" s="5">
        <v>500.0</v>
      </c>
      <c r="L10" s="5">
        <v>2100.0</v>
      </c>
      <c r="M10" s="5">
        <v>2200.0</v>
      </c>
      <c r="N10" s="8">
        <v>42345.0</v>
      </c>
      <c r="O10" s="5" t="s">
        <v>47</v>
      </c>
      <c r="P10" s="5" t="s">
        <v>25</v>
      </c>
      <c r="Q10" s="5" t="s">
        <v>823</v>
      </c>
      <c r="R10" s="5" t="s">
        <v>824</v>
      </c>
      <c r="S10" s="5" t="s">
        <v>66</v>
      </c>
    </row>
    <row r="11">
      <c r="A11" s="5">
        <v>10.0</v>
      </c>
      <c r="B11" s="5" t="s">
        <v>826</v>
      </c>
      <c r="C11" s="5" t="s">
        <v>21</v>
      </c>
      <c r="D11" s="5">
        <v>88.0</v>
      </c>
      <c r="E11" s="5">
        <v>450.0</v>
      </c>
      <c r="F11" s="5">
        <v>0.6</v>
      </c>
      <c r="G11" s="5">
        <v>1.27</v>
      </c>
      <c r="H11" s="5" t="s">
        <v>826</v>
      </c>
      <c r="I11" s="7">
        <v>45979.32341435185</v>
      </c>
      <c r="J11" s="5" t="s">
        <v>44</v>
      </c>
      <c r="K11" s="5">
        <v>40000.0</v>
      </c>
      <c r="L11" s="5">
        <v>6200.0</v>
      </c>
      <c r="M11" s="5">
        <v>6600.0</v>
      </c>
      <c r="N11" s="8">
        <v>42323.0</v>
      </c>
      <c r="O11" s="5" t="s">
        <v>47</v>
      </c>
      <c r="P11" s="5" t="s">
        <v>25</v>
      </c>
      <c r="Q11" s="5" t="s">
        <v>829</v>
      </c>
      <c r="R11" s="5" t="s">
        <v>831</v>
      </c>
      <c r="S11" s="5" t="s">
        <v>66</v>
      </c>
    </row>
    <row r="12">
      <c r="A12" s="5">
        <v>11.0</v>
      </c>
      <c r="B12" s="5" t="s">
        <v>832</v>
      </c>
      <c r="C12" s="5" t="s">
        <v>21</v>
      </c>
      <c r="D12" s="5">
        <v>58.0</v>
      </c>
      <c r="E12" s="5">
        <v>450.0</v>
      </c>
      <c r="F12" s="5">
        <v>0.6</v>
      </c>
      <c r="H12" s="5" t="s">
        <v>805</v>
      </c>
      <c r="I12" s="7">
        <v>45892.69390046296</v>
      </c>
      <c r="J12" s="5" t="s">
        <v>807</v>
      </c>
      <c r="K12" s="5">
        <v>500.0</v>
      </c>
      <c r="L12" s="5">
        <v>1700.0</v>
      </c>
      <c r="M12" s="5">
        <v>1700.0</v>
      </c>
      <c r="N12" s="8">
        <v>42250.0</v>
      </c>
      <c r="O12" s="5" t="s">
        <v>106</v>
      </c>
      <c r="P12" s="5" t="s">
        <v>25</v>
      </c>
      <c r="Q12" s="5" t="s">
        <v>837</v>
      </c>
      <c r="R12" s="5" t="s">
        <v>838</v>
      </c>
      <c r="S12" s="5" t="s">
        <v>29</v>
      </c>
    </row>
    <row r="13">
      <c r="A13" s="5">
        <v>12.0</v>
      </c>
      <c r="B13" s="5" t="s">
        <v>32</v>
      </c>
      <c r="C13" s="5" t="s">
        <v>21</v>
      </c>
      <c r="D13" s="5">
        <v>88.0</v>
      </c>
      <c r="E13" s="5">
        <v>400.0</v>
      </c>
      <c r="F13" s="5">
        <v>0.6</v>
      </c>
      <c r="H13" s="5" t="s">
        <v>22</v>
      </c>
      <c r="I13" s="7">
        <v>45891.39775462963</v>
      </c>
      <c r="J13" s="5" t="s">
        <v>35</v>
      </c>
      <c r="K13" s="5">
        <v>2000.0</v>
      </c>
      <c r="L13" s="5">
        <v>5300.0</v>
      </c>
      <c r="M13" s="5">
        <v>6500.0</v>
      </c>
      <c r="N13" s="8">
        <v>42248.0</v>
      </c>
      <c r="O13" s="5" t="s">
        <v>24</v>
      </c>
      <c r="P13" s="5" t="s">
        <v>25</v>
      </c>
      <c r="Q13" s="5" t="s">
        <v>37</v>
      </c>
      <c r="R13" s="5" t="s">
        <v>38</v>
      </c>
      <c r="S13" s="5" t="s">
        <v>29</v>
      </c>
    </row>
    <row r="14">
      <c r="A14" s="5">
        <v>13.0</v>
      </c>
      <c r="B14" s="5" t="s">
        <v>845</v>
      </c>
      <c r="C14" s="5" t="s">
        <v>21</v>
      </c>
      <c r="D14" s="5">
        <v>75.0</v>
      </c>
      <c r="E14" s="5">
        <v>400.0</v>
      </c>
      <c r="F14" s="5">
        <v>0.6</v>
      </c>
      <c r="H14" s="5" t="s">
        <v>22</v>
      </c>
      <c r="I14" s="7">
        <v>45887.41909722222</v>
      </c>
      <c r="J14" s="5" t="s">
        <v>104</v>
      </c>
      <c r="K14" s="5">
        <v>400.0</v>
      </c>
      <c r="L14" s="5">
        <v>5100.0</v>
      </c>
      <c r="M14" s="5">
        <v>6300.0</v>
      </c>
      <c r="N14" s="8">
        <v>42256.0</v>
      </c>
      <c r="O14" s="5" t="s">
        <v>106</v>
      </c>
      <c r="P14" s="5" t="s">
        <v>25</v>
      </c>
      <c r="Q14" s="5" t="s">
        <v>847</v>
      </c>
      <c r="R14" s="5" t="s">
        <v>848</v>
      </c>
      <c r="S14" s="5" t="s">
        <v>66</v>
      </c>
    </row>
    <row r="15">
      <c r="A15" s="5">
        <v>14.0</v>
      </c>
      <c r="B15" s="5" t="s">
        <v>850</v>
      </c>
      <c r="C15" s="5" t="s">
        <v>21</v>
      </c>
      <c r="D15" s="5">
        <v>52.0</v>
      </c>
      <c r="E15" s="5">
        <v>350.0</v>
      </c>
      <c r="F15" s="5">
        <v>0.6</v>
      </c>
      <c r="H15" s="5" t="s">
        <v>22</v>
      </c>
      <c r="I15" s="7">
        <v>45898.77753472222</v>
      </c>
      <c r="K15" s="5">
        <v>350.0</v>
      </c>
      <c r="L15" s="5">
        <v>3000.0</v>
      </c>
      <c r="M15" s="5">
        <v>3100.0</v>
      </c>
      <c r="N15" s="8">
        <v>42313.0</v>
      </c>
      <c r="O15" s="5" t="s">
        <v>106</v>
      </c>
      <c r="P15" s="5" t="s">
        <v>25</v>
      </c>
      <c r="Q15" s="5" t="s">
        <v>854</v>
      </c>
      <c r="R15" s="5" t="s">
        <v>855</v>
      </c>
      <c r="S15" s="5" t="s">
        <v>66</v>
      </c>
    </row>
    <row r="16">
      <c r="A16" s="5">
        <v>15.0</v>
      </c>
      <c r="B16" s="5" t="s">
        <v>857</v>
      </c>
      <c r="C16" s="5" t="s">
        <v>21</v>
      </c>
      <c r="D16" s="5">
        <v>91.0</v>
      </c>
      <c r="E16" s="5">
        <v>300.0</v>
      </c>
      <c r="F16" s="5">
        <v>0.6</v>
      </c>
      <c r="H16" s="5" t="s">
        <v>22</v>
      </c>
      <c r="I16" s="7">
        <v>45935.22761574074</v>
      </c>
      <c r="J16" s="5" t="s">
        <v>44</v>
      </c>
      <c r="K16" s="5">
        <v>2300.0</v>
      </c>
      <c r="L16" s="5">
        <v>5400.0</v>
      </c>
      <c r="M16" s="5">
        <v>5800.0</v>
      </c>
      <c r="N16" s="8">
        <v>42496.0</v>
      </c>
      <c r="O16" s="5" t="s">
        <v>24</v>
      </c>
      <c r="P16" s="5" t="s">
        <v>25</v>
      </c>
      <c r="Q16" s="5" t="s">
        <v>860</v>
      </c>
      <c r="R16" s="5" t="s">
        <v>862</v>
      </c>
      <c r="S16" s="5" t="s">
        <v>29</v>
      </c>
    </row>
    <row r="17">
      <c r="A17" s="5">
        <v>16.0</v>
      </c>
      <c r="B17" s="5" t="s">
        <v>863</v>
      </c>
      <c r="C17" s="5" t="s">
        <v>21</v>
      </c>
      <c r="D17" s="5">
        <v>0.0</v>
      </c>
      <c r="E17" s="5">
        <v>250.0</v>
      </c>
      <c r="H17" s="5" t="s">
        <v>865</v>
      </c>
      <c r="I17" s="7">
        <v>46084.699224537035</v>
      </c>
      <c r="J17" s="5" t="s">
        <v>23</v>
      </c>
      <c r="K17" s="5">
        <v>1100.0</v>
      </c>
      <c r="L17" s="5">
        <v>21000.0</v>
      </c>
      <c r="M17" s="5">
        <v>23000.0</v>
      </c>
      <c r="N17" s="8">
        <v>45191.0</v>
      </c>
      <c r="O17" s="5" t="s">
        <v>106</v>
      </c>
      <c r="Q17" s="5" t="s">
        <v>868</v>
      </c>
      <c r="R17" s="5">
        <v>404.0</v>
      </c>
      <c r="S17" s="5" t="s">
        <v>870</v>
      </c>
    </row>
    <row r="18">
      <c r="A18" s="5">
        <v>17.0</v>
      </c>
      <c r="B18" s="5" t="s">
        <v>872</v>
      </c>
      <c r="C18" s="5" t="s">
        <v>21</v>
      </c>
      <c r="D18" s="5">
        <v>76.0</v>
      </c>
      <c r="E18" s="5">
        <v>200.0</v>
      </c>
      <c r="F18" s="5">
        <v>0.6</v>
      </c>
      <c r="H18" s="5" t="s">
        <v>22</v>
      </c>
      <c r="I18" s="7">
        <v>45897.39072916667</v>
      </c>
      <c r="J18" s="5" t="s">
        <v>792</v>
      </c>
      <c r="K18" s="5">
        <v>200.0</v>
      </c>
      <c r="L18" s="5">
        <v>3000.0</v>
      </c>
      <c r="M18" s="5">
        <v>3100.0</v>
      </c>
      <c r="N18" s="8">
        <v>43260.0</v>
      </c>
      <c r="O18" s="5" t="s">
        <v>24</v>
      </c>
      <c r="P18" s="5" t="s">
        <v>25</v>
      </c>
      <c r="S18" s="5" t="s">
        <v>29</v>
      </c>
    </row>
    <row r="19">
      <c r="A19" s="5">
        <v>18.0</v>
      </c>
      <c r="B19" s="5" t="s">
        <v>876</v>
      </c>
      <c r="C19" s="5" t="s">
        <v>21</v>
      </c>
      <c r="D19" s="5">
        <v>75.0</v>
      </c>
      <c r="E19" s="5">
        <v>200.0</v>
      </c>
      <c r="F19" s="5">
        <v>0.4</v>
      </c>
      <c r="H19" s="5" t="s">
        <v>43</v>
      </c>
      <c r="I19" s="7">
        <v>45978.11121527778</v>
      </c>
      <c r="J19" s="5" t="s">
        <v>49</v>
      </c>
      <c r="K19" s="5">
        <v>200.0</v>
      </c>
      <c r="L19" s="5">
        <v>2400.0</v>
      </c>
      <c r="M19" s="5">
        <v>2500.0</v>
      </c>
      <c r="N19" s="8">
        <v>43798.0</v>
      </c>
      <c r="O19" s="5" t="s">
        <v>47</v>
      </c>
      <c r="P19" s="5" t="s">
        <v>25</v>
      </c>
      <c r="Q19" s="5" t="s">
        <v>880</v>
      </c>
      <c r="R19" s="5" t="s">
        <v>882</v>
      </c>
      <c r="S19" s="5" t="s">
        <v>66</v>
      </c>
    </row>
    <row r="20">
      <c r="A20" s="5">
        <v>19.0</v>
      </c>
      <c r="B20" s="5" t="s">
        <v>883</v>
      </c>
      <c r="C20" s="5" t="s">
        <v>21</v>
      </c>
      <c r="D20" s="5">
        <v>73.0</v>
      </c>
      <c r="E20" s="5">
        <v>200.0</v>
      </c>
      <c r="F20" s="5">
        <v>0.6</v>
      </c>
      <c r="H20" s="5" t="s">
        <v>22</v>
      </c>
      <c r="I20" s="7">
        <v>45941.18817129629</v>
      </c>
      <c r="K20" s="5">
        <v>800.0</v>
      </c>
      <c r="L20" s="5">
        <v>5300.0</v>
      </c>
      <c r="M20" s="5">
        <v>5700.0</v>
      </c>
      <c r="N20" s="8">
        <v>42253.0</v>
      </c>
      <c r="O20" s="5" t="s">
        <v>51</v>
      </c>
      <c r="P20" s="5" t="s">
        <v>25</v>
      </c>
      <c r="Q20" s="5" t="s">
        <v>887</v>
      </c>
      <c r="R20" s="5" t="s">
        <v>888</v>
      </c>
      <c r="S20" s="5" t="s">
        <v>29</v>
      </c>
    </row>
    <row r="21">
      <c r="A21" s="5">
        <v>20.0</v>
      </c>
      <c r="B21" s="5" t="s">
        <v>890</v>
      </c>
      <c r="C21" s="5" t="s">
        <v>21</v>
      </c>
      <c r="D21" s="5">
        <v>83.0</v>
      </c>
      <c r="E21" s="5">
        <v>200.0</v>
      </c>
      <c r="H21" s="5" t="s">
        <v>22</v>
      </c>
      <c r="I21" s="7">
        <v>46123.90818287037</v>
      </c>
      <c r="K21" s="5">
        <v>200.0</v>
      </c>
      <c r="L21" s="5">
        <v>1700.0</v>
      </c>
      <c r="M21" s="5">
        <v>2300.0</v>
      </c>
      <c r="N21" s="8">
        <v>42574.0</v>
      </c>
      <c r="O21" s="5" t="s">
        <v>47</v>
      </c>
      <c r="P21" s="5" t="s">
        <v>25</v>
      </c>
      <c r="S21" s="5" t="s">
        <v>66</v>
      </c>
    </row>
    <row r="22">
      <c r="A22" s="5">
        <v>21.0</v>
      </c>
      <c r="B22" s="5" t="s">
        <v>895</v>
      </c>
      <c r="C22" s="5" t="s">
        <v>21</v>
      </c>
      <c r="D22" s="5">
        <v>28.0</v>
      </c>
      <c r="E22" s="5">
        <v>200.0</v>
      </c>
      <c r="F22" s="5">
        <v>0.7</v>
      </c>
      <c r="H22" s="5" t="s">
        <v>762</v>
      </c>
      <c r="I22" s="7">
        <v>45985.5021412037</v>
      </c>
      <c r="J22" s="5" t="s">
        <v>44</v>
      </c>
      <c r="K22" s="5">
        <v>200.0</v>
      </c>
      <c r="L22" s="5">
        <v>6300.0</v>
      </c>
      <c r="M22" s="5">
        <v>6700.0</v>
      </c>
      <c r="N22" s="8">
        <v>42346.0</v>
      </c>
      <c r="O22" s="5" t="s">
        <v>898</v>
      </c>
      <c r="P22" s="5" t="s">
        <v>25</v>
      </c>
      <c r="Q22" s="5" t="s">
        <v>900</v>
      </c>
      <c r="R22" s="5" t="s">
        <v>901</v>
      </c>
      <c r="S22" s="5" t="s">
        <v>66</v>
      </c>
    </row>
    <row r="23">
      <c r="A23" s="5">
        <v>22.0</v>
      </c>
      <c r="B23" s="5" t="s">
        <v>903</v>
      </c>
      <c r="C23" s="5" t="s">
        <v>21</v>
      </c>
      <c r="D23" s="5">
        <v>77.0</v>
      </c>
      <c r="E23" s="5">
        <v>150.0</v>
      </c>
      <c r="H23" s="5" t="s">
        <v>905</v>
      </c>
      <c r="I23" s="7">
        <v>46123.39202546296</v>
      </c>
      <c r="J23" s="5" t="s">
        <v>49</v>
      </c>
      <c r="K23" s="5">
        <v>150.0</v>
      </c>
      <c r="L23" s="5">
        <v>136000.0</v>
      </c>
      <c r="M23" s="5">
        <v>140000.0</v>
      </c>
      <c r="N23" s="8">
        <v>43091.0</v>
      </c>
      <c r="O23" s="5" t="s">
        <v>106</v>
      </c>
      <c r="P23" s="5" t="s">
        <v>25</v>
      </c>
      <c r="S23" s="5" t="s">
        <v>29</v>
      </c>
    </row>
    <row r="24">
      <c r="A24" s="5">
        <v>23.0</v>
      </c>
      <c r="B24" s="5" t="s">
        <v>908</v>
      </c>
      <c r="C24" s="5" t="s">
        <v>21</v>
      </c>
      <c r="D24" s="5">
        <v>69.0</v>
      </c>
      <c r="E24" s="5">
        <v>150.0</v>
      </c>
      <c r="F24" s="5">
        <v>0.25</v>
      </c>
      <c r="H24" s="5" t="s">
        <v>43</v>
      </c>
      <c r="I24" s="7">
        <v>46155.224490740744</v>
      </c>
      <c r="K24" s="5">
        <v>150.0</v>
      </c>
      <c r="L24" s="5">
        <v>1000.0</v>
      </c>
      <c r="M24" s="5">
        <v>1100.0</v>
      </c>
      <c r="N24" s="8">
        <v>43695.0</v>
      </c>
      <c r="O24" s="5" t="s">
        <v>106</v>
      </c>
      <c r="P24" s="5" t="s">
        <v>25</v>
      </c>
      <c r="S24" s="5" t="s">
        <v>66</v>
      </c>
    </row>
    <row r="25">
      <c r="A25" s="5">
        <v>24.0</v>
      </c>
      <c r="B25" s="5" t="s">
        <v>912</v>
      </c>
      <c r="C25" s="5" t="s">
        <v>21</v>
      </c>
      <c r="D25" s="5">
        <v>86.0</v>
      </c>
      <c r="E25" s="5">
        <v>150.0</v>
      </c>
      <c r="F25" s="5">
        <v>0.2</v>
      </c>
      <c r="H25" s="5" t="s">
        <v>22</v>
      </c>
      <c r="I25" s="7">
        <v>46149.46625</v>
      </c>
      <c r="K25" s="5">
        <v>800.0</v>
      </c>
      <c r="L25" s="5">
        <v>2100.0</v>
      </c>
      <c r="M25" s="5">
        <v>2700.0</v>
      </c>
      <c r="N25" s="8">
        <v>43843.0</v>
      </c>
      <c r="O25" s="5" t="s">
        <v>47</v>
      </c>
      <c r="P25" s="5" t="s">
        <v>25</v>
      </c>
      <c r="S25" s="5" t="s">
        <v>916</v>
      </c>
    </row>
    <row r="26">
      <c r="A26" s="5">
        <v>25.0</v>
      </c>
      <c r="B26" s="5" t="s">
        <v>918</v>
      </c>
      <c r="C26" s="5" t="s">
        <v>21</v>
      </c>
      <c r="D26" s="5">
        <v>75.0</v>
      </c>
      <c r="E26" s="5">
        <v>150.0</v>
      </c>
      <c r="F26" s="5">
        <v>0.25</v>
      </c>
      <c r="H26" s="5" t="s">
        <v>762</v>
      </c>
      <c r="I26" s="7">
        <v>46072.293078703704</v>
      </c>
      <c r="J26" s="5" t="s">
        <v>49</v>
      </c>
      <c r="K26" s="5">
        <v>200.0</v>
      </c>
      <c r="L26" s="5">
        <v>3500.0</v>
      </c>
      <c r="M26" s="5">
        <v>3900.0</v>
      </c>
      <c r="N26" s="8">
        <v>42763.0</v>
      </c>
      <c r="O26" s="5" t="s">
        <v>47</v>
      </c>
      <c r="P26" s="5" t="s">
        <v>25</v>
      </c>
      <c r="Q26" s="5" t="s">
        <v>922</v>
      </c>
      <c r="R26" s="5" t="s">
        <v>924</v>
      </c>
      <c r="S26" s="5" t="s">
        <v>66</v>
      </c>
    </row>
    <row r="27">
      <c r="A27" s="5">
        <v>26.0</v>
      </c>
      <c r="B27" s="5" t="s">
        <v>925</v>
      </c>
      <c r="C27" s="5" t="s">
        <v>21</v>
      </c>
      <c r="D27" s="5">
        <v>65.0</v>
      </c>
      <c r="E27" s="5">
        <v>150.0</v>
      </c>
      <c r="F27" s="5">
        <v>1.4</v>
      </c>
      <c r="H27" s="5" t="s">
        <v>43</v>
      </c>
      <c r="I27" s="7">
        <v>46163.15738425926</v>
      </c>
      <c r="J27" s="5" t="s">
        <v>49</v>
      </c>
      <c r="K27" s="5">
        <v>150.0</v>
      </c>
      <c r="L27" s="5">
        <v>1100.0</v>
      </c>
      <c r="M27" s="5">
        <v>1200.0</v>
      </c>
      <c r="N27" s="8">
        <v>42280.0</v>
      </c>
      <c r="O27" s="5" t="s">
        <v>106</v>
      </c>
      <c r="P27" s="5" t="s">
        <v>25</v>
      </c>
      <c r="S27" s="5" t="s">
        <v>29</v>
      </c>
    </row>
    <row r="28">
      <c r="A28" s="5">
        <v>27.0</v>
      </c>
      <c r="B28" s="5" t="s">
        <v>930</v>
      </c>
      <c r="C28" s="5" t="s">
        <v>21</v>
      </c>
      <c r="D28" s="5">
        <v>82.0</v>
      </c>
      <c r="E28" s="5">
        <v>150.0</v>
      </c>
      <c r="H28" s="5" t="s">
        <v>762</v>
      </c>
      <c r="I28" s="7">
        <v>46090.17050925926</v>
      </c>
      <c r="J28" s="5" t="s">
        <v>49</v>
      </c>
      <c r="K28" s="5">
        <v>150.0</v>
      </c>
      <c r="L28" s="5">
        <v>3400.0</v>
      </c>
      <c r="M28" s="5">
        <v>3800.0</v>
      </c>
      <c r="N28" s="8">
        <v>44504.0</v>
      </c>
      <c r="O28" s="5" t="s">
        <v>47</v>
      </c>
      <c r="P28" s="5" t="s">
        <v>25</v>
      </c>
      <c r="S28" s="5" t="s">
        <v>29</v>
      </c>
    </row>
    <row r="29">
      <c r="A29" s="5">
        <v>28.0</v>
      </c>
      <c r="B29" s="5" t="s">
        <v>935</v>
      </c>
      <c r="C29" s="5" t="s">
        <v>21</v>
      </c>
      <c r="D29" s="5">
        <v>87.0</v>
      </c>
      <c r="E29" s="5">
        <v>150.0</v>
      </c>
      <c r="F29" s="5">
        <v>1.0</v>
      </c>
      <c r="H29" s="5" t="s">
        <v>22</v>
      </c>
      <c r="I29" s="7">
        <v>46125.23094907407</v>
      </c>
      <c r="J29" s="5" t="s">
        <v>937</v>
      </c>
      <c r="K29" s="5">
        <v>9100.0</v>
      </c>
      <c r="L29" s="5">
        <v>1900.0</v>
      </c>
      <c r="M29" s="5">
        <v>2400.0</v>
      </c>
      <c r="N29" s="8">
        <v>42433.0</v>
      </c>
      <c r="O29" s="5" t="s">
        <v>47</v>
      </c>
      <c r="P29" s="5" t="s">
        <v>25</v>
      </c>
      <c r="S29" s="5" t="s">
        <v>66</v>
      </c>
    </row>
    <row r="30">
      <c r="A30" s="5">
        <v>29.0</v>
      </c>
      <c r="B30" s="5" t="s">
        <v>939</v>
      </c>
      <c r="C30" s="5" t="s">
        <v>21</v>
      </c>
      <c r="D30" s="5">
        <v>90.0</v>
      </c>
      <c r="E30" s="5">
        <v>100.0</v>
      </c>
      <c r="F30" s="5">
        <v>0.3</v>
      </c>
      <c r="H30" s="5" t="s">
        <v>762</v>
      </c>
      <c r="I30" s="7">
        <v>46066.338912037034</v>
      </c>
      <c r="K30" s="5">
        <v>200.0</v>
      </c>
      <c r="L30" s="5">
        <v>3600.0</v>
      </c>
      <c r="M30" s="5">
        <v>4100.0</v>
      </c>
      <c r="N30" s="8">
        <v>43845.0</v>
      </c>
      <c r="O30" s="5" t="s">
        <v>47</v>
      </c>
      <c r="P30" s="5" t="s">
        <v>25</v>
      </c>
      <c r="S30" s="5" t="s">
        <v>29</v>
      </c>
    </row>
    <row r="31">
      <c r="A31" s="5">
        <v>30.0</v>
      </c>
      <c r="B31" s="5" t="s">
        <v>944</v>
      </c>
      <c r="C31" s="5" t="s">
        <v>21</v>
      </c>
      <c r="D31" s="5">
        <v>72.0</v>
      </c>
      <c r="E31" s="5">
        <v>100.0</v>
      </c>
      <c r="F31" s="5">
        <v>0.6</v>
      </c>
      <c r="H31" s="5" t="s">
        <v>43</v>
      </c>
      <c r="I31" s="7">
        <v>46162.12048611111</v>
      </c>
      <c r="K31" s="5">
        <v>150.0</v>
      </c>
      <c r="L31" s="5">
        <v>1100.0</v>
      </c>
      <c r="M31" s="5">
        <v>1200.0</v>
      </c>
      <c r="N31" s="8">
        <v>42307.0</v>
      </c>
      <c r="O31" s="5" t="s">
        <v>106</v>
      </c>
      <c r="P31" s="5" t="s">
        <v>25</v>
      </c>
      <c r="Q31" s="5" t="s">
        <v>949</v>
      </c>
      <c r="R31" s="5" t="s">
        <v>950</v>
      </c>
      <c r="S31" s="5" t="s">
        <v>66</v>
      </c>
    </row>
    <row r="32">
      <c r="A32" s="5">
        <v>31.0</v>
      </c>
      <c r="B32" s="5" t="s">
        <v>952</v>
      </c>
      <c r="C32" s="5" t="s">
        <v>21</v>
      </c>
      <c r="D32" s="5">
        <v>75.0</v>
      </c>
      <c r="E32" s="5">
        <v>100.0</v>
      </c>
      <c r="H32" s="5" t="s">
        <v>43</v>
      </c>
      <c r="I32" s="7">
        <v>46159.5093287037</v>
      </c>
      <c r="J32" s="5" t="s">
        <v>49</v>
      </c>
      <c r="K32" s="5">
        <v>150.0</v>
      </c>
      <c r="L32" s="5">
        <v>1000.0</v>
      </c>
      <c r="M32" s="5">
        <v>1100.0</v>
      </c>
      <c r="N32" s="8">
        <v>42451.0</v>
      </c>
      <c r="O32" s="5" t="s">
        <v>47</v>
      </c>
      <c r="P32" s="5" t="s">
        <v>25</v>
      </c>
      <c r="S32" s="5" t="s">
        <v>29</v>
      </c>
    </row>
    <row r="33">
      <c r="A33" s="5">
        <v>32.0</v>
      </c>
      <c r="B33" s="5" t="s">
        <v>957</v>
      </c>
      <c r="C33" s="5" t="s">
        <v>21</v>
      </c>
      <c r="D33" s="5">
        <v>87.0</v>
      </c>
      <c r="E33" s="5">
        <v>100.0</v>
      </c>
      <c r="F33" s="5">
        <v>0.4</v>
      </c>
      <c r="H33" s="5" t="s">
        <v>957</v>
      </c>
      <c r="I33" s="7">
        <v>46083.56148148148</v>
      </c>
      <c r="J33" s="5" t="s">
        <v>23</v>
      </c>
      <c r="K33" s="5">
        <v>411000.0</v>
      </c>
      <c r="L33" s="5">
        <v>150.0</v>
      </c>
      <c r="M33" s="5">
        <v>232000.0</v>
      </c>
      <c r="N33" s="8">
        <v>42304.0</v>
      </c>
      <c r="O33" s="5" t="s">
        <v>47</v>
      </c>
      <c r="P33" s="5" t="s">
        <v>25</v>
      </c>
      <c r="S33" s="5" t="s">
        <v>29</v>
      </c>
    </row>
    <row r="34">
      <c r="A34" s="5">
        <v>33.0</v>
      </c>
      <c r="B34" s="5" t="s">
        <v>963</v>
      </c>
      <c r="C34" s="5" t="s">
        <v>21</v>
      </c>
      <c r="D34" s="5">
        <v>48.0</v>
      </c>
      <c r="E34" s="5">
        <v>100.0</v>
      </c>
      <c r="F34" s="5">
        <v>0.6</v>
      </c>
      <c r="H34" s="5" t="s">
        <v>965</v>
      </c>
      <c r="I34" s="7">
        <v>46047.28605324074</v>
      </c>
      <c r="J34" s="5" t="s">
        <v>49</v>
      </c>
      <c r="K34" s="5">
        <v>100.0</v>
      </c>
      <c r="L34" s="5">
        <v>1500.0</v>
      </c>
      <c r="M34" s="5">
        <v>1700.0</v>
      </c>
      <c r="N34" s="8">
        <v>44075.0</v>
      </c>
      <c r="O34" s="5" t="s">
        <v>967</v>
      </c>
      <c r="P34" s="5" t="s">
        <v>25</v>
      </c>
      <c r="Q34" s="5" t="s">
        <v>968</v>
      </c>
      <c r="R34" s="5" t="s">
        <v>969</v>
      </c>
      <c r="S34" s="5" t="s">
        <v>29</v>
      </c>
    </row>
    <row r="35">
      <c r="A35" s="5">
        <v>34.0</v>
      </c>
      <c r="B35" s="5" t="s">
        <v>971</v>
      </c>
      <c r="C35" s="5" t="s">
        <v>21</v>
      </c>
      <c r="D35" s="5">
        <v>85.0</v>
      </c>
      <c r="E35" s="5">
        <v>100.0</v>
      </c>
      <c r="F35" s="5">
        <v>1.7</v>
      </c>
      <c r="H35" s="5" t="s">
        <v>22</v>
      </c>
      <c r="I35" s="7">
        <v>46145.15158564815</v>
      </c>
      <c r="J35" s="5" t="s">
        <v>973</v>
      </c>
      <c r="K35" s="5">
        <v>500.0</v>
      </c>
      <c r="L35" s="5">
        <v>2100.0</v>
      </c>
      <c r="M35" s="5">
        <v>2700.0</v>
      </c>
      <c r="N35" s="8">
        <v>42393.0</v>
      </c>
      <c r="O35" s="5" t="s">
        <v>24</v>
      </c>
      <c r="P35" s="5" t="s">
        <v>25</v>
      </c>
      <c r="S35" s="5" t="s">
        <v>29</v>
      </c>
    </row>
    <row r="36">
      <c r="A36" s="5">
        <v>35.0</v>
      </c>
      <c r="B36" s="5" t="s">
        <v>975</v>
      </c>
      <c r="C36" s="5" t="s">
        <v>21</v>
      </c>
      <c r="D36" s="5">
        <v>76.0</v>
      </c>
      <c r="E36" s="5">
        <v>100.0</v>
      </c>
      <c r="H36" s="5" t="s">
        <v>22</v>
      </c>
      <c r="I36" s="7">
        <v>46149.00409722222</v>
      </c>
      <c r="K36" s="5">
        <v>150.0</v>
      </c>
      <c r="L36" s="5">
        <v>2100.0</v>
      </c>
      <c r="M36" s="5">
        <v>2700.0</v>
      </c>
      <c r="N36" s="8">
        <v>42277.0</v>
      </c>
      <c r="O36" s="5" t="s">
        <v>106</v>
      </c>
      <c r="P36" s="5" t="s">
        <v>25</v>
      </c>
      <c r="S36" s="5" t="s">
        <v>29</v>
      </c>
    </row>
    <row r="37">
      <c r="A37" s="5">
        <v>36.0</v>
      </c>
      <c r="B37" s="5" t="s">
        <v>40</v>
      </c>
      <c r="C37" s="5" t="s">
        <v>21</v>
      </c>
      <c r="D37" s="5">
        <v>86.0</v>
      </c>
      <c r="E37" s="5">
        <v>100.0</v>
      </c>
      <c r="H37" s="5" t="s">
        <v>43</v>
      </c>
      <c r="I37" s="7">
        <v>46160.84069444444</v>
      </c>
      <c r="J37" s="5" t="s">
        <v>44</v>
      </c>
      <c r="K37" s="5">
        <v>600.0</v>
      </c>
      <c r="L37" s="5">
        <v>1000.0</v>
      </c>
      <c r="M37" s="5">
        <v>1100.0</v>
      </c>
      <c r="N37" s="8">
        <v>43182.0</v>
      </c>
      <c r="O37" s="5" t="s">
        <v>47</v>
      </c>
      <c r="P37" s="5" t="s">
        <v>25</v>
      </c>
      <c r="S37" s="5" t="s">
        <v>29</v>
      </c>
    </row>
    <row r="38">
      <c r="A38" s="5">
        <v>37.0</v>
      </c>
      <c r="B38" s="5" t="s">
        <v>981</v>
      </c>
      <c r="C38" s="5" t="s">
        <v>21</v>
      </c>
      <c r="D38" s="5">
        <v>64.0</v>
      </c>
      <c r="E38" s="5">
        <v>100.0</v>
      </c>
      <c r="F38" s="5">
        <v>1.4</v>
      </c>
      <c r="H38" s="5" t="s">
        <v>865</v>
      </c>
      <c r="I38" s="7">
        <v>46162.07782407408</v>
      </c>
      <c r="J38" s="5" t="s">
        <v>44</v>
      </c>
      <c r="K38" s="5">
        <v>100.0</v>
      </c>
      <c r="L38" s="5">
        <v>17000.0</v>
      </c>
      <c r="M38" s="5">
        <v>19000.0</v>
      </c>
      <c r="N38" s="8">
        <v>42504.0</v>
      </c>
      <c r="O38" s="5" t="s">
        <v>106</v>
      </c>
      <c r="P38" s="5" t="s">
        <v>25</v>
      </c>
      <c r="S38" s="5" t="s">
        <v>66</v>
      </c>
    </row>
    <row r="39">
      <c r="A39" s="5">
        <v>38.0</v>
      </c>
      <c r="B39" s="5" t="s">
        <v>986</v>
      </c>
      <c r="C39" s="5" t="s">
        <v>21</v>
      </c>
      <c r="D39" s="5">
        <v>86.0</v>
      </c>
      <c r="E39" s="5">
        <v>100.0</v>
      </c>
      <c r="H39" s="5" t="s">
        <v>43</v>
      </c>
      <c r="I39" s="7">
        <v>46157.10711805556</v>
      </c>
      <c r="K39" s="5">
        <v>1500.0</v>
      </c>
      <c r="L39" s="5">
        <v>1000.0</v>
      </c>
      <c r="M39" s="5">
        <v>1100.0</v>
      </c>
      <c r="N39" s="8">
        <v>42733.0</v>
      </c>
      <c r="O39" s="5" t="s">
        <v>24</v>
      </c>
      <c r="P39" s="5" t="s">
        <v>25</v>
      </c>
      <c r="S39" s="5" t="s">
        <v>29</v>
      </c>
    </row>
    <row r="40">
      <c r="A40" s="5">
        <v>39.0</v>
      </c>
      <c r="B40" s="5" t="s">
        <v>990</v>
      </c>
      <c r="C40" s="5" t="s">
        <v>21</v>
      </c>
      <c r="D40" s="5">
        <v>2.0</v>
      </c>
      <c r="E40" s="5">
        <v>100.0</v>
      </c>
      <c r="F40" s="5">
        <v>1.6</v>
      </c>
      <c r="H40" s="5" t="s">
        <v>905</v>
      </c>
      <c r="I40" s="7">
        <v>46107.385092592594</v>
      </c>
      <c r="J40" s="5" t="s">
        <v>44</v>
      </c>
      <c r="K40" s="5">
        <v>100.0</v>
      </c>
      <c r="L40" s="5">
        <v>137000.0</v>
      </c>
      <c r="M40" s="5">
        <v>141000.0</v>
      </c>
      <c r="N40" s="8">
        <v>42518.0</v>
      </c>
      <c r="O40" s="5" t="s">
        <v>992</v>
      </c>
      <c r="P40" s="5" t="s">
        <v>25</v>
      </c>
      <c r="Q40" s="5" t="s">
        <v>994</v>
      </c>
      <c r="R40" s="5" t="s">
        <v>995</v>
      </c>
      <c r="S40" s="5" t="s">
        <v>996</v>
      </c>
    </row>
    <row r="41">
      <c r="A41" s="5">
        <v>40.0</v>
      </c>
      <c r="B41" s="5" t="s">
        <v>998</v>
      </c>
      <c r="C41" s="5" t="s">
        <v>21</v>
      </c>
      <c r="D41" s="5">
        <v>57.0</v>
      </c>
      <c r="E41" s="5">
        <v>100.0</v>
      </c>
      <c r="F41" s="5">
        <v>0.5</v>
      </c>
      <c r="H41" s="5" t="s">
        <v>22</v>
      </c>
      <c r="I41" s="7">
        <v>46122.44516203704</v>
      </c>
      <c r="K41" s="5">
        <v>100.0</v>
      </c>
      <c r="L41" s="5">
        <v>1700.0</v>
      </c>
      <c r="M41" s="5">
        <v>2300.0</v>
      </c>
      <c r="N41" s="8">
        <v>42564.0</v>
      </c>
      <c r="O41" s="5" t="s">
        <v>1000</v>
      </c>
      <c r="P41" s="5" t="s">
        <v>25</v>
      </c>
      <c r="S41" s="5" t="s">
        <v>29</v>
      </c>
    </row>
    <row r="42">
      <c r="A42" s="5">
        <v>41.0</v>
      </c>
      <c r="B42" s="5" t="s">
        <v>1002</v>
      </c>
      <c r="C42" s="5" t="s">
        <v>21</v>
      </c>
      <c r="D42" s="5">
        <v>87.0</v>
      </c>
      <c r="E42" s="5">
        <v>90.0</v>
      </c>
      <c r="H42" s="5" t="s">
        <v>22</v>
      </c>
      <c r="I42" s="7">
        <v>46075.91813657407</v>
      </c>
      <c r="K42" s="5">
        <v>1640000.0</v>
      </c>
      <c r="L42" s="5">
        <v>1900.0</v>
      </c>
      <c r="M42" s="5">
        <v>2000.0</v>
      </c>
      <c r="N42" s="8">
        <v>42590.0</v>
      </c>
      <c r="O42" s="5" t="s">
        <v>47</v>
      </c>
      <c r="P42" s="5" t="s">
        <v>25</v>
      </c>
      <c r="S42" s="5" t="s">
        <v>66</v>
      </c>
    </row>
    <row r="43">
      <c r="A43" s="5">
        <v>42.0</v>
      </c>
      <c r="B43" s="5" t="s">
        <v>61</v>
      </c>
      <c r="C43" s="5" t="s">
        <v>21</v>
      </c>
      <c r="D43" s="5">
        <v>83.0</v>
      </c>
      <c r="E43" s="5">
        <v>90.0</v>
      </c>
      <c r="H43" s="5" t="s">
        <v>61</v>
      </c>
      <c r="I43" s="7">
        <v>46150.19298611111</v>
      </c>
      <c r="J43" s="5" t="s">
        <v>1007</v>
      </c>
      <c r="K43" s="5">
        <v>292000.0</v>
      </c>
      <c r="L43" s="5">
        <v>100.0</v>
      </c>
      <c r="M43" s="5">
        <v>70000.0</v>
      </c>
      <c r="N43" s="8">
        <v>42298.0</v>
      </c>
      <c r="O43" s="5" t="s">
        <v>47</v>
      </c>
      <c r="P43" s="5" t="s">
        <v>25</v>
      </c>
      <c r="S43" s="5" t="s">
        <v>29</v>
      </c>
    </row>
    <row r="44">
      <c r="A44" s="5">
        <v>43.0</v>
      </c>
      <c r="B44" s="5" t="s">
        <v>1009</v>
      </c>
      <c r="C44" s="5" t="s">
        <v>21</v>
      </c>
      <c r="D44" s="5">
        <v>64.0</v>
      </c>
      <c r="E44" s="5">
        <v>80.0</v>
      </c>
      <c r="H44" s="5" t="s">
        <v>22</v>
      </c>
      <c r="I44" s="7">
        <v>46087.716990740744</v>
      </c>
      <c r="J44" s="5" t="s">
        <v>49</v>
      </c>
      <c r="K44" s="5">
        <v>200.0</v>
      </c>
      <c r="L44" s="5">
        <v>1900.0</v>
      </c>
      <c r="M44" s="5">
        <v>2000.0</v>
      </c>
      <c r="N44" s="8">
        <v>42574.0</v>
      </c>
      <c r="O44" s="5" t="s">
        <v>106</v>
      </c>
      <c r="P44" s="5" t="s">
        <v>25</v>
      </c>
      <c r="S44" s="5" t="s">
        <v>1012</v>
      </c>
    </row>
    <row r="45">
      <c r="A45" s="5">
        <v>44.0</v>
      </c>
      <c r="B45" s="5" t="s">
        <v>1014</v>
      </c>
      <c r="C45" s="5" t="s">
        <v>21</v>
      </c>
      <c r="D45" s="5">
        <v>88.0</v>
      </c>
      <c r="E45" s="5">
        <v>80.0</v>
      </c>
      <c r="H45" s="5" t="s">
        <v>762</v>
      </c>
      <c r="I45" s="7">
        <v>46090.056875</v>
      </c>
      <c r="K45" s="5">
        <v>900.0</v>
      </c>
      <c r="L45" s="5">
        <v>3400.0</v>
      </c>
      <c r="M45" s="5">
        <v>3800.0</v>
      </c>
      <c r="N45" s="8">
        <v>43902.0</v>
      </c>
      <c r="O45" s="5" t="s">
        <v>47</v>
      </c>
      <c r="P45" s="5" t="s">
        <v>25</v>
      </c>
      <c r="S45" s="5" t="s">
        <v>29</v>
      </c>
    </row>
    <row r="46">
      <c r="A46" s="5">
        <v>45.0</v>
      </c>
      <c r="B46" s="5" t="s">
        <v>1016</v>
      </c>
      <c r="C46" s="5" t="s">
        <v>21</v>
      </c>
      <c r="D46" s="5">
        <v>58.0</v>
      </c>
      <c r="E46" s="5">
        <v>80.0</v>
      </c>
      <c r="H46" s="5" t="s">
        <v>762</v>
      </c>
      <c r="I46" s="7">
        <v>46077.05436342592</v>
      </c>
      <c r="J46" s="5" t="s">
        <v>49</v>
      </c>
      <c r="K46" s="5">
        <v>80.0</v>
      </c>
      <c r="L46" s="5">
        <v>3500.0</v>
      </c>
      <c r="M46" s="5">
        <v>3700.0</v>
      </c>
      <c r="N46" s="8">
        <v>42261.0</v>
      </c>
      <c r="O46" s="5" t="s">
        <v>898</v>
      </c>
      <c r="P46" s="5" t="s">
        <v>25</v>
      </c>
      <c r="S46" s="5" t="s">
        <v>29</v>
      </c>
    </row>
    <row r="47">
      <c r="A47" s="5">
        <v>46.0</v>
      </c>
      <c r="B47" s="5" t="s">
        <v>1019</v>
      </c>
      <c r="C47" s="5" t="s">
        <v>21</v>
      </c>
      <c r="D47" s="5">
        <v>63.0</v>
      </c>
      <c r="E47" s="5">
        <v>80.0</v>
      </c>
      <c r="F47" s="5">
        <v>1.4</v>
      </c>
      <c r="G47" s="5">
        <v>0.87</v>
      </c>
      <c r="H47" s="5" t="s">
        <v>905</v>
      </c>
      <c r="I47" s="7">
        <v>46147.80615740741</v>
      </c>
      <c r="J47" s="5" t="s">
        <v>1021</v>
      </c>
      <c r="K47" s="5">
        <v>90.0</v>
      </c>
      <c r="L47" s="5">
        <v>137000.0</v>
      </c>
      <c r="M47" s="5">
        <v>140000.0</v>
      </c>
      <c r="N47" s="8">
        <v>42250.0</v>
      </c>
      <c r="O47" s="5" t="s">
        <v>106</v>
      </c>
      <c r="P47" s="5" t="s">
        <v>25</v>
      </c>
      <c r="S47" s="5" t="s">
        <v>29</v>
      </c>
    </row>
    <row r="48">
      <c r="A48" s="5">
        <v>47.0</v>
      </c>
      <c r="B48" s="5" t="s">
        <v>1024</v>
      </c>
      <c r="C48" s="5" t="s">
        <v>21</v>
      </c>
      <c r="D48" s="5">
        <v>75.0</v>
      </c>
      <c r="E48" s="5">
        <v>80.0</v>
      </c>
      <c r="F48" s="5">
        <v>1.4</v>
      </c>
      <c r="H48" s="5" t="s">
        <v>22</v>
      </c>
      <c r="I48" s="7">
        <v>46100.09276620371</v>
      </c>
      <c r="J48" s="5" t="s">
        <v>49</v>
      </c>
      <c r="K48" s="5">
        <v>90.0</v>
      </c>
      <c r="L48" s="5">
        <v>1800.0</v>
      </c>
      <c r="M48" s="5">
        <v>2500.0</v>
      </c>
      <c r="N48" s="8">
        <v>43040.0</v>
      </c>
      <c r="O48" s="5" t="s">
        <v>47</v>
      </c>
      <c r="P48" s="5" t="s">
        <v>25</v>
      </c>
      <c r="S48" s="5" t="s">
        <v>29</v>
      </c>
    </row>
    <row r="49">
      <c r="A49" s="5">
        <v>48.0</v>
      </c>
      <c r="B49" s="5" t="s">
        <v>1028</v>
      </c>
      <c r="C49" s="5" t="s">
        <v>21</v>
      </c>
      <c r="D49" s="5">
        <v>81.0</v>
      </c>
      <c r="E49" s="5">
        <v>70.0</v>
      </c>
      <c r="F49" s="5">
        <v>0.4</v>
      </c>
      <c r="G49" s="5">
        <v>1.12</v>
      </c>
      <c r="H49" s="5" t="s">
        <v>22</v>
      </c>
      <c r="I49" s="7">
        <v>46142.4137962963</v>
      </c>
      <c r="J49" s="5" t="s">
        <v>49</v>
      </c>
      <c r="K49" s="5">
        <v>3800.0</v>
      </c>
      <c r="L49" s="5">
        <v>2100.0</v>
      </c>
      <c r="M49" s="5">
        <v>3200.0</v>
      </c>
      <c r="N49" s="8">
        <v>42256.0</v>
      </c>
      <c r="O49" s="5" t="s">
        <v>51</v>
      </c>
      <c r="P49" s="5" t="s">
        <v>25</v>
      </c>
      <c r="Q49" s="5" t="s">
        <v>1031</v>
      </c>
      <c r="R49" s="5" t="s">
        <v>1033</v>
      </c>
      <c r="S49" s="5" t="s">
        <v>1034</v>
      </c>
    </row>
    <row r="50">
      <c r="A50" s="5">
        <v>49.0</v>
      </c>
      <c r="B50" s="5" t="s">
        <v>1035</v>
      </c>
      <c r="C50" s="5" t="s">
        <v>21</v>
      </c>
      <c r="D50" s="5">
        <v>26.0</v>
      </c>
      <c r="E50" s="5">
        <v>70.0</v>
      </c>
      <c r="H50" s="5" t="s">
        <v>762</v>
      </c>
      <c r="I50" s="7">
        <v>46099.90355324074</v>
      </c>
      <c r="K50" s="5">
        <v>150.0</v>
      </c>
      <c r="L50" s="5">
        <v>3300.0</v>
      </c>
      <c r="M50" s="5">
        <v>3600.0</v>
      </c>
      <c r="N50" s="8">
        <v>42378.0</v>
      </c>
      <c r="O50" s="5" t="s">
        <v>47</v>
      </c>
      <c r="P50" s="5" t="s">
        <v>25</v>
      </c>
      <c r="S50" s="5" t="s">
        <v>1039</v>
      </c>
    </row>
    <row r="51">
      <c r="A51" s="5">
        <v>50.0</v>
      </c>
      <c r="B51" s="5" t="s">
        <v>1041</v>
      </c>
      <c r="C51" s="5" t="s">
        <v>21</v>
      </c>
      <c r="D51" s="5">
        <v>66.0</v>
      </c>
      <c r="E51" s="5">
        <v>70.0</v>
      </c>
      <c r="F51" s="5">
        <v>0.1</v>
      </c>
      <c r="H51" s="5" t="s">
        <v>22</v>
      </c>
      <c r="I51" s="7">
        <v>46147.08127314815</v>
      </c>
      <c r="K51" s="5">
        <v>70.0</v>
      </c>
      <c r="L51" s="5">
        <v>600.0</v>
      </c>
      <c r="M51" s="5">
        <v>600.0</v>
      </c>
      <c r="N51" s="8">
        <v>42514.0</v>
      </c>
      <c r="O51" s="5" t="s">
        <v>106</v>
      </c>
      <c r="P51" s="5" t="s">
        <v>25</v>
      </c>
      <c r="Q51" s="5" t="s">
        <v>1045</v>
      </c>
      <c r="R51" s="5" t="s">
        <v>1046</v>
      </c>
      <c r="S51" s="5" t="s">
        <v>66</v>
      </c>
    </row>
    <row r="52">
      <c r="A52" s="5">
        <v>51.0</v>
      </c>
      <c r="B52" s="5" t="s">
        <v>1048</v>
      </c>
      <c r="C52" s="5" t="s">
        <v>21</v>
      </c>
      <c r="D52" s="5">
        <v>64.0</v>
      </c>
      <c r="E52" s="5">
        <v>70.0</v>
      </c>
      <c r="H52" s="5" t="s">
        <v>762</v>
      </c>
      <c r="I52" s="7">
        <v>46156.701377314814</v>
      </c>
      <c r="J52" s="5" t="s">
        <v>44</v>
      </c>
      <c r="K52" s="5">
        <v>70.0</v>
      </c>
      <c r="L52" s="5">
        <v>3100.0</v>
      </c>
      <c r="M52" s="5">
        <v>3500.0</v>
      </c>
      <c r="N52" s="8">
        <v>42344.0</v>
      </c>
      <c r="O52" s="5" t="s">
        <v>106</v>
      </c>
      <c r="P52" s="5" t="s">
        <v>25</v>
      </c>
      <c r="S52" s="5" t="s">
        <v>66</v>
      </c>
    </row>
    <row r="53">
      <c r="A53" s="5">
        <v>52.0</v>
      </c>
      <c r="B53" s="5" t="s">
        <v>1053</v>
      </c>
      <c r="C53" s="5" t="s">
        <v>21</v>
      </c>
      <c r="D53" s="5">
        <v>63.0</v>
      </c>
      <c r="E53" s="5">
        <v>70.0</v>
      </c>
      <c r="F53" s="5">
        <v>0.8</v>
      </c>
      <c r="H53" s="5" t="s">
        <v>1055</v>
      </c>
      <c r="I53" s="7">
        <v>46126.6094212963</v>
      </c>
      <c r="J53" s="5" t="s">
        <v>104</v>
      </c>
      <c r="K53" s="5">
        <v>70.0</v>
      </c>
      <c r="L53" s="5">
        <v>3600.0</v>
      </c>
      <c r="M53" s="5">
        <v>3700.0</v>
      </c>
      <c r="N53" s="8">
        <v>43408.0</v>
      </c>
      <c r="O53" s="5" t="s">
        <v>106</v>
      </c>
      <c r="P53" s="5" t="s">
        <v>25</v>
      </c>
      <c r="S53" s="5" t="s">
        <v>1058</v>
      </c>
    </row>
    <row r="54">
      <c r="A54" s="5">
        <v>53.0</v>
      </c>
      <c r="B54" s="5" t="s">
        <v>1060</v>
      </c>
      <c r="C54" s="5" t="s">
        <v>21</v>
      </c>
      <c r="D54" s="5">
        <v>75.0</v>
      </c>
      <c r="E54" s="5">
        <v>70.0</v>
      </c>
      <c r="H54" s="5" t="s">
        <v>43</v>
      </c>
      <c r="I54" s="7">
        <v>46163.41612268519</v>
      </c>
      <c r="K54" s="5">
        <v>70.0</v>
      </c>
      <c r="L54" s="5">
        <v>1100.0</v>
      </c>
      <c r="M54" s="5">
        <v>1200.0</v>
      </c>
      <c r="N54" s="8">
        <v>44275.0</v>
      </c>
      <c r="O54" s="5" t="s">
        <v>106</v>
      </c>
      <c r="P54" s="5" t="s">
        <v>25</v>
      </c>
      <c r="S54" s="5" t="s">
        <v>66</v>
      </c>
    </row>
    <row r="55">
      <c r="A55" s="5">
        <v>54.0</v>
      </c>
      <c r="B55" s="5" t="s">
        <v>1064</v>
      </c>
      <c r="C55" s="5" t="s">
        <v>21</v>
      </c>
      <c r="D55" s="5">
        <v>88.0</v>
      </c>
      <c r="E55" s="5">
        <v>70.0</v>
      </c>
      <c r="H55" s="5" t="s">
        <v>762</v>
      </c>
      <c r="I55" s="7">
        <v>46089.235914351855</v>
      </c>
      <c r="K55" s="5">
        <v>500.0</v>
      </c>
      <c r="L55" s="5">
        <v>3400.0</v>
      </c>
      <c r="M55" s="5">
        <v>3800.0</v>
      </c>
      <c r="N55" s="8">
        <v>44152.0</v>
      </c>
      <c r="O55" s="5" t="s">
        <v>47</v>
      </c>
      <c r="P55" s="5" t="s">
        <v>25</v>
      </c>
      <c r="S55" s="5" t="s">
        <v>29</v>
      </c>
    </row>
    <row r="56">
      <c r="A56" s="5">
        <v>55.0</v>
      </c>
      <c r="B56" s="5" t="s">
        <v>1068</v>
      </c>
      <c r="C56" s="5" t="s">
        <v>21</v>
      </c>
      <c r="D56" s="5">
        <v>74.0</v>
      </c>
      <c r="E56" s="5">
        <v>60.0</v>
      </c>
      <c r="H56" s="5" t="s">
        <v>22</v>
      </c>
      <c r="I56" s="7">
        <v>46124.87150462963</v>
      </c>
      <c r="J56" s="5" t="s">
        <v>49</v>
      </c>
      <c r="K56" s="5">
        <v>60.0</v>
      </c>
      <c r="L56" s="5">
        <v>1800.0</v>
      </c>
      <c r="M56" s="5">
        <v>2300.0</v>
      </c>
      <c r="N56" s="8">
        <v>42346.0</v>
      </c>
      <c r="O56" s="5" t="s">
        <v>106</v>
      </c>
      <c r="P56" s="5" t="s">
        <v>25</v>
      </c>
      <c r="S56" s="5" t="s">
        <v>29</v>
      </c>
    </row>
    <row r="57">
      <c r="A57" s="5">
        <v>56.0</v>
      </c>
      <c r="B57" s="5" t="s">
        <v>1072</v>
      </c>
      <c r="C57" s="5" t="s">
        <v>21</v>
      </c>
      <c r="D57" s="5">
        <v>82.0</v>
      </c>
      <c r="E57" s="5">
        <v>60.0</v>
      </c>
      <c r="H57" s="5" t="s">
        <v>22</v>
      </c>
      <c r="I57" s="7">
        <v>46144.66819444444</v>
      </c>
      <c r="J57" s="5" t="s">
        <v>49</v>
      </c>
      <c r="K57" s="5">
        <v>60.0</v>
      </c>
      <c r="L57" s="5">
        <v>2100.0</v>
      </c>
      <c r="M57" s="5">
        <v>2700.0</v>
      </c>
      <c r="N57" s="8">
        <v>42676.0</v>
      </c>
      <c r="O57" s="5" t="s">
        <v>47</v>
      </c>
      <c r="P57" s="5" t="s">
        <v>25</v>
      </c>
      <c r="S57" s="5" t="s">
        <v>1012</v>
      </c>
    </row>
    <row r="58">
      <c r="A58" s="5">
        <v>57.0</v>
      </c>
      <c r="B58" s="5" t="s">
        <v>1075</v>
      </c>
      <c r="C58" s="5" t="s">
        <v>21</v>
      </c>
      <c r="D58" s="5">
        <v>65.0</v>
      </c>
      <c r="E58" s="5">
        <v>60.0</v>
      </c>
      <c r="H58" s="5" t="s">
        <v>762</v>
      </c>
      <c r="I58" s="7">
        <v>46161.422268518516</v>
      </c>
      <c r="J58" s="5" t="s">
        <v>1077</v>
      </c>
      <c r="K58" s="5">
        <v>60.0</v>
      </c>
      <c r="L58" s="5">
        <v>3200.0</v>
      </c>
      <c r="M58" s="5">
        <v>81000.0</v>
      </c>
      <c r="N58" s="8">
        <v>42465.0</v>
      </c>
      <c r="O58" s="5" t="s">
        <v>106</v>
      </c>
      <c r="P58" s="5" t="s">
        <v>25</v>
      </c>
      <c r="S58" s="5" t="s">
        <v>66</v>
      </c>
    </row>
    <row r="59">
      <c r="A59" s="5">
        <v>58.0</v>
      </c>
      <c r="B59" s="5" t="s">
        <v>1080</v>
      </c>
      <c r="C59" s="5" t="s">
        <v>21</v>
      </c>
      <c r="D59" s="5">
        <v>67.0</v>
      </c>
      <c r="E59" s="5">
        <v>50.0</v>
      </c>
      <c r="H59" s="5" t="s">
        <v>22</v>
      </c>
      <c r="I59" s="7">
        <v>46088.40268518519</v>
      </c>
      <c r="J59" s="5" t="s">
        <v>49</v>
      </c>
      <c r="K59" s="5">
        <v>80.0</v>
      </c>
      <c r="L59" s="5">
        <v>1900.0</v>
      </c>
      <c r="M59" s="5">
        <v>2000.0</v>
      </c>
      <c r="N59" s="8">
        <v>42302.0</v>
      </c>
      <c r="O59" s="5" t="s">
        <v>106</v>
      </c>
      <c r="Q59" s="5" t="s">
        <v>1083</v>
      </c>
      <c r="R59" s="5" t="s">
        <v>1084</v>
      </c>
      <c r="S59" s="5" t="s">
        <v>29</v>
      </c>
    </row>
    <row r="60">
      <c r="A60" s="5">
        <v>59.0</v>
      </c>
      <c r="B60" s="5" t="s">
        <v>1086</v>
      </c>
      <c r="C60" s="5" t="s">
        <v>21</v>
      </c>
      <c r="D60" s="5">
        <v>62.0</v>
      </c>
      <c r="E60" s="5">
        <v>50.0</v>
      </c>
      <c r="H60" s="5" t="s">
        <v>762</v>
      </c>
      <c r="I60" s="7">
        <v>46085.47074074074</v>
      </c>
      <c r="J60" s="5" t="s">
        <v>49</v>
      </c>
      <c r="K60" s="5">
        <v>60.0</v>
      </c>
      <c r="L60" s="5">
        <v>3500.0</v>
      </c>
      <c r="M60" s="5">
        <v>3700.0</v>
      </c>
      <c r="N60" s="8">
        <v>42463.0</v>
      </c>
      <c r="O60" s="5" t="s">
        <v>47</v>
      </c>
      <c r="P60" s="5" t="s">
        <v>25</v>
      </c>
      <c r="S60" s="5" t="s">
        <v>29</v>
      </c>
    </row>
    <row r="61">
      <c r="A61" s="5">
        <v>60.0</v>
      </c>
      <c r="B61" s="5" t="s">
        <v>1089</v>
      </c>
      <c r="C61" s="5" t="s">
        <v>21</v>
      </c>
      <c r="D61" s="5">
        <v>69.0</v>
      </c>
      <c r="E61" s="5">
        <v>50.0</v>
      </c>
      <c r="F61" s="5">
        <v>1.5</v>
      </c>
      <c r="H61" s="5" t="s">
        <v>1089</v>
      </c>
      <c r="I61" s="7">
        <v>46155.04751157408</v>
      </c>
      <c r="J61" s="5" t="s">
        <v>1091</v>
      </c>
      <c r="K61" s="5">
        <v>509000.0</v>
      </c>
      <c r="L61" s="5">
        <v>0.0</v>
      </c>
      <c r="M61" s="5">
        <v>800.0</v>
      </c>
      <c r="N61" s="8">
        <v>42266.0</v>
      </c>
      <c r="O61" s="5" t="s">
        <v>47</v>
      </c>
      <c r="P61" s="5" t="s">
        <v>25</v>
      </c>
      <c r="Q61" s="5" t="s">
        <v>1093</v>
      </c>
      <c r="R61" s="5" t="s">
        <v>1094</v>
      </c>
      <c r="S61" s="5" t="s">
        <v>1095</v>
      </c>
    </row>
    <row r="62">
      <c r="A62" s="5">
        <v>61.0</v>
      </c>
      <c r="B62" s="5" t="s">
        <v>1096</v>
      </c>
      <c r="C62" s="5" t="s">
        <v>21</v>
      </c>
      <c r="D62" s="5">
        <v>69.0</v>
      </c>
      <c r="E62" s="5">
        <v>50.0</v>
      </c>
      <c r="H62" s="5" t="s">
        <v>22</v>
      </c>
      <c r="I62" s="7">
        <v>46111.604791666665</v>
      </c>
      <c r="K62" s="5">
        <v>50.0</v>
      </c>
      <c r="L62" s="5">
        <v>1800.0</v>
      </c>
      <c r="M62" s="5">
        <v>54000.0</v>
      </c>
      <c r="N62" s="8">
        <v>43342.0</v>
      </c>
      <c r="O62" s="5" t="s">
        <v>47</v>
      </c>
      <c r="P62" s="5" t="s">
        <v>25</v>
      </c>
      <c r="S62" s="5" t="s">
        <v>29</v>
      </c>
    </row>
    <row r="63">
      <c r="A63" s="5">
        <v>62.0</v>
      </c>
      <c r="B63" s="5" t="s">
        <v>1099</v>
      </c>
      <c r="C63" s="5" t="s">
        <v>21</v>
      </c>
      <c r="D63" s="5">
        <v>89.0</v>
      </c>
      <c r="E63" s="5">
        <v>50.0</v>
      </c>
      <c r="F63" s="5">
        <v>0.9</v>
      </c>
      <c r="H63" s="5" t="s">
        <v>762</v>
      </c>
      <c r="I63" s="7">
        <v>46089.67269675926</v>
      </c>
      <c r="J63" s="5" t="s">
        <v>1101</v>
      </c>
      <c r="K63" s="5">
        <v>14000.0</v>
      </c>
      <c r="L63" s="5">
        <v>3400.0</v>
      </c>
      <c r="M63" s="5">
        <v>3800.0</v>
      </c>
      <c r="N63" s="8">
        <v>42312.0</v>
      </c>
      <c r="O63" s="5" t="s">
        <v>47</v>
      </c>
      <c r="P63" s="5" t="s">
        <v>25</v>
      </c>
      <c r="S63" s="5" t="s">
        <v>66</v>
      </c>
    </row>
    <row r="64">
      <c r="A64" s="5">
        <v>63.0</v>
      </c>
      <c r="B64" s="5" t="s">
        <v>1103</v>
      </c>
      <c r="C64" s="5" t="s">
        <v>21</v>
      </c>
      <c r="D64" s="5">
        <v>86.0</v>
      </c>
      <c r="E64" s="5">
        <v>50.0</v>
      </c>
      <c r="F64" s="5">
        <v>1.3</v>
      </c>
      <c r="H64" s="5" t="s">
        <v>22</v>
      </c>
      <c r="I64" s="7">
        <v>46125.58221064815</v>
      </c>
      <c r="K64" s="5">
        <v>350.0</v>
      </c>
      <c r="L64" s="5">
        <v>1900.0</v>
      </c>
      <c r="M64" s="5">
        <v>2400.0</v>
      </c>
      <c r="N64" s="8">
        <v>42266.0</v>
      </c>
      <c r="O64" s="5" t="s">
        <v>47</v>
      </c>
      <c r="P64" s="5" t="s">
        <v>25</v>
      </c>
      <c r="S64" s="5" t="s">
        <v>29</v>
      </c>
    </row>
    <row r="65">
      <c r="A65" s="5">
        <v>64.0</v>
      </c>
      <c r="B65" s="5" t="s">
        <v>1106</v>
      </c>
      <c r="C65" s="5" t="s">
        <v>21</v>
      </c>
      <c r="D65" s="5">
        <v>83.0</v>
      </c>
      <c r="E65" s="5">
        <v>50.0</v>
      </c>
      <c r="H65" s="5" t="s">
        <v>1106</v>
      </c>
      <c r="I65" s="7">
        <v>46149.418391203704</v>
      </c>
      <c r="J65" s="5" t="s">
        <v>1007</v>
      </c>
      <c r="K65" s="5">
        <v>191000.0</v>
      </c>
      <c r="L65" s="5">
        <v>50.0</v>
      </c>
      <c r="M65" s="5">
        <v>112000.0</v>
      </c>
      <c r="N65" s="8">
        <v>42578.0</v>
      </c>
      <c r="O65" s="5" t="s">
        <v>47</v>
      </c>
      <c r="P65" s="5" t="s">
        <v>25</v>
      </c>
      <c r="S65" s="5" t="s">
        <v>29</v>
      </c>
    </row>
    <row r="66">
      <c r="A66" s="5">
        <v>65.0</v>
      </c>
      <c r="B66" s="5" t="s">
        <v>52</v>
      </c>
      <c r="C66" s="5" t="s">
        <v>21</v>
      </c>
      <c r="D66" s="5">
        <v>86.0</v>
      </c>
      <c r="E66" s="5">
        <v>50.0</v>
      </c>
      <c r="F66" s="5">
        <v>0.4</v>
      </c>
      <c r="H66" s="5" t="s">
        <v>22</v>
      </c>
      <c r="I66" s="7">
        <v>46123.144791666666</v>
      </c>
      <c r="J66" s="5" t="s">
        <v>55</v>
      </c>
      <c r="K66" s="5">
        <v>700.0</v>
      </c>
      <c r="L66" s="5">
        <v>1700.0</v>
      </c>
      <c r="M66" s="5">
        <v>2300.0</v>
      </c>
      <c r="N66" s="8">
        <v>42363.0</v>
      </c>
      <c r="O66" s="5" t="s">
        <v>47</v>
      </c>
      <c r="P66" s="5" t="s">
        <v>25</v>
      </c>
      <c r="S66" s="5" t="s">
        <v>29</v>
      </c>
    </row>
    <row r="67">
      <c r="A67" s="5">
        <v>66.0</v>
      </c>
      <c r="B67" s="5" t="s">
        <v>1112</v>
      </c>
      <c r="C67" s="5" t="s">
        <v>21</v>
      </c>
      <c r="D67" s="5">
        <v>40.0</v>
      </c>
      <c r="E67" s="5">
        <v>40.0</v>
      </c>
      <c r="H67" s="5" t="s">
        <v>22</v>
      </c>
      <c r="I67" s="7">
        <v>46162.965625</v>
      </c>
      <c r="K67" s="5">
        <v>60.0</v>
      </c>
      <c r="L67" s="5">
        <v>450.0</v>
      </c>
      <c r="M67" s="5">
        <v>500.0</v>
      </c>
      <c r="N67" s="8">
        <v>43840.0</v>
      </c>
      <c r="O67" s="5" t="s">
        <v>47</v>
      </c>
      <c r="P67" s="5" t="s">
        <v>25</v>
      </c>
      <c r="S67" s="5" t="s">
        <v>66</v>
      </c>
    </row>
    <row r="68">
      <c r="A68" s="5">
        <v>67.0</v>
      </c>
      <c r="B68" s="5" t="s">
        <v>1115</v>
      </c>
      <c r="C68" s="5" t="s">
        <v>21</v>
      </c>
      <c r="D68" s="5">
        <v>26.0</v>
      </c>
      <c r="E68" s="5">
        <v>40.0</v>
      </c>
      <c r="H68" s="5" t="s">
        <v>895</v>
      </c>
      <c r="I68" s="7">
        <v>46088.97670138889</v>
      </c>
      <c r="J68" s="5" t="s">
        <v>44</v>
      </c>
      <c r="K68" s="5">
        <v>40.0</v>
      </c>
      <c r="L68" s="5">
        <v>40.0</v>
      </c>
      <c r="M68" s="5">
        <v>40.0</v>
      </c>
      <c r="N68" s="8">
        <v>42480.0</v>
      </c>
      <c r="O68" s="5" t="s">
        <v>898</v>
      </c>
      <c r="P68" s="5" t="s">
        <v>25</v>
      </c>
      <c r="S68" s="5" t="s">
        <v>66</v>
      </c>
    </row>
    <row r="69">
      <c r="A69" s="5">
        <v>68.0</v>
      </c>
      <c r="B69" s="5" t="s">
        <v>1118</v>
      </c>
      <c r="C69" s="5" t="s">
        <v>21</v>
      </c>
      <c r="D69" s="5">
        <v>33.0</v>
      </c>
      <c r="E69" s="5">
        <v>40.0</v>
      </c>
      <c r="H69" s="5" t="s">
        <v>762</v>
      </c>
      <c r="I69" s="7">
        <v>46099.384571759256</v>
      </c>
      <c r="K69" s="5">
        <v>50.0</v>
      </c>
      <c r="L69" s="5">
        <v>3300.0</v>
      </c>
      <c r="M69" s="5">
        <v>3600.0</v>
      </c>
      <c r="N69" s="8">
        <v>43742.0</v>
      </c>
      <c r="O69" s="5" t="s">
        <v>47</v>
      </c>
      <c r="P69" s="5" t="s">
        <v>25</v>
      </c>
      <c r="S69" s="5" t="s">
        <v>66</v>
      </c>
    </row>
    <row r="70">
      <c r="A70" s="5">
        <v>69.0</v>
      </c>
      <c r="B70" s="5" t="s">
        <v>1121</v>
      </c>
      <c r="C70" s="5" t="s">
        <v>21</v>
      </c>
      <c r="D70" s="5">
        <v>76.0</v>
      </c>
      <c r="E70" s="5">
        <v>40.0</v>
      </c>
      <c r="H70" s="5" t="s">
        <v>22</v>
      </c>
      <c r="I70" s="7">
        <v>46125.464907407404</v>
      </c>
      <c r="K70" s="5">
        <v>40.0</v>
      </c>
      <c r="L70" s="5">
        <v>1500.0</v>
      </c>
      <c r="M70" s="5">
        <v>57000.0</v>
      </c>
      <c r="N70" s="8">
        <v>43867.0</v>
      </c>
      <c r="O70" s="5" t="s">
        <v>106</v>
      </c>
      <c r="S70" s="5" t="s">
        <v>29</v>
      </c>
    </row>
    <row r="71">
      <c r="A71" s="5">
        <v>70.0</v>
      </c>
      <c r="B71" s="5" t="s">
        <v>1125</v>
      </c>
      <c r="C71" s="5" t="s">
        <v>21</v>
      </c>
      <c r="D71" s="5">
        <v>78.0</v>
      </c>
      <c r="E71" s="5">
        <v>40.0</v>
      </c>
      <c r="H71" s="5" t="s">
        <v>22</v>
      </c>
      <c r="I71" s="7">
        <v>46125.9825462963</v>
      </c>
      <c r="K71" s="5">
        <v>40.0</v>
      </c>
      <c r="L71" s="5">
        <v>1500.0</v>
      </c>
      <c r="M71" s="5">
        <v>2000.0</v>
      </c>
      <c r="N71" s="8">
        <v>45261.0</v>
      </c>
      <c r="O71" s="5" t="s">
        <v>47</v>
      </c>
      <c r="P71" s="5" t="s">
        <v>25</v>
      </c>
      <c r="S71" s="5" t="s">
        <v>29</v>
      </c>
    </row>
    <row r="72">
      <c r="A72" s="5">
        <v>71.0</v>
      </c>
      <c r="B72" s="5" t="s">
        <v>1129</v>
      </c>
      <c r="C72" s="5" t="s">
        <v>21</v>
      </c>
      <c r="D72" s="5">
        <v>89.0</v>
      </c>
      <c r="E72" s="5">
        <v>40.0</v>
      </c>
      <c r="F72" s="5">
        <v>0.15</v>
      </c>
      <c r="H72" s="5" t="s">
        <v>1129</v>
      </c>
      <c r="I72" s="7">
        <v>46073.10797453704</v>
      </c>
      <c r="J72" s="5" t="s">
        <v>35</v>
      </c>
      <c r="K72" s="5">
        <v>295000.0</v>
      </c>
      <c r="L72" s="5">
        <v>20.0</v>
      </c>
      <c r="M72" s="5">
        <v>56000.0</v>
      </c>
      <c r="N72" s="8">
        <v>42304.0</v>
      </c>
      <c r="O72" s="5" t="s">
        <v>47</v>
      </c>
      <c r="P72" s="5" t="s">
        <v>25</v>
      </c>
      <c r="S72" s="5" t="s">
        <v>66</v>
      </c>
    </row>
    <row r="73">
      <c r="A73" s="5">
        <v>72.0</v>
      </c>
      <c r="B73" s="5" t="s">
        <v>1131</v>
      </c>
      <c r="C73" s="5" t="s">
        <v>21</v>
      </c>
      <c r="D73" s="5">
        <v>75.0</v>
      </c>
      <c r="E73" s="5">
        <v>40.0</v>
      </c>
      <c r="H73" s="5" t="s">
        <v>22</v>
      </c>
      <c r="I73" s="7">
        <v>46126.70096064815</v>
      </c>
      <c r="J73" s="5" t="s">
        <v>23</v>
      </c>
      <c r="K73" s="5">
        <v>1640000.0</v>
      </c>
      <c r="L73" s="5">
        <v>1900.0</v>
      </c>
      <c r="M73" s="5">
        <v>17000.0</v>
      </c>
      <c r="N73" s="8">
        <v>42599.0</v>
      </c>
      <c r="O73" s="5" t="s">
        <v>47</v>
      </c>
      <c r="P73" s="5" t="s">
        <v>25</v>
      </c>
      <c r="S73" s="5" t="s">
        <v>66</v>
      </c>
    </row>
    <row r="74">
      <c r="A74" s="5">
        <v>73.0</v>
      </c>
      <c r="B74" s="5" t="s">
        <v>1134</v>
      </c>
      <c r="C74" s="5" t="s">
        <v>21</v>
      </c>
      <c r="D74" s="5">
        <v>77.0</v>
      </c>
      <c r="E74" s="5">
        <v>40.0</v>
      </c>
      <c r="H74" s="5" t="s">
        <v>762</v>
      </c>
      <c r="I74" s="7">
        <v>46085.18548611111</v>
      </c>
      <c r="J74" s="5" t="s">
        <v>49</v>
      </c>
      <c r="K74" s="5">
        <v>70.0</v>
      </c>
      <c r="L74" s="5">
        <v>3500.0</v>
      </c>
      <c r="M74" s="5">
        <v>3700.0</v>
      </c>
      <c r="N74" s="8">
        <v>42307.0</v>
      </c>
      <c r="O74" s="5" t="s">
        <v>47</v>
      </c>
      <c r="P74" s="5" t="s">
        <v>25</v>
      </c>
      <c r="S74" s="5" t="s">
        <v>29</v>
      </c>
    </row>
    <row r="75">
      <c r="A75" s="5">
        <v>74.0</v>
      </c>
      <c r="B75" s="5" t="s">
        <v>33</v>
      </c>
      <c r="C75" s="5" t="s">
        <v>21</v>
      </c>
      <c r="D75" s="5">
        <v>83.0</v>
      </c>
      <c r="E75" s="5">
        <v>30.0</v>
      </c>
      <c r="H75" s="5" t="s">
        <v>33</v>
      </c>
      <c r="I75" s="7">
        <v>46131.83086805556</v>
      </c>
      <c r="K75" s="5">
        <v>112000.0</v>
      </c>
      <c r="L75" s="5">
        <v>20.0</v>
      </c>
      <c r="M75" s="5">
        <v>213000.0</v>
      </c>
      <c r="N75" s="8">
        <v>43358.0</v>
      </c>
      <c r="O75" s="5" t="s">
        <v>39</v>
      </c>
      <c r="P75" s="5" t="s">
        <v>25</v>
      </c>
      <c r="S75" s="5" t="s">
        <v>29</v>
      </c>
    </row>
    <row r="76">
      <c r="A76" s="5">
        <v>75.0</v>
      </c>
      <c r="B76" s="5" t="s">
        <v>1140</v>
      </c>
      <c r="C76" s="5" t="s">
        <v>21</v>
      </c>
      <c r="D76" s="5">
        <v>24.0</v>
      </c>
      <c r="E76" s="5">
        <v>30.0</v>
      </c>
      <c r="H76" s="5" t="s">
        <v>762</v>
      </c>
      <c r="I76" s="7">
        <v>46155.517060185186</v>
      </c>
      <c r="J76" s="5" t="s">
        <v>49</v>
      </c>
      <c r="K76" s="5">
        <v>30.0</v>
      </c>
      <c r="L76" s="5">
        <v>3100.0</v>
      </c>
      <c r="M76" s="5">
        <v>3500.0</v>
      </c>
      <c r="N76" s="8">
        <v>42502.0</v>
      </c>
      <c r="O76" s="5" t="s">
        <v>51</v>
      </c>
      <c r="P76" s="5" t="s">
        <v>25</v>
      </c>
      <c r="S76" s="5" t="s">
        <v>66</v>
      </c>
    </row>
    <row r="77">
      <c r="A77" s="5">
        <v>76.0</v>
      </c>
      <c r="B77" s="5" t="s">
        <v>1143</v>
      </c>
      <c r="C77" s="5" t="s">
        <v>21</v>
      </c>
      <c r="D77" s="5">
        <v>70.0</v>
      </c>
      <c r="E77" s="5">
        <v>30.0</v>
      </c>
      <c r="F77" s="5">
        <v>0.4</v>
      </c>
      <c r="H77" s="5" t="s">
        <v>22</v>
      </c>
      <c r="I77" s="7">
        <v>46143.53990740741</v>
      </c>
      <c r="J77" s="5" t="s">
        <v>49</v>
      </c>
      <c r="K77" s="5">
        <v>300.0</v>
      </c>
      <c r="L77" s="5">
        <v>2100.0</v>
      </c>
      <c r="M77" s="5">
        <v>3200.0</v>
      </c>
      <c r="N77" s="8">
        <v>43926.0</v>
      </c>
      <c r="O77" s="5" t="s">
        <v>51</v>
      </c>
      <c r="P77" s="5" t="s">
        <v>25</v>
      </c>
      <c r="S77" s="5" t="s">
        <v>66</v>
      </c>
    </row>
    <row r="78">
      <c r="A78" s="5">
        <v>77.0</v>
      </c>
      <c r="B78" s="5" t="s">
        <v>1147</v>
      </c>
      <c r="C78" s="5" t="s">
        <v>21</v>
      </c>
      <c r="D78" s="5">
        <v>85.0</v>
      </c>
      <c r="E78" s="5">
        <v>30.0</v>
      </c>
      <c r="F78" s="5">
        <v>0.2</v>
      </c>
      <c r="H78" s="5" t="s">
        <v>762</v>
      </c>
      <c r="I78" s="7">
        <v>46111.8999537037</v>
      </c>
      <c r="K78" s="5">
        <v>60.0</v>
      </c>
      <c r="L78" s="5">
        <v>2700.0</v>
      </c>
      <c r="M78" s="5">
        <v>66000.0</v>
      </c>
      <c r="N78" s="8">
        <v>44217.0</v>
      </c>
      <c r="O78" s="5" t="s">
        <v>47</v>
      </c>
      <c r="P78" s="5" t="s">
        <v>25</v>
      </c>
      <c r="S78" s="5" t="s">
        <v>870</v>
      </c>
    </row>
    <row r="79">
      <c r="A79" s="5">
        <v>78.0</v>
      </c>
      <c r="B79" s="5" t="s">
        <v>1150</v>
      </c>
      <c r="C79" s="5" t="s">
        <v>21</v>
      </c>
      <c r="D79" s="5">
        <v>65.0</v>
      </c>
      <c r="E79" s="5">
        <v>30.0</v>
      </c>
      <c r="F79" s="5">
        <v>0.7</v>
      </c>
      <c r="H79" s="5" t="s">
        <v>963</v>
      </c>
      <c r="I79" s="7">
        <v>46143.76708333333</v>
      </c>
      <c r="J79" s="5" t="s">
        <v>49</v>
      </c>
      <c r="K79" s="5">
        <v>80.0</v>
      </c>
      <c r="L79" s="5">
        <v>150.0</v>
      </c>
      <c r="M79" s="5">
        <v>350.0</v>
      </c>
      <c r="N79" s="8">
        <v>43509.0</v>
      </c>
      <c r="O79" s="5" t="s">
        <v>106</v>
      </c>
      <c r="P79" s="5" t="s">
        <v>25</v>
      </c>
      <c r="S79" s="5" t="s">
        <v>66</v>
      </c>
    </row>
    <row r="80">
      <c r="A80" s="5">
        <v>79.0</v>
      </c>
      <c r="B80" s="5">
        <v>888.0</v>
      </c>
      <c r="C80" s="5" t="s">
        <v>21</v>
      </c>
      <c r="D80" s="5">
        <v>90.0</v>
      </c>
      <c r="E80" s="5">
        <v>30.0</v>
      </c>
      <c r="H80" s="5" t="s">
        <v>1154</v>
      </c>
      <c r="I80" s="7">
        <v>45980.34116898148</v>
      </c>
      <c r="J80" s="5" t="s">
        <v>104</v>
      </c>
      <c r="K80" s="5">
        <v>1620000.0</v>
      </c>
      <c r="L80" s="5">
        <v>100.0</v>
      </c>
      <c r="M80" s="5">
        <v>866000.0</v>
      </c>
      <c r="N80" s="8">
        <v>42296.0</v>
      </c>
      <c r="O80" s="5" t="s">
        <v>106</v>
      </c>
      <c r="S80" s="5" t="s">
        <v>1157</v>
      </c>
    </row>
    <row r="81">
      <c r="A81" s="5">
        <v>80.0</v>
      </c>
      <c r="B81" s="5" t="s">
        <v>73</v>
      </c>
      <c r="C81" s="5" t="s">
        <v>21</v>
      </c>
      <c r="D81" s="5">
        <v>86.0</v>
      </c>
      <c r="E81" s="5">
        <v>30.0</v>
      </c>
      <c r="H81" s="5" t="s">
        <v>43</v>
      </c>
      <c r="I81" s="7">
        <v>46156.33568287037</v>
      </c>
      <c r="J81" s="5" t="s">
        <v>44</v>
      </c>
      <c r="K81" s="5">
        <v>100.0</v>
      </c>
      <c r="L81" s="5">
        <v>1000.0</v>
      </c>
      <c r="M81" s="5">
        <v>1100.0</v>
      </c>
      <c r="N81" s="8">
        <v>43908.0</v>
      </c>
      <c r="O81" s="5" t="s">
        <v>47</v>
      </c>
      <c r="P81" s="5" t="s">
        <v>25</v>
      </c>
      <c r="S81" s="5" t="s">
        <v>29</v>
      </c>
    </row>
    <row r="82">
      <c r="A82" s="5">
        <v>81.0</v>
      </c>
      <c r="B82" s="5" t="s">
        <v>1161</v>
      </c>
      <c r="C82" s="5" t="s">
        <v>21</v>
      </c>
      <c r="D82" s="5">
        <v>89.0</v>
      </c>
      <c r="E82" s="5">
        <v>30.0</v>
      </c>
      <c r="H82" s="5" t="s">
        <v>762</v>
      </c>
      <c r="I82" s="7">
        <v>46083.55755787037</v>
      </c>
      <c r="K82" s="5">
        <v>50.0</v>
      </c>
      <c r="L82" s="5">
        <v>3500.0</v>
      </c>
      <c r="M82" s="5">
        <v>3700.0</v>
      </c>
      <c r="N82" s="8">
        <v>42253.0</v>
      </c>
      <c r="O82" s="5" t="s">
        <v>24</v>
      </c>
      <c r="P82" s="5" t="s">
        <v>25</v>
      </c>
      <c r="S82" s="5" t="s">
        <v>29</v>
      </c>
    </row>
    <row r="83">
      <c r="A83" s="5">
        <v>82.0</v>
      </c>
      <c r="B83" s="5" t="s">
        <v>1164</v>
      </c>
      <c r="C83" s="5" t="s">
        <v>21</v>
      </c>
      <c r="D83" s="5">
        <v>60.0</v>
      </c>
      <c r="E83" s="5">
        <v>30.0</v>
      </c>
      <c r="H83" s="5" t="s">
        <v>43</v>
      </c>
      <c r="I83" s="7">
        <v>46155.81842592593</v>
      </c>
      <c r="K83" s="5">
        <v>40.0</v>
      </c>
      <c r="L83" s="5">
        <v>1000.0</v>
      </c>
      <c r="M83" s="5">
        <v>1100.0</v>
      </c>
      <c r="N83" s="8">
        <v>44518.0</v>
      </c>
      <c r="O83" s="5" t="s">
        <v>106</v>
      </c>
      <c r="P83" s="5" t="s">
        <v>25</v>
      </c>
      <c r="S83" s="5" t="s">
        <v>66</v>
      </c>
    </row>
    <row r="84">
      <c r="A84" s="5">
        <v>83.0</v>
      </c>
      <c r="B84" s="5" t="s">
        <v>1167</v>
      </c>
      <c r="C84" s="5" t="s">
        <v>21</v>
      </c>
      <c r="D84" s="5">
        <v>12.0</v>
      </c>
      <c r="E84" s="5">
        <v>30.0</v>
      </c>
      <c r="H84" s="5" t="s">
        <v>905</v>
      </c>
      <c r="I84" s="7">
        <v>46089.892280092594</v>
      </c>
      <c r="J84" s="5" t="s">
        <v>104</v>
      </c>
      <c r="K84" s="5">
        <v>30.0</v>
      </c>
      <c r="L84" s="5">
        <v>145000.0</v>
      </c>
      <c r="M84" s="5">
        <v>149000.0</v>
      </c>
      <c r="N84" s="8">
        <v>45022.0</v>
      </c>
      <c r="O84" s="5" t="s">
        <v>992</v>
      </c>
      <c r="P84" s="5" t="s">
        <v>25</v>
      </c>
      <c r="S84" s="5" t="s">
        <v>66</v>
      </c>
    </row>
    <row r="85">
      <c r="A85" s="5">
        <v>84.0</v>
      </c>
      <c r="B85" s="5" t="s">
        <v>84</v>
      </c>
      <c r="C85" s="5" t="s">
        <v>21</v>
      </c>
      <c r="D85" s="5">
        <v>75.0</v>
      </c>
      <c r="E85" s="5">
        <v>20.0</v>
      </c>
      <c r="H85" s="5" t="s">
        <v>22</v>
      </c>
      <c r="I85" s="7">
        <v>46124.595</v>
      </c>
      <c r="K85" s="5">
        <v>30.0</v>
      </c>
      <c r="L85" s="5">
        <v>1500.0</v>
      </c>
      <c r="M85" s="5">
        <v>57000.0</v>
      </c>
      <c r="N85" s="8">
        <v>44858.0</v>
      </c>
      <c r="O85" s="5" t="s">
        <v>47</v>
      </c>
      <c r="P85" s="5" t="s">
        <v>25</v>
      </c>
      <c r="S85" s="5" t="s">
        <v>29</v>
      </c>
    </row>
    <row r="86">
      <c r="A86" s="5">
        <v>85.0</v>
      </c>
      <c r="B86" s="5" t="s">
        <v>1172</v>
      </c>
      <c r="C86" s="5" t="s">
        <v>21</v>
      </c>
      <c r="D86" s="5">
        <v>82.0</v>
      </c>
      <c r="E86" s="5">
        <v>20.0</v>
      </c>
      <c r="H86" s="5" t="s">
        <v>22</v>
      </c>
      <c r="I86" s="7">
        <v>46143.36033564815</v>
      </c>
      <c r="K86" s="5">
        <v>20.0</v>
      </c>
      <c r="L86" s="5">
        <v>1600.0</v>
      </c>
      <c r="M86" s="5">
        <v>2900.0</v>
      </c>
      <c r="N86" s="8">
        <v>42326.0</v>
      </c>
      <c r="O86" s="5" t="s">
        <v>47</v>
      </c>
      <c r="P86" s="5" t="s">
        <v>25</v>
      </c>
      <c r="S86" s="5" t="s">
        <v>29</v>
      </c>
    </row>
    <row r="87">
      <c r="A87" s="5">
        <v>86.0</v>
      </c>
      <c r="B87" s="5" t="s">
        <v>1176</v>
      </c>
      <c r="C87" s="5" t="s">
        <v>21</v>
      </c>
      <c r="D87" s="5">
        <v>87.0</v>
      </c>
      <c r="E87" s="5">
        <v>20.0</v>
      </c>
      <c r="H87" s="5" t="s">
        <v>1177</v>
      </c>
      <c r="I87" s="7">
        <v>46090.056909722225</v>
      </c>
      <c r="J87" s="5" t="s">
        <v>44</v>
      </c>
      <c r="K87" s="5">
        <v>837000.0</v>
      </c>
      <c r="L87" s="5">
        <v>90.0</v>
      </c>
      <c r="M87" s="5">
        <v>900000.0</v>
      </c>
      <c r="N87" s="8">
        <v>42975.0</v>
      </c>
      <c r="O87" s="5" t="s">
        <v>1180</v>
      </c>
      <c r="P87" s="5" t="s">
        <v>25</v>
      </c>
      <c r="S87" s="5" t="s">
        <v>66</v>
      </c>
    </row>
    <row r="88">
      <c r="A88" s="5">
        <v>87.0</v>
      </c>
      <c r="B88" s="5" t="s">
        <v>1181</v>
      </c>
      <c r="C88" s="5" t="s">
        <v>21</v>
      </c>
      <c r="D88" s="5">
        <v>87.0</v>
      </c>
      <c r="E88" s="5">
        <v>20.0</v>
      </c>
      <c r="H88" s="5" t="s">
        <v>762</v>
      </c>
      <c r="I88" s="7">
        <v>46083.777662037035</v>
      </c>
      <c r="K88" s="5">
        <v>200.0</v>
      </c>
      <c r="L88" s="5">
        <v>3500.0</v>
      </c>
      <c r="M88" s="5">
        <v>3700.0</v>
      </c>
      <c r="N88" s="8">
        <v>44287.0</v>
      </c>
      <c r="O88" s="5" t="s">
        <v>24</v>
      </c>
      <c r="P88" s="5" t="s">
        <v>25</v>
      </c>
      <c r="S88" s="5" t="s">
        <v>29</v>
      </c>
    </row>
    <row r="89">
      <c r="A89" s="5">
        <v>88.0</v>
      </c>
      <c r="B89" s="5" t="s">
        <v>1184</v>
      </c>
      <c r="C89" s="5" t="s">
        <v>21</v>
      </c>
      <c r="D89" s="5">
        <v>73.0</v>
      </c>
      <c r="E89" s="5">
        <v>20.0</v>
      </c>
      <c r="F89" s="5">
        <v>0.25</v>
      </c>
      <c r="H89" s="5" t="s">
        <v>43</v>
      </c>
      <c r="I89" s="7">
        <v>46160.83896990741</v>
      </c>
      <c r="K89" s="5">
        <v>20.0</v>
      </c>
      <c r="L89" s="5">
        <v>1000.0</v>
      </c>
      <c r="M89" s="5">
        <v>1100.0</v>
      </c>
      <c r="N89" s="8">
        <v>42536.0</v>
      </c>
      <c r="O89" s="5" t="s">
        <v>106</v>
      </c>
      <c r="P89" s="5" t="s">
        <v>25</v>
      </c>
      <c r="S89" s="5" t="s">
        <v>66</v>
      </c>
    </row>
    <row r="90">
      <c r="A90" s="5">
        <v>89.0</v>
      </c>
      <c r="B90" s="5" t="s">
        <v>1188</v>
      </c>
      <c r="C90" s="5" t="s">
        <v>21</v>
      </c>
      <c r="D90" s="5">
        <v>86.0</v>
      </c>
      <c r="E90" s="5">
        <v>20.0</v>
      </c>
      <c r="F90" s="5">
        <v>0.2</v>
      </c>
      <c r="H90" s="5" t="s">
        <v>762</v>
      </c>
      <c r="I90" s="7">
        <v>46100.87322916667</v>
      </c>
      <c r="J90" s="5" t="s">
        <v>44</v>
      </c>
      <c r="K90" s="5">
        <v>900.0</v>
      </c>
      <c r="L90" s="5">
        <v>2800.0</v>
      </c>
      <c r="M90" s="5">
        <v>3100.0</v>
      </c>
      <c r="N90" s="8">
        <v>44054.0</v>
      </c>
      <c r="O90" s="5" t="s">
        <v>47</v>
      </c>
      <c r="P90" s="5" t="s">
        <v>25</v>
      </c>
      <c r="S90" s="5" t="s">
        <v>870</v>
      </c>
    </row>
    <row r="91">
      <c r="A91" s="5">
        <v>90.0</v>
      </c>
      <c r="B91" s="5" t="s">
        <v>1192</v>
      </c>
      <c r="C91" s="5" t="s">
        <v>21</v>
      </c>
      <c r="D91" s="5">
        <v>63.0</v>
      </c>
      <c r="E91" s="5">
        <v>20.0</v>
      </c>
      <c r="H91" s="5" t="s">
        <v>762</v>
      </c>
      <c r="I91" s="7">
        <v>46082.531180555554</v>
      </c>
      <c r="J91" s="5" t="s">
        <v>49</v>
      </c>
      <c r="K91" s="5">
        <v>20.0</v>
      </c>
      <c r="L91" s="5">
        <v>3500.0</v>
      </c>
      <c r="M91" s="5">
        <v>3700.0</v>
      </c>
      <c r="N91" s="8">
        <v>44872.0</v>
      </c>
      <c r="O91" s="5" t="s">
        <v>106</v>
      </c>
      <c r="P91" s="5" t="s">
        <v>25</v>
      </c>
      <c r="S91" s="5" t="s">
        <v>29</v>
      </c>
    </row>
    <row r="92">
      <c r="A92" s="5">
        <v>91.0</v>
      </c>
      <c r="B92" s="5" t="s">
        <v>1197</v>
      </c>
      <c r="C92" s="5" t="s">
        <v>21</v>
      </c>
      <c r="D92" s="5">
        <v>84.0</v>
      </c>
      <c r="E92" s="5">
        <v>20.0</v>
      </c>
      <c r="H92" s="5" t="s">
        <v>1197</v>
      </c>
      <c r="I92" s="7">
        <v>46089.42878472222</v>
      </c>
      <c r="K92" s="5">
        <v>101000.0</v>
      </c>
      <c r="L92" s="5">
        <v>20.0</v>
      </c>
      <c r="M92" s="5">
        <v>194000.0</v>
      </c>
      <c r="N92" s="8">
        <v>42491.0</v>
      </c>
      <c r="O92" s="5" t="s">
        <v>24</v>
      </c>
      <c r="P92" s="5" t="s">
        <v>25</v>
      </c>
      <c r="S92" s="5" t="s">
        <v>29</v>
      </c>
    </row>
    <row r="93">
      <c r="A93" s="5">
        <v>92.0</v>
      </c>
      <c r="B93" s="5" t="s">
        <v>93</v>
      </c>
      <c r="C93" s="5" t="s">
        <v>21</v>
      </c>
      <c r="D93" s="5">
        <v>90.0</v>
      </c>
      <c r="E93" s="5">
        <v>20.0</v>
      </c>
      <c r="F93" s="5">
        <v>0.25</v>
      </c>
      <c r="H93" s="5" t="s">
        <v>22</v>
      </c>
      <c r="I93" s="7">
        <v>46082.246724537035</v>
      </c>
      <c r="J93" s="5" t="s">
        <v>23</v>
      </c>
      <c r="K93" s="5">
        <v>2900.0</v>
      </c>
      <c r="L93" s="5">
        <v>1900.0</v>
      </c>
      <c r="M93" s="5">
        <v>2100.0</v>
      </c>
      <c r="N93" s="8">
        <v>42347.0</v>
      </c>
      <c r="O93" s="5" t="s">
        <v>24</v>
      </c>
      <c r="P93" s="5" t="s">
        <v>25</v>
      </c>
      <c r="S93" s="5" t="s">
        <v>29</v>
      </c>
    </row>
    <row r="94">
      <c r="A94" s="5">
        <v>93.0</v>
      </c>
      <c r="B94" s="5" t="s">
        <v>1206</v>
      </c>
      <c r="C94" s="5" t="s">
        <v>21</v>
      </c>
      <c r="D94" s="5">
        <v>71.0</v>
      </c>
      <c r="E94" s="5">
        <v>20.0</v>
      </c>
      <c r="H94" s="5" t="s">
        <v>22</v>
      </c>
      <c r="I94" s="7">
        <v>46142.56380787037</v>
      </c>
      <c r="J94" s="5" t="s">
        <v>49</v>
      </c>
      <c r="K94" s="5">
        <v>20.0</v>
      </c>
      <c r="L94" s="5">
        <v>2100.0</v>
      </c>
      <c r="M94" s="5">
        <v>3200.0</v>
      </c>
      <c r="N94" s="8">
        <v>44521.0</v>
      </c>
      <c r="O94" s="5" t="s">
        <v>106</v>
      </c>
      <c r="P94" s="5" t="s">
        <v>25</v>
      </c>
      <c r="S94" s="5" t="s">
        <v>996</v>
      </c>
    </row>
    <row r="95">
      <c r="A95" s="5">
        <v>94.0</v>
      </c>
      <c r="B95" s="5" t="s">
        <v>1210</v>
      </c>
      <c r="C95" s="5" t="s">
        <v>21</v>
      </c>
      <c r="D95" s="5">
        <v>86.0</v>
      </c>
      <c r="E95" s="5">
        <v>20.0</v>
      </c>
      <c r="H95" s="5" t="s">
        <v>22</v>
      </c>
      <c r="I95" s="7">
        <v>46088.90267361111</v>
      </c>
      <c r="K95" s="5">
        <v>700.0</v>
      </c>
      <c r="L95" s="5">
        <v>600.0</v>
      </c>
      <c r="M95" s="5">
        <v>57000.0</v>
      </c>
      <c r="N95" s="8">
        <v>43906.0</v>
      </c>
      <c r="O95" s="5" t="s">
        <v>47</v>
      </c>
      <c r="P95" s="5" t="s">
        <v>25</v>
      </c>
      <c r="S95" s="5" t="s">
        <v>66</v>
      </c>
    </row>
    <row r="96">
      <c r="A96" s="5">
        <v>95.0</v>
      </c>
      <c r="B96" s="5" t="s">
        <v>1213</v>
      </c>
      <c r="C96" s="5" t="s">
        <v>21</v>
      </c>
      <c r="D96" s="5">
        <v>88.0</v>
      </c>
      <c r="E96" s="5">
        <v>20.0</v>
      </c>
      <c r="H96" s="5" t="s">
        <v>22</v>
      </c>
      <c r="I96" s="7">
        <v>46089.06028935185</v>
      </c>
      <c r="K96" s="5">
        <v>350.0</v>
      </c>
      <c r="L96" s="5">
        <v>500.0</v>
      </c>
      <c r="M96" s="5">
        <v>500.0</v>
      </c>
      <c r="N96" s="8">
        <v>42335.0</v>
      </c>
      <c r="O96" s="5" t="s">
        <v>47</v>
      </c>
      <c r="P96" s="5" t="s">
        <v>25</v>
      </c>
      <c r="S96" s="5" t="s">
        <v>29</v>
      </c>
    </row>
    <row r="97">
      <c r="A97" s="5">
        <v>96.0</v>
      </c>
      <c r="B97" s="5" t="s">
        <v>100</v>
      </c>
      <c r="C97" s="5" t="s">
        <v>21</v>
      </c>
      <c r="D97" s="5">
        <v>66.0</v>
      </c>
      <c r="E97" s="5">
        <v>20.0</v>
      </c>
      <c r="H97" s="5" t="s">
        <v>102</v>
      </c>
      <c r="I97" s="7">
        <v>46083.55385416667</v>
      </c>
      <c r="J97" s="5" t="s">
        <v>104</v>
      </c>
      <c r="K97" s="5">
        <v>30.0</v>
      </c>
      <c r="L97" s="5">
        <v>10.0</v>
      </c>
      <c r="M97" s="5">
        <v>10.0</v>
      </c>
      <c r="N97" s="8">
        <v>44109.0</v>
      </c>
      <c r="O97" s="5" t="s">
        <v>106</v>
      </c>
      <c r="P97" s="5" t="s">
        <v>25</v>
      </c>
      <c r="S97" s="5" t="s">
        <v>29</v>
      </c>
    </row>
    <row r="98">
      <c r="A98" s="5">
        <v>97.0</v>
      </c>
      <c r="B98" s="5" t="s">
        <v>1221</v>
      </c>
      <c r="C98" s="5" t="s">
        <v>21</v>
      </c>
      <c r="D98" s="5">
        <v>61.0</v>
      </c>
      <c r="E98" s="5">
        <v>20.0</v>
      </c>
      <c r="F98" s="5">
        <v>1.4</v>
      </c>
      <c r="H98" s="5" t="s">
        <v>22</v>
      </c>
      <c r="I98" s="7">
        <v>46147.71747685185</v>
      </c>
      <c r="J98" s="5" t="s">
        <v>1021</v>
      </c>
      <c r="K98" s="5">
        <v>20.0</v>
      </c>
      <c r="L98" s="5">
        <v>2100.0</v>
      </c>
      <c r="M98" s="5">
        <v>2700.0</v>
      </c>
      <c r="N98" s="8">
        <v>42261.0</v>
      </c>
      <c r="O98" s="5" t="s">
        <v>1224</v>
      </c>
      <c r="P98" s="5" t="s">
        <v>25</v>
      </c>
      <c r="S98" s="5" t="s">
        <v>1157</v>
      </c>
    </row>
    <row r="99">
      <c r="A99" s="5">
        <v>98.0</v>
      </c>
      <c r="B99" s="5" t="s">
        <v>46</v>
      </c>
      <c r="C99" s="5" t="s">
        <v>21</v>
      </c>
      <c r="D99" s="5">
        <v>84.0</v>
      </c>
      <c r="E99" s="5">
        <v>20.0</v>
      </c>
      <c r="H99" s="5" t="s">
        <v>33</v>
      </c>
      <c r="I99" s="7">
        <v>46146.61423611111</v>
      </c>
      <c r="J99" s="5" t="s">
        <v>49</v>
      </c>
      <c r="K99" s="5">
        <v>108000.0</v>
      </c>
      <c r="L99" s="5">
        <v>30.0</v>
      </c>
      <c r="M99" s="5">
        <v>198000.0</v>
      </c>
      <c r="N99" s="8">
        <v>43867.0</v>
      </c>
      <c r="O99" s="5" t="s">
        <v>51</v>
      </c>
      <c r="P99" s="5" t="s">
        <v>25</v>
      </c>
      <c r="S99" s="5" t="s">
        <v>29</v>
      </c>
    </row>
    <row r="100">
      <c r="A100" s="5">
        <v>99.0</v>
      </c>
      <c r="B100" s="5" t="s">
        <v>1229</v>
      </c>
      <c r="C100" s="5" t="s">
        <v>21</v>
      </c>
      <c r="D100" s="5">
        <v>85.0</v>
      </c>
      <c r="E100" s="5">
        <v>20.0</v>
      </c>
      <c r="F100" s="5">
        <v>0.25</v>
      </c>
      <c r="H100" s="5" t="s">
        <v>22</v>
      </c>
      <c r="I100" s="7">
        <v>46127.30180555556</v>
      </c>
      <c r="J100" s="5" t="s">
        <v>1231</v>
      </c>
      <c r="K100" s="5">
        <v>5000.0</v>
      </c>
      <c r="L100" s="5">
        <v>2000.0</v>
      </c>
      <c r="M100" s="5">
        <v>17000.0</v>
      </c>
      <c r="N100" s="8">
        <v>43867.0</v>
      </c>
      <c r="O100" s="5" t="s">
        <v>47</v>
      </c>
      <c r="P100" s="5" t="s">
        <v>25</v>
      </c>
      <c r="S100" s="5" t="s">
        <v>66</v>
      </c>
    </row>
    <row r="101">
      <c r="A101" s="5">
        <v>100.0</v>
      </c>
      <c r="B101" s="5" t="s">
        <v>1233</v>
      </c>
      <c r="C101" s="5" t="s">
        <v>21</v>
      </c>
      <c r="D101" s="5">
        <v>85.0</v>
      </c>
      <c r="E101" s="5">
        <v>10.0</v>
      </c>
      <c r="H101" s="5" t="s">
        <v>762</v>
      </c>
      <c r="I101" s="7">
        <v>46155.122407407405</v>
      </c>
      <c r="J101" s="5" t="s">
        <v>820</v>
      </c>
      <c r="K101" s="5">
        <v>10.0</v>
      </c>
      <c r="L101" s="5">
        <v>3100.0</v>
      </c>
      <c r="M101" s="5">
        <v>3500.0</v>
      </c>
      <c r="N101" s="8">
        <v>43180.0</v>
      </c>
      <c r="O101" s="5" t="s">
        <v>47</v>
      </c>
      <c r="P101" s="5" t="s">
        <v>25</v>
      </c>
      <c r="S101" s="5" t="s">
        <v>66</v>
      </c>
    </row>
    <row r="102">
      <c r="A102" s="5">
        <v>101.0</v>
      </c>
      <c r="B102" s="5" t="s">
        <v>60</v>
      </c>
      <c r="C102" s="5" t="s">
        <v>21</v>
      </c>
      <c r="D102" s="5">
        <v>83.0</v>
      </c>
      <c r="E102" s="5">
        <v>10.0</v>
      </c>
      <c r="H102" s="5" t="s">
        <v>61</v>
      </c>
      <c r="I102" s="7">
        <v>46124.713912037034</v>
      </c>
      <c r="J102" s="5" t="s">
        <v>49</v>
      </c>
      <c r="K102" s="5">
        <v>44000.0</v>
      </c>
      <c r="L102" s="5">
        <v>10.0</v>
      </c>
      <c r="M102" s="5">
        <v>108000.0</v>
      </c>
      <c r="N102" s="8">
        <v>43860.0</v>
      </c>
      <c r="O102" s="5" t="s">
        <v>64</v>
      </c>
      <c r="P102" s="5" t="s">
        <v>25</v>
      </c>
      <c r="S102" s="5" t="s">
        <v>66</v>
      </c>
    </row>
    <row r="103">
      <c r="A103" s="5">
        <v>102.0</v>
      </c>
      <c r="B103" s="5" t="s">
        <v>1239</v>
      </c>
      <c r="C103" s="5" t="s">
        <v>21</v>
      </c>
      <c r="D103" s="5">
        <v>73.0</v>
      </c>
      <c r="E103" s="5">
        <v>10.0</v>
      </c>
      <c r="H103" s="5" t="s">
        <v>43</v>
      </c>
      <c r="I103" s="7">
        <v>46162.07824074074</v>
      </c>
      <c r="J103" s="5" t="s">
        <v>49</v>
      </c>
      <c r="K103" s="5">
        <v>10.0</v>
      </c>
      <c r="L103" s="5">
        <v>1100.0</v>
      </c>
      <c r="M103" s="5">
        <v>1200.0</v>
      </c>
      <c r="N103" s="8">
        <v>44099.0</v>
      </c>
      <c r="O103" s="5" t="s">
        <v>106</v>
      </c>
      <c r="P103" s="5" t="s">
        <v>25</v>
      </c>
      <c r="S103" s="5" t="s">
        <v>29</v>
      </c>
    </row>
    <row r="104">
      <c r="A104" s="5">
        <v>103.0</v>
      </c>
      <c r="B104" s="5" t="s">
        <v>1243</v>
      </c>
      <c r="C104" s="5" t="s">
        <v>21</v>
      </c>
      <c r="D104" s="5">
        <v>86.0</v>
      </c>
      <c r="E104" s="5">
        <v>10.0</v>
      </c>
      <c r="H104" s="5" t="s">
        <v>22</v>
      </c>
      <c r="I104" s="7">
        <v>46123.63851851852</v>
      </c>
      <c r="K104" s="5">
        <v>200.0</v>
      </c>
      <c r="L104" s="5">
        <v>1700.0</v>
      </c>
      <c r="M104" s="5">
        <v>2300.0</v>
      </c>
      <c r="N104" s="8">
        <v>43840.0</v>
      </c>
      <c r="O104" s="5" t="s">
        <v>106</v>
      </c>
      <c r="P104" s="5" t="s">
        <v>25</v>
      </c>
      <c r="S104" s="5" t="s">
        <v>66</v>
      </c>
    </row>
    <row r="105">
      <c r="A105" s="5">
        <v>104.0</v>
      </c>
      <c r="B105" s="5" t="s">
        <v>1246</v>
      </c>
      <c r="C105" s="5" t="s">
        <v>21</v>
      </c>
      <c r="D105" s="5">
        <v>81.0</v>
      </c>
      <c r="E105" s="5">
        <v>10.0</v>
      </c>
      <c r="H105" s="5" t="s">
        <v>762</v>
      </c>
      <c r="I105" s="7">
        <v>46088.503703703704</v>
      </c>
      <c r="J105" s="5" t="s">
        <v>44</v>
      </c>
      <c r="K105" s="5">
        <v>20.0</v>
      </c>
      <c r="L105" s="5">
        <v>3400.0</v>
      </c>
      <c r="M105" s="5">
        <v>3800.0</v>
      </c>
      <c r="N105" s="8">
        <v>43840.0</v>
      </c>
      <c r="O105" s="5" t="s">
        <v>106</v>
      </c>
      <c r="P105" s="5" t="s">
        <v>25</v>
      </c>
      <c r="S105" s="5" t="s">
        <v>29</v>
      </c>
    </row>
    <row r="106">
      <c r="A106" s="5">
        <v>105.0</v>
      </c>
      <c r="B106" s="5" t="s">
        <v>1249</v>
      </c>
      <c r="C106" s="5" t="s">
        <v>21</v>
      </c>
      <c r="D106" s="5">
        <v>86.0</v>
      </c>
      <c r="E106" s="5">
        <v>10.0</v>
      </c>
      <c r="F106" s="5">
        <v>0.2</v>
      </c>
      <c r="H106" s="5" t="s">
        <v>22</v>
      </c>
      <c r="I106" s="7">
        <v>46124.389710648145</v>
      </c>
      <c r="J106" s="5" t="s">
        <v>44</v>
      </c>
      <c r="K106" s="5">
        <v>200.0</v>
      </c>
      <c r="L106" s="5">
        <v>1800.0</v>
      </c>
      <c r="M106" s="5">
        <v>2300.0</v>
      </c>
      <c r="N106" s="8">
        <v>43914.0</v>
      </c>
      <c r="O106" s="5" t="s">
        <v>47</v>
      </c>
      <c r="P106" s="5" t="s">
        <v>25</v>
      </c>
      <c r="S106" s="5" t="s">
        <v>66</v>
      </c>
    </row>
    <row r="107">
      <c r="A107" s="5">
        <v>106.0</v>
      </c>
      <c r="B107" s="5" t="s">
        <v>1253</v>
      </c>
      <c r="C107" s="5" t="s">
        <v>21</v>
      </c>
      <c r="D107" s="5">
        <v>89.0</v>
      </c>
      <c r="E107" s="5">
        <v>10.0</v>
      </c>
      <c r="H107" s="5" t="s">
        <v>22</v>
      </c>
      <c r="I107" s="7">
        <v>46149.38681712963</v>
      </c>
      <c r="J107" s="5" t="s">
        <v>1231</v>
      </c>
      <c r="K107" s="5">
        <v>3000.0</v>
      </c>
      <c r="L107" s="5">
        <v>2100.0</v>
      </c>
      <c r="M107" s="5">
        <v>2700.0</v>
      </c>
      <c r="N107" s="8">
        <v>43892.0</v>
      </c>
      <c r="O107" s="5" t="s">
        <v>24</v>
      </c>
      <c r="P107" s="5" t="s">
        <v>25</v>
      </c>
      <c r="S107" s="5" t="s">
        <v>29</v>
      </c>
    </row>
    <row r="108">
      <c r="A108" s="5">
        <v>107.0</v>
      </c>
      <c r="B108" s="5" t="s">
        <v>1256</v>
      </c>
      <c r="C108" s="5" t="s">
        <v>21</v>
      </c>
      <c r="D108" s="5">
        <v>85.0</v>
      </c>
      <c r="E108" s="5">
        <v>10.0</v>
      </c>
      <c r="H108" s="5" t="s">
        <v>22</v>
      </c>
      <c r="I108" s="7">
        <v>46098.43613425926</v>
      </c>
      <c r="K108" s="5">
        <v>400.0</v>
      </c>
      <c r="L108" s="5">
        <v>600.0</v>
      </c>
      <c r="M108" s="5">
        <v>56000.0</v>
      </c>
      <c r="N108" s="8">
        <v>42272.0</v>
      </c>
      <c r="O108" s="5" t="s">
        <v>24</v>
      </c>
      <c r="P108" s="5" t="s">
        <v>25</v>
      </c>
      <c r="S108" s="5" t="s">
        <v>29</v>
      </c>
    </row>
    <row r="109">
      <c r="A109" s="5">
        <v>108.0</v>
      </c>
      <c r="B109" s="5" t="s">
        <v>72</v>
      </c>
      <c r="C109" s="5" t="s">
        <v>21</v>
      </c>
      <c r="D109" s="5">
        <v>87.0</v>
      </c>
      <c r="E109" s="5">
        <v>10.0</v>
      </c>
      <c r="H109" s="5" t="s">
        <v>72</v>
      </c>
      <c r="I109" s="7">
        <v>46145.85576388889</v>
      </c>
      <c r="K109" s="5">
        <v>120000.0</v>
      </c>
      <c r="L109" s="5">
        <v>0.0</v>
      </c>
      <c r="M109" s="5">
        <v>42000.0</v>
      </c>
      <c r="N109" s="8">
        <v>42385.0</v>
      </c>
      <c r="O109" s="5" t="s">
        <v>64</v>
      </c>
      <c r="P109" s="5" t="s">
        <v>25</v>
      </c>
      <c r="S109" s="5" t="s">
        <v>66</v>
      </c>
    </row>
    <row r="110">
      <c r="A110" s="5">
        <v>109.0</v>
      </c>
      <c r="B110" s="5" t="s">
        <v>1261</v>
      </c>
      <c r="C110" s="5" t="s">
        <v>21</v>
      </c>
      <c r="D110" s="5">
        <v>73.0</v>
      </c>
      <c r="E110" s="5">
        <v>10.0</v>
      </c>
      <c r="H110" s="5" t="s">
        <v>22</v>
      </c>
      <c r="I110" s="7">
        <v>46126.542037037034</v>
      </c>
      <c r="J110" s="5" t="s">
        <v>104</v>
      </c>
      <c r="K110" s="5">
        <v>20.0</v>
      </c>
      <c r="L110" s="5">
        <v>1900.0</v>
      </c>
      <c r="M110" s="5">
        <v>17000.0</v>
      </c>
      <c r="N110" s="8">
        <v>44351.0</v>
      </c>
      <c r="O110" s="5" t="s">
        <v>47</v>
      </c>
      <c r="P110" s="5" t="s">
        <v>25</v>
      </c>
      <c r="S110" s="5" t="s">
        <v>66</v>
      </c>
    </row>
    <row r="111">
      <c r="A111" s="5">
        <v>110.0</v>
      </c>
      <c r="B111" s="5" t="s">
        <v>159</v>
      </c>
      <c r="C111" s="5" t="s">
        <v>21</v>
      </c>
      <c r="D111" s="5">
        <v>89.0</v>
      </c>
      <c r="E111" s="5">
        <v>10.0</v>
      </c>
      <c r="H111" s="5" t="s">
        <v>22</v>
      </c>
      <c r="I111" s="7">
        <v>46082.13018518518</v>
      </c>
      <c r="K111" s="5">
        <v>500.0</v>
      </c>
      <c r="L111" s="5">
        <v>1900.0</v>
      </c>
      <c r="M111" s="5">
        <v>2100.0</v>
      </c>
      <c r="N111" s="8">
        <v>43864.0</v>
      </c>
      <c r="O111" s="5" t="s">
        <v>47</v>
      </c>
      <c r="P111" s="5" t="s">
        <v>25</v>
      </c>
      <c r="S111" s="5" t="s">
        <v>29</v>
      </c>
    </row>
    <row r="112">
      <c r="A112" s="5">
        <v>111.0</v>
      </c>
      <c r="B112" s="5" t="s">
        <v>1270</v>
      </c>
      <c r="C112" s="5" t="s">
        <v>21</v>
      </c>
      <c r="D112" s="5">
        <v>87.0</v>
      </c>
      <c r="E112" s="5">
        <v>10.0</v>
      </c>
      <c r="H112" s="5" t="s">
        <v>22</v>
      </c>
      <c r="I112" s="7">
        <v>46148.67773148148</v>
      </c>
      <c r="K112" s="5">
        <v>1100.0</v>
      </c>
      <c r="L112" s="5">
        <v>1600.0</v>
      </c>
      <c r="M112" s="5">
        <v>1900.0</v>
      </c>
      <c r="N112" s="8">
        <v>42806.0</v>
      </c>
      <c r="O112" s="5" t="s">
        <v>24</v>
      </c>
      <c r="P112" s="5" t="s">
        <v>25</v>
      </c>
      <c r="S112" s="5" t="s">
        <v>66</v>
      </c>
    </row>
    <row r="113">
      <c r="A113" s="5">
        <v>112.0</v>
      </c>
      <c r="B113" s="5" t="s">
        <v>1274</v>
      </c>
      <c r="C113" s="5" t="s">
        <v>21</v>
      </c>
      <c r="D113" s="5">
        <v>87.0</v>
      </c>
      <c r="E113" s="5">
        <v>10.0</v>
      </c>
      <c r="H113" s="5" t="s">
        <v>22</v>
      </c>
      <c r="I113" s="7">
        <v>46125.241574074076</v>
      </c>
      <c r="J113" s="5" t="s">
        <v>44</v>
      </c>
      <c r="K113" s="5">
        <v>1900.0</v>
      </c>
      <c r="L113" s="5">
        <v>1900.0</v>
      </c>
      <c r="M113" s="5">
        <v>2400.0</v>
      </c>
      <c r="N113" s="8">
        <v>44012.0</v>
      </c>
      <c r="O113" s="5" t="s">
        <v>47</v>
      </c>
      <c r="P113" s="5" t="s">
        <v>25</v>
      </c>
      <c r="S113" s="5" t="s">
        <v>29</v>
      </c>
    </row>
    <row r="114">
      <c r="A114" s="5">
        <v>113.0</v>
      </c>
      <c r="B114" s="5" t="s">
        <v>1278</v>
      </c>
      <c r="C114" s="5" t="s">
        <v>21</v>
      </c>
      <c r="D114" s="5">
        <v>87.0</v>
      </c>
      <c r="H114" s="5" t="s">
        <v>762</v>
      </c>
      <c r="I114" s="7">
        <v>46152.66574074074</v>
      </c>
      <c r="J114" s="5" t="s">
        <v>49</v>
      </c>
      <c r="L114" s="5">
        <v>3100.0</v>
      </c>
      <c r="M114" s="5">
        <v>3500.0</v>
      </c>
      <c r="N114" s="8">
        <v>43840.0</v>
      </c>
      <c r="O114" s="5" t="s">
        <v>47</v>
      </c>
      <c r="P114" s="5" t="s">
        <v>25</v>
      </c>
      <c r="S114" s="5" t="s">
        <v>29</v>
      </c>
    </row>
    <row r="115">
      <c r="A115" s="5">
        <v>114.0</v>
      </c>
      <c r="B115" s="5" t="s">
        <v>1281</v>
      </c>
      <c r="C115" s="5" t="s">
        <v>21</v>
      </c>
      <c r="D115" s="5">
        <v>86.0</v>
      </c>
      <c r="H115" s="5" t="s">
        <v>1014</v>
      </c>
      <c r="I115" s="7">
        <v>46156.35642361111</v>
      </c>
      <c r="K115" s="5">
        <v>3500.0</v>
      </c>
      <c r="L115" s="5">
        <v>10.0</v>
      </c>
      <c r="M115" s="5">
        <v>44000.0</v>
      </c>
      <c r="N115" s="8">
        <v>43857.0</v>
      </c>
      <c r="O115" s="5" t="s">
        <v>47</v>
      </c>
      <c r="P115" s="5" t="s">
        <v>25</v>
      </c>
      <c r="S115" s="5" t="s">
        <v>29</v>
      </c>
    </row>
    <row r="116">
      <c r="A116" s="5">
        <v>115.0</v>
      </c>
      <c r="B116" s="5" t="s">
        <v>1284</v>
      </c>
      <c r="C116" s="5" t="s">
        <v>21</v>
      </c>
      <c r="D116" s="5">
        <v>87.0</v>
      </c>
      <c r="H116" s="5" t="s">
        <v>22</v>
      </c>
      <c r="I116" s="7">
        <v>46149.001863425925</v>
      </c>
      <c r="K116" s="5">
        <v>600.0</v>
      </c>
      <c r="L116" s="5">
        <v>2100.0</v>
      </c>
      <c r="M116" s="5">
        <v>2700.0</v>
      </c>
      <c r="N116" s="8">
        <v>43896.0</v>
      </c>
      <c r="O116" s="5" t="s">
        <v>47</v>
      </c>
      <c r="P116" s="5" t="s">
        <v>25</v>
      </c>
      <c r="S116" s="5" t="s">
        <v>996</v>
      </c>
    </row>
    <row r="117">
      <c r="A117" s="5">
        <v>116.0</v>
      </c>
      <c r="B117" s="5" t="s">
        <v>1287</v>
      </c>
      <c r="C117" s="5" t="s">
        <v>21</v>
      </c>
      <c r="D117" s="5">
        <v>31.0</v>
      </c>
      <c r="H117" s="5" t="s">
        <v>1289</v>
      </c>
      <c r="I117" s="7">
        <v>46077.42224537037</v>
      </c>
      <c r="J117" s="5" t="s">
        <v>1021</v>
      </c>
      <c r="L117" s="5">
        <v>13000.0</v>
      </c>
      <c r="M117" s="5">
        <v>18000.0</v>
      </c>
      <c r="N117" s="8">
        <v>44005.0</v>
      </c>
      <c r="O117" s="5" t="s">
        <v>106</v>
      </c>
      <c r="P117" s="5" t="s">
        <v>25</v>
      </c>
      <c r="S117" s="5" t="s">
        <v>66</v>
      </c>
    </row>
    <row r="118">
      <c r="A118" s="5">
        <v>117.0</v>
      </c>
      <c r="B118" s="10" t="s">
        <v>1293</v>
      </c>
      <c r="C118" s="5" t="s">
        <v>21</v>
      </c>
      <c r="D118" s="5">
        <v>43.0</v>
      </c>
      <c r="H118" s="5" t="s">
        <v>865</v>
      </c>
      <c r="I118" s="7">
        <v>46125.223761574074</v>
      </c>
      <c r="J118" s="5" t="s">
        <v>44</v>
      </c>
      <c r="L118" s="5">
        <v>20000.0</v>
      </c>
      <c r="M118" s="5">
        <v>22000.0</v>
      </c>
      <c r="N118" s="8">
        <v>45191.0</v>
      </c>
      <c r="O118" s="5" t="s">
        <v>992</v>
      </c>
      <c r="S118" s="5" t="s">
        <v>1012</v>
      </c>
    </row>
    <row r="119">
      <c r="A119" s="5">
        <v>118.0</v>
      </c>
      <c r="B119" s="5" t="s">
        <v>1303</v>
      </c>
      <c r="C119" s="5" t="s">
        <v>21</v>
      </c>
      <c r="D119" s="5">
        <v>73.0</v>
      </c>
      <c r="H119" s="5" t="s">
        <v>762</v>
      </c>
      <c r="I119" s="7">
        <v>46076.080462962964</v>
      </c>
      <c r="L119" s="5">
        <v>3500.0</v>
      </c>
      <c r="M119" s="5">
        <v>3700.0</v>
      </c>
      <c r="N119" s="8">
        <v>45058.0</v>
      </c>
      <c r="O119" s="5" t="s">
        <v>47</v>
      </c>
      <c r="S119" s="5" t="s">
        <v>66</v>
      </c>
    </row>
    <row r="120">
      <c r="A120" s="5">
        <v>119.0</v>
      </c>
      <c r="B120" s="5" t="s">
        <v>1305</v>
      </c>
      <c r="C120" s="5" t="s">
        <v>21</v>
      </c>
      <c r="D120" s="5">
        <v>78.0</v>
      </c>
      <c r="H120" s="5" t="s">
        <v>22</v>
      </c>
      <c r="I120" s="7">
        <v>46146.6003125</v>
      </c>
      <c r="L120" s="5">
        <v>1600.0</v>
      </c>
      <c r="M120" s="5">
        <v>2100.0</v>
      </c>
      <c r="N120" s="8">
        <v>42896.0</v>
      </c>
      <c r="O120" s="5" t="s">
        <v>106</v>
      </c>
      <c r="P120" s="5" t="s">
        <v>25</v>
      </c>
      <c r="S120" s="5" t="s">
        <v>66</v>
      </c>
    </row>
    <row r="121">
      <c r="A121" s="5">
        <v>120.0</v>
      </c>
      <c r="B121" s="5" t="s">
        <v>1309</v>
      </c>
      <c r="C121" s="5" t="s">
        <v>21</v>
      </c>
      <c r="D121" s="5">
        <v>78.0</v>
      </c>
      <c r="H121" s="5" t="s">
        <v>22</v>
      </c>
      <c r="I121" s="7">
        <v>46122.509780092594</v>
      </c>
      <c r="J121" s="5" t="s">
        <v>1007</v>
      </c>
      <c r="L121" s="5">
        <v>1700.0</v>
      </c>
      <c r="M121" s="5">
        <v>2300.0</v>
      </c>
      <c r="N121" s="8">
        <v>42419.0</v>
      </c>
      <c r="O121" s="5" t="s">
        <v>47</v>
      </c>
      <c r="P121" s="5" t="s">
        <v>25</v>
      </c>
      <c r="S121" s="5" t="s">
        <v>29</v>
      </c>
    </row>
    <row r="122">
      <c r="A122" s="5">
        <v>121.0</v>
      </c>
      <c r="B122" s="5" t="s">
        <v>1313</v>
      </c>
      <c r="C122" s="5" t="s">
        <v>21</v>
      </c>
      <c r="D122" s="5">
        <v>62.0</v>
      </c>
      <c r="H122" s="5" t="s">
        <v>22</v>
      </c>
      <c r="I122" s="7">
        <v>46123.04677083333</v>
      </c>
      <c r="L122" s="5">
        <v>1700.0</v>
      </c>
      <c r="M122" s="5">
        <v>2300.0</v>
      </c>
      <c r="N122" s="8">
        <v>42264.0</v>
      </c>
      <c r="O122" s="5" t="s">
        <v>1000</v>
      </c>
      <c r="P122" s="5" t="s">
        <v>25</v>
      </c>
      <c r="S122" s="5" t="s">
        <v>29</v>
      </c>
    </row>
    <row r="123">
      <c r="A123" s="5">
        <v>122.0</v>
      </c>
      <c r="B123" s="5" t="s">
        <v>1317</v>
      </c>
      <c r="C123" s="5" t="s">
        <v>21</v>
      </c>
      <c r="D123" s="5">
        <v>79.0</v>
      </c>
      <c r="H123" s="5" t="s">
        <v>43</v>
      </c>
      <c r="I123" s="7">
        <v>46162.00922453704</v>
      </c>
      <c r="J123" s="5" t="s">
        <v>104</v>
      </c>
      <c r="L123" s="5">
        <v>1100.0</v>
      </c>
      <c r="M123" s="5">
        <v>1200.0</v>
      </c>
      <c r="N123" s="8">
        <v>43060.0</v>
      </c>
      <c r="O123" s="5" t="s">
        <v>47</v>
      </c>
      <c r="P123" s="5" t="s">
        <v>25</v>
      </c>
      <c r="S123" s="5" t="s">
        <v>29</v>
      </c>
    </row>
    <row r="124">
      <c r="A124" s="5">
        <v>123.0</v>
      </c>
      <c r="B124" s="5" t="s">
        <v>1320</v>
      </c>
      <c r="C124" s="5" t="s">
        <v>21</v>
      </c>
      <c r="D124" s="5">
        <v>67.0</v>
      </c>
      <c r="H124" s="5" t="s">
        <v>963</v>
      </c>
      <c r="I124" s="7">
        <v>46152.294756944444</v>
      </c>
      <c r="K124" s="5">
        <v>30.0</v>
      </c>
      <c r="L124" s="5">
        <v>150.0</v>
      </c>
      <c r="M124" s="5">
        <v>350.0</v>
      </c>
      <c r="N124" s="8">
        <v>44075.0</v>
      </c>
      <c r="O124" s="5" t="s">
        <v>1224</v>
      </c>
      <c r="P124" s="5" t="s">
        <v>25</v>
      </c>
      <c r="S124" s="5" t="s">
        <v>1012</v>
      </c>
    </row>
    <row r="125">
      <c r="A125" s="5">
        <v>124.0</v>
      </c>
      <c r="B125" s="5" t="s">
        <v>1321</v>
      </c>
      <c r="C125" s="5" t="s">
        <v>21</v>
      </c>
      <c r="D125" s="5">
        <v>69.0</v>
      </c>
      <c r="H125" s="5" t="s">
        <v>981</v>
      </c>
      <c r="I125" s="7">
        <v>46144.65122685185</v>
      </c>
      <c r="J125" s="5" t="s">
        <v>104</v>
      </c>
      <c r="L125" s="5">
        <v>100.0</v>
      </c>
      <c r="M125" s="5">
        <v>1100.0</v>
      </c>
      <c r="N125" s="8">
        <v>45292.0</v>
      </c>
      <c r="O125" s="5" t="s">
        <v>1324</v>
      </c>
      <c r="P125" s="5" t="s">
        <v>25</v>
      </c>
      <c r="S125" s="5" t="s">
        <v>996</v>
      </c>
    </row>
    <row r="126">
      <c r="A126" s="5">
        <v>125.0</v>
      </c>
      <c r="B126" s="5" t="s">
        <v>1325</v>
      </c>
      <c r="C126" s="5" t="s">
        <v>21</v>
      </c>
      <c r="D126" s="5">
        <v>73.0</v>
      </c>
      <c r="F126" s="5">
        <v>0.1</v>
      </c>
      <c r="H126" s="5" t="s">
        <v>22</v>
      </c>
      <c r="I126" s="7">
        <v>46142.259351851855</v>
      </c>
      <c r="L126" s="5">
        <v>1600.0</v>
      </c>
      <c r="M126" s="5">
        <v>2900.0</v>
      </c>
      <c r="N126" s="8">
        <v>42327.0</v>
      </c>
      <c r="O126" s="5" t="s">
        <v>106</v>
      </c>
      <c r="S126" s="5" t="s">
        <v>996</v>
      </c>
    </row>
    <row r="127">
      <c r="A127" s="5">
        <v>126.0</v>
      </c>
      <c r="B127" s="5" t="s">
        <v>249</v>
      </c>
      <c r="C127" s="5" t="s">
        <v>21</v>
      </c>
      <c r="D127" s="5">
        <v>86.0</v>
      </c>
      <c r="H127" s="5" t="s">
        <v>22</v>
      </c>
      <c r="I127" s="7">
        <v>46149.28826388889</v>
      </c>
      <c r="J127" s="5" t="s">
        <v>44</v>
      </c>
      <c r="K127" s="5">
        <v>600.0</v>
      </c>
      <c r="L127" s="5">
        <v>2100.0</v>
      </c>
      <c r="M127" s="5">
        <v>2700.0</v>
      </c>
      <c r="N127" s="8">
        <v>43922.0</v>
      </c>
      <c r="O127" s="5" t="s">
        <v>24</v>
      </c>
      <c r="P127" s="5" t="s">
        <v>25</v>
      </c>
      <c r="S127" s="5" t="s">
        <v>29</v>
      </c>
    </row>
    <row r="128">
      <c r="A128" s="5">
        <v>127.0</v>
      </c>
      <c r="B128" s="5" t="s">
        <v>1328</v>
      </c>
      <c r="C128" s="5" t="s">
        <v>21</v>
      </c>
      <c r="D128" s="5">
        <v>42.0</v>
      </c>
      <c r="H128" s="5" t="s">
        <v>22</v>
      </c>
      <c r="I128" s="7">
        <v>46149.00237268519</v>
      </c>
      <c r="J128" s="5" t="s">
        <v>1330</v>
      </c>
      <c r="K128" s="5">
        <v>10.0</v>
      </c>
      <c r="L128" s="5">
        <v>1600.0</v>
      </c>
      <c r="M128" s="5">
        <v>1900.0</v>
      </c>
      <c r="N128" s="8">
        <v>43840.0</v>
      </c>
      <c r="O128" s="5" t="s">
        <v>47</v>
      </c>
      <c r="P128" s="5" t="s">
        <v>25</v>
      </c>
      <c r="S128" s="5" t="s">
        <v>1332</v>
      </c>
    </row>
    <row r="129">
      <c r="A129" s="5">
        <v>128.0</v>
      </c>
      <c r="B129" s="5" t="s">
        <v>1333</v>
      </c>
      <c r="C129" s="5" t="s">
        <v>21</v>
      </c>
      <c r="D129" s="5">
        <v>54.0</v>
      </c>
      <c r="H129" s="5" t="s">
        <v>22</v>
      </c>
      <c r="I129" s="7">
        <v>46142.252800925926</v>
      </c>
      <c r="J129" s="5" t="s">
        <v>49</v>
      </c>
      <c r="L129" s="5">
        <v>1600.0</v>
      </c>
      <c r="M129" s="5">
        <v>2900.0</v>
      </c>
      <c r="N129" s="8">
        <v>43841.0</v>
      </c>
      <c r="O129" s="5" t="s">
        <v>106</v>
      </c>
      <c r="P129" s="5" t="s">
        <v>25</v>
      </c>
      <c r="S129" s="5" t="s">
        <v>996</v>
      </c>
    </row>
    <row r="130">
      <c r="A130" s="5">
        <v>129.0</v>
      </c>
      <c r="B130" s="5" t="s">
        <v>1336</v>
      </c>
      <c r="C130" s="5" t="s">
        <v>21</v>
      </c>
      <c r="D130" s="5">
        <v>83.0</v>
      </c>
      <c r="H130" s="5" t="s">
        <v>762</v>
      </c>
      <c r="I130" s="7">
        <v>46082.535046296296</v>
      </c>
      <c r="J130" s="5" t="s">
        <v>35</v>
      </c>
      <c r="K130" s="5">
        <v>300.0</v>
      </c>
      <c r="L130" s="5">
        <v>3500.0</v>
      </c>
      <c r="M130" s="5">
        <v>3700.0</v>
      </c>
      <c r="N130" s="8">
        <v>43235.0</v>
      </c>
      <c r="O130" s="5" t="s">
        <v>47</v>
      </c>
      <c r="P130" s="5" t="s">
        <v>25</v>
      </c>
      <c r="S130" s="5" t="s">
        <v>870</v>
      </c>
    </row>
  </sheetData>
  <hyperlinks>
    <hyperlink r:id="rId1" ref="B118"/>
  </hyperlinks>
  <drawing r:id="rId2"/>
</worksheet>
</file>